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Data\Cat Modelling\Group Reporting\Reports\2026\2026-01 - RDS\Supplementary Information\2. Data Received\Nat Cat\UKEU\"/>
    </mc:Choice>
  </mc:AlternateContent>
  <xr:revisionPtr revIDLastSave="0" documentId="13_ncr:1_{E82A8420-61AB-4242-9DDF-016419DF4A85}" xr6:coauthVersionLast="47" xr6:coauthVersionMax="47" xr10:uidLastSave="{00000000-0000-0000-0000-000000000000}"/>
  <bookViews>
    <workbookView xWindow="0" yWindow="0" windowWidth="19814" windowHeight="15990" tabRatio="773" xr2:uid="{00000000-000D-0000-FFFF-FFFF00000000}"/>
  </bookViews>
  <sheets>
    <sheet name="05 South Africa EQ Aggs" sheetId="10" r:id="rId1"/>
    <sheet name="Core data" sheetId="2" r:id="rId2"/>
    <sheet name="Cat Class Mapping" sheetId="9" r:id="rId3"/>
    <sheet name="Notes" sheetId="3" r:id="rId4"/>
    <sheet name="Fx" sheetId="8" r:id="rId5"/>
  </sheets>
  <externalReferences>
    <externalReference r:id="rId6"/>
    <externalReference r:id="rId7"/>
  </externalReferences>
  <definedNames>
    <definedName name="_xlnm._FilterDatabase" localSheetId="1" hidden="1">'Core data'!$A$1:$S$45</definedName>
    <definedName name="CRESTA">[1]Reference!#REF!</definedName>
    <definedName name="General_tab">'[2]Contact information'!$D$5,'[2]Contact information'!$D$7,'[2]Contact information'!$D$9,'[2]Contact information'!$D$10,'[2]Contact information'!$D$11</definedName>
    <definedName name="ModellingMethod">[1]Reference!$D$3:$D$10</definedName>
    <definedName name="RMSVersions">[1]Reference!$E$3:$E$5</definedName>
    <definedName name="Syndicates">[1]Reference!$B$3:$B$89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C9" i="10" s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2" i="2"/>
  <c r="C12" i="10"/>
  <c r="C16" i="10"/>
  <c r="C20" i="10"/>
  <c r="C24" i="10"/>
  <c r="C28" i="10"/>
  <c r="C32" i="10"/>
  <c r="C36" i="10"/>
  <c r="C40" i="10"/>
  <c r="C44" i="10"/>
  <c r="C48" i="10"/>
  <c r="C52" i="10"/>
  <c r="C56" i="10"/>
  <c r="C60" i="10"/>
  <c r="C64" i="10"/>
  <c r="C68" i="10"/>
  <c r="C72" i="10"/>
  <c r="C76" i="10"/>
  <c r="C80" i="10"/>
  <c r="C84" i="10"/>
  <c r="C86" i="10"/>
  <c r="C88" i="10"/>
  <c r="C90" i="10"/>
  <c r="C92" i="10"/>
  <c r="C94" i="10"/>
  <c r="C96" i="10"/>
  <c r="C98" i="10"/>
  <c r="C100" i="10"/>
  <c r="C102" i="10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2" i="2"/>
  <c r="C8" i="10" l="1"/>
  <c r="C99" i="10"/>
  <c r="C95" i="10"/>
  <c r="C91" i="10"/>
  <c r="C87" i="10"/>
  <c r="C83" i="10"/>
  <c r="C79" i="10"/>
  <c r="C75" i="10"/>
  <c r="C71" i="10"/>
  <c r="C67" i="10"/>
  <c r="C63" i="10"/>
  <c r="C59" i="10"/>
  <c r="C55" i="10"/>
  <c r="C51" i="10"/>
  <c r="C47" i="10"/>
  <c r="C43" i="10"/>
  <c r="C39" i="10"/>
  <c r="C35" i="10"/>
  <c r="C31" i="10"/>
  <c r="C27" i="10"/>
  <c r="C23" i="10"/>
  <c r="C19" i="10"/>
  <c r="C15" i="10"/>
  <c r="C11" i="10"/>
  <c r="C78" i="10"/>
  <c r="C74" i="10"/>
  <c r="C70" i="10"/>
  <c r="C66" i="10"/>
  <c r="C62" i="10"/>
  <c r="C58" i="10"/>
  <c r="C54" i="10"/>
  <c r="C50" i="10"/>
  <c r="C46" i="10"/>
  <c r="C42" i="10"/>
  <c r="C38" i="10"/>
  <c r="C34" i="10"/>
  <c r="C30" i="10"/>
  <c r="C26" i="10"/>
  <c r="C22" i="10"/>
  <c r="C18" i="10"/>
  <c r="C14" i="10"/>
  <c r="C10" i="10"/>
  <c r="C82" i="10"/>
  <c r="C101" i="10"/>
  <c r="C97" i="10"/>
  <c r="C93" i="10"/>
  <c r="C89" i="10"/>
  <c r="C85" i="10"/>
  <c r="C81" i="10"/>
  <c r="C77" i="10"/>
  <c r="C73" i="10"/>
  <c r="C69" i="10"/>
  <c r="C65" i="10"/>
  <c r="C61" i="10"/>
  <c r="C57" i="10"/>
  <c r="C53" i="10"/>
  <c r="C49" i="10"/>
  <c r="C45" i="10"/>
  <c r="C41" i="10"/>
  <c r="C37" i="10"/>
  <c r="C33" i="10"/>
  <c r="C29" i="10"/>
  <c r="C25" i="10"/>
  <c r="C21" i="10"/>
  <c r="C17" i="10"/>
  <c r="C13" i="10"/>
</calcChain>
</file>

<file path=xl/sharedStrings.xml><?xml version="1.0" encoding="utf-8"?>
<sst xmlns="http://schemas.openxmlformats.org/spreadsheetml/2006/main" count="593" uniqueCount="284">
  <si>
    <t>Table 1</t>
  </si>
  <si>
    <t>Table 2</t>
  </si>
  <si>
    <t>CRESTA zone : 2 digit</t>
  </si>
  <si>
    <t>Property D&amp;F</t>
  </si>
  <si>
    <t>Energy</t>
  </si>
  <si>
    <t>Other</t>
  </si>
  <si>
    <t>Property Treaty</t>
  </si>
  <si>
    <t>Cat XL</t>
  </si>
  <si>
    <t>Risk XL</t>
  </si>
  <si>
    <t>Proportional</t>
  </si>
  <si>
    <t>Open Market</t>
  </si>
  <si>
    <t>Binding Authorities</t>
  </si>
  <si>
    <t>Onshore</t>
  </si>
  <si>
    <t>Nationwide total</t>
  </si>
  <si>
    <t>00</t>
  </si>
  <si>
    <t>01</t>
  </si>
  <si>
    <t>02</t>
  </si>
  <si>
    <t>03</t>
  </si>
  <si>
    <t>Table 3</t>
  </si>
  <si>
    <t>Aggregate Allocation %</t>
  </si>
  <si>
    <t>04</t>
  </si>
  <si>
    <t>Class of Business</t>
  </si>
  <si>
    <t>Known</t>
  </si>
  <si>
    <t>'Deemed'</t>
  </si>
  <si>
    <t>05</t>
  </si>
  <si>
    <t>Open Market D&amp;F</t>
  </si>
  <si>
    <t>06</t>
  </si>
  <si>
    <t>07</t>
  </si>
  <si>
    <t>Energy (onshore)</t>
  </si>
  <si>
    <t>10</t>
  </si>
  <si>
    <t>11</t>
  </si>
  <si>
    <t>Treaty - Cat XL</t>
  </si>
  <si>
    <t>12</t>
  </si>
  <si>
    <t>Treaty - Risk XL</t>
  </si>
  <si>
    <t>13</t>
  </si>
  <si>
    <t>Treaty - Proportional</t>
  </si>
  <si>
    <t>15</t>
  </si>
  <si>
    <t>16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</si>
  <si>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</si>
  <si>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</si>
  <si>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</si>
  <si>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</si>
  <si>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</si>
  <si>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</si>
  <si>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</si>
  <si>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</si>
  <si>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</si>
  <si>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31</t>
  </si>
  <si>
    <t>32</t>
  </si>
  <si>
    <t>33</t>
  </si>
  <si>
    <t>35</t>
  </si>
  <si>
    <t>36</t>
  </si>
  <si>
    <t>40</t>
  </si>
  <si>
    <t>41</t>
  </si>
  <si>
    <t>42</t>
  </si>
  <si>
    <t>43</t>
  </si>
  <si>
    <t>44</t>
  </si>
  <si>
    <t>46</t>
  </si>
  <si>
    <t>47</t>
  </si>
  <si>
    <t>51</t>
  </si>
  <si>
    <t>52</t>
  </si>
  <si>
    <t>53</t>
  </si>
  <si>
    <t>54</t>
  </si>
  <si>
    <t>55</t>
  </si>
  <si>
    <t>56</t>
  </si>
  <si>
    <t>57</t>
  </si>
  <si>
    <t>61</t>
  </si>
  <si>
    <t>62</t>
  </si>
  <si>
    <t>63</t>
  </si>
  <si>
    <t>64</t>
  </si>
  <si>
    <t>65</t>
  </si>
  <si>
    <t>66</t>
  </si>
  <si>
    <t>67</t>
  </si>
  <si>
    <t>71</t>
  </si>
  <si>
    <t>72</t>
  </si>
  <si>
    <t>73</t>
  </si>
  <si>
    <t>74</t>
  </si>
  <si>
    <t>75</t>
  </si>
  <si>
    <t>81</t>
  </si>
  <si>
    <t>83</t>
  </si>
  <si>
    <t>84</t>
  </si>
  <si>
    <t>85</t>
  </si>
  <si>
    <t>86</t>
  </si>
  <si>
    <t>99</t>
  </si>
  <si>
    <t>PORTNAME</t>
  </si>
  <si>
    <t>ACCGRPNAME</t>
  </si>
  <si>
    <t>Currency</t>
  </si>
  <si>
    <t>TSI</t>
  </si>
  <si>
    <t>GBP</t>
  </si>
  <si>
    <t>Cresta</t>
  </si>
  <si>
    <t>Reclassification</t>
  </si>
  <si>
    <t>USD</t>
  </si>
  <si>
    <t>EUR</t>
  </si>
  <si>
    <t>Lloyd's Fx rate</t>
  </si>
  <si>
    <t>US dollars</t>
  </si>
  <si>
    <t>British pounds</t>
  </si>
  <si>
    <t>Canadian Dollars</t>
  </si>
  <si>
    <t>Euro</t>
  </si>
  <si>
    <t>Australia dollar</t>
  </si>
  <si>
    <t>Danish krone</t>
  </si>
  <si>
    <t>Hong Kong dollar</t>
  </si>
  <si>
    <t>Japanese yen</t>
  </si>
  <si>
    <t>New Zealand dollar</t>
  </si>
  <si>
    <t>Norwegian krone</t>
  </si>
  <si>
    <t>Singapore dollar</t>
  </si>
  <si>
    <t>South African rand</t>
  </si>
  <si>
    <t>Swedish krona</t>
  </si>
  <si>
    <t>Swiss franc</t>
  </si>
  <si>
    <t>NZD</t>
  </si>
  <si>
    <t>Countrycode</t>
  </si>
  <si>
    <t>COUNTRY</t>
  </si>
  <si>
    <t>CITY</t>
  </si>
  <si>
    <t>cresta</t>
  </si>
  <si>
    <t>STATE</t>
  </si>
  <si>
    <t>latitude</t>
  </si>
  <si>
    <t>longitude</t>
  </si>
  <si>
    <t>ADDRMATCH</t>
  </si>
  <si>
    <t>Cat Portfolio Name</t>
  </si>
  <si>
    <t>CAD</t>
  </si>
  <si>
    <t>AUD</t>
  </si>
  <si>
    <t>HKD</t>
  </si>
  <si>
    <t>JPY</t>
  </si>
  <si>
    <t>SGD</t>
  </si>
  <si>
    <t>ZAR</t>
  </si>
  <si>
    <t>CHF</t>
  </si>
  <si>
    <t>Updated per 1/1/24 RDS instructions</t>
  </si>
  <si>
    <t>DKK</t>
  </si>
  <si>
    <t>NOK</t>
  </si>
  <si>
    <t>SEK</t>
  </si>
  <si>
    <t>South Africa Earthquake aggregate exposures</t>
  </si>
  <si>
    <t>Static property exposure data as at 01/01/2024 (USD units)</t>
  </si>
  <si>
    <t>08</t>
  </si>
  <si>
    <t>09</t>
  </si>
  <si>
    <t>14</t>
  </si>
  <si>
    <t>17</t>
  </si>
  <si>
    <t>18</t>
  </si>
  <si>
    <t>19</t>
  </si>
  <si>
    <t>28</t>
  </si>
  <si>
    <t>29</t>
  </si>
  <si>
    <t>37</t>
  </si>
  <si>
    <t>38</t>
  </si>
  <si>
    <t>39</t>
  </si>
  <si>
    <t>48</t>
  </si>
  <si>
    <t>49</t>
  </si>
  <si>
    <t>50</t>
  </si>
  <si>
    <t>58</t>
  </si>
  <si>
    <t>59</t>
  </si>
  <si>
    <t>60</t>
  </si>
  <si>
    <t>68</t>
  </si>
  <si>
    <t>69</t>
  </si>
  <si>
    <t>70</t>
  </si>
  <si>
    <t>76</t>
  </si>
  <si>
    <t>77</t>
  </si>
  <si>
    <t>78</t>
  </si>
  <si>
    <t>79</t>
  </si>
  <si>
    <t>80</t>
  </si>
  <si>
    <t>82</t>
  </si>
  <si>
    <t>87</t>
  </si>
  <si>
    <t>88</t>
  </si>
  <si>
    <t>89</t>
  </si>
  <si>
    <t>93</t>
  </si>
  <si>
    <t>94</t>
  </si>
  <si>
    <t>95</t>
  </si>
  <si>
    <t>96</t>
  </si>
  <si>
    <t>97</t>
  </si>
  <si>
    <t>98</t>
  </si>
  <si>
    <t>ZA</t>
  </si>
  <si>
    <t>South Africa</t>
  </si>
  <si>
    <t>Cape Town</t>
  </si>
  <si>
    <t>Western Cape</t>
  </si>
  <si>
    <t>Nelspruit</t>
  </si>
  <si>
    <t>Mpumalanga</t>
  </si>
  <si>
    <t>Gauteng</t>
  </si>
  <si>
    <t>Johannesburg</t>
  </si>
  <si>
    <t>Pretoria</t>
  </si>
  <si>
    <t>Belfast</t>
  </si>
  <si>
    <t>Piketberg</t>
  </si>
  <si>
    <t>Hatfield</t>
  </si>
  <si>
    <t>KwaZulu-Natal</t>
  </si>
  <si>
    <t>province</t>
  </si>
  <si>
    <t>TSI_NET</t>
  </si>
  <si>
    <t>TSI_GBP</t>
  </si>
  <si>
    <t>TSI_USD_NET</t>
  </si>
  <si>
    <t>7/24 to 1/25</t>
  </si>
  <si>
    <t>7/24 to 4/25</t>
  </si>
  <si>
    <t>7/24 to 7/25</t>
  </si>
  <si>
    <t>7/24 to 1/26</t>
  </si>
  <si>
    <t>HIC_COMM_UK</t>
  </si>
  <si>
    <t>HIC_FA_UK</t>
  </si>
  <si>
    <t>HIC_HH_UK</t>
  </si>
  <si>
    <t>HIG_FA_GU</t>
  </si>
  <si>
    <t>HIG_HH_GU</t>
  </si>
  <si>
    <t>HSA_COMM_EU_FR</t>
  </si>
  <si>
    <t>HSA_COMM_EU_DE</t>
  </si>
  <si>
    <t>HSA_COMM_EU_IE</t>
  </si>
  <si>
    <t>HSA_COMM_EU_PT</t>
  </si>
  <si>
    <t>HSA_COMM_EU_ES</t>
  </si>
  <si>
    <t>HSA_COMM_UK</t>
  </si>
  <si>
    <t>HSA_FA_EU_BE</t>
  </si>
  <si>
    <t>HSA_FA_EU_FR</t>
  </si>
  <si>
    <t>HSA_FA_EU_DE</t>
  </si>
  <si>
    <t>HSA_FA_EU_IE</t>
  </si>
  <si>
    <t>HSA_FA_EU_NL</t>
  </si>
  <si>
    <t>HSA_FA_EU_PT</t>
  </si>
  <si>
    <t>HSA_FA_EU_ES</t>
  </si>
  <si>
    <t>HSA_FA_UK</t>
  </si>
  <si>
    <t>HSA_HH_EU_BE</t>
  </si>
  <si>
    <t>HSA_HH_EU_FR</t>
  </si>
  <si>
    <t>HSA_HH_EU_DE</t>
  </si>
  <si>
    <t>HSA_HH_EU_IE</t>
  </si>
  <si>
    <t>HSA_HH_EU_NL</t>
  </si>
  <si>
    <t>HSA_HH_EU_PT</t>
  </si>
  <si>
    <t>HSA_HH_EU_ES</t>
  </si>
  <si>
    <t>HSA_HH_UK</t>
  </si>
  <si>
    <t>S33_FA_EU_BE</t>
  </si>
  <si>
    <t>S33_FA_EU_FR</t>
  </si>
  <si>
    <t>S33_FA_EU_DE</t>
  </si>
  <si>
    <t>S33_FA_EU_NL</t>
  </si>
  <si>
    <t>S33_FA_EU_ES</t>
  </si>
  <si>
    <t>S33_FA_Lloyds</t>
  </si>
  <si>
    <t>S33_FA_Miami</t>
  </si>
  <si>
    <t>S33_FA_UK</t>
  </si>
  <si>
    <t>S33_HH_EU_BE</t>
  </si>
  <si>
    <t>S33_HH_EU_FR</t>
  </si>
  <si>
    <t>S33_HH_EU_DE</t>
  </si>
  <si>
    <t>S33_HH_EU_NL</t>
  </si>
  <si>
    <t>S33_HH_EU_ES</t>
  </si>
  <si>
    <t>S33_HH_Lloyds</t>
  </si>
  <si>
    <t>S33_HH_UK</t>
  </si>
  <si>
    <t>S3624_COMM_EU_FR</t>
  </si>
  <si>
    <t>S3624_COMM_EU_DE</t>
  </si>
  <si>
    <t>S3624_COMM_UK</t>
  </si>
  <si>
    <t>Port Elizabeth</t>
  </si>
  <si>
    <t>Eastern Cape</t>
  </si>
  <si>
    <t>Pietermaritzburg</t>
  </si>
  <si>
    <t>Kimberley</t>
  </si>
  <si>
    <t>Northern Cape</t>
  </si>
  <si>
    <t>COUNTY</t>
  </si>
  <si>
    <t>Zone3Name</t>
  </si>
  <si>
    <t>LIMITCUR</t>
  </si>
  <si>
    <t>ATHOL</t>
  </si>
  <si>
    <t xml:space="preserve"> </t>
  </si>
  <si>
    <t>SANDHURST</t>
  </si>
  <si>
    <t>City of Cape Town</t>
  </si>
  <si>
    <t>ZAF_79</t>
  </si>
  <si>
    <t>City of Johannesburg</t>
  </si>
  <si>
    <t>ZAF_21</t>
  </si>
  <si>
    <t>ZAF_75</t>
  </si>
  <si>
    <t>Nelson Mandela Bay</t>
  </si>
  <si>
    <t>ZAF_60</t>
  </si>
  <si>
    <t>Cape Winelands</t>
  </si>
  <si>
    <t>ZAF_76</t>
  </si>
  <si>
    <t>Fish Hoek</t>
  </si>
  <si>
    <t>CAPE TOWN</t>
  </si>
  <si>
    <t>PARKWOOD</t>
  </si>
  <si>
    <t>Umgungundlovu</t>
  </si>
  <si>
    <t>ZAF_32</t>
  </si>
  <si>
    <t>JOHANNESBURG</t>
  </si>
  <si>
    <t>ZAF_20</t>
  </si>
  <si>
    <t>ZAF_80</t>
  </si>
  <si>
    <t>Sandown</t>
  </si>
  <si>
    <t>Umhlanga</t>
  </si>
  <si>
    <t>eThekwini</t>
  </si>
  <si>
    <t>ZAF_43</t>
  </si>
  <si>
    <t>HOUGHTON</t>
  </si>
  <si>
    <t>West Coast</t>
  </si>
  <si>
    <t>ZAF_73</t>
  </si>
  <si>
    <t>Nkangala</t>
  </si>
  <si>
    <t>ZAF_11</t>
  </si>
  <si>
    <t>DURBAN</t>
  </si>
  <si>
    <t>NULL</t>
  </si>
  <si>
    <t>Woodstock</t>
  </si>
  <si>
    <t>City of Tshwane</t>
  </si>
  <si>
    <t>ZAF_00</t>
  </si>
  <si>
    <t>Frances Baard</t>
  </si>
  <si>
    <t>ZAF_83</t>
  </si>
  <si>
    <t>S33_FA_Lloyds_QS</t>
  </si>
  <si>
    <t>SANDTON</t>
  </si>
  <si>
    <t>ZAF_77</t>
  </si>
  <si>
    <t>Ehlanzeni</t>
  </si>
  <si>
    <t>ZAF_12</t>
  </si>
  <si>
    <t>SCALE_FACTOR</t>
  </si>
  <si>
    <t>scaled_tsi</t>
  </si>
  <si>
    <t>cresta_2_digit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</si>
</sst>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_ ;\-#,##0\ "/>
  </numFmts>
  <fonts count="3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8"/>
      <color rgb="FF000000"/>
      <name val="Tahoma"/>
      <family val="2"/>
    </font>
    <font>
      <sz val="10"/>
      <name val="Arial"/>
      <family val="2"/>
    </font>
    <font>
      <sz val="10"/>
      <name val="Sansa Lloyds"/>
    </font>
    <font>
      <sz val="12"/>
      <color indexed="9"/>
      <name val="Sansa Lloyd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SwissReSans"/>
    </font>
    <font>
      <b/>
      <sz val="11"/>
      <color indexed="63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b/>
      <sz val="14"/>
      <name val="Sansa Lloyds"/>
    </font>
    <font>
      <sz val="14"/>
      <color rgb="FF22222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164" fontId="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1" fillId="3" borderId="0" applyNumberFormat="0" applyBorder="0" applyAlignment="0" applyProtection="0"/>
    <xf numFmtId="0" fontId="12" fillId="6" borderId="4" applyNumberFormat="0" applyAlignment="0" applyProtection="0"/>
    <xf numFmtId="0" fontId="13" fillId="7" borderId="6" applyNumberFormat="0" applyAlignment="0" applyProtection="0"/>
    <xf numFmtId="164" fontId="6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4" applyNumberFormat="0" applyAlignment="0" applyProtection="0"/>
    <xf numFmtId="0" fontId="21" fillId="0" borderId="5" applyNumberFormat="0" applyFill="0" applyAlignment="0" applyProtection="0"/>
    <xf numFmtId="0" fontId="22" fillId="4" borderId="0" applyNumberFormat="0" applyBorder="0" applyAlignment="0" applyProtection="0"/>
    <xf numFmtId="0" fontId="6" fillId="0" borderId="0"/>
    <xf numFmtId="0" fontId="6" fillId="0" borderId="0"/>
    <xf numFmtId="0" fontId="23" fillId="0" borderId="0"/>
    <xf numFmtId="0" fontId="9" fillId="8" borderId="7" applyNumberFormat="0" applyFont="0" applyAlignment="0" applyProtection="0"/>
    <xf numFmtId="0" fontId="24" fillId="35" borderId="16" applyNumberFormat="0" applyAlignment="0" applyProtection="0"/>
    <xf numFmtId="0" fontId="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2" fillId="0" borderId="0"/>
    <xf numFmtId="0" fontId="14" fillId="0" borderId="0"/>
    <xf numFmtId="164" fontId="1" fillId="0" borderId="0" applyFont="0" applyFill="0" applyBorder="0" applyAlignment="0" applyProtection="0"/>
    <xf numFmtId="0" fontId="27" fillId="2" borderId="0" applyNumberFormat="0" applyBorder="0" applyAlignment="0" applyProtection="0"/>
  </cellStyleXfs>
  <cellXfs count="49">
    <xf numFmtId="0" fontId="0" fillId="0" borderId="0" xfId="0"/>
    <xf numFmtId="0" fontId="0" fillId="0" borderId="0" xfId="0"/>
    <xf numFmtId="0" fontId="9" fillId="0" borderId="0" xfId="52"/>
    <xf numFmtId="0" fontId="25" fillId="33" borderId="9" xfId="0" applyFont="1" applyFill="1" applyBorder="1"/>
    <xf numFmtId="0" fontId="25" fillId="33" borderId="11" xfId="0" applyFont="1" applyFill="1" applyBorder="1"/>
    <xf numFmtId="0" fontId="0" fillId="36" borderId="12" xfId="0" applyFill="1" applyBorder="1"/>
    <xf numFmtId="2" fontId="0" fillId="36" borderId="13" xfId="0" applyNumberFormat="1" applyFill="1" applyBorder="1"/>
    <xf numFmtId="0" fontId="0" fillId="33" borderId="17" xfId="0" applyFill="1" applyBorder="1"/>
    <xf numFmtId="2" fontId="0" fillId="33" borderId="14" xfId="0" applyNumberFormat="1" applyFill="1" applyBorder="1"/>
    <xf numFmtId="0" fontId="0" fillId="33" borderId="18" xfId="0" applyFill="1" applyBorder="1"/>
    <xf numFmtId="2" fontId="0" fillId="33" borderId="15" xfId="0" applyNumberFormat="1" applyFill="1" applyBorder="1"/>
    <xf numFmtId="0" fontId="0" fillId="36" borderId="0" xfId="0" applyFill="1"/>
    <xf numFmtId="0" fontId="0" fillId="36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28" fillId="0" borderId="0" xfId="0" applyFont="1"/>
    <xf numFmtId="0" fontId="0" fillId="0" borderId="0" xfId="0" applyFill="1"/>
    <xf numFmtId="2" fontId="0" fillId="0" borderId="0" xfId="0" applyNumberFormat="1" applyFill="1" applyAlignment="1">
      <alignment vertical="center"/>
    </xf>
    <xf numFmtId="0" fontId="6" fillId="33" borderId="0" xfId="2" applyFill="1" applyAlignment="1">
      <alignment vertical="center"/>
    </xf>
    <xf numFmtId="0" fontId="29" fillId="33" borderId="0" xfId="2" quotePrefix="1" applyFont="1" applyFill="1" applyAlignment="1">
      <alignment vertical="center"/>
    </xf>
    <xf numFmtId="0" fontId="0" fillId="33" borderId="0" xfId="0" applyFill="1"/>
    <xf numFmtId="0" fontId="7" fillId="33" borderId="0" xfId="2" quotePrefix="1" applyFont="1" applyFill="1" applyAlignment="1">
      <alignment vertical="center"/>
    </xf>
    <xf numFmtId="0" fontId="8" fillId="34" borderId="12" xfId="2" applyFont="1" applyFill="1" applyBorder="1" applyAlignment="1">
      <alignment horizontal="center" vertical="center"/>
    </xf>
    <xf numFmtId="0" fontId="6" fillId="0" borderId="13" xfId="2" applyBorder="1" applyAlignment="1">
      <alignment horizontal="center" vertical="center" wrapText="1"/>
    </xf>
    <xf numFmtId="0" fontId="6" fillId="0" borderId="12" xfId="2" applyBorder="1" applyAlignment="1">
      <alignment horizontal="center" vertical="center"/>
    </xf>
    <xf numFmtId="0" fontId="6" fillId="0" borderId="9" xfId="2" applyBorder="1" applyAlignment="1">
      <alignment horizontal="center" vertical="center"/>
    </xf>
    <xf numFmtId="167" fontId="3" fillId="0" borderId="9" xfId="3" applyNumberFormat="1" applyFont="1" applyBorder="1" applyAlignment="1" applyProtection="1">
      <alignment vertical="center"/>
      <protection locked="0"/>
    </xf>
    <xf numFmtId="0" fontId="6" fillId="33" borderId="12" xfId="2" applyFill="1" applyBorder="1" applyAlignment="1">
      <alignment horizontal="center" vertical="center"/>
    </xf>
    <xf numFmtId="167" fontId="6" fillId="33" borderId="12" xfId="3" applyNumberFormat="1" applyFont="1" applyFill="1" applyBorder="1" applyAlignment="1" applyProtection="1">
      <alignment vertical="center"/>
      <protection locked="0"/>
    </xf>
    <xf numFmtId="0" fontId="6" fillId="33" borderId="0" xfId="2" applyFill="1" applyAlignment="1">
      <alignment horizontal="center" vertical="center"/>
    </xf>
    <xf numFmtId="0" fontId="6" fillId="33" borderId="17" xfId="2" applyFill="1" applyBorder="1" applyAlignment="1">
      <alignment horizontal="center" vertical="center"/>
    </xf>
    <xf numFmtId="167" fontId="6" fillId="33" borderId="17" xfId="3" applyNumberFormat="1" applyFont="1" applyFill="1" applyBorder="1" applyAlignment="1" applyProtection="1">
      <alignment vertical="center"/>
      <protection locked="0"/>
    </xf>
    <xf numFmtId="0" fontId="6" fillId="33" borderId="9" xfId="2" applyFill="1" applyBorder="1" applyAlignment="1">
      <alignment horizontal="center" vertical="center"/>
    </xf>
    <xf numFmtId="9" fontId="3" fillId="33" borderId="9" xfId="4" applyFont="1" applyFill="1" applyBorder="1" applyAlignment="1" applyProtection="1">
      <alignment vertical="center"/>
      <protection locked="0"/>
    </xf>
    <xf numFmtId="0" fontId="30" fillId="33" borderId="0" xfId="0" applyFont="1" applyFill="1" applyAlignment="1">
      <alignment vertical="center"/>
    </xf>
    <xf numFmtId="0" fontId="6" fillId="33" borderId="18" xfId="2" applyFill="1" applyBorder="1" applyAlignment="1">
      <alignment horizontal="center" vertical="center"/>
    </xf>
    <xf numFmtId="167" fontId="6" fillId="33" borderId="18" xfId="3" applyNumberFormat="1" applyFont="1" applyFill="1" applyBorder="1" applyAlignment="1" applyProtection="1">
      <alignment vertical="center"/>
      <protection locked="0"/>
    </xf>
    <xf numFmtId="165" fontId="0" fillId="0" borderId="0" xfId="1" applyNumberFormat="1" applyFont="1" applyFill="1"/>
    <xf numFmtId="165" fontId="27" fillId="2" borderId="0" xfId="56" applyNumberFormat="1"/>
    <xf numFmtId="0" fontId="0" fillId="0" borderId="0" xfId="0" applyFill="1" applyAlignment="1">
      <alignment horizontal="center"/>
    </xf>
    <xf numFmtId="166" fontId="0" fillId="0" borderId="0" xfId="0" applyNumberFormat="1" applyFill="1" applyAlignment="1" applyProtection="1">
      <alignment horizontal="center"/>
      <protection locked="0"/>
    </xf>
    <xf numFmtId="165" fontId="0" fillId="0" borderId="0" xfId="1" applyNumberFormat="1" applyFont="1" applyFill="1" applyProtection="1">
      <protection locked="0"/>
    </xf>
    <xf numFmtId="0" fontId="8" fillId="34" borderId="12" xfId="2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34" borderId="10" xfId="2" applyFont="1" applyFill="1" applyBorder="1" applyAlignment="1">
      <alignment horizontal="center" vertical="center"/>
    </xf>
    <xf numFmtId="0" fontId="8" fillId="34" borderId="11" xfId="2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0" xfId="0" applyNumberFormat="1" applyFill="1"/>
    <xf numFmtId="9" fontId="27" fillId="2" borderId="0" xfId="56" applyNumberFormat="1"/>
  </cellXfs>
  <cellStyles count="5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" xfId="1" builtinId="3"/>
    <cellStyle name="Comma 10" xfId="55" xr:uid="{00000000-0005-0000-0000-00001C000000}"/>
    <cellStyle name="Comma 2" xfId="3" xr:uid="{00000000-0005-0000-0000-00001D000000}"/>
    <cellStyle name="Comma 2 2" xfId="32" xr:uid="{00000000-0005-0000-0000-00001E000000}"/>
    <cellStyle name="Comma 3" xfId="51" xr:uid="{00000000-0005-0000-0000-00001F000000}"/>
    <cellStyle name="Excel Built-in Normal" xfId="33" xr:uid="{00000000-0005-0000-0000-000020000000}"/>
    <cellStyle name="Explanatory Text 2" xfId="34" xr:uid="{00000000-0005-0000-0000-000021000000}"/>
    <cellStyle name="Good" xfId="56" builtinId="26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2" xr:uid="{00000000-0005-0000-0000-00002C000000}"/>
    <cellStyle name="Normal 3" xfId="44" xr:uid="{00000000-0005-0000-0000-00002D000000}"/>
    <cellStyle name="Normal 4" xfId="45" xr:uid="{00000000-0005-0000-0000-00002E000000}"/>
    <cellStyle name="Normal 5" xfId="52" xr:uid="{00000000-0005-0000-0000-00002F000000}"/>
    <cellStyle name="Normal 6" xfId="53" xr:uid="{00000000-0005-0000-0000-000030000000}"/>
    <cellStyle name="Normal 8" xfId="54" xr:uid="{00000000-0005-0000-0000-000031000000}"/>
    <cellStyle name="Note 2" xfId="46" xr:uid="{00000000-0005-0000-0000-000032000000}"/>
    <cellStyle name="Output 2" xfId="47" xr:uid="{00000000-0005-0000-0000-000033000000}"/>
    <cellStyle name="Percent 2" xfId="4" xr:uid="{00000000-0005-0000-0000-000035000000}"/>
    <cellStyle name="Title 2" xfId="48" xr:uid="{00000000-0005-0000-0000-000036000000}"/>
    <cellStyle name="Total 2" xfId="49" xr:uid="{00000000-0005-0000-0000-000037000000}"/>
    <cellStyle name="Warning Text 2" xfId="50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47706</xdr:rowOff>
    </xdr:from>
    <xdr:to>
      <xdr:col>5</xdr:col>
      <xdr:colOff>645989</xdr:colOff>
      <xdr:row>5</xdr:row>
      <xdr:rowOff>106967</xdr:rowOff>
    </xdr:to>
    <xdr:pic>
      <xdr:nvPicPr>
        <xdr:cNvPr id="2" name="Picture 1" descr="Image result for south african fla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4531"/>
          <a:ext cx="617414" cy="868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44531</xdr:rowOff>
    </xdr:from>
    <xdr:to>
      <xdr:col>5</xdr:col>
      <xdr:colOff>874589</xdr:colOff>
      <xdr:row>5</xdr:row>
      <xdr:rowOff>103792</xdr:rowOff>
    </xdr:to>
    <xdr:pic>
      <xdr:nvPicPr>
        <xdr:cNvPr id="3" name="Picture 2" descr="Image result for south african fla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4531"/>
          <a:ext cx="874589" cy="1364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14630</xdr:colOff>
          <xdr:row>3</xdr:row>
          <xdr:rowOff>14630</xdr:rowOff>
        </xdr:from>
        <xdr:to>
          <xdr:col>1</xdr:col>
          <xdr:colOff>775411</xdr:colOff>
          <xdr:row>4</xdr:row>
          <xdr:rowOff>131674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2\lossmod2\LossMod2\RDS\2012-01%20RDS\01.%202012%20RDS%20Documentation\_FINAL\2012%20RDS%20Supporting%20Documentation\2011%20RDL%20Supplementary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xro\AppData\Local\Microsoft\Windows\Temporary%20Internet%20Files\Content.Outlook\NTF2OJN9\HISCO%20-%202020-rds-supplementary-informatio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ummary"/>
      <sheetName val="RMS Versions"/>
      <sheetName val="Gulf of Mexico"/>
      <sheetName val="Country Agg"/>
      <sheetName val="ERRO Aggregates"/>
      <sheetName val="Canada Key Return Periods"/>
      <sheetName val="RDL Material Changes Commentary"/>
      <sheetName val="Reference"/>
      <sheetName val="Lloyd's Internal Use On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0033</v>
          </cell>
          <cell r="D3" t="str">
            <v>AIR</v>
          </cell>
          <cell r="E3" t="str">
            <v>V10</v>
          </cell>
        </row>
        <row r="4">
          <cell r="B4" t="str">
            <v>0044</v>
          </cell>
          <cell r="D4" t="str">
            <v>EQECAT</v>
          </cell>
          <cell r="E4" t="str">
            <v>V11</v>
          </cell>
        </row>
        <row r="5">
          <cell r="B5" t="str">
            <v>0218</v>
          </cell>
          <cell r="D5" t="str">
            <v>RMS</v>
          </cell>
          <cell r="E5" t="str">
            <v>V10 and V11</v>
          </cell>
        </row>
        <row r="6">
          <cell r="B6" t="str">
            <v>0260</v>
          </cell>
          <cell r="D6" t="str">
            <v>MARKET SHARE</v>
          </cell>
        </row>
        <row r="7">
          <cell r="B7" t="str">
            <v>0308</v>
          </cell>
          <cell r="D7" t="str">
            <v>MODELLED INTERNALLY (Please Provide Details)</v>
          </cell>
        </row>
        <row r="8">
          <cell r="B8" t="str">
            <v>0318</v>
          </cell>
          <cell r="D8" t="str">
            <v>MAXIMUM LINE</v>
          </cell>
        </row>
        <row r="9">
          <cell r="B9" t="str">
            <v>0382</v>
          </cell>
          <cell r="D9" t="str">
            <v>PML</v>
          </cell>
        </row>
        <row r="10">
          <cell r="B10" t="str">
            <v>0386</v>
          </cell>
          <cell r="D10" t="str">
            <v>OTHER (Please Provide Details Below)</v>
          </cell>
        </row>
        <row r="11">
          <cell r="B11" t="str">
            <v>0435</v>
          </cell>
        </row>
        <row r="12">
          <cell r="B12" t="str">
            <v>0457</v>
          </cell>
        </row>
        <row r="13">
          <cell r="B13" t="str">
            <v>0510</v>
          </cell>
        </row>
        <row r="14">
          <cell r="B14" t="str">
            <v>0557</v>
          </cell>
        </row>
        <row r="15">
          <cell r="B15" t="str">
            <v>0570</v>
          </cell>
        </row>
        <row r="16">
          <cell r="B16" t="str">
            <v>0609</v>
          </cell>
        </row>
        <row r="17">
          <cell r="B17" t="str">
            <v>0623</v>
          </cell>
        </row>
        <row r="18">
          <cell r="B18" t="str">
            <v>0727</v>
          </cell>
        </row>
        <row r="19">
          <cell r="B19" t="str">
            <v>0779</v>
          </cell>
        </row>
        <row r="20">
          <cell r="B20" t="str">
            <v>0780</v>
          </cell>
        </row>
        <row r="21">
          <cell r="B21" t="str">
            <v>0807</v>
          </cell>
        </row>
        <row r="22">
          <cell r="B22" t="str">
            <v>0958</v>
          </cell>
        </row>
        <row r="23">
          <cell r="B23">
            <v>1084</v>
          </cell>
        </row>
        <row r="24">
          <cell r="B24">
            <v>1110</v>
          </cell>
        </row>
        <row r="25">
          <cell r="B25">
            <v>1176</v>
          </cell>
        </row>
        <row r="26">
          <cell r="B26">
            <v>1183</v>
          </cell>
        </row>
        <row r="27">
          <cell r="B27">
            <v>1200</v>
          </cell>
        </row>
        <row r="28">
          <cell r="B28">
            <v>1206</v>
          </cell>
        </row>
        <row r="29">
          <cell r="B29">
            <v>1209</v>
          </cell>
        </row>
        <row r="30">
          <cell r="B30">
            <v>1218</v>
          </cell>
        </row>
        <row r="31">
          <cell r="B31">
            <v>1221</v>
          </cell>
        </row>
        <row r="32">
          <cell r="B32">
            <v>1225</v>
          </cell>
        </row>
        <row r="33">
          <cell r="B33">
            <v>1274</v>
          </cell>
        </row>
        <row r="34">
          <cell r="B34">
            <v>1301</v>
          </cell>
        </row>
        <row r="35">
          <cell r="B35">
            <v>1318</v>
          </cell>
        </row>
        <row r="36">
          <cell r="B36">
            <v>1400</v>
          </cell>
        </row>
        <row r="37">
          <cell r="B37">
            <v>1414</v>
          </cell>
        </row>
        <row r="38">
          <cell r="B38">
            <v>1458</v>
          </cell>
        </row>
        <row r="39">
          <cell r="B39">
            <v>1861</v>
          </cell>
        </row>
        <row r="40">
          <cell r="B40">
            <v>1880</v>
          </cell>
        </row>
        <row r="41">
          <cell r="B41">
            <v>1882</v>
          </cell>
        </row>
        <row r="42">
          <cell r="B42">
            <v>1897</v>
          </cell>
        </row>
        <row r="43">
          <cell r="B43">
            <v>1910</v>
          </cell>
        </row>
        <row r="44">
          <cell r="B44">
            <v>1919</v>
          </cell>
        </row>
        <row r="45">
          <cell r="B45">
            <v>1955</v>
          </cell>
        </row>
        <row r="46">
          <cell r="B46">
            <v>1965</v>
          </cell>
        </row>
        <row r="47">
          <cell r="B47">
            <v>1967</v>
          </cell>
        </row>
        <row r="48">
          <cell r="B48">
            <v>1969</v>
          </cell>
        </row>
        <row r="49">
          <cell r="B49">
            <v>2001</v>
          </cell>
        </row>
        <row r="50">
          <cell r="B50">
            <v>2003</v>
          </cell>
        </row>
        <row r="51">
          <cell r="B51">
            <v>2007</v>
          </cell>
        </row>
        <row r="52">
          <cell r="B52">
            <v>2010</v>
          </cell>
        </row>
        <row r="53">
          <cell r="B53">
            <v>2012</v>
          </cell>
        </row>
        <row r="54">
          <cell r="B54">
            <v>2015</v>
          </cell>
        </row>
        <row r="55">
          <cell r="B55">
            <v>2121</v>
          </cell>
        </row>
        <row r="56">
          <cell r="B56">
            <v>2232</v>
          </cell>
        </row>
        <row r="57">
          <cell r="B57">
            <v>2243</v>
          </cell>
        </row>
        <row r="58">
          <cell r="B58">
            <v>2318</v>
          </cell>
        </row>
        <row r="59">
          <cell r="B59">
            <v>2468</v>
          </cell>
        </row>
        <row r="60">
          <cell r="B60">
            <v>2488</v>
          </cell>
        </row>
        <row r="61">
          <cell r="B61">
            <v>2525</v>
          </cell>
        </row>
        <row r="62">
          <cell r="B62">
            <v>2526</v>
          </cell>
        </row>
        <row r="63">
          <cell r="B63">
            <v>2623</v>
          </cell>
        </row>
        <row r="64">
          <cell r="B64">
            <v>2791</v>
          </cell>
        </row>
        <row r="65">
          <cell r="B65">
            <v>2987</v>
          </cell>
        </row>
        <row r="66">
          <cell r="B66">
            <v>2999</v>
          </cell>
        </row>
        <row r="67">
          <cell r="B67">
            <v>3000</v>
          </cell>
        </row>
        <row r="68">
          <cell r="B68">
            <v>3002</v>
          </cell>
        </row>
        <row r="69">
          <cell r="B69">
            <v>3010</v>
          </cell>
        </row>
        <row r="70">
          <cell r="B70">
            <v>3210</v>
          </cell>
        </row>
        <row r="71">
          <cell r="B71">
            <v>3334</v>
          </cell>
        </row>
        <row r="72">
          <cell r="B72">
            <v>3622</v>
          </cell>
        </row>
        <row r="73">
          <cell r="B73">
            <v>3623</v>
          </cell>
        </row>
        <row r="74">
          <cell r="B74">
            <v>3624</v>
          </cell>
        </row>
        <row r="75">
          <cell r="B75">
            <v>4000</v>
          </cell>
        </row>
        <row r="76">
          <cell r="B76">
            <v>4020</v>
          </cell>
        </row>
        <row r="77">
          <cell r="B77">
            <v>4141</v>
          </cell>
        </row>
        <row r="78">
          <cell r="B78">
            <v>4242</v>
          </cell>
        </row>
        <row r="79">
          <cell r="B79">
            <v>4444</v>
          </cell>
        </row>
        <row r="80">
          <cell r="B80">
            <v>4472</v>
          </cell>
        </row>
        <row r="81">
          <cell r="B81">
            <v>4711</v>
          </cell>
        </row>
        <row r="82">
          <cell r="B82">
            <v>5000</v>
          </cell>
        </row>
        <row r="83">
          <cell r="B83">
            <v>5151</v>
          </cell>
        </row>
        <row r="84">
          <cell r="B84">
            <v>5820</v>
          </cell>
        </row>
        <row r="85">
          <cell r="B85">
            <v>6103</v>
          </cell>
        </row>
        <row r="86">
          <cell r="B86">
            <v>6104</v>
          </cell>
        </row>
        <row r="87">
          <cell r="B87">
            <v>6105</v>
          </cell>
        </row>
        <row r="88">
          <cell r="B88">
            <v>6106</v>
          </cell>
        </row>
        <row r="89">
          <cell r="B89">
            <v>6107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Contact information"/>
      <sheetName val="01 AEP 1-in-30"/>
      <sheetName val="02 ERRO"/>
      <sheetName val="03 RoW Exposure monitoring"/>
      <sheetName val="04 China Earthquake Aggs"/>
      <sheetName val="05 NZ EQ Agg 31.12.2019"/>
      <sheetName val="06 South Africa EQ Aggs"/>
      <sheetName val="07 War &amp; NCBR by region"/>
      <sheetName val="08 Reinsurance ILW &amp; Stop-Loss"/>
      <sheetName val="09 Liability Methodologies"/>
      <sheetName val="10a Cyber - syndicate scenarios"/>
      <sheetName val="10b Cyber - Lloyd's scenarios"/>
      <sheetName val="11 California Wildfire Ag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2060-4DC7-4868-8CE9-94D40656D5E3}">
  <sheetPr>
    <tabColor rgb="FF92D050"/>
  </sheetPr>
  <dimension ref="A2:K102"/>
  <sheetViews>
    <sheetView tabSelected="1" zoomScale="70" zoomScaleNormal="70" workbookViewId="0">
      <selection activeCell="A2" sqref="A2"/>
    </sheetView>
  </sheetViews>
  <sheetFormatPr defaultColWidth="9.21875" defaultRowHeight="12.7"/>
  <cols>
    <col min="1" max="1" width="2.21875" style="18" customWidth="1"/>
    <col min="2" max="2" width="29" style="18" customWidth="1"/>
    <col min="3" max="6" width="20" style="18" customWidth="1"/>
    <col min="7" max="7" width="3.5546875" style="18" customWidth="1"/>
    <col min="8" max="8" width="24.5546875" style="18" customWidth="1"/>
    <col min="9" max="11" width="20" style="18" customWidth="1"/>
    <col min="12" max="16384" width="9.21875" style="18"/>
  </cols>
  <sheetData>
    <row r="2" spans="1:11" ht="23.2" customHeight="1">
      <c r="B2" s="19" t="s">
        <v>129</v>
      </c>
    </row>
    <row r="3" spans="1:11" ht="23.9" customHeight="1">
      <c r="B3" s="19" t="s">
        <v>130</v>
      </c>
    </row>
    <row r="4" spans="1:11" ht="23.9" customHeight="1">
      <c r="A4" s="20"/>
      <c r="B4" s="20"/>
    </row>
    <row r="5" spans="1:11" ht="20.2" customHeight="1">
      <c r="B5" s="21" t="s">
        <v>0</v>
      </c>
      <c r="H5" s="21" t="s">
        <v>1</v>
      </c>
    </row>
    <row r="6" spans="1:11" ht="16.45" customHeight="1">
      <c r="B6" s="42" t="s">
        <v>2</v>
      </c>
      <c r="C6" s="44" t="s">
        <v>3</v>
      </c>
      <c r="D6" s="45"/>
      <c r="E6" s="22" t="s">
        <v>4</v>
      </c>
      <c r="F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</row>
    <row r="7" spans="1:11" ht="14.15" customHeight="1">
      <c r="B7" s="43"/>
      <c r="C7" s="23" t="s">
        <v>10</v>
      </c>
      <c r="D7" s="23" t="s">
        <v>11</v>
      </c>
      <c r="E7" s="23" t="s">
        <v>12</v>
      </c>
      <c r="F7" s="24"/>
      <c r="H7" s="25" t="s">
        <v>13</v>
      </c>
      <c r="I7" s="26"/>
      <c r="J7" s="26"/>
      <c r="K7" s="26"/>
    </row>
    <row r="8" spans="1:11" ht="18.75" customHeight="1">
      <c r="B8" s="27" t="s">
        <v>14</v>
      </c>
      <c r="C8" s="28">
        <f>SUMIF('Core data'!$U$1:$U$53,'05 South Africa EQ Aggs'!B8,'Core data'!T:T)</f>
        <v>24783791.53151188</v>
      </c>
      <c r="D8" s="28"/>
      <c r="E8" s="28"/>
      <c r="F8" s="28"/>
      <c r="H8" s="29"/>
    </row>
    <row r="9" spans="1:11" ht="18.75" customHeight="1">
      <c r="B9" s="30" t="s">
        <v>15</v>
      </c>
      <c r="C9" s="28">
        <f>SUMIF('Core data'!$U$1:$U$53,'05 South Africa EQ Aggs'!B9,'Core data'!T:T)</f>
        <v>0</v>
      </c>
      <c r="D9" s="31"/>
      <c r="E9" s="31"/>
      <c r="F9" s="31"/>
      <c r="H9" s="29"/>
    </row>
    <row r="10" spans="1:11" ht="18.75" customHeight="1">
      <c r="B10" s="30" t="s">
        <v>16</v>
      </c>
      <c r="C10" s="28">
        <f>SUMIF('Core data'!$U$1:$U$53,'05 South Africa EQ Aggs'!B10,'Core data'!T:T)</f>
        <v>0</v>
      </c>
      <c r="D10" s="31"/>
      <c r="E10" s="31"/>
      <c r="F10" s="31"/>
      <c r="H10" s="29"/>
    </row>
    <row r="11" spans="1:11" ht="18.75" customHeight="1">
      <c r="B11" s="30" t="s">
        <v>17</v>
      </c>
      <c r="C11" s="28">
        <f>SUMIF('Core data'!$U$1:$U$53,'05 South Africa EQ Aggs'!B11,'Core data'!T:T)</f>
        <v>0</v>
      </c>
      <c r="D11" s="31"/>
      <c r="E11" s="31"/>
      <c r="F11" s="31"/>
      <c r="H11" s="21" t="s">
        <v>18</v>
      </c>
      <c r="I11" s="44" t="s">
        <v>19</v>
      </c>
      <c r="J11" s="46"/>
    </row>
    <row r="12" spans="1:11" ht="18.75" customHeight="1">
      <c r="B12" s="30" t="s">
        <v>20</v>
      </c>
      <c r="C12" s="28">
        <f>SUMIF('Core data'!$U$1:$U$53,'05 South Africa EQ Aggs'!B12,'Core data'!T:T)</f>
        <v>0</v>
      </c>
      <c r="D12" s="31"/>
      <c r="E12" s="31"/>
      <c r="F12" s="31"/>
      <c r="H12" s="22" t="s">
        <v>21</v>
      </c>
      <c r="I12" s="22" t="s">
        <v>22</v>
      </c>
      <c r="J12" s="22" t="s">
        <v>23</v>
      </c>
    </row>
    <row r="13" spans="1:11" ht="18.75" customHeight="1">
      <c r="B13" s="30" t="s">
        <v>24</v>
      </c>
      <c r="C13" s="28">
        <f>SUMIF('Core data'!$U$1:$U$53,'05 South Africa EQ Aggs'!B13,'Core data'!T:T)</f>
        <v>0</v>
      </c>
      <c r="D13" s="31"/>
      <c r="E13" s="31"/>
      <c r="F13" s="31"/>
      <c r="H13" s="32" t="s">
        <v>25</v>
      </c>
      <c r="I13" s="33"/>
      <c r="J13" s="33"/>
    </row>
    <row r="14" spans="1:11" ht="18.75" customHeight="1">
      <c r="B14" s="30" t="s">
        <v>26</v>
      </c>
      <c r="C14" s="28">
        <f>SUMIF('Core data'!$U$1:$U$53,'05 South Africa EQ Aggs'!B14,'Core data'!T:T)</f>
        <v>0</v>
      </c>
      <c r="D14" s="31"/>
      <c r="E14" s="31"/>
      <c r="F14" s="31"/>
      <c r="H14" s="32" t="s">
        <v>11</v>
      </c>
      <c r="I14" s="33"/>
      <c r="J14" s="33"/>
    </row>
    <row r="15" spans="1:11" ht="18.75" customHeight="1">
      <c r="B15" s="30" t="s">
        <v>27</v>
      </c>
      <c r="C15" s="28">
        <f>SUMIF('Core data'!$U$1:$U$53,'05 South Africa EQ Aggs'!B15,'Core data'!T:T)</f>
        <v>0</v>
      </c>
      <c r="D15" s="31"/>
      <c r="E15" s="31"/>
      <c r="F15" s="31"/>
      <c r="H15" s="32" t="s">
        <v>28</v>
      </c>
      <c r="I15" s="33"/>
      <c r="J15" s="33"/>
    </row>
    <row r="16" spans="1:11" ht="18.75" customHeight="1">
      <c r="B16" s="30" t="s">
        <v>131</v>
      </c>
      <c r="C16" s="28">
        <f>SUMIF('Core data'!$U$1:$U$53,'05 South Africa EQ Aggs'!B16,'Core data'!T:T)</f>
        <v>0</v>
      </c>
      <c r="D16" s="31"/>
      <c r="E16" s="31"/>
      <c r="F16" s="31"/>
      <c r="H16" s="32" t="s">
        <v>5</v>
      </c>
      <c r="I16" s="33"/>
      <c r="J16" s="33"/>
    </row>
    <row r="17" spans="2:10" ht="18.75" customHeight="1">
      <c r="B17" s="30" t="s">
        <v>132</v>
      </c>
      <c r="C17" s="28">
        <f>SUMIF('Core data'!$U$1:$U$53,'05 South Africa EQ Aggs'!B17,'Core data'!T:T)</f>
        <v>0</v>
      </c>
      <c r="D17" s="31"/>
      <c r="E17" s="31"/>
      <c r="F17" s="31"/>
      <c r="H17" s="32" t="s">
        <v>31</v>
      </c>
      <c r="I17" s="33"/>
      <c r="J17" s="33"/>
    </row>
    <row r="18" spans="2:10" ht="18.75" customHeight="1">
      <c r="B18" s="30" t="s">
        <v>29</v>
      </c>
      <c r="C18" s="28">
        <f>SUMIF('Core data'!$U$1:$U$53,'05 South Africa EQ Aggs'!B18,'Core data'!T:T)</f>
        <v>0</v>
      </c>
      <c r="D18" s="31"/>
      <c r="E18" s="31"/>
      <c r="F18" s="31"/>
      <c r="H18" s="32" t="s">
        <v>33</v>
      </c>
      <c r="I18" s="33"/>
      <c r="J18" s="33"/>
    </row>
    <row r="19" spans="2:10" ht="18.75" customHeight="1">
      <c r="B19" s="30" t="s">
        <v>30</v>
      </c>
      <c r="C19" s="28">
        <f>SUMIF('Core data'!$U$1:$U$53,'05 South Africa EQ Aggs'!B19,'Core data'!T:T)</f>
        <v>808214</v>
      </c>
      <c r="D19" s="31"/>
      <c r="E19" s="31"/>
      <c r="F19" s="31"/>
      <c r="H19" s="32" t="s">
        <v>35</v>
      </c>
      <c r="I19" s="33"/>
      <c r="J19" s="33"/>
    </row>
    <row r="20" spans="2:10" ht="18.75" customHeight="1">
      <c r="B20" s="30" t="s">
        <v>32</v>
      </c>
      <c r="C20" s="28">
        <f>SUMIF('Core data'!$U$1:$U$53,'05 South Africa EQ Aggs'!B20,'Core data'!T:T)</f>
        <v>2503591</v>
      </c>
      <c r="D20" s="31"/>
      <c r="E20" s="31"/>
      <c r="F20" s="31"/>
    </row>
    <row r="21" spans="2:10" ht="18.75" customHeight="1">
      <c r="B21" s="30" t="s">
        <v>34</v>
      </c>
      <c r="C21" s="28">
        <f>SUMIF('Core data'!$U$1:$U$53,'05 South Africa EQ Aggs'!B21,'Core data'!T:T)</f>
        <v>0</v>
      </c>
      <c r="D21" s="31"/>
      <c r="E21" s="31"/>
      <c r="F21" s="31"/>
    </row>
    <row r="22" spans="2:10" ht="18.75" customHeight="1">
      <c r="B22" s="30" t="s">
        <v>133</v>
      </c>
      <c r="C22" s="28">
        <f>SUMIF('Core data'!$U$1:$U$53,'05 South Africa EQ Aggs'!B22,'Core data'!T:T)</f>
        <v>0</v>
      </c>
      <c r="D22" s="31"/>
      <c r="E22" s="31"/>
      <c r="F22" s="31"/>
    </row>
    <row r="23" spans="2:10" ht="18.75" customHeight="1">
      <c r="B23" s="30" t="s">
        <v>36</v>
      </c>
      <c r="C23" s="28">
        <f>SUMIF('Core data'!$U$1:$U$53,'05 South Africa EQ Aggs'!B23,'Core data'!T:T)</f>
        <v>0</v>
      </c>
      <c r="D23" s="31"/>
      <c r="E23" s="31"/>
      <c r="F23" s="31"/>
    </row>
    <row r="24" spans="2:10" ht="18.75" customHeight="1">
      <c r="B24" s="30" t="s">
        <v>37</v>
      </c>
      <c r="C24" s="28">
        <f>SUMIF('Core data'!$U$1:$U$53,'05 South Africa EQ Aggs'!B24,'Core data'!T:T)</f>
        <v>0</v>
      </c>
      <c r="D24" s="31"/>
      <c r="E24" s="31"/>
      <c r="F24" s="31"/>
    </row>
    <row r="25" spans="2:10" ht="18.75" customHeight="1">
      <c r="B25" s="30" t="s">
        <v>134</v>
      </c>
      <c r="C25" s="28">
        <f>SUMIF('Core data'!$U$1:$U$53,'05 South Africa EQ Aggs'!B25,'Core data'!T:T)</f>
        <v>0</v>
      </c>
      <c r="D25" s="31"/>
      <c r="E25" s="31"/>
      <c r="F25" s="31"/>
    </row>
    <row r="26" spans="2:10" ht="18.75" customHeight="1">
      <c r="B26" s="30" t="s">
        <v>135</v>
      </c>
      <c r="C26" s="28">
        <f>SUMIF('Core data'!$U$1:$U$53,'05 South Africa EQ Aggs'!B26,'Core data'!T:T)</f>
        <v>0</v>
      </c>
      <c r="D26" s="31"/>
      <c r="E26" s="31"/>
      <c r="F26" s="31"/>
    </row>
    <row r="27" spans="2:10" ht="18.75" customHeight="1">
      <c r="B27" s="30" t="s">
        <v>136</v>
      </c>
      <c r="C27" s="28">
        <f>SUMIF('Core data'!$U$1:$U$53,'05 South Africa EQ Aggs'!B27,'Core data'!T:T)</f>
        <v>0</v>
      </c>
      <c r="D27" s="31"/>
      <c r="E27" s="31"/>
      <c r="F27" s="31"/>
    </row>
    <row r="28" spans="2:10" ht="18.75" customHeight="1">
      <c r="B28" s="30" t="s">
        <v>38</v>
      </c>
      <c r="C28" s="28">
        <f>SUMIF('Core data'!$U$1:$U$53,'05 South Africa EQ Aggs'!B28,'Core data'!T:T)</f>
        <v>2865463.3034717701</v>
      </c>
      <c r="D28" s="31"/>
      <c r="E28" s="31"/>
      <c r="F28" s="31"/>
      <c r="J28" s="34"/>
    </row>
    <row r="29" spans="2:10" ht="18.75" customHeight="1">
      <c r="B29" s="30" t="s">
        <v>39</v>
      </c>
      <c r="C29" s="28">
        <f>SUMIF('Core data'!$U$1:$U$53,'05 South Africa EQ Aggs'!B29,'Core data'!T:T)</f>
        <v>35630813.385336198</v>
      </c>
      <c r="D29" s="31"/>
      <c r="E29" s="31"/>
      <c r="F29" s="31"/>
    </row>
    <row r="30" spans="2:10" ht="18.75" customHeight="1">
      <c r="B30" s="30" t="s">
        <v>40</v>
      </c>
      <c r="C30" s="28">
        <f>SUMIF('Core data'!$U$1:$U$53,'05 South Africa EQ Aggs'!B30,'Core data'!T:T)</f>
        <v>0</v>
      </c>
      <c r="D30" s="31"/>
      <c r="E30" s="31"/>
      <c r="F30" s="31"/>
    </row>
    <row r="31" spans="2:10" ht="18.75" customHeight="1">
      <c r="B31" s="30" t="s">
        <v>41</v>
      </c>
      <c r="C31" s="28">
        <f>SUMIF('Core data'!$U$1:$U$53,'05 South Africa EQ Aggs'!B31,'Core data'!T:T)</f>
        <v>0</v>
      </c>
      <c r="D31" s="31"/>
      <c r="E31" s="31"/>
      <c r="F31" s="31"/>
    </row>
    <row r="32" spans="2:10" ht="18.75" customHeight="1">
      <c r="B32" s="30" t="s">
        <v>42</v>
      </c>
      <c r="C32" s="28">
        <f>SUMIF('Core data'!$U$1:$U$53,'05 South Africa EQ Aggs'!B32,'Core data'!T:T)</f>
        <v>0</v>
      </c>
      <c r="D32" s="31"/>
      <c r="E32" s="31"/>
      <c r="F32" s="31"/>
    </row>
    <row r="33" spans="2:6" ht="18.75" customHeight="1">
      <c r="B33" s="30" t="s">
        <v>43</v>
      </c>
      <c r="C33" s="28">
        <f>SUMIF('Core data'!$U$1:$U$53,'05 South Africa EQ Aggs'!B33,'Core data'!T:T)</f>
        <v>0</v>
      </c>
      <c r="D33" s="31"/>
      <c r="E33" s="31"/>
      <c r="F33" s="31"/>
    </row>
    <row r="34" spans="2:6" ht="18.75" customHeight="1">
      <c r="B34" s="30" t="s">
        <v>44</v>
      </c>
      <c r="C34" s="28">
        <f>SUMIF('Core data'!$U$1:$U$53,'05 South Africa EQ Aggs'!B34,'Core data'!T:T)</f>
        <v>0</v>
      </c>
      <c r="D34" s="31"/>
      <c r="E34" s="31"/>
      <c r="F34" s="31"/>
    </row>
    <row r="35" spans="2:6" ht="18.75" customHeight="1">
      <c r="B35" s="30" t="s">
        <v>45</v>
      </c>
      <c r="C35" s="28">
        <f>SUMIF('Core data'!$U$1:$U$53,'05 South Africa EQ Aggs'!B35,'Core data'!T:T)</f>
        <v>0</v>
      </c>
      <c r="D35" s="31"/>
      <c r="E35" s="31"/>
      <c r="F35" s="31"/>
    </row>
    <row r="36" spans="2:6" ht="18.75" customHeight="1">
      <c r="B36" s="30" t="s">
        <v>137</v>
      </c>
      <c r="C36" s="28">
        <f>SUMIF('Core data'!$U$1:$U$53,'05 South Africa EQ Aggs'!B36,'Core data'!T:T)</f>
        <v>0</v>
      </c>
      <c r="D36" s="31"/>
      <c r="E36" s="31"/>
      <c r="F36" s="31"/>
    </row>
    <row r="37" spans="2:6" ht="18.75" customHeight="1">
      <c r="B37" s="30" t="s">
        <v>138</v>
      </c>
      <c r="C37" s="28">
        <f>SUMIF('Core data'!$U$1:$U$53,'05 South Africa EQ Aggs'!B37,'Core data'!T:T)</f>
        <v>0</v>
      </c>
      <c r="D37" s="31"/>
      <c r="E37" s="31"/>
      <c r="F37" s="31"/>
    </row>
    <row r="38" spans="2:6" ht="18.75" customHeight="1">
      <c r="B38" s="30" t="s">
        <v>46</v>
      </c>
      <c r="C38" s="28">
        <f>SUMIF('Core data'!$U$1:$U$53,'05 South Africa EQ Aggs'!B38,'Core data'!T:T)</f>
        <v>0</v>
      </c>
      <c r="D38" s="31"/>
      <c r="E38" s="31"/>
      <c r="F38" s="31"/>
    </row>
    <row r="39" spans="2:6" ht="18.75" customHeight="1">
      <c r="B39" s="30" t="s">
        <v>47</v>
      </c>
      <c r="C39" s="28">
        <f>SUMIF('Core data'!$U$1:$U$53,'05 South Africa EQ Aggs'!B39,'Core data'!T:T)</f>
        <v>0</v>
      </c>
      <c r="D39" s="31"/>
      <c r="E39" s="31"/>
      <c r="F39" s="31"/>
    </row>
    <row r="40" spans="2:6" ht="18.75" customHeight="1">
      <c r="B40" s="30" t="s">
        <v>48</v>
      </c>
      <c r="C40" s="28">
        <f>SUMIF('Core data'!$U$1:$U$53,'05 South Africa EQ Aggs'!B40,'Core data'!T:T)</f>
        <v>3468879.5854129102</v>
      </c>
      <c r="D40" s="31"/>
      <c r="E40" s="31"/>
      <c r="F40" s="31"/>
    </row>
    <row r="41" spans="2:6" ht="18.75" customHeight="1">
      <c r="B41" s="30" t="s">
        <v>49</v>
      </c>
      <c r="C41" s="28">
        <f>SUMIF('Core data'!$U$1:$U$53,'05 South Africa EQ Aggs'!B41,'Core data'!T:T)</f>
        <v>0</v>
      </c>
      <c r="D41" s="31"/>
      <c r="E41" s="31"/>
      <c r="F41" s="31"/>
    </row>
    <row r="42" spans="2:6" ht="18.75" customHeight="1">
      <c r="B42" s="30" t="s">
        <v>50</v>
      </c>
      <c r="C42" s="28">
        <f>SUMIF('Core data'!$U$1:$U$53,'05 South Africa EQ Aggs'!B42,'Core data'!T:T)</f>
        <v>0</v>
      </c>
      <c r="D42" s="31"/>
      <c r="E42" s="31"/>
      <c r="F42" s="31"/>
    </row>
    <row r="43" spans="2:6" ht="18.75" customHeight="1">
      <c r="B43" s="30" t="s">
        <v>51</v>
      </c>
      <c r="C43" s="28">
        <f>SUMIF('Core data'!$U$1:$U$53,'05 South Africa EQ Aggs'!B43,'Core data'!T:T)</f>
        <v>0</v>
      </c>
      <c r="D43" s="31"/>
      <c r="E43" s="31"/>
      <c r="F43" s="31"/>
    </row>
    <row r="44" spans="2:6" ht="18.75" customHeight="1">
      <c r="B44" s="30" t="s">
        <v>139</v>
      </c>
      <c r="C44" s="28">
        <f>SUMIF('Core data'!$U$1:$U$53,'05 South Africa EQ Aggs'!B44,'Core data'!T:T)</f>
        <v>0</v>
      </c>
      <c r="D44" s="31"/>
      <c r="E44" s="31"/>
      <c r="F44" s="31"/>
    </row>
    <row r="45" spans="2:6" ht="18.75" customHeight="1">
      <c r="B45" s="30" t="s">
        <v>140</v>
      </c>
      <c r="C45" s="28">
        <f>SUMIF('Core data'!$U$1:$U$53,'05 South Africa EQ Aggs'!B45,'Core data'!T:T)</f>
        <v>0</v>
      </c>
      <c r="D45" s="31"/>
      <c r="E45" s="31"/>
      <c r="F45" s="31"/>
    </row>
    <row r="46" spans="2:6" ht="18.75" customHeight="1">
      <c r="B46" s="30" t="s">
        <v>141</v>
      </c>
      <c r="C46" s="28">
        <f>SUMIF('Core data'!$U$1:$U$53,'05 South Africa EQ Aggs'!B46,'Core data'!T:T)</f>
        <v>0</v>
      </c>
      <c r="D46" s="31"/>
      <c r="E46" s="31"/>
      <c r="F46" s="31"/>
    </row>
    <row r="47" spans="2:6" ht="18.75" customHeight="1">
      <c r="B47" s="30" t="s">
        <v>52</v>
      </c>
      <c r="C47" s="28">
        <f>SUMIF('Core data'!$U$1:$U$53,'05 South Africa EQ Aggs'!B47,'Core data'!T:T)</f>
        <v>0</v>
      </c>
      <c r="D47" s="31"/>
      <c r="E47" s="31"/>
      <c r="F47" s="31"/>
    </row>
    <row r="48" spans="2:6" ht="18.75" customHeight="1">
      <c r="B48" s="30" t="s">
        <v>53</v>
      </c>
      <c r="C48" s="28">
        <f>SUMIF('Core data'!$U$1:$U$53,'05 South Africa EQ Aggs'!B48,'Core data'!T:T)</f>
        <v>0</v>
      </c>
      <c r="D48" s="31"/>
      <c r="E48" s="31"/>
      <c r="F48" s="31"/>
    </row>
    <row r="49" spans="2:6" ht="18.75" customHeight="1">
      <c r="B49" s="30" t="s">
        <v>54</v>
      </c>
      <c r="C49" s="28">
        <f>SUMIF('Core data'!$U$1:$U$53,'05 South Africa EQ Aggs'!B49,'Core data'!T:T)</f>
        <v>0</v>
      </c>
      <c r="D49" s="31"/>
      <c r="E49" s="31"/>
      <c r="F49" s="31"/>
    </row>
    <row r="50" spans="2:6" ht="18.75" customHeight="1">
      <c r="B50" s="30" t="s">
        <v>55</v>
      </c>
      <c r="C50" s="28">
        <f>SUMIF('Core data'!$U$1:$U$53,'05 South Africa EQ Aggs'!B50,'Core data'!T:T)</f>
        <v>17080830</v>
      </c>
      <c r="D50" s="31"/>
      <c r="E50" s="31"/>
      <c r="F50" s="31"/>
    </row>
    <row r="51" spans="2:6" ht="18.75" customHeight="1">
      <c r="B51" s="30" t="s">
        <v>56</v>
      </c>
      <c r="C51" s="28">
        <f>SUMIF('Core data'!$U$1:$U$53,'05 South Africa EQ Aggs'!B51,'Core data'!T:T)</f>
        <v>0</v>
      </c>
      <c r="D51" s="31"/>
      <c r="E51" s="31"/>
      <c r="F51" s="31"/>
    </row>
    <row r="52" spans="2:6" ht="18.75" customHeight="1">
      <c r="B52" s="30" t="s">
        <v>57</v>
      </c>
      <c r="C52" s="28">
        <f>SUMIF('Core data'!$U$1:$U$53,'05 South Africa EQ Aggs'!B52,'Core data'!T:T)</f>
        <v>0</v>
      </c>
      <c r="D52" s="31"/>
      <c r="E52" s="31"/>
      <c r="F52" s="31"/>
    </row>
    <row r="53" spans="2:6" ht="18.75" customHeight="1">
      <c r="B53" s="30" t="s">
        <v>58</v>
      </c>
      <c r="C53" s="28">
        <f>SUMIF('Core data'!$U$1:$U$53,'05 South Africa EQ Aggs'!B53,'Core data'!T:T)</f>
        <v>0</v>
      </c>
      <c r="D53" s="31"/>
      <c r="E53" s="31"/>
      <c r="F53" s="31"/>
    </row>
    <row r="54" spans="2:6" ht="18.75" customHeight="1">
      <c r="B54" s="30" t="s">
        <v>142</v>
      </c>
      <c r="C54" s="28">
        <f>SUMIF('Core data'!$U$1:$U$53,'05 South Africa EQ Aggs'!B54,'Core data'!T:T)</f>
        <v>0</v>
      </c>
      <c r="D54" s="31"/>
      <c r="E54" s="31"/>
      <c r="F54" s="31"/>
    </row>
    <row r="55" spans="2:6" ht="18.75" customHeight="1">
      <c r="B55" s="30" t="s">
        <v>143</v>
      </c>
      <c r="C55" s="28">
        <f>SUMIF('Core data'!$U$1:$U$53,'05 South Africa EQ Aggs'!B55,'Core data'!T:T)</f>
        <v>0</v>
      </c>
      <c r="D55" s="31"/>
      <c r="E55" s="31"/>
      <c r="F55" s="31"/>
    </row>
    <row r="56" spans="2:6" ht="18.75" customHeight="1">
      <c r="B56" s="30" t="s">
        <v>144</v>
      </c>
      <c r="C56" s="28">
        <f>SUMIF('Core data'!$U$1:$U$53,'05 South Africa EQ Aggs'!B56,'Core data'!T:T)</f>
        <v>0</v>
      </c>
      <c r="D56" s="31"/>
      <c r="E56" s="31"/>
      <c r="F56" s="31"/>
    </row>
    <row r="57" spans="2:6" ht="18.75" customHeight="1">
      <c r="B57" s="30" t="s">
        <v>59</v>
      </c>
      <c r="C57" s="28">
        <f>SUMIF('Core data'!$U$1:$U$53,'05 South Africa EQ Aggs'!B57,'Core data'!T:T)</f>
        <v>0</v>
      </c>
      <c r="D57" s="31"/>
      <c r="E57" s="31"/>
      <c r="F57" s="31"/>
    </row>
    <row r="58" spans="2:6" ht="18.75" customHeight="1">
      <c r="B58" s="30" t="s">
        <v>60</v>
      </c>
      <c r="C58" s="28">
        <f>SUMIF('Core data'!$U$1:$U$53,'05 South Africa EQ Aggs'!B58,'Core data'!T:T)</f>
        <v>0</v>
      </c>
      <c r="D58" s="31"/>
      <c r="E58" s="31"/>
      <c r="F58" s="31"/>
    </row>
    <row r="59" spans="2:6" ht="18.75" customHeight="1">
      <c r="B59" s="30" t="s">
        <v>61</v>
      </c>
      <c r="C59" s="28">
        <f>SUMIF('Core data'!$U$1:$U$53,'05 South Africa EQ Aggs'!B59,'Core data'!T:T)</f>
        <v>0</v>
      </c>
      <c r="D59" s="31"/>
      <c r="E59" s="31"/>
      <c r="F59" s="31"/>
    </row>
    <row r="60" spans="2:6" ht="18.75" customHeight="1">
      <c r="B60" s="30" t="s">
        <v>62</v>
      </c>
      <c r="C60" s="28">
        <f>SUMIF('Core data'!$U$1:$U$53,'05 South Africa EQ Aggs'!B60,'Core data'!T:T)</f>
        <v>0</v>
      </c>
      <c r="D60" s="31"/>
      <c r="E60" s="31"/>
      <c r="F60" s="31"/>
    </row>
    <row r="61" spans="2:6" ht="18.75" customHeight="1">
      <c r="B61" s="30" t="s">
        <v>63</v>
      </c>
      <c r="C61" s="28">
        <f>SUMIF('Core data'!$U$1:$U$53,'05 South Africa EQ Aggs'!B61,'Core data'!T:T)</f>
        <v>0</v>
      </c>
      <c r="D61" s="31"/>
      <c r="E61" s="31"/>
      <c r="F61" s="31"/>
    </row>
    <row r="62" spans="2:6" ht="18.75" customHeight="1">
      <c r="B62" s="30" t="s">
        <v>64</v>
      </c>
      <c r="C62" s="28">
        <f>SUMIF('Core data'!$U$1:$U$53,'05 South Africa EQ Aggs'!B62,'Core data'!T:T)</f>
        <v>0</v>
      </c>
      <c r="D62" s="31"/>
      <c r="E62" s="31"/>
      <c r="F62" s="31"/>
    </row>
    <row r="63" spans="2:6" ht="18.75" customHeight="1">
      <c r="B63" s="30" t="s">
        <v>65</v>
      </c>
      <c r="C63" s="28">
        <f>SUMIF('Core data'!$U$1:$U$53,'05 South Africa EQ Aggs'!B63,'Core data'!T:T)</f>
        <v>0</v>
      </c>
      <c r="D63" s="31"/>
      <c r="E63" s="31"/>
      <c r="F63" s="31"/>
    </row>
    <row r="64" spans="2:6" ht="18.75" customHeight="1">
      <c r="B64" s="30" t="s">
        <v>145</v>
      </c>
      <c r="C64" s="28">
        <f>SUMIF('Core data'!$U$1:$U$53,'05 South Africa EQ Aggs'!B64,'Core data'!T:T)</f>
        <v>0</v>
      </c>
      <c r="D64" s="31"/>
      <c r="E64" s="31"/>
      <c r="F64" s="31"/>
    </row>
    <row r="65" spans="2:6" ht="18.75" customHeight="1">
      <c r="B65" s="30" t="s">
        <v>146</v>
      </c>
      <c r="C65" s="28">
        <f>SUMIF('Core data'!$U$1:$U$53,'05 South Africa EQ Aggs'!B65,'Core data'!T:T)</f>
        <v>0</v>
      </c>
      <c r="D65" s="31"/>
      <c r="E65" s="31"/>
      <c r="F65" s="31"/>
    </row>
    <row r="66" spans="2:6" ht="18.75" customHeight="1">
      <c r="B66" s="30" t="s">
        <v>147</v>
      </c>
      <c r="C66" s="28">
        <f>SUMIF('Core data'!$U$1:$U$53,'05 South Africa EQ Aggs'!B66,'Core data'!T:T)</f>
        <v>2344789.8061131299</v>
      </c>
      <c r="D66" s="31"/>
      <c r="E66" s="31"/>
      <c r="F66" s="31"/>
    </row>
    <row r="67" spans="2:6" ht="18.75" customHeight="1">
      <c r="B67" s="30" t="s">
        <v>66</v>
      </c>
      <c r="C67" s="28">
        <f>SUMIF('Core data'!$U$1:$U$53,'05 South Africa EQ Aggs'!B67,'Core data'!T:T)</f>
        <v>0</v>
      </c>
      <c r="D67" s="31"/>
      <c r="E67" s="31"/>
      <c r="F67" s="31"/>
    </row>
    <row r="68" spans="2:6" ht="18.75" customHeight="1">
      <c r="B68" s="30" t="s">
        <v>67</v>
      </c>
      <c r="C68" s="28">
        <f>SUMIF('Core data'!$U$1:$U$53,'05 South Africa EQ Aggs'!B68,'Core data'!T:T)</f>
        <v>0</v>
      </c>
      <c r="D68" s="31"/>
      <c r="E68" s="31"/>
      <c r="F68" s="31"/>
    </row>
    <row r="69" spans="2:6" ht="18.75" customHeight="1">
      <c r="B69" s="30" t="s">
        <v>68</v>
      </c>
      <c r="C69" s="28">
        <f>SUMIF('Core data'!$U$1:$U$53,'05 South Africa EQ Aggs'!B69,'Core data'!T:T)</f>
        <v>0</v>
      </c>
      <c r="D69" s="31"/>
      <c r="E69" s="31"/>
      <c r="F69" s="31"/>
    </row>
    <row r="70" spans="2:6" ht="18.75" customHeight="1">
      <c r="B70" s="30" t="s">
        <v>69</v>
      </c>
      <c r="C70" s="28">
        <f>SUMIF('Core data'!$U$1:$U$53,'05 South Africa EQ Aggs'!B70,'Core data'!T:T)</f>
        <v>0</v>
      </c>
      <c r="D70" s="31"/>
      <c r="E70" s="31"/>
      <c r="F70" s="31"/>
    </row>
    <row r="71" spans="2:6" ht="18.75" customHeight="1">
      <c r="B71" s="30" t="s">
        <v>70</v>
      </c>
      <c r="C71" s="28">
        <f>SUMIF('Core data'!$U$1:$U$53,'05 South Africa EQ Aggs'!B71,'Core data'!T:T)</f>
        <v>0</v>
      </c>
      <c r="D71" s="31"/>
      <c r="E71" s="31"/>
      <c r="F71" s="31"/>
    </row>
    <row r="72" spans="2:6" ht="18.75" customHeight="1">
      <c r="B72" s="30" t="s">
        <v>71</v>
      </c>
      <c r="C72" s="28">
        <f>SUMIF('Core data'!$U$1:$U$53,'05 South Africa EQ Aggs'!B72,'Core data'!T:T)</f>
        <v>0</v>
      </c>
      <c r="D72" s="31"/>
      <c r="E72" s="31"/>
      <c r="F72" s="31"/>
    </row>
    <row r="73" spans="2:6" ht="18.75" customHeight="1">
      <c r="B73" s="30" t="s">
        <v>72</v>
      </c>
      <c r="C73" s="28">
        <f>SUMIF('Core data'!$U$1:$U$53,'05 South Africa EQ Aggs'!B73,'Core data'!T:T)</f>
        <v>0</v>
      </c>
      <c r="D73" s="31"/>
      <c r="E73" s="31"/>
      <c r="F73" s="31"/>
    </row>
    <row r="74" spans="2:6" ht="18.75" customHeight="1">
      <c r="B74" s="30" t="s">
        <v>148</v>
      </c>
      <c r="C74" s="28">
        <f>SUMIF('Core data'!$U$1:$U$53,'05 South Africa EQ Aggs'!B74,'Core data'!T:T)</f>
        <v>0</v>
      </c>
      <c r="D74" s="31"/>
      <c r="E74" s="31"/>
      <c r="F74" s="31"/>
    </row>
    <row r="75" spans="2:6" ht="18.75" customHeight="1">
      <c r="B75" s="30" t="s">
        <v>149</v>
      </c>
      <c r="C75" s="28">
        <f>SUMIF('Core data'!$U$1:$U$53,'05 South Africa EQ Aggs'!B75,'Core data'!T:T)</f>
        <v>0</v>
      </c>
      <c r="D75" s="31"/>
      <c r="E75" s="31"/>
      <c r="F75" s="31"/>
    </row>
    <row r="76" spans="2:6" ht="18.75" customHeight="1">
      <c r="B76" s="30" t="s">
        <v>150</v>
      </c>
      <c r="C76" s="28">
        <f>SUMIF('Core data'!$U$1:$U$53,'05 South Africa EQ Aggs'!B76,'Core data'!T:T)</f>
        <v>0</v>
      </c>
      <c r="D76" s="31"/>
      <c r="E76" s="31"/>
      <c r="F76" s="31"/>
    </row>
    <row r="77" spans="2:6" ht="18.75" customHeight="1">
      <c r="B77" s="30" t="s">
        <v>73</v>
      </c>
      <c r="C77" s="28">
        <f>SUMIF('Core data'!$U$1:$U$53,'05 South Africa EQ Aggs'!B77,'Core data'!T:T)</f>
        <v>0</v>
      </c>
      <c r="D77" s="31"/>
      <c r="E77" s="31"/>
      <c r="F77" s="31"/>
    </row>
    <row r="78" spans="2:6" ht="18.75" customHeight="1">
      <c r="B78" s="30" t="s">
        <v>74</v>
      </c>
      <c r="C78" s="28">
        <f>SUMIF('Core data'!$U$1:$U$53,'05 South Africa EQ Aggs'!B78,'Core data'!T:T)</f>
        <v>0</v>
      </c>
      <c r="D78" s="31"/>
      <c r="E78" s="31"/>
      <c r="F78" s="31"/>
    </row>
    <row r="79" spans="2:6" ht="18.75" customHeight="1">
      <c r="B79" s="30" t="s">
        <v>75</v>
      </c>
      <c r="C79" s="28">
        <f>SUMIF('Core data'!$U$1:$U$53,'05 South Africa EQ Aggs'!B79,'Core data'!T:T)</f>
        <v>3074321</v>
      </c>
      <c r="D79" s="31"/>
      <c r="E79" s="31"/>
      <c r="F79" s="31"/>
    </row>
    <row r="80" spans="2:6" ht="18.75" customHeight="1">
      <c r="B80" s="30" t="s">
        <v>76</v>
      </c>
      <c r="C80" s="28">
        <f>SUMIF('Core data'!$U$1:$U$53,'05 South Africa EQ Aggs'!B80,'Core data'!T:T)</f>
        <v>0</v>
      </c>
      <c r="D80" s="31"/>
      <c r="E80" s="31"/>
      <c r="F80" s="31"/>
    </row>
    <row r="81" spans="2:6" ht="18.75" customHeight="1">
      <c r="B81" s="30" t="s">
        <v>77</v>
      </c>
      <c r="C81" s="28">
        <f>SUMIF('Core data'!$U$1:$U$53,'05 South Africa EQ Aggs'!B81,'Core data'!T:T)</f>
        <v>1655731.3302958829</v>
      </c>
      <c r="D81" s="31"/>
      <c r="E81" s="31"/>
      <c r="F81" s="31"/>
    </row>
    <row r="82" spans="2:6" ht="18.75" customHeight="1">
      <c r="B82" s="30" t="s">
        <v>151</v>
      </c>
      <c r="C82" s="28">
        <f>SUMIF('Core data'!$U$1:$U$53,'05 South Africa EQ Aggs'!B82,'Core data'!T:T)</f>
        <v>9816277.772259241</v>
      </c>
      <c r="D82" s="31"/>
      <c r="E82" s="31"/>
      <c r="F82" s="31"/>
    </row>
    <row r="83" spans="2:6" ht="18.75" customHeight="1">
      <c r="B83" s="30" t="s">
        <v>152</v>
      </c>
      <c r="C83" s="28">
        <f>SUMIF('Core data'!$U$1:$U$53,'05 South Africa EQ Aggs'!B83,'Core data'!T:T)</f>
        <v>9135904</v>
      </c>
      <c r="D83" s="31"/>
      <c r="E83" s="31"/>
      <c r="F83" s="31"/>
    </row>
    <row r="84" spans="2:6" ht="18.75" customHeight="1">
      <c r="B84" s="30" t="s">
        <v>153</v>
      </c>
      <c r="C84" s="28">
        <f>SUMIF('Core data'!$U$1:$U$53,'05 South Africa EQ Aggs'!B84,'Core data'!T:T)</f>
        <v>0</v>
      </c>
      <c r="D84" s="31"/>
      <c r="E84" s="31"/>
      <c r="F84" s="31"/>
    </row>
    <row r="85" spans="2:6" ht="18.75" customHeight="1">
      <c r="B85" s="30" t="s">
        <v>154</v>
      </c>
      <c r="C85" s="28">
        <f>SUMIF('Core data'!$U$1:$U$53,'05 South Africa EQ Aggs'!B85,'Core data'!T:T)</f>
        <v>20390065.390265621</v>
      </c>
      <c r="D85" s="31"/>
      <c r="E85" s="31"/>
      <c r="F85" s="31"/>
    </row>
    <row r="86" spans="2:6" ht="18.75" customHeight="1">
      <c r="B86" s="30" t="s">
        <v>155</v>
      </c>
      <c r="C86" s="28">
        <f>SUMIF('Core data'!$U$1:$U$53,'05 South Africa EQ Aggs'!B86,'Core data'!T:T)</f>
        <v>7249774.2147375084</v>
      </c>
      <c r="D86" s="31"/>
      <c r="E86" s="31"/>
      <c r="F86" s="31"/>
    </row>
    <row r="87" spans="2:6" ht="18.75" customHeight="1">
      <c r="B87" s="30" t="s">
        <v>78</v>
      </c>
      <c r="C87" s="28">
        <f>SUMIF('Core data'!$U$1:$U$53,'05 South Africa EQ Aggs'!B87,'Core data'!T:T)</f>
        <v>0</v>
      </c>
      <c r="D87" s="31"/>
      <c r="E87" s="31"/>
      <c r="F87" s="31"/>
    </row>
    <row r="88" spans="2:6" ht="18.75" customHeight="1">
      <c r="B88" s="30" t="s">
        <v>156</v>
      </c>
      <c r="C88" s="28">
        <f>SUMIF('Core data'!$U$1:$U$53,'05 South Africa EQ Aggs'!B88,'Core data'!T:T)</f>
        <v>0</v>
      </c>
      <c r="D88" s="31"/>
      <c r="E88" s="31"/>
      <c r="F88" s="31"/>
    </row>
    <row r="89" spans="2:6" ht="18.75" customHeight="1">
      <c r="B89" s="30" t="s">
        <v>79</v>
      </c>
      <c r="C89" s="28">
        <f>SUMIF('Core data'!$U$1:$U$53,'05 South Africa EQ Aggs'!B89,'Core data'!T:T)</f>
        <v>4473214.2422571797</v>
      </c>
      <c r="D89" s="31"/>
      <c r="E89" s="31"/>
      <c r="F89" s="31"/>
    </row>
    <row r="90" spans="2:6" ht="18.75" customHeight="1">
      <c r="B90" s="30" t="s">
        <v>80</v>
      </c>
      <c r="C90" s="28">
        <f>SUMIF('Core data'!$U$1:$U$53,'05 South Africa EQ Aggs'!B90,'Core data'!T:T)</f>
        <v>0</v>
      </c>
      <c r="D90" s="31"/>
      <c r="E90" s="31"/>
      <c r="F90" s="31"/>
    </row>
    <row r="91" spans="2:6" ht="18.75" customHeight="1">
      <c r="B91" s="30" t="s">
        <v>81</v>
      </c>
      <c r="C91" s="28">
        <f>SUMIF('Core data'!$U$1:$U$53,'05 South Africa EQ Aggs'!B91,'Core data'!T:T)</f>
        <v>0</v>
      </c>
      <c r="D91" s="31"/>
      <c r="E91" s="31"/>
      <c r="F91" s="31"/>
    </row>
    <row r="92" spans="2:6" ht="18.75" customHeight="1">
      <c r="B92" s="30" t="s">
        <v>82</v>
      </c>
      <c r="C92" s="28">
        <f>SUMIF('Core data'!$U$1:$U$53,'05 South Africa EQ Aggs'!B92,'Core data'!T:T)</f>
        <v>0</v>
      </c>
      <c r="D92" s="31"/>
      <c r="E92" s="31"/>
      <c r="F92" s="31"/>
    </row>
    <row r="93" spans="2:6" ht="18.75" customHeight="1">
      <c r="B93" s="30" t="s">
        <v>157</v>
      </c>
      <c r="C93" s="28">
        <f>SUMIF('Core data'!$U$1:$U$53,'05 South Africa EQ Aggs'!B93,'Core data'!T:T)</f>
        <v>0</v>
      </c>
      <c r="D93" s="31"/>
      <c r="E93" s="31"/>
      <c r="F93" s="31"/>
    </row>
    <row r="94" spans="2:6" ht="18.75" customHeight="1">
      <c r="B94" s="30" t="s">
        <v>158</v>
      </c>
      <c r="C94" s="28">
        <f>SUMIF('Core data'!$U$1:$U$53,'05 South Africa EQ Aggs'!B94,'Core data'!T:T)</f>
        <v>0</v>
      </c>
      <c r="D94" s="31"/>
      <c r="E94" s="31"/>
      <c r="F94" s="31"/>
    </row>
    <row r="95" spans="2:6" ht="18.75" customHeight="1">
      <c r="B95" s="30" t="s">
        <v>159</v>
      </c>
      <c r="C95" s="28">
        <f>SUMIF('Core data'!$U$1:$U$53,'05 South Africa EQ Aggs'!B95,'Core data'!T:T)</f>
        <v>0</v>
      </c>
      <c r="D95" s="31"/>
      <c r="E95" s="31"/>
      <c r="F95" s="31"/>
    </row>
    <row r="96" spans="2:6" ht="18.75" customHeight="1">
      <c r="B96" s="30" t="s">
        <v>160</v>
      </c>
      <c r="C96" s="28">
        <f>SUMIF('Core data'!$U$1:$U$53,'05 South Africa EQ Aggs'!B96,'Core data'!T:T)</f>
        <v>0</v>
      </c>
      <c r="D96" s="31"/>
      <c r="E96" s="31"/>
      <c r="F96" s="31"/>
    </row>
    <row r="97" spans="2:6" ht="18.75" customHeight="1">
      <c r="B97" s="30" t="s">
        <v>161</v>
      </c>
      <c r="C97" s="28">
        <f>SUMIF('Core data'!$U$1:$U$53,'05 South Africa EQ Aggs'!B97,'Core data'!T:T)</f>
        <v>0</v>
      </c>
      <c r="D97" s="31"/>
      <c r="E97" s="31"/>
      <c r="F97" s="31"/>
    </row>
    <row r="98" spans="2:6" ht="18.75" customHeight="1">
      <c r="B98" s="30" t="s">
        <v>162</v>
      </c>
      <c r="C98" s="28">
        <f>SUMIF('Core data'!$U$1:$U$53,'05 South Africa EQ Aggs'!B98,'Core data'!T:T)</f>
        <v>0</v>
      </c>
      <c r="D98" s="31"/>
      <c r="E98" s="31"/>
      <c r="F98" s="31"/>
    </row>
    <row r="99" spans="2:6" ht="18.75" customHeight="1">
      <c r="B99" s="30" t="s">
        <v>163</v>
      </c>
      <c r="C99" s="28">
        <f>SUMIF('Core data'!$U$1:$U$53,'05 South Africa EQ Aggs'!B99,'Core data'!T:T)</f>
        <v>0</v>
      </c>
      <c r="D99" s="31"/>
      <c r="E99" s="31"/>
      <c r="F99" s="31"/>
    </row>
    <row r="100" spans="2:6" ht="18.75" customHeight="1">
      <c r="B100" s="30" t="s">
        <v>164</v>
      </c>
      <c r="C100" s="28">
        <f>SUMIF('Core data'!$U$1:$U$53,'05 South Africa EQ Aggs'!B100,'Core data'!T:T)</f>
        <v>0</v>
      </c>
      <c r="D100" s="31"/>
      <c r="E100" s="31"/>
      <c r="F100" s="31"/>
    </row>
    <row r="101" spans="2:6" ht="18.75" customHeight="1">
      <c r="B101" s="30" t="s">
        <v>165</v>
      </c>
      <c r="C101" s="28">
        <f>SUMIF('Core data'!$U$1:$U$53,'05 South Africa EQ Aggs'!B101,'Core data'!T:T)</f>
        <v>0</v>
      </c>
      <c r="D101" s="31"/>
      <c r="E101" s="31"/>
      <c r="F101" s="31"/>
    </row>
    <row r="102" spans="2:6" ht="18.75" customHeight="1">
      <c r="B102" s="35" t="s">
        <v>83</v>
      </c>
      <c r="C102" s="28">
        <f>SUMIF('Core data'!$U$1:$U$53,'05 South Africa EQ Aggs'!B102,'Core data'!T:T)</f>
        <v>0</v>
      </c>
      <c r="D102" s="36"/>
      <c r="E102" s="36"/>
      <c r="F102" s="36"/>
    </row>
  </sheetData>
  <protectedRanges>
    <protectedRange password="E11B" sqref="D9:F102" name="Range1_1"/>
  </protectedRanges>
  <mergeCells count="3">
    <mergeCell ref="B6:B7"/>
    <mergeCell ref="C6:D6"/>
    <mergeCell ref="I11:J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heck Box 1">
              <controlPr defaultSize="0" autoFill="0" autoLine="0" autoPict="0">
                <anchor moveWithCells="1">
                  <from>
                    <xdr:col>1</xdr:col>
                    <xdr:colOff>14630</xdr:colOff>
                    <xdr:row>3</xdr:row>
                    <xdr:rowOff>14630</xdr:rowOff>
                  </from>
                  <to>
                    <xdr:col>1</xdr:col>
                    <xdr:colOff>775411</xdr:colOff>
                    <xdr:row>4</xdr:row>
                    <xdr:rowOff>131674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topLeftCell="H1" zoomScale="80" zoomScaleNormal="80" workbookViewId="0">
      <selection activeCell="U4" sqref="U4"/>
    </sheetView>
  </sheetViews>
  <sheetFormatPr defaultColWidth="8.77734375" defaultRowHeight="12.7"/>
  <cols>
    <col min="1" max="1" width="20.21875" style="16" bestFit="1" customWidth="1"/>
    <col min="2" max="2" width="26.44140625" style="16" bestFit="1" customWidth="1"/>
    <col min="3" max="3" width="11.77734375" style="16" bestFit="1" customWidth="1"/>
    <col min="4" max="4" width="11.5546875" style="16" bestFit="1" customWidth="1"/>
    <col min="5" max="5" width="27.44140625" style="16" bestFit="1" customWidth="1"/>
    <col min="6" max="6" width="6.44140625" style="16" bestFit="1" customWidth="1"/>
    <col min="7" max="7" width="12.21875" style="16" bestFit="1" customWidth="1"/>
    <col min="8" max="8" width="9" style="16" bestFit="1" customWidth="1"/>
    <col min="9" max="9" width="10" style="16" bestFit="1" customWidth="1"/>
    <col min="10" max="10" width="10.21875" style="16" bestFit="1" customWidth="1"/>
    <col min="11" max="11" width="10.77734375" style="16" bestFit="1" customWidth="1"/>
    <col min="12" max="13" width="14.21875" style="37" bestFit="1" customWidth="1"/>
    <col min="14" max="16" width="14.21875" style="37" customWidth="1"/>
    <col min="17" max="17" width="27.21875" style="16" bestFit="1" customWidth="1"/>
    <col min="18" max="18" width="15.44140625" style="37" bestFit="1" customWidth="1"/>
    <col min="19" max="19" width="17.21875" style="16" bestFit="1" customWidth="1"/>
    <col min="20" max="20" width="16.88671875" style="16" customWidth="1"/>
    <col min="21" max="16384" width="8.77734375" style="16"/>
  </cols>
  <sheetData>
    <row r="1" spans="1:21">
      <c r="A1" s="16" t="s">
        <v>84</v>
      </c>
      <c r="B1" s="39" t="s">
        <v>90</v>
      </c>
      <c r="C1" s="39" t="s">
        <v>109</v>
      </c>
      <c r="D1" s="16" t="s">
        <v>110</v>
      </c>
      <c r="E1" s="16" t="s">
        <v>111</v>
      </c>
      <c r="F1" s="16" t="s">
        <v>112</v>
      </c>
      <c r="G1" s="16" t="s">
        <v>237</v>
      </c>
      <c r="H1" s="16" t="s">
        <v>113</v>
      </c>
      <c r="I1" s="16" t="s">
        <v>114</v>
      </c>
      <c r="J1" s="16" t="s">
        <v>115</v>
      </c>
      <c r="K1" s="16" t="s">
        <v>116</v>
      </c>
      <c r="L1" s="37" t="s">
        <v>238</v>
      </c>
      <c r="M1" s="37" t="s">
        <v>85</v>
      </c>
      <c r="N1" s="37" t="s">
        <v>239</v>
      </c>
      <c r="O1" s="37" t="s">
        <v>87</v>
      </c>
      <c r="P1" s="37" t="s">
        <v>180</v>
      </c>
      <c r="Q1" s="37" t="s">
        <v>181</v>
      </c>
      <c r="R1" s="37" t="s">
        <v>182</v>
      </c>
      <c r="S1" s="38" t="s">
        <v>281</v>
      </c>
      <c r="T1" s="37" t="s">
        <v>282</v>
      </c>
      <c r="U1" s="37" t="s">
        <v>283</v>
      </c>
    </row>
    <row r="2" spans="1:21">
      <c r="A2" s="16" t="s">
        <v>219</v>
      </c>
      <c r="B2" s="39"/>
      <c r="C2" s="39" t="s">
        <v>166</v>
      </c>
      <c r="D2" s="16" t="s">
        <v>167</v>
      </c>
      <c r="E2" s="16" t="s">
        <v>240</v>
      </c>
      <c r="I2" s="16">
        <v>0</v>
      </c>
      <c r="J2" s="16">
        <v>0</v>
      </c>
      <c r="K2" s="16">
        <v>0</v>
      </c>
      <c r="L2" s="37" t="s">
        <v>241</v>
      </c>
      <c r="M2" s="37">
        <v>1</v>
      </c>
      <c r="N2" s="37" t="s">
        <v>88</v>
      </c>
      <c r="O2" s="37">
        <v>830000</v>
      </c>
      <c r="P2" s="37">
        <v>830000</v>
      </c>
      <c r="Q2" s="40">
        <v>830000</v>
      </c>
      <c r="R2" s="41">
        <v>1118341.99998215</v>
      </c>
      <c r="S2" s="48">
        <v>1</v>
      </c>
      <c r="T2" s="17">
        <f>S2*O2</f>
        <v>830000</v>
      </c>
      <c r="U2" s="16" t="str">
        <f>IF(RIGHT(L2,2)=0,0,RIGHT(L2,2))</f>
        <v xml:space="preserve"> </v>
      </c>
    </row>
    <row r="3" spans="1:21">
      <c r="A3" s="16" t="s">
        <v>219</v>
      </c>
      <c r="B3" s="39"/>
      <c r="C3" s="39" t="s">
        <v>166</v>
      </c>
      <c r="D3" s="16" t="s">
        <v>167</v>
      </c>
      <c r="E3" s="16" t="s">
        <v>242</v>
      </c>
      <c r="I3" s="16">
        <v>0</v>
      </c>
      <c r="J3" s="16">
        <v>0</v>
      </c>
      <c r="K3" s="16">
        <v>0</v>
      </c>
      <c r="L3" s="37" t="s">
        <v>241</v>
      </c>
      <c r="M3" s="37">
        <v>1</v>
      </c>
      <c r="N3" s="37" t="s">
        <v>88</v>
      </c>
      <c r="O3" s="37">
        <v>2016802.29847019</v>
      </c>
      <c r="P3" s="37">
        <v>2016802.29847019</v>
      </c>
      <c r="Q3" s="40">
        <v>2016802.29847019</v>
      </c>
      <c r="R3" s="41">
        <v>2717439.4169153599</v>
      </c>
      <c r="S3" s="48">
        <v>1</v>
      </c>
      <c r="T3" s="17">
        <f t="shared" ref="T3:T53" si="0">S3*O3</f>
        <v>2016802.29847019</v>
      </c>
      <c r="U3" s="16" t="str">
        <f t="shared" ref="U3:U53" si="1">IF(RIGHT(L3,2)=0,0,RIGHT(L3,2))</f>
        <v xml:space="preserve"> </v>
      </c>
    </row>
    <row r="4" spans="1:21">
      <c r="A4" s="16" t="s">
        <v>219</v>
      </c>
      <c r="B4" s="39"/>
      <c r="C4" s="39" t="s">
        <v>166</v>
      </c>
      <c r="D4" s="16" t="s">
        <v>167</v>
      </c>
      <c r="E4" s="16" t="s">
        <v>240</v>
      </c>
      <c r="I4" s="16">
        <v>0</v>
      </c>
      <c r="J4" s="16">
        <v>0</v>
      </c>
      <c r="K4" s="16">
        <v>0</v>
      </c>
      <c r="L4" s="37" t="s">
        <v>241</v>
      </c>
      <c r="M4" s="37">
        <v>1</v>
      </c>
      <c r="N4" s="37" t="s">
        <v>88</v>
      </c>
      <c r="O4" s="37">
        <v>1406760</v>
      </c>
      <c r="P4" s="37">
        <v>1406760</v>
      </c>
      <c r="Q4" s="40">
        <v>1406760</v>
      </c>
      <c r="R4" s="41">
        <v>1895468.42396974</v>
      </c>
      <c r="S4" s="48">
        <v>1</v>
      </c>
      <c r="T4" s="17">
        <f t="shared" si="0"/>
        <v>1406760</v>
      </c>
      <c r="U4" s="16" t="str">
        <f t="shared" si="1"/>
        <v xml:space="preserve"> </v>
      </c>
    </row>
    <row r="5" spans="1:21">
      <c r="A5" s="16" t="s">
        <v>219</v>
      </c>
      <c r="B5" s="39"/>
      <c r="C5" s="39" t="s">
        <v>166</v>
      </c>
      <c r="D5" s="16" t="s">
        <v>167</v>
      </c>
      <c r="E5" s="16" t="s">
        <v>168</v>
      </c>
      <c r="G5" s="16" t="s">
        <v>243</v>
      </c>
      <c r="H5" s="16" t="s">
        <v>169</v>
      </c>
      <c r="I5" s="16">
        <v>-33.934570000000001</v>
      </c>
      <c r="J5" s="16">
        <v>18.457419999999999</v>
      </c>
      <c r="K5" s="16">
        <v>4</v>
      </c>
      <c r="L5" s="37" t="s">
        <v>244</v>
      </c>
      <c r="M5" s="37">
        <v>1</v>
      </c>
      <c r="N5" s="37" t="s">
        <v>88</v>
      </c>
      <c r="O5" s="37">
        <v>2596820.1091086701</v>
      </c>
      <c r="P5" s="37">
        <v>2596820.1091086701</v>
      </c>
      <c r="Q5" s="40">
        <v>2596820.1091086701</v>
      </c>
      <c r="R5" s="41">
        <v>3498955.4149571699</v>
      </c>
      <c r="S5" s="48">
        <v>1</v>
      </c>
      <c r="T5" s="17">
        <f t="shared" si="0"/>
        <v>2596820.1091086701</v>
      </c>
      <c r="U5" s="16" t="str">
        <f t="shared" si="1"/>
        <v>79</v>
      </c>
    </row>
    <row r="6" spans="1:21">
      <c r="A6" s="16" t="s">
        <v>219</v>
      </c>
      <c r="B6" s="39"/>
      <c r="C6" s="39" t="s">
        <v>166</v>
      </c>
      <c r="D6" s="16" t="s">
        <v>167</v>
      </c>
      <c r="E6" s="16" t="s">
        <v>173</v>
      </c>
      <c r="F6" s="16">
        <v>6</v>
      </c>
      <c r="G6" s="16" t="s">
        <v>245</v>
      </c>
      <c r="H6" s="16" t="s">
        <v>172</v>
      </c>
      <c r="I6" s="16">
        <v>-26.1530807</v>
      </c>
      <c r="J6" s="16">
        <v>28.058429700000001</v>
      </c>
      <c r="K6" s="16">
        <v>2</v>
      </c>
      <c r="L6" s="37" t="s">
        <v>246</v>
      </c>
      <c r="M6" s="37">
        <v>1</v>
      </c>
      <c r="N6" s="37" t="s">
        <v>88</v>
      </c>
      <c r="O6" s="37">
        <v>371283.94109989598</v>
      </c>
      <c r="P6" s="37">
        <v>371283.94109989598</v>
      </c>
      <c r="Q6" s="40">
        <v>371283.94109989598</v>
      </c>
      <c r="R6" s="41">
        <v>500267.98223001498</v>
      </c>
      <c r="S6" s="48">
        <v>1</v>
      </c>
      <c r="T6" s="17">
        <f t="shared" si="0"/>
        <v>371283.94109989598</v>
      </c>
      <c r="U6" s="16" t="str">
        <f t="shared" si="1"/>
        <v>21</v>
      </c>
    </row>
    <row r="7" spans="1:21">
      <c r="A7" s="16" t="s">
        <v>219</v>
      </c>
      <c r="B7" s="39"/>
      <c r="C7" s="39" t="s">
        <v>166</v>
      </c>
      <c r="D7" s="16" t="s">
        <v>167</v>
      </c>
      <c r="E7" s="16" t="s">
        <v>173</v>
      </c>
      <c r="G7" s="16" t="s">
        <v>245</v>
      </c>
      <c r="H7" s="16" t="s">
        <v>172</v>
      </c>
      <c r="I7" s="16">
        <v>-26.13822</v>
      </c>
      <c r="J7" s="16">
        <v>28.034510000000001</v>
      </c>
      <c r="K7" s="16">
        <v>4</v>
      </c>
      <c r="L7" s="37" t="s">
        <v>246</v>
      </c>
      <c r="M7" s="37">
        <v>1</v>
      </c>
      <c r="N7" s="37" t="s">
        <v>88</v>
      </c>
      <c r="O7" s="37">
        <v>10707047.199154601</v>
      </c>
      <c r="P7" s="37">
        <v>10707047.199154601</v>
      </c>
      <c r="Q7" s="40">
        <v>10707047.199154601</v>
      </c>
      <c r="R7" s="41">
        <v>14426675.3959106</v>
      </c>
      <c r="S7" s="48">
        <v>1</v>
      </c>
      <c r="T7" s="17">
        <f t="shared" si="0"/>
        <v>10707047.199154601</v>
      </c>
      <c r="U7" s="16" t="str">
        <f t="shared" si="1"/>
        <v>21</v>
      </c>
    </row>
    <row r="8" spans="1:21">
      <c r="A8" s="16" t="s">
        <v>219</v>
      </c>
      <c r="B8" s="39"/>
      <c r="C8" s="39" t="s">
        <v>166</v>
      </c>
      <c r="D8" s="16" t="s">
        <v>167</v>
      </c>
      <c r="E8" s="16" t="s">
        <v>168</v>
      </c>
      <c r="G8" s="16" t="s">
        <v>243</v>
      </c>
      <c r="H8" s="16" t="s">
        <v>169</v>
      </c>
      <c r="I8" s="16">
        <v>-33.904580000000003</v>
      </c>
      <c r="J8" s="16">
        <v>18.650569999999998</v>
      </c>
      <c r="K8" s="16">
        <v>4</v>
      </c>
      <c r="L8" s="37" t="s">
        <v>247</v>
      </c>
      <c r="M8" s="37">
        <v>1</v>
      </c>
      <c r="N8" s="37" t="s">
        <v>88</v>
      </c>
      <c r="O8" s="37">
        <v>1527252.97506566</v>
      </c>
      <c r="P8" s="37">
        <v>1527252.97506566</v>
      </c>
      <c r="Q8" s="40">
        <v>1527252.97506566</v>
      </c>
      <c r="R8" s="41">
        <v>2057820.65857062</v>
      </c>
      <c r="S8" s="48">
        <v>1</v>
      </c>
      <c r="T8" s="17">
        <f t="shared" si="0"/>
        <v>1527252.97506566</v>
      </c>
      <c r="U8" s="16" t="str">
        <f t="shared" si="1"/>
        <v>75</v>
      </c>
    </row>
    <row r="9" spans="1:21">
      <c r="A9" s="16" t="s">
        <v>219</v>
      </c>
      <c r="B9" s="39"/>
      <c r="C9" s="39" t="s">
        <v>166</v>
      </c>
      <c r="D9" s="16" t="s">
        <v>167</v>
      </c>
      <c r="E9" s="16" t="s">
        <v>232</v>
      </c>
      <c r="G9" s="16" t="s">
        <v>248</v>
      </c>
      <c r="H9" s="16" t="s">
        <v>233</v>
      </c>
      <c r="I9" s="16">
        <v>-33.954991999999997</v>
      </c>
      <c r="J9" s="16">
        <v>25.614934000000002</v>
      </c>
      <c r="K9" s="16">
        <v>5</v>
      </c>
      <c r="L9" s="37" t="s">
        <v>249</v>
      </c>
      <c r="M9" s="37">
        <v>1</v>
      </c>
      <c r="N9" s="37" t="s">
        <v>88</v>
      </c>
      <c r="O9" s="37">
        <v>2344789.8061131299</v>
      </c>
      <c r="P9" s="37">
        <v>2344789.8061131299</v>
      </c>
      <c r="Q9" s="40">
        <v>2344789.8061131299</v>
      </c>
      <c r="R9" s="41">
        <v>3159369.7847063998</v>
      </c>
      <c r="S9" s="48">
        <v>1</v>
      </c>
      <c r="T9" s="17">
        <f t="shared" si="0"/>
        <v>2344789.8061131299</v>
      </c>
      <c r="U9" s="16" t="str">
        <f t="shared" si="1"/>
        <v>60</v>
      </c>
    </row>
    <row r="10" spans="1:21">
      <c r="A10" s="16" t="s">
        <v>219</v>
      </c>
      <c r="B10" s="39"/>
      <c r="C10" s="39" t="s">
        <v>166</v>
      </c>
      <c r="D10" s="16" t="s">
        <v>167</v>
      </c>
      <c r="E10" s="16" t="s">
        <v>168</v>
      </c>
      <c r="G10" s="16" t="s">
        <v>250</v>
      </c>
      <c r="H10" s="16" t="s">
        <v>169</v>
      </c>
      <c r="I10" s="16">
        <v>-33.889890000000001</v>
      </c>
      <c r="J10" s="16">
        <v>18.961559999999999</v>
      </c>
      <c r="K10" s="16">
        <v>4</v>
      </c>
      <c r="L10" s="37" t="s">
        <v>251</v>
      </c>
      <c r="M10" s="37">
        <v>1</v>
      </c>
      <c r="N10" s="37" t="s">
        <v>88</v>
      </c>
      <c r="O10" s="37">
        <v>2322515.6769925202</v>
      </c>
      <c r="P10" s="37">
        <v>2322515.6769925202</v>
      </c>
      <c r="Q10" s="40">
        <v>2322515.6769925202</v>
      </c>
      <c r="R10" s="41">
        <v>3129357.6231297702</v>
      </c>
      <c r="S10" s="48">
        <v>1</v>
      </c>
      <c r="T10" s="17">
        <f t="shared" si="0"/>
        <v>2322515.6769925202</v>
      </c>
      <c r="U10" s="16" t="str">
        <f t="shared" si="1"/>
        <v>76</v>
      </c>
    </row>
    <row r="11" spans="1:21">
      <c r="A11" s="16" t="s">
        <v>219</v>
      </c>
      <c r="B11" s="39"/>
      <c r="C11" s="39" t="s">
        <v>166</v>
      </c>
      <c r="D11" s="16" t="s">
        <v>167</v>
      </c>
      <c r="E11" s="16" t="s">
        <v>252</v>
      </c>
      <c r="F11" s="16">
        <v>8</v>
      </c>
      <c r="G11" s="16" t="s">
        <v>243</v>
      </c>
      <c r="H11" s="16" t="s">
        <v>169</v>
      </c>
      <c r="I11" s="16">
        <v>-34.1189587</v>
      </c>
      <c r="J11" s="16">
        <v>18.392429100000001</v>
      </c>
      <c r="K11" s="16">
        <v>2</v>
      </c>
      <c r="L11" s="37" t="s">
        <v>244</v>
      </c>
      <c r="M11" s="37">
        <v>1</v>
      </c>
      <c r="N11" s="37" t="s">
        <v>88</v>
      </c>
      <c r="O11" s="37">
        <v>16447358.040304201</v>
      </c>
      <c r="P11" s="37">
        <v>16447358.040304201</v>
      </c>
      <c r="Q11" s="40">
        <v>16447358.040304201</v>
      </c>
      <c r="R11" s="41">
        <v>22161170.223152101</v>
      </c>
      <c r="S11" s="48">
        <v>1</v>
      </c>
      <c r="T11" s="17">
        <f t="shared" si="0"/>
        <v>16447358.040304201</v>
      </c>
      <c r="U11" s="16" t="str">
        <f t="shared" si="1"/>
        <v>79</v>
      </c>
    </row>
    <row r="12" spans="1:21">
      <c r="A12" s="16" t="s">
        <v>219</v>
      </c>
      <c r="B12" s="39"/>
      <c r="C12" s="39" t="s">
        <v>166</v>
      </c>
      <c r="D12" s="16" t="s">
        <v>167</v>
      </c>
      <c r="E12" s="16" t="s">
        <v>173</v>
      </c>
      <c r="F12" s="16">
        <v>6</v>
      </c>
      <c r="G12" s="16" t="s">
        <v>245</v>
      </c>
      <c r="H12" s="16" t="s">
        <v>172</v>
      </c>
      <c r="I12" s="16">
        <v>-26.1649818</v>
      </c>
      <c r="J12" s="16">
        <v>28.054421399999999</v>
      </c>
      <c r="K12" s="16">
        <v>2</v>
      </c>
      <c r="L12" s="37" t="s">
        <v>246</v>
      </c>
      <c r="M12" s="37">
        <v>1</v>
      </c>
      <c r="N12" s="37" t="s">
        <v>88</v>
      </c>
      <c r="O12" s="37">
        <v>5276801.0631951997</v>
      </c>
      <c r="P12" s="37">
        <v>5276801.0631951997</v>
      </c>
      <c r="Q12" s="40">
        <v>5276801.0631951997</v>
      </c>
      <c r="R12" s="41">
        <v>7109961.7524357298</v>
      </c>
      <c r="S12" s="48">
        <v>1</v>
      </c>
      <c r="T12" s="17">
        <f t="shared" si="0"/>
        <v>5276801.0631951997</v>
      </c>
      <c r="U12" s="16" t="str">
        <f t="shared" si="1"/>
        <v>21</v>
      </c>
    </row>
    <row r="13" spans="1:21">
      <c r="A13" s="16" t="s">
        <v>219</v>
      </c>
      <c r="B13" s="39"/>
      <c r="C13" s="39" t="s">
        <v>166</v>
      </c>
      <c r="D13" s="16" t="s">
        <v>167</v>
      </c>
      <c r="E13" s="16" t="s">
        <v>253</v>
      </c>
      <c r="I13" s="16">
        <v>0</v>
      </c>
      <c r="J13" s="16">
        <v>0</v>
      </c>
      <c r="K13" s="16">
        <v>0</v>
      </c>
      <c r="L13" s="37" t="s">
        <v>241</v>
      </c>
      <c r="M13" s="37">
        <v>1</v>
      </c>
      <c r="N13" s="37" t="s">
        <v>88</v>
      </c>
      <c r="O13" s="37">
        <v>6624407.3451292496</v>
      </c>
      <c r="P13" s="37">
        <v>6624407.3451292496</v>
      </c>
      <c r="Q13" s="40">
        <v>6624407.3451292496</v>
      </c>
      <c r="R13" s="41">
        <v>8925726.45668469</v>
      </c>
      <c r="S13" s="48">
        <v>1</v>
      </c>
      <c r="T13" s="17">
        <f t="shared" si="0"/>
        <v>6624407.3451292496</v>
      </c>
      <c r="U13" s="16" t="str">
        <f t="shared" si="1"/>
        <v xml:space="preserve"> </v>
      </c>
    </row>
    <row r="14" spans="1:21">
      <c r="A14" s="16" t="s">
        <v>219</v>
      </c>
      <c r="B14" s="39"/>
      <c r="C14" s="39" t="s">
        <v>166</v>
      </c>
      <c r="D14" s="16" t="s">
        <v>167</v>
      </c>
      <c r="E14" s="16" t="s">
        <v>254</v>
      </c>
      <c r="I14" s="16">
        <v>0</v>
      </c>
      <c r="J14" s="16">
        <v>0</v>
      </c>
      <c r="K14" s="16">
        <v>0</v>
      </c>
      <c r="L14" s="37" t="s">
        <v>241</v>
      </c>
      <c r="M14" s="37">
        <v>1</v>
      </c>
      <c r="N14" s="37" t="s">
        <v>88</v>
      </c>
      <c r="O14" s="37">
        <v>19699997.7787566</v>
      </c>
      <c r="P14" s="37">
        <v>19699997.7787566</v>
      </c>
      <c r="Q14" s="40">
        <v>19699997.7787566</v>
      </c>
      <c r="R14" s="41">
        <v>26543777.006673001</v>
      </c>
      <c r="S14" s="48">
        <v>1</v>
      </c>
      <c r="T14" s="17">
        <f t="shared" si="0"/>
        <v>19699997.7787566</v>
      </c>
      <c r="U14" s="16" t="str">
        <f t="shared" si="1"/>
        <v xml:space="preserve"> </v>
      </c>
    </row>
    <row r="15" spans="1:21">
      <c r="A15" s="16" t="s">
        <v>219</v>
      </c>
      <c r="B15" s="39"/>
      <c r="C15" s="39" t="s">
        <v>166</v>
      </c>
      <c r="D15" s="16" t="s">
        <v>167</v>
      </c>
      <c r="E15" s="16" t="s">
        <v>234</v>
      </c>
      <c r="G15" s="16" t="s">
        <v>255</v>
      </c>
      <c r="H15" s="16" t="s">
        <v>178</v>
      </c>
      <c r="I15" s="16">
        <v>-29.60238</v>
      </c>
      <c r="J15" s="16">
        <v>30.379919999999998</v>
      </c>
      <c r="K15" s="16">
        <v>4</v>
      </c>
      <c r="L15" s="37" t="s">
        <v>256</v>
      </c>
      <c r="M15" s="37">
        <v>1</v>
      </c>
      <c r="N15" s="37" t="s">
        <v>88</v>
      </c>
      <c r="O15" s="37">
        <v>3468879.5854129102</v>
      </c>
      <c r="P15" s="37">
        <v>3468879.5854129102</v>
      </c>
      <c r="Q15" s="40">
        <v>3468879.5854129102</v>
      </c>
      <c r="R15" s="41">
        <v>4673968.3533107499</v>
      </c>
      <c r="S15" s="48">
        <v>1</v>
      </c>
      <c r="T15" s="17">
        <f t="shared" si="0"/>
        <v>3468879.5854129102</v>
      </c>
      <c r="U15" s="16" t="str">
        <f t="shared" si="1"/>
        <v>32</v>
      </c>
    </row>
    <row r="16" spans="1:21">
      <c r="A16" s="16" t="s">
        <v>219</v>
      </c>
      <c r="B16" s="39"/>
      <c r="C16" s="39" t="s">
        <v>166</v>
      </c>
      <c r="D16" s="16" t="s">
        <v>167</v>
      </c>
      <c r="E16" s="16" t="s">
        <v>257</v>
      </c>
      <c r="I16" s="16">
        <v>0</v>
      </c>
      <c r="J16" s="16">
        <v>0</v>
      </c>
      <c r="K16" s="16">
        <v>0</v>
      </c>
      <c r="L16" s="37" t="s">
        <v>241</v>
      </c>
      <c r="M16" s="37">
        <v>1</v>
      </c>
      <c r="N16" s="37" t="s">
        <v>88</v>
      </c>
      <c r="O16" s="37">
        <v>59133.851967237802</v>
      </c>
      <c r="P16" s="37">
        <v>59133.851967237802</v>
      </c>
      <c r="Q16" s="40">
        <v>59133.851967237802</v>
      </c>
      <c r="R16" s="41">
        <v>79676.952139384593</v>
      </c>
      <c r="S16" s="48">
        <v>1</v>
      </c>
      <c r="T16" s="17">
        <f t="shared" si="0"/>
        <v>59133.851967237802</v>
      </c>
      <c r="U16" s="16" t="str">
        <f t="shared" si="1"/>
        <v xml:space="preserve"> </v>
      </c>
    </row>
    <row r="17" spans="1:21">
      <c r="A17" s="16" t="s">
        <v>219</v>
      </c>
      <c r="B17" s="39"/>
      <c r="C17" s="39" t="s">
        <v>166</v>
      </c>
      <c r="D17" s="16" t="s">
        <v>167</v>
      </c>
      <c r="E17" s="16" t="s">
        <v>173</v>
      </c>
      <c r="G17" s="16" t="s">
        <v>245</v>
      </c>
      <c r="H17" s="16" t="s">
        <v>172</v>
      </c>
      <c r="I17" s="16">
        <v>-26.187110000000001</v>
      </c>
      <c r="J17" s="16">
        <v>28.008970000000001</v>
      </c>
      <c r="K17" s="16">
        <v>4</v>
      </c>
      <c r="L17" s="37" t="s">
        <v>258</v>
      </c>
      <c r="M17" s="37">
        <v>1</v>
      </c>
      <c r="N17" s="37" t="s">
        <v>88</v>
      </c>
      <c r="O17" s="37">
        <v>2865463.3034717701</v>
      </c>
      <c r="P17" s="37">
        <v>2865463.3034717701</v>
      </c>
      <c r="Q17" s="40">
        <v>2865463.3034717701</v>
      </c>
      <c r="R17" s="41">
        <v>3860925.25503624</v>
      </c>
      <c r="S17" s="48">
        <v>1</v>
      </c>
      <c r="T17" s="17">
        <f t="shared" si="0"/>
        <v>2865463.3034717701</v>
      </c>
      <c r="U17" s="16" t="str">
        <f t="shared" si="1"/>
        <v>20</v>
      </c>
    </row>
    <row r="18" spans="1:21">
      <c r="A18" s="16" t="s">
        <v>219</v>
      </c>
      <c r="B18" s="39"/>
      <c r="C18" s="39" t="s">
        <v>166</v>
      </c>
      <c r="D18" s="16" t="s">
        <v>167</v>
      </c>
      <c r="E18" s="16" t="s">
        <v>168</v>
      </c>
      <c r="F18" s="16">
        <v>8</v>
      </c>
      <c r="G18" s="16" t="s">
        <v>243</v>
      </c>
      <c r="H18" s="16" t="s">
        <v>169</v>
      </c>
      <c r="I18" s="16">
        <v>-33.929165400000002</v>
      </c>
      <c r="J18" s="16">
        <v>18.377548600000001</v>
      </c>
      <c r="K18" s="16">
        <v>2</v>
      </c>
      <c r="L18" s="37" t="s">
        <v>259</v>
      </c>
      <c r="M18" s="37">
        <v>1</v>
      </c>
      <c r="N18" s="37" t="s">
        <v>88</v>
      </c>
      <c r="O18" s="37">
        <v>5876589.7057008203</v>
      </c>
      <c r="P18" s="37">
        <v>5876589.7057008203</v>
      </c>
      <c r="Q18" s="40">
        <v>5876589.7057008203</v>
      </c>
      <c r="R18" s="41">
        <v>7918116.9693349097</v>
      </c>
      <c r="S18" s="48">
        <v>1</v>
      </c>
      <c r="T18" s="17">
        <f t="shared" si="0"/>
        <v>5876589.7057008203</v>
      </c>
      <c r="U18" s="16" t="str">
        <f t="shared" si="1"/>
        <v>80</v>
      </c>
    </row>
    <row r="19" spans="1:21">
      <c r="A19" s="16" t="s">
        <v>219</v>
      </c>
      <c r="B19" s="39"/>
      <c r="C19" s="39" t="s">
        <v>166</v>
      </c>
      <c r="D19" s="16" t="s">
        <v>167</v>
      </c>
      <c r="E19" s="16" t="s">
        <v>260</v>
      </c>
      <c r="F19" s="16">
        <v>6</v>
      </c>
      <c r="G19" s="16" t="s">
        <v>245</v>
      </c>
      <c r="H19" s="16" t="s">
        <v>172</v>
      </c>
      <c r="I19" s="16">
        <v>-26.102394400000001</v>
      </c>
      <c r="J19" s="16">
        <v>28.059492800000001</v>
      </c>
      <c r="K19" s="16">
        <v>2</v>
      </c>
      <c r="L19" s="37" t="s">
        <v>246</v>
      </c>
      <c r="M19" s="37">
        <v>1</v>
      </c>
      <c r="N19" s="37" t="s">
        <v>88</v>
      </c>
      <c r="O19" s="37">
        <v>3750891.6497011501</v>
      </c>
      <c r="P19" s="37">
        <v>3750891.6497011501</v>
      </c>
      <c r="Q19" s="40">
        <v>3750891.6497011501</v>
      </c>
      <c r="R19" s="41">
        <v>5053951.4087266596</v>
      </c>
      <c r="S19" s="48">
        <v>1</v>
      </c>
      <c r="T19" s="17">
        <f t="shared" si="0"/>
        <v>3750891.6497011501</v>
      </c>
      <c r="U19" s="16" t="str">
        <f t="shared" si="1"/>
        <v>21</v>
      </c>
    </row>
    <row r="20" spans="1:21">
      <c r="A20" s="16" t="s">
        <v>219</v>
      </c>
      <c r="B20" s="39"/>
      <c r="C20" s="39" t="s">
        <v>166</v>
      </c>
      <c r="D20" s="16" t="s">
        <v>167</v>
      </c>
      <c r="E20" s="16" t="s">
        <v>257</v>
      </c>
      <c r="I20" s="16">
        <v>0</v>
      </c>
      <c r="J20" s="16">
        <v>0</v>
      </c>
      <c r="K20" s="16">
        <v>0</v>
      </c>
      <c r="L20" s="37" t="s">
        <v>241</v>
      </c>
      <c r="M20" s="37">
        <v>1</v>
      </c>
      <c r="N20" s="37" t="s">
        <v>88</v>
      </c>
      <c r="O20" s="37">
        <v>2117722.21640774</v>
      </c>
      <c r="P20" s="37">
        <v>2117722.21640774</v>
      </c>
      <c r="Q20" s="40">
        <v>2117722.21640774</v>
      </c>
      <c r="R20" s="41">
        <v>2853418.91434224</v>
      </c>
      <c r="S20" s="48">
        <v>1</v>
      </c>
      <c r="T20" s="17">
        <f t="shared" si="0"/>
        <v>2117722.21640774</v>
      </c>
      <c r="U20" s="16" t="str">
        <f t="shared" si="1"/>
        <v xml:space="preserve"> </v>
      </c>
    </row>
    <row r="21" spans="1:21">
      <c r="A21" s="16" t="s">
        <v>219</v>
      </c>
      <c r="B21" s="39"/>
      <c r="C21" s="39" t="s">
        <v>166</v>
      </c>
      <c r="D21" s="16" t="s">
        <v>167</v>
      </c>
      <c r="E21" s="16" t="s">
        <v>261</v>
      </c>
      <c r="F21" s="16">
        <v>3</v>
      </c>
      <c r="G21" s="16" t="s">
        <v>262</v>
      </c>
      <c r="H21" s="16" t="s">
        <v>178</v>
      </c>
      <c r="I21" s="16">
        <v>-29.7467963</v>
      </c>
      <c r="J21" s="16">
        <v>31.074759700000001</v>
      </c>
      <c r="K21" s="16">
        <v>2</v>
      </c>
      <c r="L21" s="37" t="s">
        <v>263</v>
      </c>
      <c r="M21" s="37">
        <v>1</v>
      </c>
      <c r="N21" s="37" t="s">
        <v>88</v>
      </c>
      <c r="O21" s="37">
        <v>17080830</v>
      </c>
      <c r="P21" s="37">
        <v>17080830</v>
      </c>
      <c r="Q21" s="40">
        <v>17080830</v>
      </c>
      <c r="R21" s="41">
        <v>23014710.341632601</v>
      </c>
      <c r="S21" s="48">
        <v>1</v>
      </c>
      <c r="T21" s="17">
        <f t="shared" si="0"/>
        <v>17080830</v>
      </c>
      <c r="U21" s="16" t="str">
        <f t="shared" si="1"/>
        <v>43</v>
      </c>
    </row>
    <row r="22" spans="1:21">
      <c r="A22" s="16" t="s">
        <v>219</v>
      </c>
      <c r="B22" s="39"/>
      <c r="C22" s="39" t="s">
        <v>166</v>
      </c>
      <c r="D22" s="16" t="s">
        <v>167</v>
      </c>
      <c r="E22" s="16" t="s">
        <v>173</v>
      </c>
      <c r="G22" s="16" t="s">
        <v>245</v>
      </c>
      <c r="H22" s="16" t="s">
        <v>172</v>
      </c>
      <c r="I22" s="16">
        <v>-26.172820000000002</v>
      </c>
      <c r="J22" s="16">
        <v>28.043289999999999</v>
      </c>
      <c r="K22" s="16">
        <v>4</v>
      </c>
      <c r="L22" s="37" t="s">
        <v>246</v>
      </c>
      <c r="M22" s="37">
        <v>1</v>
      </c>
      <c r="N22" s="37" t="s">
        <v>88</v>
      </c>
      <c r="O22" s="37">
        <v>7345930</v>
      </c>
      <c r="P22" s="37">
        <v>7345930</v>
      </c>
      <c r="Q22" s="40">
        <v>7345930</v>
      </c>
      <c r="R22" s="41">
        <v>9897906.0818420295</v>
      </c>
      <c r="S22" s="48">
        <v>1</v>
      </c>
      <c r="T22" s="17">
        <f t="shared" si="0"/>
        <v>7345930</v>
      </c>
      <c r="U22" s="16" t="str">
        <f t="shared" si="1"/>
        <v>21</v>
      </c>
    </row>
    <row r="23" spans="1:21">
      <c r="A23" s="16" t="s">
        <v>219</v>
      </c>
      <c r="B23" s="39"/>
      <c r="C23" s="39" t="s">
        <v>166</v>
      </c>
      <c r="D23" s="16" t="s">
        <v>167</v>
      </c>
      <c r="E23" s="16" t="s">
        <v>168</v>
      </c>
      <c r="F23" s="16">
        <v>8</v>
      </c>
      <c r="G23" s="16" t="s">
        <v>243</v>
      </c>
      <c r="H23" s="16" t="s">
        <v>169</v>
      </c>
      <c r="I23" s="16">
        <v>-33.940885700000003</v>
      </c>
      <c r="J23" s="16">
        <v>18.4065616</v>
      </c>
      <c r="K23" s="16">
        <v>2</v>
      </c>
      <c r="L23" s="37" t="s">
        <v>259</v>
      </c>
      <c r="M23" s="37">
        <v>1</v>
      </c>
      <c r="N23" s="37" t="s">
        <v>88</v>
      </c>
      <c r="O23" s="37">
        <v>850069</v>
      </c>
      <c r="P23" s="37">
        <v>850069</v>
      </c>
      <c r="Q23" s="40">
        <v>850069</v>
      </c>
      <c r="R23" s="41">
        <v>1145382.9705817199</v>
      </c>
      <c r="S23" s="48">
        <v>1</v>
      </c>
      <c r="T23" s="17">
        <f t="shared" si="0"/>
        <v>850069</v>
      </c>
      <c r="U23" s="16" t="str">
        <f t="shared" si="1"/>
        <v>80</v>
      </c>
    </row>
    <row r="24" spans="1:21">
      <c r="A24" s="16" t="s">
        <v>219</v>
      </c>
      <c r="B24" s="39"/>
      <c r="C24" s="39" t="s">
        <v>166</v>
      </c>
      <c r="D24" s="16" t="s">
        <v>167</v>
      </c>
      <c r="E24" s="16" t="s">
        <v>173</v>
      </c>
      <c r="G24" s="16" t="s">
        <v>245</v>
      </c>
      <c r="H24" s="16" t="s">
        <v>172</v>
      </c>
      <c r="I24" s="16">
        <v>-26.172820000000002</v>
      </c>
      <c r="J24" s="16">
        <v>28.043289999999999</v>
      </c>
      <c r="K24" s="16">
        <v>4</v>
      </c>
      <c r="L24" s="37" t="s">
        <v>246</v>
      </c>
      <c r="M24" s="37">
        <v>1</v>
      </c>
      <c r="N24" s="37" t="s">
        <v>88</v>
      </c>
      <c r="O24" s="37">
        <v>5517550</v>
      </c>
      <c r="P24" s="37">
        <v>5517550</v>
      </c>
      <c r="Q24" s="40">
        <v>5517550</v>
      </c>
      <c r="R24" s="41">
        <v>7434346.8698813403</v>
      </c>
      <c r="S24" s="48">
        <v>1</v>
      </c>
      <c r="T24" s="17">
        <f t="shared" si="0"/>
        <v>5517550</v>
      </c>
      <c r="U24" s="16" t="str">
        <f t="shared" si="1"/>
        <v>21</v>
      </c>
    </row>
    <row r="25" spans="1:21">
      <c r="A25" s="16" t="s">
        <v>219</v>
      </c>
      <c r="B25" s="39"/>
      <c r="C25" s="39" t="s">
        <v>166</v>
      </c>
      <c r="D25" s="16" t="s">
        <v>167</v>
      </c>
      <c r="E25" s="16" t="s">
        <v>173</v>
      </c>
      <c r="F25" s="16">
        <v>6</v>
      </c>
      <c r="G25" s="16" t="s">
        <v>245</v>
      </c>
      <c r="H25" s="16" t="s">
        <v>172</v>
      </c>
      <c r="I25" s="16">
        <v>-26.148476299999999</v>
      </c>
      <c r="J25" s="16">
        <v>28.037117500000001</v>
      </c>
      <c r="K25" s="16">
        <v>2</v>
      </c>
      <c r="L25" s="37" t="s">
        <v>246</v>
      </c>
      <c r="M25" s="37">
        <v>1</v>
      </c>
      <c r="N25" s="37" t="s">
        <v>88</v>
      </c>
      <c r="O25" s="37">
        <v>750000</v>
      </c>
      <c r="P25" s="37">
        <v>750000</v>
      </c>
      <c r="Q25" s="40">
        <v>750000</v>
      </c>
      <c r="R25" s="41">
        <v>1010549.99998387</v>
      </c>
      <c r="S25" s="48">
        <v>1</v>
      </c>
      <c r="T25" s="17">
        <f t="shared" si="0"/>
        <v>750000</v>
      </c>
      <c r="U25" s="16" t="str">
        <f t="shared" si="1"/>
        <v>21</v>
      </c>
    </row>
    <row r="26" spans="1:21">
      <c r="A26" s="16" t="s">
        <v>219</v>
      </c>
      <c r="B26" s="39"/>
      <c r="C26" s="39" t="s">
        <v>166</v>
      </c>
      <c r="D26" s="16" t="s">
        <v>167</v>
      </c>
      <c r="E26" s="16" t="s">
        <v>264</v>
      </c>
      <c r="I26" s="16">
        <v>0</v>
      </c>
      <c r="J26" s="16">
        <v>0</v>
      </c>
      <c r="K26" s="16">
        <v>0</v>
      </c>
      <c r="L26" s="37" t="s">
        <v>241</v>
      </c>
      <c r="M26" s="37">
        <v>1</v>
      </c>
      <c r="N26" s="37" t="s">
        <v>88</v>
      </c>
      <c r="O26" s="37">
        <v>13461383.2939725</v>
      </c>
      <c r="P26" s="37">
        <v>13461383.2939725</v>
      </c>
      <c r="Q26" s="40">
        <v>13461383.2939725</v>
      </c>
      <c r="R26" s="41">
        <v>18137867.850009002</v>
      </c>
      <c r="S26" s="48">
        <v>1</v>
      </c>
      <c r="T26" s="17">
        <f t="shared" si="0"/>
        <v>13461383.2939725</v>
      </c>
      <c r="U26" s="16" t="str">
        <f t="shared" si="1"/>
        <v xml:space="preserve"> </v>
      </c>
    </row>
    <row r="27" spans="1:21">
      <c r="A27" s="16" t="s">
        <v>219</v>
      </c>
      <c r="B27" s="39"/>
      <c r="C27" s="39" t="s">
        <v>166</v>
      </c>
      <c r="D27" s="16" t="s">
        <v>167</v>
      </c>
      <c r="E27" s="16" t="s">
        <v>176</v>
      </c>
      <c r="G27" s="16" t="s">
        <v>265</v>
      </c>
      <c r="H27" s="16" t="s">
        <v>169</v>
      </c>
      <c r="I27" s="16">
        <v>-32.788860130000003</v>
      </c>
      <c r="J27" s="16">
        <v>18.808566750000001</v>
      </c>
      <c r="K27" s="16">
        <v>5</v>
      </c>
      <c r="L27" s="37" t="s">
        <v>266</v>
      </c>
      <c r="M27" s="37">
        <v>1</v>
      </c>
      <c r="N27" s="37" t="s">
        <v>88</v>
      </c>
      <c r="O27" s="37">
        <v>3074321</v>
      </c>
      <c r="P27" s="37">
        <v>3074321</v>
      </c>
      <c r="Q27" s="40">
        <v>3074321</v>
      </c>
      <c r="R27" s="41">
        <v>4142340.1153338798</v>
      </c>
      <c r="S27" s="48">
        <v>1</v>
      </c>
      <c r="T27" s="17">
        <f t="shared" si="0"/>
        <v>3074321</v>
      </c>
      <c r="U27" s="16" t="str">
        <f t="shared" si="1"/>
        <v>73</v>
      </c>
    </row>
    <row r="28" spans="1:21">
      <c r="A28" s="16" t="s">
        <v>219</v>
      </c>
      <c r="B28" s="39"/>
      <c r="C28" s="39" t="s">
        <v>166</v>
      </c>
      <c r="D28" s="16" t="s">
        <v>167</v>
      </c>
      <c r="E28" s="16" t="s">
        <v>175</v>
      </c>
      <c r="G28" s="16" t="s">
        <v>267</v>
      </c>
      <c r="H28" s="16" t="s">
        <v>171</v>
      </c>
      <c r="I28" s="16">
        <v>-25.690855729999999</v>
      </c>
      <c r="J28" s="16">
        <v>30.035965090000001</v>
      </c>
      <c r="K28" s="16">
        <v>5</v>
      </c>
      <c r="L28" s="37" t="s">
        <v>268</v>
      </c>
      <c r="M28" s="37">
        <v>1</v>
      </c>
      <c r="N28" s="37" t="s">
        <v>88</v>
      </c>
      <c r="O28" s="37">
        <v>808214</v>
      </c>
      <c r="P28" s="37">
        <v>808214</v>
      </c>
      <c r="Q28" s="40">
        <v>808213.99999999895</v>
      </c>
      <c r="R28" s="41">
        <v>1088987.5435826101</v>
      </c>
      <c r="S28" s="48">
        <v>1</v>
      </c>
      <c r="T28" s="17">
        <f t="shared" si="0"/>
        <v>808214</v>
      </c>
      <c r="U28" s="16" t="str">
        <f t="shared" si="1"/>
        <v>11</v>
      </c>
    </row>
    <row r="29" spans="1:21">
      <c r="A29" s="16" t="s">
        <v>219</v>
      </c>
      <c r="B29" s="39"/>
      <c r="C29" s="39" t="s">
        <v>166</v>
      </c>
      <c r="D29" s="16" t="s">
        <v>167</v>
      </c>
      <c r="E29" s="16" t="s">
        <v>269</v>
      </c>
      <c r="I29" s="16">
        <v>0</v>
      </c>
      <c r="J29" s="16">
        <v>0</v>
      </c>
      <c r="K29" s="16">
        <v>0</v>
      </c>
      <c r="L29" s="37" t="s">
        <v>241</v>
      </c>
      <c r="M29" s="37">
        <v>1</v>
      </c>
      <c r="N29" s="37" t="s">
        <v>88</v>
      </c>
      <c r="O29" s="37">
        <v>5409576</v>
      </c>
      <c r="P29" s="37">
        <v>5409576</v>
      </c>
      <c r="Q29" s="40">
        <v>5409576</v>
      </c>
      <c r="R29" s="41">
        <v>7288862.7022836702</v>
      </c>
      <c r="S29" s="48">
        <v>1</v>
      </c>
      <c r="T29" s="17">
        <f t="shared" si="0"/>
        <v>5409576</v>
      </c>
      <c r="U29" s="16" t="str">
        <f t="shared" si="1"/>
        <v xml:space="preserve"> </v>
      </c>
    </row>
    <row r="30" spans="1:21">
      <c r="A30" s="16" t="s">
        <v>219</v>
      </c>
      <c r="B30" s="39"/>
      <c r="C30" s="39" t="s">
        <v>166</v>
      </c>
      <c r="D30" s="16" t="s">
        <v>167</v>
      </c>
      <c r="E30" s="16" t="s">
        <v>257</v>
      </c>
      <c r="I30" s="16">
        <v>0</v>
      </c>
      <c r="J30" s="16">
        <v>0</v>
      </c>
      <c r="K30" s="16">
        <v>0</v>
      </c>
      <c r="L30" s="37" t="s">
        <v>241</v>
      </c>
      <c r="M30" s="37">
        <v>1</v>
      </c>
      <c r="N30" s="37" t="s">
        <v>88</v>
      </c>
      <c r="O30" s="37">
        <v>10819939</v>
      </c>
      <c r="P30" s="37">
        <v>10819939</v>
      </c>
      <c r="Q30" s="40">
        <v>10819939</v>
      </c>
      <c r="R30" s="41">
        <v>14578785.808367301</v>
      </c>
      <c r="S30" s="48">
        <v>1</v>
      </c>
      <c r="T30" s="17">
        <f t="shared" si="0"/>
        <v>10819939</v>
      </c>
      <c r="U30" s="16" t="str">
        <f t="shared" si="1"/>
        <v xml:space="preserve"> </v>
      </c>
    </row>
    <row r="31" spans="1:21">
      <c r="A31" s="16" t="s">
        <v>219</v>
      </c>
      <c r="B31" s="39"/>
      <c r="C31" s="39" t="s">
        <v>166</v>
      </c>
      <c r="D31" s="16" t="s">
        <v>167</v>
      </c>
      <c r="E31" s="16" t="s">
        <v>270</v>
      </c>
      <c r="I31" s="16">
        <v>0</v>
      </c>
      <c r="J31" s="16">
        <v>0</v>
      </c>
      <c r="K31" s="16">
        <v>0</v>
      </c>
      <c r="L31" s="37" t="s">
        <v>241</v>
      </c>
      <c r="M31" s="37">
        <v>1</v>
      </c>
      <c r="N31" s="37" t="s">
        <v>88</v>
      </c>
      <c r="O31" s="37">
        <v>9584672</v>
      </c>
      <c r="P31" s="37">
        <v>9584672</v>
      </c>
      <c r="Q31" s="40">
        <v>9584672</v>
      </c>
      <c r="R31" s="41">
        <v>12914387.052593799</v>
      </c>
      <c r="S31" s="48">
        <v>1</v>
      </c>
      <c r="T31" s="17">
        <f t="shared" si="0"/>
        <v>9584672</v>
      </c>
      <c r="U31" s="16" t="str">
        <f t="shared" si="1"/>
        <v xml:space="preserve"> </v>
      </c>
    </row>
    <row r="32" spans="1:21">
      <c r="A32" s="16" t="s">
        <v>219</v>
      </c>
      <c r="B32" s="39"/>
      <c r="C32" s="39" t="s">
        <v>166</v>
      </c>
      <c r="D32" s="16" t="s">
        <v>167</v>
      </c>
      <c r="E32" s="16" t="s">
        <v>271</v>
      </c>
      <c r="F32" s="16">
        <v>8</v>
      </c>
      <c r="G32" s="16" t="s">
        <v>243</v>
      </c>
      <c r="H32" s="16" t="s">
        <v>169</v>
      </c>
      <c r="I32" s="16">
        <v>-33.928171900000002</v>
      </c>
      <c r="J32" s="16">
        <v>18.442952300000002</v>
      </c>
      <c r="K32" s="16">
        <v>2</v>
      </c>
      <c r="L32" s="37" t="s">
        <v>244</v>
      </c>
      <c r="M32" s="37">
        <v>1</v>
      </c>
      <c r="N32" s="37" t="s">
        <v>88</v>
      </c>
      <c r="O32" s="37">
        <v>537379.69885226898</v>
      </c>
      <c r="P32" s="37">
        <v>537379.69885226898</v>
      </c>
      <c r="Q32" s="40">
        <v>537379.69885226898</v>
      </c>
      <c r="R32" s="41">
        <v>724065.40622199106</v>
      </c>
      <c r="S32" s="48">
        <v>1</v>
      </c>
      <c r="T32" s="17">
        <f t="shared" si="0"/>
        <v>537379.69885226898</v>
      </c>
      <c r="U32" s="16" t="str">
        <f t="shared" si="1"/>
        <v>79</v>
      </c>
    </row>
    <row r="33" spans="1:21">
      <c r="A33" s="16" t="s">
        <v>219</v>
      </c>
      <c r="B33" s="39"/>
      <c r="C33" s="39" t="s">
        <v>166</v>
      </c>
      <c r="D33" s="16" t="s">
        <v>167</v>
      </c>
      <c r="E33" s="16" t="s">
        <v>174</v>
      </c>
      <c r="G33" s="16" t="s">
        <v>272</v>
      </c>
      <c r="H33" s="16" t="s">
        <v>172</v>
      </c>
      <c r="I33" s="16">
        <v>-25.75638</v>
      </c>
      <c r="J33" s="16">
        <v>28.22738</v>
      </c>
      <c r="K33" s="16">
        <v>2</v>
      </c>
      <c r="L33" s="37" t="s">
        <v>273</v>
      </c>
      <c r="M33" s="37">
        <v>1</v>
      </c>
      <c r="N33" s="37" t="s">
        <v>88</v>
      </c>
      <c r="O33" s="37">
        <v>1479170.66388168</v>
      </c>
      <c r="P33" s="37">
        <v>1479170.66388168</v>
      </c>
      <c r="Q33" s="40">
        <v>1479170.66388168</v>
      </c>
      <c r="R33" s="41">
        <v>1993034.55248236</v>
      </c>
      <c r="S33" s="48">
        <v>1</v>
      </c>
      <c r="T33" s="17">
        <f t="shared" si="0"/>
        <v>1479170.66388168</v>
      </c>
      <c r="U33" s="16" t="str">
        <f t="shared" si="1"/>
        <v>00</v>
      </c>
    </row>
    <row r="34" spans="1:21">
      <c r="A34" s="16" t="s">
        <v>219</v>
      </c>
      <c r="B34" s="39"/>
      <c r="C34" s="39" t="s">
        <v>166</v>
      </c>
      <c r="D34" s="16" t="s">
        <v>167</v>
      </c>
      <c r="E34" s="16" t="s">
        <v>168</v>
      </c>
      <c r="G34" s="16" t="s">
        <v>250</v>
      </c>
      <c r="H34" s="16" t="s">
        <v>169</v>
      </c>
      <c r="I34" s="16">
        <v>-33.965980000000002</v>
      </c>
      <c r="J34" s="16">
        <v>18.846160000000001</v>
      </c>
      <c r="K34" s="16">
        <v>4</v>
      </c>
      <c r="L34" s="37" t="s">
        <v>251</v>
      </c>
      <c r="M34" s="37">
        <v>1</v>
      </c>
      <c r="N34" s="37" t="s">
        <v>88</v>
      </c>
      <c r="O34" s="37">
        <v>7493762.0952667203</v>
      </c>
      <c r="P34" s="37">
        <v>7493762.0952667203</v>
      </c>
      <c r="Q34" s="40">
        <v>7493762.0952667203</v>
      </c>
      <c r="R34" s="41">
        <v>10097095.0470012</v>
      </c>
      <c r="S34" s="48">
        <v>1</v>
      </c>
      <c r="T34" s="17">
        <f t="shared" si="0"/>
        <v>7493762.0952667203</v>
      </c>
      <c r="U34" s="16" t="str">
        <f t="shared" si="1"/>
        <v>76</v>
      </c>
    </row>
    <row r="35" spans="1:21">
      <c r="A35" s="16" t="s">
        <v>219</v>
      </c>
      <c r="B35" s="39"/>
      <c r="C35" s="39" t="s">
        <v>166</v>
      </c>
      <c r="D35" s="16" t="s">
        <v>167</v>
      </c>
      <c r="E35" s="16" t="s">
        <v>235</v>
      </c>
      <c r="G35" s="16" t="s">
        <v>274</v>
      </c>
      <c r="H35" s="16" t="s">
        <v>236</v>
      </c>
      <c r="I35" s="16">
        <v>-28.743680000000001</v>
      </c>
      <c r="J35" s="16">
        <v>24.76887</v>
      </c>
      <c r="K35" s="16">
        <v>2</v>
      </c>
      <c r="L35" s="37" t="s">
        <v>275</v>
      </c>
      <c r="M35" s="37">
        <v>1</v>
      </c>
      <c r="N35" s="37" t="s">
        <v>88</v>
      </c>
      <c r="O35" s="37">
        <v>3367140.4890827201</v>
      </c>
      <c r="P35" s="37">
        <v>3367140.4890827201</v>
      </c>
      <c r="Q35" s="40">
        <v>3367140.4890827201</v>
      </c>
      <c r="R35" s="41">
        <v>4536885.0949176401</v>
      </c>
      <c r="S35" s="48">
        <v>1</v>
      </c>
      <c r="T35" s="17">
        <f t="shared" si="0"/>
        <v>3367140.4890827201</v>
      </c>
      <c r="U35" s="16" t="str">
        <f t="shared" si="1"/>
        <v>83</v>
      </c>
    </row>
    <row r="36" spans="1:21">
      <c r="A36" s="16" t="s">
        <v>219</v>
      </c>
      <c r="B36" s="39"/>
      <c r="C36" s="39" t="s">
        <v>166</v>
      </c>
      <c r="D36" s="16" t="s">
        <v>167</v>
      </c>
      <c r="E36" s="16" t="s">
        <v>235</v>
      </c>
      <c r="G36" s="16" t="s">
        <v>274</v>
      </c>
      <c r="H36" s="16" t="s">
        <v>236</v>
      </c>
      <c r="I36" s="16">
        <v>-28.743680000000001</v>
      </c>
      <c r="J36" s="16">
        <v>24.76887</v>
      </c>
      <c r="K36" s="16">
        <v>2</v>
      </c>
      <c r="L36" s="37" t="s">
        <v>275</v>
      </c>
      <c r="M36" s="37">
        <v>1</v>
      </c>
      <c r="N36" s="37" t="s">
        <v>88</v>
      </c>
      <c r="O36" s="37">
        <v>1106073.75317446</v>
      </c>
      <c r="P36" s="37">
        <v>1106073.75317446</v>
      </c>
      <c r="Q36" s="40">
        <v>1106073.75317446</v>
      </c>
      <c r="R36" s="41">
        <v>1490323.77500348</v>
      </c>
      <c r="S36" s="48">
        <v>1</v>
      </c>
      <c r="T36" s="17">
        <f t="shared" si="0"/>
        <v>1106073.75317446</v>
      </c>
      <c r="U36" s="16" t="str">
        <f t="shared" si="1"/>
        <v>83</v>
      </c>
    </row>
    <row r="37" spans="1:21">
      <c r="A37" s="16" t="s">
        <v>219</v>
      </c>
      <c r="B37" s="39"/>
      <c r="C37" s="39" t="s">
        <v>166</v>
      </c>
      <c r="D37" s="16" t="s">
        <v>167</v>
      </c>
      <c r="E37" s="16" t="s">
        <v>173</v>
      </c>
      <c r="G37" s="16" t="s">
        <v>245</v>
      </c>
      <c r="H37" s="16" t="s">
        <v>172</v>
      </c>
      <c r="I37" s="16">
        <v>-26.170970000000001</v>
      </c>
      <c r="J37" s="16">
        <v>28.044339999999998</v>
      </c>
      <c r="K37" s="16">
        <v>4</v>
      </c>
      <c r="L37" s="37" t="s">
        <v>246</v>
      </c>
      <c r="M37" s="37">
        <v>1</v>
      </c>
      <c r="N37" s="37" t="s">
        <v>88</v>
      </c>
      <c r="O37" s="37">
        <v>443000</v>
      </c>
      <c r="P37" s="37">
        <v>443000</v>
      </c>
      <c r="Q37" s="40">
        <v>443000</v>
      </c>
      <c r="R37" s="41">
        <v>596898.19999047299</v>
      </c>
      <c r="S37" s="48">
        <v>1</v>
      </c>
      <c r="T37" s="17">
        <f t="shared" si="0"/>
        <v>443000</v>
      </c>
      <c r="U37" s="16" t="str">
        <f t="shared" si="1"/>
        <v>21</v>
      </c>
    </row>
    <row r="38" spans="1:21">
      <c r="A38" s="16" t="s">
        <v>276</v>
      </c>
      <c r="B38" s="39"/>
      <c r="C38" s="39" t="s">
        <v>166</v>
      </c>
      <c r="D38" s="16" t="s">
        <v>167</v>
      </c>
      <c r="E38" s="16" t="s">
        <v>270</v>
      </c>
      <c r="I38" s="16">
        <v>0</v>
      </c>
      <c r="J38" s="16">
        <v>0</v>
      </c>
      <c r="K38" s="16">
        <v>0</v>
      </c>
      <c r="L38" s="37" t="s">
        <v>241</v>
      </c>
      <c r="M38" s="37">
        <v>0.5</v>
      </c>
      <c r="N38" s="37" t="s">
        <v>88</v>
      </c>
      <c r="O38" s="37">
        <v>3008468.8397839898</v>
      </c>
      <c r="P38" s="37">
        <v>1504234.41989199</v>
      </c>
      <c r="Q38" s="40">
        <v>3008468.8397839898</v>
      </c>
      <c r="R38" s="41">
        <v>2026805.45733012</v>
      </c>
      <c r="S38" s="48">
        <v>1</v>
      </c>
      <c r="T38" s="17">
        <f t="shared" si="0"/>
        <v>3008468.8397839898</v>
      </c>
      <c r="U38" s="16" t="str">
        <f t="shared" si="1"/>
        <v xml:space="preserve"> </v>
      </c>
    </row>
    <row r="39" spans="1:21">
      <c r="A39" s="16" t="s">
        <v>276</v>
      </c>
      <c r="B39" s="39"/>
      <c r="C39" s="39" t="s">
        <v>166</v>
      </c>
      <c r="D39" s="16" t="s">
        <v>167</v>
      </c>
      <c r="E39" s="16" t="s">
        <v>168</v>
      </c>
      <c r="G39" s="16" t="s">
        <v>243</v>
      </c>
      <c r="H39" s="16" t="s">
        <v>169</v>
      </c>
      <c r="I39" s="16">
        <v>-34.079250000000002</v>
      </c>
      <c r="J39" s="16">
        <v>18.444389999999999</v>
      </c>
      <c r="K39" s="16">
        <v>4</v>
      </c>
      <c r="L39" s="37" t="s">
        <v>244</v>
      </c>
      <c r="M39" s="37">
        <v>0.5</v>
      </c>
      <c r="N39" s="37" t="s">
        <v>88</v>
      </c>
      <c r="O39" s="37">
        <v>808507.54200048104</v>
      </c>
      <c r="P39" s="37">
        <v>404253.77100024</v>
      </c>
      <c r="Q39" s="40">
        <v>808507.54200048104</v>
      </c>
      <c r="R39" s="41">
        <v>544691.53103703004</v>
      </c>
      <c r="S39" s="48">
        <v>1</v>
      </c>
      <c r="T39" s="17">
        <f t="shared" si="0"/>
        <v>808507.54200048104</v>
      </c>
      <c r="U39" s="16" t="str">
        <f t="shared" si="1"/>
        <v>79</v>
      </c>
    </row>
    <row r="40" spans="1:21">
      <c r="A40" s="16" t="s">
        <v>276</v>
      </c>
      <c r="B40" s="39"/>
      <c r="C40" s="39" t="s">
        <v>166</v>
      </c>
      <c r="D40" s="16" t="s">
        <v>167</v>
      </c>
      <c r="E40" s="16" t="s">
        <v>168</v>
      </c>
      <c r="G40" s="16" t="s">
        <v>243</v>
      </c>
      <c r="H40" s="16" t="s">
        <v>169</v>
      </c>
      <c r="I40" s="16">
        <v>-33.95411</v>
      </c>
      <c r="J40" s="16">
        <v>18.703060000000001</v>
      </c>
      <c r="K40" s="16">
        <v>2</v>
      </c>
      <c r="L40" s="37" t="s">
        <v>247</v>
      </c>
      <c r="M40" s="37">
        <v>0.5</v>
      </c>
      <c r="N40" s="37" t="s">
        <v>88</v>
      </c>
      <c r="O40" s="37">
        <v>128478.35523022299</v>
      </c>
      <c r="P40" s="37">
        <v>64239.177615111497</v>
      </c>
      <c r="Q40" s="40">
        <v>128478.35523022299</v>
      </c>
      <c r="R40" s="41">
        <v>86555.867917219803</v>
      </c>
      <c r="S40" s="48">
        <v>1</v>
      </c>
      <c r="T40" s="17">
        <f t="shared" si="0"/>
        <v>128478.35523022299</v>
      </c>
      <c r="U40" s="16" t="str">
        <f t="shared" si="1"/>
        <v>75</v>
      </c>
    </row>
    <row r="41" spans="1:21">
      <c r="A41" s="16" t="s">
        <v>276</v>
      </c>
      <c r="B41" s="39"/>
      <c r="C41" s="39" t="s">
        <v>166</v>
      </c>
      <c r="D41" s="16" t="s">
        <v>167</v>
      </c>
      <c r="E41" s="16" t="s">
        <v>168</v>
      </c>
      <c r="G41" s="16" t="s">
        <v>243</v>
      </c>
      <c r="H41" s="16" t="s">
        <v>169</v>
      </c>
      <c r="I41" s="16">
        <v>-33.900680000000001</v>
      </c>
      <c r="J41" s="16">
        <v>18.405059999999999</v>
      </c>
      <c r="K41" s="16">
        <v>2</v>
      </c>
      <c r="L41" s="37" t="s">
        <v>259</v>
      </c>
      <c r="M41" s="37">
        <v>0.5</v>
      </c>
      <c r="N41" s="37" t="s">
        <v>88</v>
      </c>
      <c r="O41" s="37">
        <v>3115.5090366883001</v>
      </c>
      <c r="P41" s="37">
        <v>1557.7545183441</v>
      </c>
      <c r="Q41" s="40">
        <v>3115.5090366883001</v>
      </c>
      <c r="R41" s="41">
        <v>2098.9184379834001</v>
      </c>
      <c r="S41" s="48">
        <v>1</v>
      </c>
      <c r="T41" s="17">
        <f t="shared" si="0"/>
        <v>3115.5090366883001</v>
      </c>
      <c r="U41" s="16" t="str">
        <f t="shared" si="1"/>
        <v>80</v>
      </c>
    </row>
    <row r="42" spans="1:21">
      <c r="A42" s="16" t="s">
        <v>276</v>
      </c>
      <c r="B42" s="39"/>
      <c r="C42" s="39" t="s">
        <v>166</v>
      </c>
      <c r="D42" s="16" t="s">
        <v>167</v>
      </c>
      <c r="E42" s="16" t="s">
        <v>173</v>
      </c>
      <c r="G42" s="16" t="s">
        <v>245</v>
      </c>
      <c r="H42" s="16" t="s">
        <v>172</v>
      </c>
      <c r="I42" s="16">
        <v>-26.238969999999998</v>
      </c>
      <c r="J42" s="16">
        <v>28.008040000000001</v>
      </c>
      <c r="K42" s="16">
        <v>4</v>
      </c>
      <c r="L42" s="37" t="s">
        <v>246</v>
      </c>
      <c r="M42" s="37">
        <v>0.5</v>
      </c>
      <c r="N42" s="37" t="s">
        <v>88</v>
      </c>
      <c r="O42" s="37">
        <v>46350.2419621234</v>
      </c>
      <c r="P42" s="37">
        <v>23175.1209810617</v>
      </c>
      <c r="Q42" s="40">
        <v>46350.2419621234</v>
      </c>
      <c r="R42" s="41">
        <v>31226.158009384199</v>
      </c>
      <c r="S42" s="48">
        <v>1</v>
      </c>
      <c r="T42" s="17">
        <f t="shared" si="0"/>
        <v>46350.2419621234</v>
      </c>
      <c r="U42" s="16" t="str">
        <f t="shared" si="1"/>
        <v>21</v>
      </c>
    </row>
    <row r="43" spans="1:21">
      <c r="A43" s="16" t="s">
        <v>276</v>
      </c>
      <c r="B43" s="39"/>
      <c r="C43" s="39" t="s">
        <v>166</v>
      </c>
      <c r="D43" s="16" t="s">
        <v>167</v>
      </c>
      <c r="E43" s="16" t="s">
        <v>277</v>
      </c>
      <c r="G43" s="16" t="s">
        <v>245</v>
      </c>
      <c r="H43" s="16" t="s">
        <v>172</v>
      </c>
      <c r="I43" s="16">
        <v>-26.115220000000001</v>
      </c>
      <c r="J43" s="16">
        <v>28.04766</v>
      </c>
      <c r="K43" s="16">
        <v>2</v>
      </c>
      <c r="L43" s="37" t="s">
        <v>246</v>
      </c>
      <c r="M43" s="37">
        <v>0.5</v>
      </c>
      <c r="N43" s="37" t="s">
        <v>88</v>
      </c>
      <c r="O43" s="37">
        <v>1421959.2902232299</v>
      </c>
      <c r="P43" s="37">
        <v>710979.64511161495</v>
      </c>
      <c r="Q43" s="40">
        <v>1421959.2902232299</v>
      </c>
      <c r="R43" s="41">
        <v>957973.97380809998</v>
      </c>
      <c r="S43" s="48">
        <v>1</v>
      </c>
      <c r="T43" s="17">
        <f t="shared" si="0"/>
        <v>1421959.2902232299</v>
      </c>
      <c r="U43" s="16" t="str">
        <f t="shared" si="1"/>
        <v>21</v>
      </c>
    </row>
    <row r="44" spans="1:21">
      <c r="A44" s="16" t="s">
        <v>276</v>
      </c>
      <c r="B44" s="39"/>
      <c r="C44" s="39" t="s">
        <v>166</v>
      </c>
      <c r="D44" s="16" t="s">
        <v>167</v>
      </c>
      <c r="E44" s="16" t="s">
        <v>253</v>
      </c>
      <c r="I44" s="16">
        <v>0</v>
      </c>
      <c r="J44" s="16">
        <v>0</v>
      </c>
      <c r="K44" s="16">
        <v>0</v>
      </c>
      <c r="L44" s="37" t="s">
        <v>241</v>
      </c>
      <c r="M44" s="37">
        <v>0.5</v>
      </c>
      <c r="N44" s="37" t="s">
        <v>88</v>
      </c>
      <c r="O44" s="37">
        <v>837700.70139743295</v>
      </c>
      <c r="P44" s="37">
        <v>418850.35069871601</v>
      </c>
      <c r="Q44" s="40">
        <v>837700.70139743295</v>
      </c>
      <c r="R44" s="41">
        <v>564358.96252244303</v>
      </c>
      <c r="S44" s="48">
        <v>1</v>
      </c>
      <c r="T44" s="17">
        <f t="shared" si="0"/>
        <v>837700.70139743295</v>
      </c>
      <c r="U44" s="16" t="str">
        <f t="shared" si="1"/>
        <v xml:space="preserve"> </v>
      </c>
    </row>
    <row r="45" spans="1:21">
      <c r="A45" s="16" t="s">
        <v>276</v>
      </c>
      <c r="B45" s="39"/>
      <c r="C45" s="39" t="s">
        <v>166</v>
      </c>
      <c r="D45" s="16" t="s">
        <v>167</v>
      </c>
      <c r="E45" s="16" t="s">
        <v>270</v>
      </c>
      <c r="I45" s="16">
        <v>0</v>
      </c>
      <c r="J45" s="16">
        <v>0</v>
      </c>
      <c r="K45" s="16">
        <v>0</v>
      </c>
      <c r="L45" s="37" t="s">
        <v>241</v>
      </c>
      <c r="M45" s="37">
        <v>0.5</v>
      </c>
      <c r="N45" s="37" t="s">
        <v>88</v>
      </c>
      <c r="O45" s="37">
        <v>201599.43491027199</v>
      </c>
      <c r="P45" s="37">
        <v>100799.71745513599</v>
      </c>
      <c r="Q45" s="40">
        <v>201599.43491027199</v>
      </c>
      <c r="R45" s="41">
        <v>135817.53929688199</v>
      </c>
      <c r="S45" s="48">
        <v>1</v>
      </c>
      <c r="T45" s="17">
        <f t="shared" si="0"/>
        <v>201599.43491027199</v>
      </c>
      <c r="U45" s="16" t="str">
        <f t="shared" si="1"/>
        <v xml:space="preserve"> </v>
      </c>
    </row>
    <row r="46" spans="1:21">
      <c r="A46" s="16" t="s">
        <v>276</v>
      </c>
      <c r="B46" s="39"/>
      <c r="C46" s="16" t="s">
        <v>166</v>
      </c>
      <c r="D46" s="16" t="s">
        <v>167</v>
      </c>
      <c r="E46" s="16" t="s">
        <v>177</v>
      </c>
      <c r="G46" s="16" t="s">
        <v>272</v>
      </c>
      <c r="H46" s="16" t="s">
        <v>172</v>
      </c>
      <c r="I46" s="16">
        <v>-25.822009999999999</v>
      </c>
      <c r="J46" s="16">
        <v>28.381409999999999</v>
      </c>
      <c r="K46" s="16">
        <v>4</v>
      </c>
      <c r="L46" s="37" t="s">
        <v>273</v>
      </c>
      <c r="M46" s="37">
        <v>0.5</v>
      </c>
      <c r="N46" s="37" t="s">
        <v>88</v>
      </c>
      <c r="O46" s="37">
        <v>23304620.867630199</v>
      </c>
      <c r="P46" s="37">
        <v>11652310.433815099</v>
      </c>
      <c r="Q46" s="40">
        <v>23304620.867630199</v>
      </c>
      <c r="R46" s="41">
        <v>15700323.078271801</v>
      </c>
      <c r="S46" s="48">
        <v>1</v>
      </c>
      <c r="T46" s="17">
        <f t="shared" si="0"/>
        <v>23304620.867630199</v>
      </c>
      <c r="U46" s="16" t="str">
        <f t="shared" si="1"/>
        <v>00</v>
      </c>
    </row>
    <row r="47" spans="1:21">
      <c r="A47" s="16" t="s">
        <v>227</v>
      </c>
      <c r="C47" s="16" t="s">
        <v>166</v>
      </c>
      <c r="D47" s="16" t="s">
        <v>167</v>
      </c>
      <c r="E47" s="16" t="s">
        <v>168</v>
      </c>
      <c r="F47" s="16">
        <v>8</v>
      </c>
      <c r="G47" s="16" t="s">
        <v>243</v>
      </c>
      <c r="H47" s="16" t="s">
        <v>169</v>
      </c>
      <c r="I47" s="16">
        <v>-33.987911599999997</v>
      </c>
      <c r="J47" s="16">
        <v>18.444462999999999</v>
      </c>
      <c r="K47" s="16">
        <v>2</v>
      </c>
      <c r="L47" s="37" t="s">
        <v>278</v>
      </c>
      <c r="M47" s="37">
        <v>1</v>
      </c>
      <c r="N47" s="37" t="s">
        <v>88</v>
      </c>
      <c r="O47" s="37">
        <v>9135904</v>
      </c>
      <c r="P47" s="37">
        <v>9135904</v>
      </c>
      <c r="Q47" s="40">
        <v>9135904</v>
      </c>
      <c r="R47" s="41">
        <v>12309717.0494035</v>
      </c>
      <c r="S47" s="48">
        <v>1</v>
      </c>
      <c r="T47" s="17">
        <f t="shared" si="0"/>
        <v>9135904</v>
      </c>
      <c r="U47" s="16" t="str">
        <f t="shared" si="1"/>
        <v>77</v>
      </c>
    </row>
    <row r="48" spans="1:21">
      <c r="A48" s="16" t="s">
        <v>227</v>
      </c>
      <c r="C48" s="16" t="s">
        <v>166</v>
      </c>
      <c r="D48" s="16" t="s">
        <v>167</v>
      </c>
      <c r="E48" s="16" t="s">
        <v>257</v>
      </c>
      <c r="I48" s="16">
        <v>0</v>
      </c>
      <c r="J48" s="16">
        <v>0</v>
      </c>
      <c r="K48" s="16">
        <v>0</v>
      </c>
      <c r="L48" s="37" t="s">
        <v>241</v>
      </c>
      <c r="M48" s="37">
        <v>1</v>
      </c>
      <c r="N48" s="37" t="s">
        <v>88</v>
      </c>
      <c r="O48" s="37">
        <v>14995716</v>
      </c>
      <c r="P48" s="37">
        <v>14995716</v>
      </c>
      <c r="Q48" s="47">
        <v>14995716</v>
      </c>
      <c r="R48" s="37">
        <v>20205227.738077499</v>
      </c>
      <c r="S48" s="48">
        <v>1</v>
      </c>
      <c r="T48" s="17">
        <f t="shared" si="0"/>
        <v>14995716</v>
      </c>
      <c r="U48" s="16" t="str">
        <f t="shared" si="1"/>
        <v xml:space="preserve"> </v>
      </c>
    </row>
    <row r="49" spans="1:21">
      <c r="A49" s="16" t="s">
        <v>228</v>
      </c>
      <c r="C49" s="16" t="s">
        <v>166</v>
      </c>
      <c r="D49" s="16" t="s">
        <v>167</v>
      </c>
      <c r="E49" s="16" t="s">
        <v>170</v>
      </c>
      <c r="G49" s="16" t="s">
        <v>279</v>
      </c>
      <c r="H49" s="16" t="s">
        <v>171</v>
      </c>
      <c r="I49" s="16">
        <v>-24.65906</v>
      </c>
      <c r="J49" s="16">
        <v>30.933540000000001</v>
      </c>
      <c r="K49" s="16">
        <v>5</v>
      </c>
      <c r="L49" s="37" t="s">
        <v>280</v>
      </c>
      <c r="M49" s="37">
        <v>1</v>
      </c>
      <c r="N49" s="37" t="s">
        <v>88</v>
      </c>
      <c r="O49" s="37">
        <v>2503591</v>
      </c>
      <c r="P49" s="37">
        <v>2503591</v>
      </c>
      <c r="Q49" s="47">
        <v>2503591</v>
      </c>
      <c r="R49" s="37">
        <v>3373338.5133461598</v>
      </c>
      <c r="S49" s="48">
        <v>1</v>
      </c>
      <c r="T49" s="17">
        <f t="shared" si="0"/>
        <v>2503591</v>
      </c>
      <c r="U49" s="16" t="str">
        <f t="shared" si="1"/>
        <v>12</v>
      </c>
    </row>
    <row r="50" spans="1:21">
      <c r="A50" s="16" t="s">
        <v>231</v>
      </c>
      <c r="C50" s="16" t="s">
        <v>166</v>
      </c>
      <c r="D50" s="16" t="s">
        <v>167</v>
      </c>
      <c r="E50" s="16" t="s">
        <v>168</v>
      </c>
      <c r="G50" s="16" t="s">
        <v>243</v>
      </c>
      <c r="H50" s="16" t="s">
        <v>169</v>
      </c>
      <c r="I50" s="16">
        <v>-33.920833330000001</v>
      </c>
      <c r="J50" s="16">
        <v>18.420833330000001</v>
      </c>
      <c r="K50" s="16">
        <v>5</v>
      </c>
      <c r="L50" s="37" t="s">
        <v>259</v>
      </c>
      <c r="M50" s="37">
        <v>1</v>
      </c>
      <c r="N50" s="37" t="s">
        <v>88</v>
      </c>
      <c r="O50" s="37">
        <v>520000</v>
      </c>
      <c r="P50" s="37">
        <v>520000</v>
      </c>
      <c r="Q50" s="47">
        <v>520000</v>
      </c>
      <c r="R50" s="37">
        <v>700647.99998881703</v>
      </c>
      <c r="S50" s="48">
        <v>1</v>
      </c>
      <c r="T50" s="17">
        <f t="shared" si="0"/>
        <v>520000</v>
      </c>
      <c r="U50" s="16" t="str">
        <f t="shared" si="1"/>
        <v>80</v>
      </c>
    </row>
    <row r="51" spans="1:21">
      <c r="T51" s="17"/>
      <c r="U51" s="16" t="str">
        <f t="shared" si="1"/>
        <v/>
      </c>
    </row>
    <row r="52" spans="1:21">
      <c r="T52" s="17"/>
      <c r="U52" s="16" t="str">
        <f t="shared" si="1"/>
        <v/>
      </c>
    </row>
    <row r="53" spans="1:21">
      <c r="T53" s="17"/>
      <c r="U53" s="16" t="str">
        <f t="shared" si="1"/>
        <v/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4316-B26C-42F0-BCEA-776495118BB3}">
  <dimension ref="A1:E54"/>
  <sheetViews>
    <sheetView workbookViewId="0">
      <selection activeCell="K24" sqref="K24"/>
    </sheetView>
  </sheetViews>
  <sheetFormatPr defaultRowHeight="12.7"/>
  <cols>
    <col min="1" max="1" width="21.5546875" bestFit="1" customWidth="1"/>
    <col min="2" max="2" width="25.44140625" bestFit="1" customWidth="1"/>
    <col min="3" max="3" width="23.77734375" bestFit="1" customWidth="1"/>
  </cols>
  <sheetData>
    <row r="1" spans="1:5">
      <c r="A1" s="1" t="s">
        <v>117</v>
      </c>
      <c r="B1" s="1" t="s">
        <v>183</v>
      </c>
      <c r="C1" s="1" t="s">
        <v>184</v>
      </c>
      <c r="D1" s="1" t="s">
        <v>185</v>
      </c>
      <c r="E1" s="1" t="s">
        <v>186</v>
      </c>
    </row>
    <row r="2" spans="1:5">
      <c r="A2" s="1" t="s">
        <v>187</v>
      </c>
      <c r="B2" s="1">
        <v>1.0996945292974201</v>
      </c>
      <c r="C2" s="1">
        <v>1.12721213804246</v>
      </c>
      <c r="D2" s="1">
        <v>1.1547297467875099</v>
      </c>
      <c r="E2" s="1">
        <v>1.2206205346999599</v>
      </c>
    </row>
    <row r="3" spans="1:5">
      <c r="A3" s="1" t="s">
        <v>188</v>
      </c>
      <c r="B3" s="1">
        <v>1.01226849398938</v>
      </c>
      <c r="C3" s="1">
        <v>1.0400845372234599</v>
      </c>
      <c r="D3" s="1">
        <v>1.0679005804575401</v>
      </c>
      <c r="E3" s="1">
        <v>1.1241213662534</v>
      </c>
    </row>
    <row r="4" spans="1:5">
      <c r="A4" s="1" t="s">
        <v>189</v>
      </c>
      <c r="B4" s="1">
        <v>1.01226849398938</v>
      </c>
      <c r="C4" s="1">
        <v>1.0400845372234599</v>
      </c>
      <c r="D4" s="1">
        <v>1.0679005804575401</v>
      </c>
      <c r="E4" s="1">
        <v>1.1241213662534</v>
      </c>
    </row>
    <row r="5" spans="1:5">
      <c r="A5" s="1" t="s">
        <v>190</v>
      </c>
      <c r="B5" s="1">
        <v>1.14172726113025</v>
      </c>
      <c r="C5" s="1">
        <v>1.13853807883659</v>
      </c>
      <c r="D5" s="1">
        <v>1.1353488965429299</v>
      </c>
      <c r="E5" s="1">
        <v>1.12897053195561</v>
      </c>
    </row>
    <row r="6" spans="1:5">
      <c r="A6" s="1" t="s">
        <v>191</v>
      </c>
      <c r="B6" s="1">
        <v>1.14172726113025</v>
      </c>
      <c r="C6" s="1">
        <v>1.13853807883659</v>
      </c>
      <c r="D6" s="1">
        <v>1.1353488965429299</v>
      </c>
      <c r="E6" s="1">
        <v>1.12897053195561</v>
      </c>
    </row>
    <row r="7" spans="1:5">
      <c r="A7" s="1" t="s">
        <v>192</v>
      </c>
      <c r="B7" s="1">
        <v>0.96767420479253996</v>
      </c>
      <c r="C7" s="1">
        <v>0.98024496238815795</v>
      </c>
      <c r="D7" s="1">
        <v>0.99281571998377705</v>
      </c>
      <c r="E7" s="1">
        <v>1.0166395744955601</v>
      </c>
    </row>
    <row r="8" spans="1:5">
      <c r="A8" s="1" t="s">
        <v>193</v>
      </c>
      <c r="B8" s="1">
        <v>1.04689271667322</v>
      </c>
      <c r="C8" s="1">
        <v>1.0916880484963101</v>
      </c>
      <c r="D8" s="1">
        <v>1.1364833803193899</v>
      </c>
      <c r="E8" s="1">
        <v>1.1975186513323099</v>
      </c>
    </row>
    <row r="9" spans="1:5">
      <c r="A9" s="1" t="s">
        <v>194</v>
      </c>
      <c r="B9" s="1">
        <v>1.0076253000481099</v>
      </c>
      <c r="C9" s="1">
        <v>1.0181612582820301</v>
      </c>
      <c r="D9" s="1">
        <v>1.02869721651594</v>
      </c>
      <c r="E9" s="1">
        <v>1.05202272322738</v>
      </c>
    </row>
    <row r="10" spans="1:5">
      <c r="A10" s="1" t="s">
        <v>195</v>
      </c>
      <c r="B10" s="1">
        <v>0</v>
      </c>
      <c r="C10" s="1">
        <v>0</v>
      </c>
      <c r="D10" s="1">
        <v>0</v>
      </c>
      <c r="E10" s="1">
        <v>0</v>
      </c>
    </row>
    <row r="11" spans="1:5">
      <c r="A11" s="1" t="s">
        <v>196</v>
      </c>
      <c r="B11" s="1">
        <v>0.37961138385536403</v>
      </c>
      <c r="C11" s="1">
        <v>0.19308631323232001</v>
      </c>
      <c r="D11" s="1">
        <v>6.5612426092771497E-3</v>
      </c>
      <c r="E11" s="1">
        <v>6.5612426092771497E-3</v>
      </c>
    </row>
    <row r="12" spans="1:5">
      <c r="A12" s="1" t="s">
        <v>197</v>
      </c>
      <c r="B12" s="1">
        <v>0.94994087504927105</v>
      </c>
      <c r="C12" s="1">
        <v>0.95585337012219196</v>
      </c>
      <c r="D12" s="1">
        <v>0.96176586519511198</v>
      </c>
      <c r="E12" s="1">
        <v>0.97753251872290103</v>
      </c>
    </row>
    <row r="13" spans="1:5">
      <c r="A13" s="1" t="s">
        <v>198</v>
      </c>
      <c r="B13" s="1">
        <v>1.04530573504213</v>
      </c>
      <c r="C13" s="1">
        <v>1.05385860454805</v>
      </c>
      <c r="D13" s="1">
        <v>1.0624114740539701</v>
      </c>
      <c r="E13" s="1">
        <v>1.1007061659241599</v>
      </c>
    </row>
    <row r="14" spans="1:5">
      <c r="A14" s="1" t="s">
        <v>199</v>
      </c>
      <c r="B14" s="1">
        <v>1.1368898029149701</v>
      </c>
      <c r="C14" s="1">
        <v>1.0930763653023201</v>
      </c>
      <c r="D14" s="1">
        <v>1.0492629276896599</v>
      </c>
      <c r="E14" s="1">
        <v>1.13594084441041</v>
      </c>
    </row>
    <row r="15" spans="1:5">
      <c r="A15" s="1" t="s">
        <v>200</v>
      </c>
      <c r="B15" s="1">
        <v>1.2133972902908801</v>
      </c>
      <c r="C15" s="1">
        <v>1.3080465859228001</v>
      </c>
      <c r="D15" s="1">
        <v>1.4026958815547199</v>
      </c>
      <c r="E15" s="1">
        <v>1.49478526108708</v>
      </c>
    </row>
    <row r="16" spans="1:5">
      <c r="A16" s="1" t="s">
        <v>201</v>
      </c>
      <c r="B16" s="1">
        <v>1.0678086561099001</v>
      </c>
      <c r="C16" s="1">
        <v>1.0722234344049399</v>
      </c>
      <c r="D16" s="1">
        <v>1.0766382126999801</v>
      </c>
      <c r="E16" s="1">
        <v>1.08284884902036</v>
      </c>
    </row>
    <row r="17" spans="1:5">
      <c r="A17" s="1" t="s">
        <v>202</v>
      </c>
      <c r="B17" s="1">
        <v>1.1151447214030199</v>
      </c>
      <c r="C17" s="1">
        <v>1.15918649511767</v>
      </c>
      <c r="D17" s="1">
        <v>1.2032282688323099</v>
      </c>
      <c r="E17" s="1">
        <v>1.28961822490456</v>
      </c>
    </row>
    <row r="18" spans="1:5">
      <c r="A18" s="1" t="s">
        <v>203</v>
      </c>
      <c r="B18" s="1">
        <v>1.0374452747538301</v>
      </c>
      <c r="C18" s="1">
        <v>1.06302324454732</v>
      </c>
      <c r="D18" s="1">
        <v>1.0886012143408099</v>
      </c>
      <c r="E18" s="1">
        <v>1.21551967510573</v>
      </c>
    </row>
    <row r="19" spans="1:5">
      <c r="A19" s="1" t="s">
        <v>204</v>
      </c>
      <c r="B19" s="1">
        <v>1.0494389387735801</v>
      </c>
      <c r="C19" s="1">
        <v>1.07108804199521</v>
      </c>
      <c r="D19" s="1">
        <v>1.09273714521684</v>
      </c>
      <c r="E19" s="1">
        <v>1.23273336464561</v>
      </c>
    </row>
    <row r="20" spans="1:5">
      <c r="A20" s="1" t="s">
        <v>205</v>
      </c>
      <c r="B20" s="1">
        <v>1.00795441054256</v>
      </c>
      <c r="C20" s="1">
        <v>1.00795441054256</v>
      </c>
      <c r="D20" s="1">
        <v>1.00795441054256</v>
      </c>
      <c r="E20" s="1">
        <v>1.00795441054256</v>
      </c>
    </row>
    <row r="21" spans="1:5">
      <c r="A21" s="1" t="s">
        <v>206</v>
      </c>
      <c r="B21" s="1">
        <v>0.95154012049616898</v>
      </c>
      <c r="C21" s="1">
        <v>0.94098028594039296</v>
      </c>
      <c r="D21" s="1">
        <v>0.93042045138461704</v>
      </c>
      <c r="E21" s="1">
        <v>0.93731957174029901</v>
      </c>
    </row>
    <row r="22" spans="1:5">
      <c r="A22" s="1" t="s">
        <v>207</v>
      </c>
      <c r="B22" s="1">
        <v>0.91365247329062005</v>
      </c>
      <c r="C22" s="1">
        <v>0.87660852671619205</v>
      </c>
      <c r="D22" s="1">
        <v>0.83956458014176405</v>
      </c>
      <c r="E22" s="1">
        <v>0.85765607035535196</v>
      </c>
    </row>
    <row r="23" spans="1:5">
      <c r="A23" s="1" t="s">
        <v>208</v>
      </c>
      <c r="B23" s="1">
        <v>1.0037559259684801</v>
      </c>
      <c r="C23" s="1">
        <v>1.01891095127406</v>
      </c>
      <c r="D23" s="1">
        <v>1.0340659765796301</v>
      </c>
      <c r="E23" s="1">
        <v>1.08358849815131</v>
      </c>
    </row>
    <row r="24" spans="1:5">
      <c r="A24" s="1" t="s">
        <v>209</v>
      </c>
      <c r="B24" s="1">
        <v>0.99756709949418698</v>
      </c>
      <c r="C24" s="1">
        <v>1.0139705618988499</v>
      </c>
      <c r="D24" s="1">
        <v>1.03037402430352</v>
      </c>
      <c r="E24" s="1">
        <v>1.0615039615311299</v>
      </c>
    </row>
    <row r="25" spans="1:5">
      <c r="A25" s="1" t="s">
        <v>210</v>
      </c>
      <c r="B25" s="1">
        <v>1.01713484059388</v>
      </c>
      <c r="C25" s="1">
        <v>1.02481227088058</v>
      </c>
      <c r="D25" s="1">
        <v>1.03248970116728</v>
      </c>
      <c r="E25" s="1">
        <v>1.0494874864127499</v>
      </c>
    </row>
    <row r="26" spans="1:5">
      <c r="A26" s="1" t="s">
        <v>211</v>
      </c>
      <c r="B26" s="1">
        <v>1.0574765095555001</v>
      </c>
      <c r="C26" s="1">
        <v>1.0014684558534801</v>
      </c>
      <c r="D26" s="1">
        <v>0.945460402151452</v>
      </c>
      <c r="E26" s="1">
        <v>1.0128487594075699</v>
      </c>
    </row>
    <row r="27" spans="1:5">
      <c r="A27" s="1" t="s">
        <v>212</v>
      </c>
      <c r="B27" s="1">
        <v>1.02136815232106</v>
      </c>
      <c r="C27" s="1">
        <v>1.0436346492263</v>
      </c>
      <c r="D27" s="1">
        <v>1.06590114613154</v>
      </c>
      <c r="E27" s="1">
        <v>1.1146371038460301</v>
      </c>
    </row>
    <row r="28" spans="1:5">
      <c r="A28" s="1" t="s">
        <v>213</v>
      </c>
      <c r="B28" s="1">
        <v>1.00795441054256</v>
      </c>
      <c r="C28" s="1">
        <v>1.00795441054256</v>
      </c>
      <c r="D28" s="1">
        <v>1.00795441054256</v>
      </c>
      <c r="E28" s="1">
        <v>1.00795441054256</v>
      </c>
    </row>
    <row r="29" spans="1:5">
      <c r="A29" s="1" t="s">
        <v>214</v>
      </c>
      <c r="B29" s="1">
        <v>1.0000000330901799</v>
      </c>
      <c r="C29" s="1">
        <v>0.87960987771047605</v>
      </c>
      <c r="D29" s="1">
        <v>0.75921972233077295</v>
      </c>
      <c r="E29" s="1">
        <v>0.75921972233077295</v>
      </c>
    </row>
    <row r="30" spans="1:5">
      <c r="A30" s="1" t="s">
        <v>215</v>
      </c>
      <c r="B30" s="1">
        <v>1.0049134496133501</v>
      </c>
      <c r="C30" s="1">
        <v>0.942309012116199</v>
      </c>
      <c r="D30" s="1">
        <v>0.87970457461904406</v>
      </c>
      <c r="E30" s="1">
        <v>0.87970457461904406</v>
      </c>
    </row>
    <row r="31" spans="1:5">
      <c r="A31" s="1" t="s">
        <v>216</v>
      </c>
      <c r="B31" s="1">
        <v>0.98527671872132905</v>
      </c>
      <c r="C31" s="1">
        <v>1.0364501332344001</v>
      </c>
      <c r="D31" s="1">
        <v>1.0876235477474701</v>
      </c>
      <c r="E31" s="1">
        <v>1.0876235477474701</v>
      </c>
    </row>
    <row r="32" spans="1:5">
      <c r="A32" s="1" t="s">
        <v>217</v>
      </c>
      <c r="B32" s="1">
        <v>0.98727106478271198</v>
      </c>
      <c r="C32" s="1">
        <v>0.97002440539906798</v>
      </c>
      <c r="D32" s="1">
        <v>0.95277774601542298</v>
      </c>
      <c r="E32" s="1">
        <v>0.95277774601542298</v>
      </c>
    </row>
    <row r="33" spans="1:5">
      <c r="A33" s="1" t="s">
        <v>218</v>
      </c>
      <c r="B33" s="1">
        <v>1.60243131053568</v>
      </c>
      <c r="C33" s="1">
        <v>0.80121565526784</v>
      </c>
      <c r="D33" s="1">
        <v>0</v>
      </c>
      <c r="E33" s="1">
        <v>0</v>
      </c>
    </row>
    <row r="34" spans="1:5">
      <c r="A34" s="1" t="s">
        <v>219</v>
      </c>
      <c r="B34" s="1">
        <v>1.0244625650000001</v>
      </c>
      <c r="C34" s="1">
        <v>1.0733876950000001</v>
      </c>
      <c r="D34" s="1">
        <v>1.0733876950000001</v>
      </c>
      <c r="E34" s="1">
        <v>1.0733876950000001</v>
      </c>
    </row>
    <row r="35" spans="1:5">
      <c r="A35" s="1" t="s">
        <v>220</v>
      </c>
      <c r="B35" s="1">
        <v>1.0972568578553601</v>
      </c>
      <c r="C35" s="1">
        <v>1.0972568578553601</v>
      </c>
      <c r="D35" s="1">
        <v>1.0972568578553601</v>
      </c>
      <c r="E35" s="1">
        <v>1.0972568578553601</v>
      </c>
    </row>
    <row r="36" spans="1:5">
      <c r="A36" s="1" t="s">
        <v>221</v>
      </c>
      <c r="B36" s="1">
        <v>0.94252873563218398</v>
      </c>
      <c r="C36" s="1">
        <v>0.94252873563218398</v>
      </c>
      <c r="D36" s="1">
        <v>0.94252873563218398</v>
      </c>
      <c r="E36" s="1">
        <v>0.96551724137931005</v>
      </c>
    </row>
    <row r="37" spans="1:5">
      <c r="A37" s="1" t="s">
        <v>222</v>
      </c>
      <c r="B37" s="1">
        <v>0.91911764747277902</v>
      </c>
      <c r="C37" s="1">
        <v>0.88442459346865598</v>
      </c>
      <c r="D37" s="1">
        <v>0.84973153946453395</v>
      </c>
      <c r="E37" s="1">
        <v>0.84973153946453395</v>
      </c>
    </row>
    <row r="38" spans="1:5">
      <c r="A38" s="1" t="s">
        <v>223</v>
      </c>
      <c r="B38" s="1">
        <v>0.91247195962495797</v>
      </c>
      <c r="C38" s="1">
        <v>0.89256042691212201</v>
      </c>
      <c r="D38" s="1">
        <v>0.87264889419928604</v>
      </c>
      <c r="E38" s="1">
        <v>0.87264889419928604</v>
      </c>
    </row>
    <row r="39" spans="1:5">
      <c r="A39" s="1" t="s">
        <v>224</v>
      </c>
      <c r="B39" s="1">
        <v>0.95444319319451798</v>
      </c>
      <c r="C39" s="1">
        <v>0.92344029718462595</v>
      </c>
      <c r="D39" s="1">
        <v>0.89243740117473402</v>
      </c>
      <c r="E39" s="1">
        <v>0.89243740117473402</v>
      </c>
    </row>
    <row r="40" spans="1:5">
      <c r="A40" s="1" t="s">
        <v>225</v>
      </c>
      <c r="B40" s="1">
        <v>1.0003198914939699</v>
      </c>
      <c r="C40" s="1">
        <v>1.0804863002351801</v>
      </c>
      <c r="D40" s="1">
        <v>1.1606527089763801</v>
      </c>
      <c r="E40" s="1">
        <v>1.1606527089763901</v>
      </c>
    </row>
    <row r="41" spans="1:5">
      <c r="A41" s="1" t="s">
        <v>226</v>
      </c>
      <c r="B41" s="1">
        <v>0.61930468997316901</v>
      </c>
      <c r="C41" s="1">
        <v>2.3597911596254999</v>
      </c>
      <c r="D41" s="1">
        <v>4.1002776292778398</v>
      </c>
      <c r="E41" s="1">
        <v>4.1002776292778398</v>
      </c>
    </row>
    <row r="42" spans="1:5">
      <c r="A42" s="1" t="s">
        <v>227</v>
      </c>
      <c r="B42" s="1">
        <v>0.94252873563218398</v>
      </c>
      <c r="C42" s="1">
        <v>0.94252873563218398</v>
      </c>
      <c r="D42" s="1">
        <v>0.94252873563218398</v>
      </c>
      <c r="E42" s="1">
        <v>0.96551724137931005</v>
      </c>
    </row>
    <row r="43" spans="1:5">
      <c r="A43" s="1" t="s">
        <v>228</v>
      </c>
      <c r="B43" s="1">
        <v>0.94252873563218398</v>
      </c>
      <c r="C43" s="1">
        <v>0.94252873563218398</v>
      </c>
      <c r="D43" s="1">
        <v>0.94252873563218398</v>
      </c>
      <c r="E43" s="1">
        <v>0.96551724137931005</v>
      </c>
    </row>
    <row r="44" spans="1:5">
      <c r="A44" s="1" t="s">
        <v>229</v>
      </c>
      <c r="B44" s="1">
        <v>0.95877277085330803</v>
      </c>
      <c r="C44" s="1">
        <v>0.47938638542665402</v>
      </c>
      <c r="D44" s="1">
        <v>0</v>
      </c>
      <c r="E44" s="1">
        <v>0</v>
      </c>
    </row>
    <row r="45" spans="1:5">
      <c r="A45" s="1" t="s">
        <v>230</v>
      </c>
      <c r="B45" s="1">
        <v>1.0175733056101799</v>
      </c>
      <c r="C45" s="1">
        <v>0.73453414307842702</v>
      </c>
      <c r="D45" s="1">
        <v>0.45149498054667297</v>
      </c>
      <c r="E45" s="1">
        <v>0.45149498054667297</v>
      </c>
    </row>
    <row r="46" spans="1:5">
      <c r="A46" s="1" t="s">
        <v>231</v>
      </c>
      <c r="B46" s="1">
        <v>0.81481481481481499</v>
      </c>
      <c r="C46" s="1">
        <v>0.81481481481481499</v>
      </c>
      <c r="D46" s="1">
        <v>0.81481481481481499</v>
      </c>
      <c r="E46" s="1">
        <v>0.88888888888888895</v>
      </c>
    </row>
    <row r="47" spans="1:5">
      <c r="A47" s="1"/>
      <c r="B47" s="1"/>
      <c r="C47" s="1"/>
    </row>
    <row r="48" spans="1:5">
      <c r="A48" s="11"/>
      <c r="B48" s="1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A11" sqref="A11"/>
    </sheetView>
  </sheetViews>
  <sheetFormatPr defaultRowHeight="12.7"/>
  <cols>
    <col min="1" max="1" width="48.21875" customWidth="1"/>
  </cols>
  <sheetData>
    <row r="1" spans="1:2">
      <c r="A1" s="1" t="s">
        <v>179</v>
      </c>
      <c r="B1" s="1" t="s">
        <v>89</v>
      </c>
    </row>
    <row r="2" spans="1:2">
      <c r="A2" s="1" t="s">
        <v>172</v>
      </c>
      <c r="B2" s="1">
        <v>21</v>
      </c>
    </row>
    <row r="3" spans="1:2">
      <c r="A3" s="1" t="s">
        <v>171</v>
      </c>
      <c r="B3" s="1">
        <v>13</v>
      </c>
    </row>
    <row r="4" spans="1:2">
      <c r="A4" s="1" t="s">
        <v>169</v>
      </c>
      <c r="B4" s="1">
        <v>65</v>
      </c>
    </row>
    <row r="5" spans="1:2">
      <c r="A5" s="1" t="s">
        <v>178</v>
      </c>
      <c r="B5" s="1">
        <v>40</v>
      </c>
    </row>
    <row r="6" spans="1:2">
      <c r="A6" s="1"/>
      <c r="B6" s="1"/>
    </row>
    <row r="7" spans="1:2" ht="14.4">
      <c r="A7" s="2"/>
      <c r="B7" s="1"/>
    </row>
    <row r="8" spans="1:2" ht="14.4">
      <c r="A8" s="2"/>
      <c r="B8" s="1"/>
    </row>
    <row r="9" spans="1:2">
      <c r="A9" s="1"/>
      <c r="B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4E1B-7B86-4B70-9820-5A58F7D4E817}">
  <dimension ref="A2:C18"/>
  <sheetViews>
    <sheetView workbookViewId="0">
      <selection activeCell="B17" sqref="B17"/>
    </sheetView>
  </sheetViews>
  <sheetFormatPr defaultRowHeight="12.7"/>
  <cols>
    <col min="1" max="1" width="16.77734375" bestFit="1" customWidth="1"/>
    <col min="2" max="2" width="16.77734375" style="1" customWidth="1"/>
    <col min="3" max="3" width="13.77734375" bestFit="1" customWidth="1"/>
  </cols>
  <sheetData>
    <row r="2" spans="1:3">
      <c r="A2" s="15" t="s">
        <v>125</v>
      </c>
    </row>
    <row r="3" spans="1:3" ht="14.4">
      <c r="A3" s="3" t="s">
        <v>86</v>
      </c>
      <c r="B3" s="4"/>
      <c r="C3" s="4" t="s">
        <v>93</v>
      </c>
    </row>
    <row r="4" spans="1:3">
      <c r="A4" s="5" t="s">
        <v>94</v>
      </c>
      <c r="B4" s="12" t="s">
        <v>91</v>
      </c>
      <c r="C4" s="6">
        <v>1</v>
      </c>
    </row>
    <row r="5" spans="1:3">
      <c r="A5" s="7" t="s">
        <v>95</v>
      </c>
      <c r="B5" s="13" t="s">
        <v>88</v>
      </c>
      <c r="C5" s="8">
        <v>0.78740157480314954</v>
      </c>
    </row>
    <row r="6" spans="1:3">
      <c r="A6" s="7" t="s">
        <v>96</v>
      </c>
      <c r="B6" s="13" t="s">
        <v>118</v>
      </c>
      <c r="C6" s="8">
        <v>1.3228346456692912</v>
      </c>
    </row>
    <row r="7" spans="1:3">
      <c r="A7" s="7" t="s">
        <v>97</v>
      </c>
      <c r="B7" s="13" t="s">
        <v>92</v>
      </c>
      <c r="C7" s="8">
        <v>0.90551181102362188</v>
      </c>
    </row>
    <row r="8" spans="1:3">
      <c r="A8" s="7" t="s">
        <v>98</v>
      </c>
      <c r="B8" s="13" t="s">
        <v>119</v>
      </c>
      <c r="C8" s="8">
        <v>1.4724409448818898</v>
      </c>
    </row>
    <row r="9" spans="1:3">
      <c r="A9" s="7" t="s">
        <v>99</v>
      </c>
      <c r="B9" s="13" t="s">
        <v>126</v>
      </c>
      <c r="C9" s="8">
        <v>6.7716535433070861</v>
      </c>
    </row>
    <row r="10" spans="1:3">
      <c r="A10" s="7" t="s">
        <v>100</v>
      </c>
      <c r="B10" s="13" t="s">
        <v>120</v>
      </c>
      <c r="C10" s="8">
        <v>7.8346456692913371</v>
      </c>
    </row>
    <row r="11" spans="1:3">
      <c r="A11" s="7" t="s">
        <v>101</v>
      </c>
      <c r="B11" s="13" t="s">
        <v>121</v>
      </c>
      <c r="C11" s="8">
        <v>141.53543307086613</v>
      </c>
    </row>
    <row r="12" spans="1:3">
      <c r="A12" s="7" t="s">
        <v>102</v>
      </c>
      <c r="B12" s="13" t="s">
        <v>108</v>
      </c>
      <c r="C12" s="8">
        <v>1.5826771653543303</v>
      </c>
    </row>
    <row r="13" spans="1:3">
      <c r="A13" s="7" t="s">
        <v>103</v>
      </c>
      <c r="B13" s="13" t="s">
        <v>127</v>
      </c>
      <c r="C13" s="8">
        <v>10.196850393700785</v>
      </c>
    </row>
    <row r="14" spans="1:3">
      <c r="A14" s="7" t="s">
        <v>104</v>
      </c>
      <c r="B14" s="13" t="s">
        <v>122</v>
      </c>
      <c r="C14" s="8">
        <v>1.3228346456692912</v>
      </c>
    </row>
    <row r="15" spans="1:3">
      <c r="A15" s="7" t="s">
        <v>105</v>
      </c>
      <c r="B15" s="13" t="s">
        <v>123</v>
      </c>
      <c r="C15" s="8">
        <v>18.354330708661415</v>
      </c>
    </row>
    <row r="16" spans="1:3">
      <c r="A16" s="7" t="s">
        <v>106</v>
      </c>
      <c r="B16" s="13" t="s">
        <v>128</v>
      </c>
      <c r="C16" s="8">
        <v>10.110236220472441</v>
      </c>
    </row>
    <row r="17" spans="1:3">
      <c r="A17" s="9" t="s">
        <v>107</v>
      </c>
      <c r="B17" s="14" t="s">
        <v>124</v>
      </c>
      <c r="C17" s="10">
        <v>0.84251968503937003</v>
      </c>
    </row>
    <row r="18" spans="1:3">
      <c r="A18" s="1"/>
      <c r="C18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05 South Africa EQ Aggs</vt:lpstr>
      <vt:lpstr>Core data</vt:lpstr>
      <vt:lpstr>Cat Class Mapping</vt:lpstr>
      <vt:lpstr>Notes</vt:lpstr>
      <vt:lpstr>Fx</vt:lpstr>
    </vt:vector>
  </TitlesOfParts>
  <Company>Hiscox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coxro</dc:creator>
  <cp:lastModifiedBy>Richard Hampton</cp:lastModifiedBy>
  <dcterms:created xsi:type="dcterms:W3CDTF">2020-03-02T18:11:33Z</dcterms:created>
  <dcterms:modified xsi:type="dcterms:W3CDTF">2026-02-11T12:59:55Z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20220322154545658</vt:lpwstr>
  </property>
  <property fmtid="{D5CDD505-2E9C-101B-9397-08002B2CF9AE}" pid="3" name="MSIP_Label_b0e772fd-230e-46a1-9b91-16e31ba7e038_Enabled">
    <vt:lpwstr>true</vt:lpwstr>
  </property>
  <property fmtid="{D5CDD505-2E9C-101B-9397-08002B2CF9AE}" pid="4" name="MSIP_Label_b0e772fd-230e-46a1-9b91-16e31ba7e038_SetDate">
    <vt:lpwstr>2023-02-16T16:38:23Z</vt:lpwstr>
  </property>
  <property fmtid="{D5CDD505-2E9C-101B-9397-08002B2CF9AE}" pid="5" name="MSIP_Label_b0e772fd-230e-46a1-9b91-16e31ba7e038_Method">
    <vt:lpwstr>Privileged</vt:lpwstr>
  </property>
  <property fmtid="{D5CDD505-2E9C-101B-9397-08002B2CF9AE}" pid="6" name="MSIP_Label_b0e772fd-230e-46a1-9b91-16e31ba7e038_Name">
    <vt:lpwstr>Internal</vt:lpwstr>
  </property>
  <property fmtid="{D5CDD505-2E9C-101B-9397-08002B2CF9AE}" pid="7" name="MSIP_Label_b0e772fd-230e-46a1-9b91-16e31ba7e038_SiteId">
    <vt:lpwstr>dfbcc178-bccf-4595-8f8e-3a3175df90b7</vt:lpwstr>
  </property>
  <property fmtid="{D5CDD505-2E9C-101B-9397-08002B2CF9AE}" pid="8" name="MSIP_Label_b0e772fd-230e-46a1-9b91-16e31ba7e038_ActionId">
    <vt:lpwstr>98294533-ad29-4027-83fd-d5db4fa09d5b</vt:lpwstr>
  </property>
  <property fmtid="{D5CDD505-2E9C-101B-9397-08002B2CF9AE}" pid="9" name="MSIP_Label_b0e772fd-230e-46a1-9b91-16e31ba7e038_ContentBits">
    <vt:lpwstr>0</vt:lpwstr>
  </property>
</Properties>
</file>