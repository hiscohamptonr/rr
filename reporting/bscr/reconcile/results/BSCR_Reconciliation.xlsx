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mptonr\projects\rr\reporting\bscr\reconcile\results\"/>
    </mc:Choice>
  </mc:AlternateContent>
  <xr:revisionPtr revIDLastSave="0" documentId="13_ncr:1_{6B75EDD4-28EB-4426-AEAD-F3CD31BAFEE8}" xr6:coauthVersionLast="47" xr6:coauthVersionMax="47" xr10:uidLastSave="{00000000-0000-0000-0000-000000000000}"/>
  <bookViews>
    <workbookView xWindow="-110" yWindow="-110" windowWidth="23260" windowHeight="14860" activeTab="1" xr2:uid="{00000000-000D-0000-FFFF-FFFF00000000}"/>
  </bookViews>
  <sheets>
    <sheet name="What this tests" sheetId="1" r:id="rId1"/>
    <sheet name="Schedule X(f)" sheetId="2" r:id="rId2"/>
    <sheet name="Counts" sheetId="3" r:id="rId3"/>
    <sheet name="Gross exposure" sheetId="4" r:id="rId4"/>
    <sheet name="Net exposure" sheetId="5" r:id="rId5"/>
  </sheets>
  <definedNames>
    <definedName name="_xlnm.Print_Area" localSheetId="2">Counts!$A$1:$F$17</definedName>
    <definedName name="_xlnm.Print_Area" localSheetId="3">'Gross exposure'!$A$1:$F$17</definedName>
    <definedName name="_xlnm.Print_Area" localSheetId="4">'Net exposure'!$A$1:$F$17</definedName>
    <definedName name="_xlnm.Print_Area" localSheetId="1">'Schedule X(f)'!$A$1:$H$35</definedName>
    <definedName name="_xlnm.Print_Area" localSheetId="0">'What this tests'!$A$1:$C$15</definedName>
    <definedName name="_xlnm.Print_Titles" localSheetId="2">Counts!$1:$5</definedName>
    <definedName name="_xlnm.Print_Titles" localSheetId="3">'Gross exposure'!$1:$5</definedName>
    <definedName name="_xlnm.Print_Titles" localSheetId="4">'Net exposure'!$1:$5</definedName>
    <definedName name="_xlnm.Print_Titles" localSheetId="1">'Schedule X(f)'!$1:$5</definedName>
    <definedName name="_xlnm.Print_Titles" localSheetId="0">'What this tests'!$1:$5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 l="1"/>
  <c r="I7" i="2"/>
  <c r="I8" i="2"/>
  <c r="I9" i="2"/>
  <c r="I10" i="2"/>
  <c r="I11" i="2"/>
  <c r="I12" i="2"/>
  <c r="I13" i="2"/>
  <c r="I14" i="2"/>
  <c r="I15" i="2"/>
  <c r="I16" i="2"/>
  <c r="I17" i="2"/>
  <c r="I18" i="2"/>
  <c r="I19" i="2"/>
  <c r="I20" i="2"/>
  <c r="H7" i="2"/>
  <c r="H8" i="2"/>
  <c r="H9" i="2"/>
  <c r="H10" i="2"/>
  <c r="H11" i="2"/>
  <c r="H12" i="2"/>
  <c r="H13" i="2"/>
  <c r="H14" i="2"/>
  <c r="H15" i="2"/>
  <c r="H16" i="2"/>
  <c r="H17" i="2"/>
  <c r="H18" i="2"/>
  <c r="H19" i="2"/>
  <c r="H20" i="2"/>
  <c r="H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Source and currency finding</author>
    <author>Source</author>
  </authors>
  <commentList>
    <comment ref="C6" authorId="0" shapeId="0" xr:uid="{00000000-0006-0000-0100-000001000000}">
      <text>
        <r>
          <rPr>
            <sz val="11"/>
            <color theme="1"/>
            <rFont val="Calibri"/>
            <family val="2"/>
            <scheme val="minor"/>
          </rPr>
          <t>reporting/bscr/reconcile/filled in templates/2026 BSCR - UKEU - 33.xlsx
Schedule X(f)!K12
Actual cached value: 5341
This pre-FX amount has NOT been converted to USD. Column F applies1.35 only; G then divides by1000 to USD millions.</t>
        </r>
      </text>
    </comment>
    <comment ref="C7" authorId="0" shapeId="0" xr:uid="{00000000-0006-0000-0100-000002000000}">
      <text>
        <r>
          <rPr>
            <sz val="11"/>
            <color theme="1"/>
            <rFont val="Calibri"/>
            <family val="2"/>
            <scheme val="minor"/>
          </rPr>
          <t>reporting/bscr/reconcile/filled in templates/2026 BSCR - UKEU - 33.xlsx
Schedule X(f)!L12
Actual cached value: 29798684.509707958
This pre-FX amount has NOT been converted to USD. Column F applies1.35 only; G then divides by1000 to USD millions.</t>
        </r>
      </text>
    </comment>
    <comment ref="C8" authorId="0" shapeId="0" xr:uid="{00000000-0006-0000-0100-000003000000}">
      <text>
        <r>
          <rPr>
            <sz val="11"/>
            <color theme="1"/>
            <rFont val="Calibri"/>
            <family val="2"/>
            <scheme val="minor"/>
          </rPr>
          <t>reporting/bscr/reconcile/filled in templates/2026 BSCR - UKEU - 33.xlsx
Schedule X(f)!M12
Actual cached value: 21558481.149128009
This pre-FX amount has NOT been converted to USD. Column F applies1.35 only; G then divides by1000 to USD millions.</t>
        </r>
      </text>
    </comment>
    <comment ref="C9" authorId="0" shapeId="0" xr:uid="{00000000-0006-0000-0100-000004000000}">
      <text>
        <r>
          <rPr>
            <sz val="11"/>
            <color theme="1"/>
            <rFont val="Calibri"/>
            <family val="2"/>
            <scheme val="minor"/>
          </rPr>
          <t>reporting/bscr/reconcile/filled in templates/2026 BSCR - UKEU - 3624 v2.xlsx
Schedule X(f)!K12
Actual cached value: 36
This pre-FX amount has NOT been converted to USD. Column F applies1.35 only; G then divides by1000 to USD millions.</t>
        </r>
      </text>
    </comment>
    <comment ref="C10" authorId="0" shapeId="0" xr:uid="{00000000-0006-0000-0100-000005000000}">
      <text>
        <r>
          <rPr>
            <sz val="11"/>
            <color theme="1"/>
            <rFont val="Calibri"/>
            <family val="2"/>
            <scheme val="minor"/>
          </rPr>
          <t>reporting/bscr/reconcile/filled in templates/2026 BSCR - UKEU - 3624 v2.xlsx
Schedule X(f)!L12
Actual cached value: 22066.496800000001
This pre-FX amount has NOT been converted to USD. Column F applies1.35 only; G then divides by1000 to USD millions.</t>
        </r>
      </text>
    </comment>
    <comment ref="C11" authorId="0" shapeId="0" xr:uid="{00000000-0006-0000-0100-000006000000}">
      <text>
        <r>
          <rPr>
            <sz val="11"/>
            <color theme="1"/>
            <rFont val="Calibri"/>
            <family val="2"/>
            <scheme val="minor"/>
          </rPr>
          <t>reporting/bscr/reconcile/filled in templates/2026 BSCR - UKEU - 3624 v2.xlsx
Schedule X(f)!M12
Actual cached value: 22066.496800000001
This pre-FX amount has NOT been converted to USD. Column F applies1.35 only; G then divides by1000 to USD millions.</t>
        </r>
      </text>
    </comment>
    <comment ref="C12" authorId="0" shapeId="0" xr:uid="{00000000-0006-0000-0100-000007000000}">
      <text>
        <r>
          <rPr>
            <sz val="11"/>
            <color theme="1"/>
            <rFont val="Calibri"/>
            <family val="2"/>
            <scheme val="minor"/>
          </rPr>
          <t>reporting/bscr/reconcile/filled in templates/2026 BSCR - UKEU - HIC v2.xlsx
Schedule X(f)!K12
Actual cached value: 173687
This pre-FX amount has NOT been converted to USD. Column F applies1.35 only; G then divides by1000 to USD millions.</t>
        </r>
      </text>
    </comment>
    <comment ref="C13" authorId="0" shapeId="0" xr:uid="{00000000-0006-0000-0100-000008000000}">
      <text>
        <r>
          <rPr>
            <sz val="11"/>
            <color theme="1"/>
            <rFont val="Calibri"/>
            <family val="2"/>
            <scheme val="minor"/>
          </rPr>
          <t>reporting/bscr/reconcile/filled in templates/2026 BSCR - UKEU - HIC v2.xlsx
Schedule X(f)!L12
Actual cached value: 121743087.30987799
This pre-FX amount has NOT been converted to USD. Column F applies1.35 only; G then divides by1000 to USD millions.</t>
        </r>
      </text>
    </comment>
    <comment ref="C14" authorId="0" shapeId="0" xr:uid="{00000000-0006-0000-0100-000009000000}">
      <text>
        <r>
          <rPr>
            <sz val="11"/>
            <color theme="1"/>
            <rFont val="Calibri"/>
            <family val="2"/>
            <scheme val="minor"/>
          </rPr>
          <t>reporting/bscr/reconcile/filled in templates/2026 BSCR - UKEU - HIC v2.xlsx
Schedule X(f)!M12
Actual cached value: 121743087.30987799
This pre-FX amount has NOT been converted to USD. Column F applies1.35 only; G then divides by1000 to USD millions.</t>
        </r>
      </text>
    </comment>
    <comment ref="C15" authorId="0" shapeId="0" xr:uid="{00000000-0006-0000-0100-00000A000000}">
      <text>
        <r>
          <rPr>
            <sz val="11"/>
            <color theme="1"/>
            <rFont val="Calibri"/>
            <family val="2"/>
            <scheme val="minor"/>
          </rPr>
          <t>reporting/bscr/reconcile/filled in templates/2026 BSCR - UKEU - HIG v2.xlsx
Schedule X(f)!K12
Actual cached value: 1970
This pre-FX amount has NOT been converted to USD. Column F applies1.35 only; G then divides by1000 to USD millions.</t>
        </r>
      </text>
    </comment>
    <comment ref="C16" authorId="0" shapeId="0" xr:uid="{00000000-0006-0000-0100-00000B000000}">
      <text>
        <r>
          <rPr>
            <sz val="11"/>
            <color theme="1"/>
            <rFont val="Calibri"/>
            <family val="2"/>
            <scheme val="minor"/>
          </rPr>
          <t>reporting/bscr/reconcile/filled in templates/2026 BSCR - UKEU - HIG v2.xlsx
Schedule X(f)!L12
Actual cached value: 8046544.5189486863
This pre-FX amount has NOT been converted to USD. Column F applies1.35 only; G then divides by1000 to USD millions.</t>
        </r>
      </text>
    </comment>
    <comment ref="C17" authorId="0" shapeId="0" xr:uid="{00000000-0006-0000-0100-00000C000000}">
      <text>
        <r>
          <rPr>
            <sz val="11"/>
            <color theme="1"/>
            <rFont val="Calibri"/>
            <family val="2"/>
            <scheme val="minor"/>
          </rPr>
          <t>reporting/bscr/reconcile/filled in templates/2026 BSCR - UKEU - HIG v2.xlsx
Schedule X(f)!M12
Actual cached value: 6238734.9284093389
This pre-FX amount has NOT been converted to USD. Column F applies1.35 only; G then divides by1000 to USD millions.</t>
        </r>
      </text>
    </comment>
    <comment ref="C18" authorId="0" shapeId="0" xr:uid="{00000000-0006-0000-0100-00000D000000}">
      <text>
        <r>
          <rPr>
            <sz val="11"/>
            <color theme="1"/>
            <rFont val="Calibri"/>
            <family val="2"/>
            <scheme val="minor"/>
          </rPr>
          <t>reporting/bscr/reconcile/filled in templates/2026 BSCR - UKEU - HSA v2.xlsx
Schedule X(f)!K12
Actual cached value: 90052
This pre-FX amount has NOT been converted to USD. Column F applies1.35 only; G then divides by1000 to USD millions.</t>
        </r>
      </text>
    </comment>
    <comment ref="C19" authorId="0" shapeId="0" xr:uid="{00000000-0006-0000-0100-00000E000000}">
      <text>
        <r>
          <rPr>
            <sz val="11"/>
            <color theme="1"/>
            <rFont val="Calibri"/>
            <family val="2"/>
            <scheme val="minor"/>
          </rPr>
          <t>reporting/bscr/reconcile/filled in templates/2026 BSCR - UKEU - HSA v2.xlsx
Schedule X(f)!L12
Actual cached value: 77561198.646257892
This pre-FX amount has NOT been converted to USD. Column F applies1.35 only; G then divides by1000 to USD millions.</t>
        </r>
      </text>
    </comment>
    <comment ref="C20" authorId="0" shapeId="0" xr:uid="{00000000-0006-0000-0100-00000F000000}">
      <text>
        <r>
          <rPr>
            <sz val="11"/>
            <color theme="1"/>
            <rFont val="Calibri"/>
            <family val="2"/>
            <scheme val="minor"/>
          </rPr>
          <t>reporting/bscr/reconcile/filled in templates/2026 BSCR - UKEU - HSA v2.xlsx
Schedule X(f)!M12
Actual cached value: 75864599.507855102
This pre-FX amount has NOT been converted to USD. Column F applies1.35 only; G then divides by1000 to USD millions.</t>
        </r>
      </text>
    </comment>
    <comment ref="A39" authorId="1" shapeId="0" xr:uid="{00000000-0006-0000-0100-000010000000}">
      <text>
        <r>
          <rPr>
            <sz val="11"/>
            <color theme="1"/>
            <rFont val="Calibri"/>
            <family val="2"/>
            <scheme val="minor"/>
          </rPr>
          <t>reporting/bscr/reconcile/filled in templates/2026 BSCR - UKEU - 33.xlsx
Schedule X(f)!E10
Modellable; US; geo=1
Raw template value=106</t>
        </r>
      </text>
    </comment>
    <comment ref="A40" authorId="1" shapeId="0" xr:uid="{00000000-0006-0000-0100-000011000000}">
      <text>
        <r>
          <rPr>
            <sz val="11"/>
            <color theme="1"/>
            <rFont val="Calibri"/>
            <family val="2"/>
            <scheme val="minor"/>
          </rPr>
          <t>reporting/bscr/reconcile/filled in templates/2026 BSCR - UKEU - 33.xlsx
Schedule X(f)!F10
Modellable; US; geo=1
Raw template value=738973.41734851594</t>
        </r>
      </text>
    </comment>
    <comment ref="A41" authorId="1" shapeId="0" xr:uid="{00000000-0006-0000-0100-000012000000}">
      <text>
        <r>
          <rPr>
            <sz val="11"/>
            <color theme="1"/>
            <rFont val="Calibri"/>
            <family val="2"/>
            <scheme val="minor"/>
          </rPr>
          <t>reporting/bscr/reconcile/filled in templates/2026 BSCR - UKEU - 33.xlsx
Schedule X(f)!G10
Modellable; US; geo=1
Raw template value=426252.30981766497</t>
        </r>
      </text>
    </comment>
    <comment ref="A42" authorId="1" shapeId="0" xr:uid="{00000000-0006-0000-0100-000013000000}">
      <text>
        <r>
          <rPr>
            <sz val="11"/>
            <color theme="1"/>
            <rFont val="Calibri"/>
            <family val="2"/>
            <scheme val="minor"/>
          </rPr>
          <t>reporting/bscr/reconcile/filled in templates/2026 BSCR - UKEU - 33.xlsx
Schedule X(f)!H10
Modellable; Other countries; geo=1
Raw template value=4572</t>
        </r>
      </text>
    </comment>
    <comment ref="A43" authorId="1" shapeId="0" xr:uid="{00000000-0006-0000-0100-000014000000}">
      <text>
        <r>
          <rPr>
            <sz val="11"/>
            <color theme="1"/>
            <rFont val="Calibri"/>
            <family val="2"/>
            <scheme val="minor"/>
          </rPr>
          <t>reporting/bscr/reconcile/filled in templates/2026 BSCR - UKEU - 33.xlsx
Schedule X(f)!I10
Modellable; Other countries; geo=1
Raw template value=24413781.950270183</t>
        </r>
      </text>
    </comment>
    <comment ref="A44" authorId="1" shapeId="0" xr:uid="{00000000-0006-0000-0100-000015000000}">
      <text>
        <r>
          <rPr>
            <sz val="11"/>
            <color theme="1"/>
            <rFont val="Calibri"/>
            <family val="2"/>
            <scheme val="minor"/>
          </rPr>
          <t>reporting/bscr/reconcile/filled in templates/2026 BSCR - UKEU - 33.xlsx
Schedule X(f)!J10
Modellable; Other countries; geo=1
Raw template value=18200276.187958535</t>
        </r>
      </text>
    </comment>
    <comment ref="A45" authorId="1" shapeId="0" xr:uid="{00000000-0006-0000-0100-000016000000}">
      <text>
        <r>
          <rPr>
            <sz val="11"/>
            <color theme="1"/>
            <rFont val="Calibri"/>
            <family val="2"/>
            <scheme val="minor"/>
          </rPr>
          <t>reporting/bscr/reconcile/filled in templates/2026 BSCR - UKEU - 33.xlsx
Schedule X(f)!K10
Modellable; All countries; geo=1
Raw template value=4678</t>
        </r>
      </text>
    </comment>
    <comment ref="A46" authorId="1" shapeId="0" xr:uid="{00000000-0006-0000-0100-000017000000}">
      <text>
        <r>
          <rPr>
            <sz val="11"/>
            <color theme="1"/>
            <rFont val="Calibri"/>
            <family val="2"/>
            <scheme val="minor"/>
          </rPr>
          <t>reporting/bscr/reconcile/filled in templates/2026 BSCR - UKEU - 33.xlsx
Schedule X(f)!L10
Modellable; All countries; geo=1
Raw template value=25152755.367618699</t>
        </r>
      </text>
    </comment>
    <comment ref="A47" authorId="1" shapeId="0" xr:uid="{00000000-0006-0000-0100-000018000000}">
      <text>
        <r>
          <rPr>
            <sz val="11"/>
            <color theme="1"/>
            <rFont val="Calibri"/>
            <family val="2"/>
            <scheme val="minor"/>
          </rPr>
          <t>reporting/bscr/reconcile/filled in templates/2026 BSCR - UKEU - 33.xlsx
Schedule X(f)!M10
Modellable; All countries; geo=1
Raw template value=18626528.497776199</t>
        </r>
      </text>
    </comment>
    <comment ref="A48" authorId="1" shapeId="0" xr:uid="{00000000-0006-0000-0100-000019000000}">
      <text>
        <r>
          <rPr>
            <sz val="11"/>
            <color theme="1"/>
            <rFont val="Calibri"/>
            <family val="2"/>
            <scheme val="minor"/>
          </rPr>
          <t>reporting/bscr/reconcile/filled in templates/2026 BSCR - UKEU - 33.xlsx
Schedule X(f)!E11
Not modellable; US; geo=0
Raw template value=326</t>
        </r>
      </text>
    </comment>
    <comment ref="A49" authorId="1" shapeId="0" xr:uid="{00000000-0006-0000-0100-00001A000000}">
      <text>
        <r>
          <rPr>
            <sz val="11"/>
            <color theme="1"/>
            <rFont val="Calibri"/>
            <family val="2"/>
            <scheme val="minor"/>
          </rPr>
          <t>reporting/bscr/reconcile/filled in templates/2026 BSCR - UKEU - 33.xlsx
Schedule X(f)!F11
Not modellable; US; geo=0
Raw template value=2365811.5029090499</t>
        </r>
      </text>
    </comment>
    <comment ref="A50" authorId="1" shapeId="0" xr:uid="{00000000-0006-0000-0100-00001B000000}">
      <text>
        <r>
          <rPr>
            <sz val="11"/>
            <color theme="1"/>
            <rFont val="Calibri"/>
            <family val="2"/>
            <scheme val="minor"/>
          </rPr>
          <t>reporting/bscr/reconcile/filled in templates/2026 BSCR - UKEU - 33.xlsx
Schedule X(f)!G11
Not modellable; US; geo=0
Raw template value=1413295.9653553199</t>
        </r>
      </text>
    </comment>
    <comment ref="A51" authorId="1" shapeId="0" xr:uid="{00000000-0006-0000-0100-00001C000000}">
      <text>
        <r>
          <rPr>
            <sz val="11"/>
            <color theme="1"/>
            <rFont val="Calibri"/>
            <family val="2"/>
            <scheme val="minor"/>
          </rPr>
          <t>reporting/bscr/reconcile/filled in templates/2026 BSCR - UKEU - 33.xlsx
Schedule X(f)!H11
Not modellable; Other countries; geo=0
Raw template value=337</t>
        </r>
      </text>
    </comment>
    <comment ref="A52" authorId="1" shapeId="0" xr:uid="{00000000-0006-0000-0100-00001D000000}">
      <text>
        <r>
          <rPr>
            <sz val="11"/>
            <color theme="1"/>
            <rFont val="Calibri"/>
            <family val="2"/>
            <scheme val="minor"/>
          </rPr>
          <t>reporting/bscr/reconcile/filled in templates/2026 BSCR - UKEU - 33.xlsx
Schedule X(f)!I11
Not modellable; Other countries; geo=0
Raw template value=2280117.63918021</t>
        </r>
      </text>
    </comment>
    <comment ref="A53" authorId="1" shapeId="0" xr:uid="{00000000-0006-0000-0100-00001E000000}">
      <text>
        <r>
          <rPr>
            <sz val="11"/>
            <color theme="1"/>
            <rFont val="Calibri"/>
            <family val="2"/>
            <scheme val="minor"/>
          </rPr>
          <t>reporting/bscr/reconcile/filled in templates/2026 BSCR - UKEU - 33.xlsx
Schedule X(f)!J11
Not modellable; Other countries; geo=0
Raw template value=1518656.6859964901</t>
        </r>
      </text>
    </comment>
    <comment ref="A54" authorId="1" shapeId="0" xr:uid="{00000000-0006-0000-0100-00001F000000}">
      <text>
        <r>
          <rPr>
            <sz val="11"/>
            <color theme="1"/>
            <rFont val="Calibri"/>
            <family val="2"/>
            <scheme val="minor"/>
          </rPr>
          <t>reporting/bscr/reconcile/filled in templates/2026 BSCR - UKEU - 33.xlsx
Schedule X(f)!K11
Not modellable; All countries; geo=0
Raw template value=663</t>
        </r>
      </text>
    </comment>
    <comment ref="A55" authorId="1" shapeId="0" xr:uid="{00000000-0006-0000-0100-000020000000}">
      <text>
        <r>
          <rPr>
            <sz val="11"/>
            <color theme="1"/>
            <rFont val="Calibri"/>
            <family val="2"/>
            <scheme val="minor"/>
          </rPr>
          <t>reporting/bscr/reconcile/filled in templates/2026 BSCR - UKEU - 33.xlsx
Schedule X(f)!L11
Not modellable; All countries; geo=0
Raw template value=4645929.1420892598</t>
        </r>
      </text>
    </comment>
    <comment ref="A56" authorId="1" shapeId="0" xr:uid="{00000000-0006-0000-0100-000021000000}">
      <text>
        <r>
          <rPr>
            <sz val="11"/>
            <color theme="1"/>
            <rFont val="Calibri"/>
            <family val="2"/>
            <scheme val="minor"/>
          </rPr>
          <t>reporting/bscr/reconcile/filled in templates/2026 BSCR - UKEU - 33.xlsx
Schedule X(f)!M11
Not modellable; All countries; geo=0
Raw template value=2931952.65135181</t>
        </r>
      </text>
    </comment>
    <comment ref="A57" authorId="1" shapeId="0" xr:uid="{00000000-0006-0000-0100-000022000000}">
      <text>
        <r>
          <rPr>
            <sz val="11"/>
            <color theme="1"/>
            <rFont val="Calibri"/>
            <family val="2"/>
            <scheme val="minor"/>
          </rPr>
          <t>reporting/bscr/reconcile/filled in templates/2026 BSCR - UKEU - 33.xlsx
Schedule X(f)!E12
Total; US; geo=None
Raw template value=432</t>
        </r>
      </text>
    </comment>
    <comment ref="A58" authorId="1" shapeId="0" xr:uid="{00000000-0006-0000-0100-000023000000}">
      <text>
        <r>
          <rPr>
            <sz val="11"/>
            <color theme="1"/>
            <rFont val="Calibri"/>
            <family val="2"/>
            <scheme val="minor"/>
          </rPr>
          <t>reporting/bscr/reconcile/filled in templates/2026 BSCR - UKEU - 33.xlsx
Schedule X(f)!F12
Total; US; geo=None
Raw template value=3104784.9202575656</t>
        </r>
      </text>
    </comment>
    <comment ref="A59" authorId="1" shapeId="0" xr:uid="{00000000-0006-0000-0100-000024000000}">
      <text>
        <r>
          <rPr>
            <sz val="11"/>
            <color theme="1"/>
            <rFont val="Calibri"/>
            <family val="2"/>
            <scheme val="minor"/>
          </rPr>
          <t>reporting/bscr/reconcile/filled in templates/2026 BSCR - UKEU - 33.xlsx
Schedule X(f)!G12
Total; US; geo=None
Raw template value=1839548.2751729849</t>
        </r>
      </text>
    </comment>
    <comment ref="A60" authorId="1" shapeId="0" xr:uid="{00000000-0006-0000-0100-000025000000}">
      <text>
        <r>
          <rPr>
            <sz val="11"/>
            <color theme="1"/>
            <rFont val="Calibri"/>
            <family val="2"/>
            <scheme val="minor"/>
          </rPr>
          <t>reporting/bscr/reconcile/filled in templates/2026 BSCR - UKEU - 33.xlsx
Schedule X(f)!H12
Total; Other countries; geo=None
Raw template value=4909</t>
        </r>
      </text>
    </comment>
    <comment ref="A61" authorId="1" shapeId="0" xr:uid="{00000000-0006-0000-0100-000026000000}">
      <text>
        <r>
          <rPr>
            <sz val="11"/>
            <color theme="1"/>
            <rFont val="Calibri"/>
            <family val="2"/>
            <scheme val="minor"/>
          </rPr>
          <t>reporting/bscr/reconcile/filled in templates/2026 BSCR - UKEU - 33.xlsx
Schedule X(f)!I12
Total; Other countries; geo=None
Raw template value=26693899.589450393</t>
        </r>
      </text>
    </comment>
    <comment ref="A62" authorId="1" shapeId="0" xr:uid="{00000000-0006-0000-0100-000027000000}">
      <text>
        <r>
          <rPr>
            <sz val="11"/>
            <color theme="1"/>
            <rFont val="Calibri"/>
            <family val="2"/>
            <scheme val="minor"/>
          </rPr>
          <t>reporting/bscr/reconcile/filled in templates/2026 BSCR - UKEU - 33.xlsx
Schedule X(f)!J12
Total; Other countries; geo=None
Raw template value=19718932.873955026</t>
        </r>
      </text>
    </comment>
    <comment ref="A63" authorId="1" shapeId="0" xr:uid="{00000000-0006-0000-0100-000028000000}">
      <text>
        <r>
          <rPr>
            <sz val="11"/>
            <color theme="1"/>
            <rFont val="Calibri"/>
            <family val="2"/>
            <scheme val="minor"/>
          </rPr>
          <t>reporting/bscr/reconcile/filled in templates/2026 BSCR - UKEU - 33.xlsx
Schedule X(f)!K12
Total; All countries; geo=None
Raw template value=5341</t>
        </r>
      </text>
    </comment>
    <comment ref="A64" authorId="1" shapeId="0" xr:uid="{00000000-0006-0000-0100-000029000000}">
      <text>
        <r>
          <rPr>
            <sz val="11"/>
            <color theme="1"/>
            <rFont val="Calibri"/>
            <family val="2"/>
            <scheme val="minor"/>
          </rPr>
          <t>reporting/bscr/reconcile/filled in templates/2026 BSCR - UKEU - 33.xlsx
Schedule X(f)!L12
Total; All countries; geo=None
Raw template value=29798684.509707958</t>
        </r>
      </text>
    </comment>
    <comment ref="A65" authorId="1" shapeId="0" xr:uid="{00000000-0006-0000-0100-00002A000000}">
      <text>
        <r>
          <rPr>
            <sz val="11"/>
            <color theme="1"/>
            <rFont val="Calibri"/>
            <family val="2"/>
            <scheme val="minor"/>
          </rPr>
          <t>reporting/bscr/reconcile/filled in templates/2026 BSCR - UKEU - 33.xlsx
Schedule X(f)!M12
Total; All countries; geo=None
Raw template value=21558481.149128009</t>
        </r>
      </text>
    </comment>
    <comment ref="A66" authorId="1" shapeId="0" xr:uid="{00000000-0006-0000-0100-00002B000000}">
      <text>
        <r>
          <rPr>
            <sz val="11"/>
            <color theme="1"/>
            <rFont val="Calibri"/>
            <family val="2"/>
            <scheme val="minor"/>
          </rPr>
          <t>reporting/bscr/reconcile/filled in templates/2026 BSCR - UKEU - 33.xlsx
Schedule X(f)!E19
Modelled; US; geo=1
Raw template value=106</t>
        </r>
      </text>
    </comment>
    <comment ref="A67" authorId="1" shapeId="0" xr:uid="{00000000-0006-0000-0100-00002C000000}">
      <text>
        <r>
          <rPr>
            <sz val="11"/>
            <color theme="1"/>
            <rFont val="Calibri"/>
            <family val="2"/>
            <scheme val="minor"/>
          </rPr>
          <t>reporting/bscr/reconcile/filled in templates/2026 BSCR - UKEU - 33.xlsx
Schedule X(f)!F19
Modelled; US; geo=1
Raw template value=738973.41734851594</t>
        </r>
      </text>
    </comment>
    <comment ref="A68" authorId="1" shapeId="0" xr:uid="{00000000-0006-0000-0100-00002D000000}">
      <text>
        <r>
          <rPr>
            <sz val="11"/>
            <color theme="1"/>
            <rFont val="Calibri"/>
            <family val="2"/>
            <scheme val="minor"/>
          </rPr>
          <t>reporting/bscr/reconcile/filled in templates/2026 BSCR - UKEU - 33.xlsx
Schedule X(f)!G19
Modelled; US; geo=1
Raw template value=426252.30981766497</t>
        </r>
      </text>
    </comment>
    <comment ref="A69" authorId="1" shapeId="0" xr:uid="{00000000-0006-0000-0100-00002E000000}">
      <text>
        <r>
          <rPr>
            <sz val="11"/>
            <color theme="1"/>
            <rFont val="Calibri"/>
            <family val="2"/>
            <scheme val="minor"/>
          </rPr>
          <t>reporting/bscr/reconcile/filled in templates/2026 BSCR - UKEU - 33.xlsx
Schedule X(f)!H19
Modelled; Other countries; geo=1
Raw template value=4572</t>
        </r>
      </text>
    </comment>
    <comment ref="A70" authorId="1" shapeId="0" xr:uid="{00000000-0006-0000-0100-00002F000000}">
      <text>
        <r>
          <rPr>
            <sz val="11"/>
            <color theme="1"/>
            <rFont val="Calibri"/>
            <family val="2"/>
            <scheme val="minor"/>
          </rPr>
          <t>reporting/bscr/reconcile/filled in templates/2026 BSCR - UKEU - 33.xlsx
Schedule X(f)!I19
Modelled; Other countries; geo=1
Raw template value=24413781.950270183</t>
        </r>
      </text>
    </comment>
    <comment ref="A71" authorId="1" shapeId="0" xr:uid="{00000000-0006-0000-0100-000030000000}">
      <text>
        <r>
          <rPr>
            <sz val="11"/>
            <color theme="1"/>
            <rFont val="Calibri"/>
            <family val="2"/>
            <scheme val="minor"/>
          </rPr>
          <t>reporting/bscr/reconcile/filled in templates/2026 BSCR - UKEU - 33.xlsx
Schedule X(f)!J19
Modelled; Other countries; geo=1
Raw template value=18200276.187958535</t>
        </r>
      </text>
    </comment>
    <comment ref="A72" authorId="1" shapeId="0" xr:uid="{00000000-0006-0000-0100-000031000000}">
      <text>
        <r>
          <rPr>
            <sz val="11"/>
            <color theme="1"/>
            <rFont val="Calibri"/>
            <family val="2"/>
            <scheme val="minor"/>
          </rPr>
          <t>reporting/bscr/reconcile/filled in templates/2026 BSCR - UKEU - 33.xlsx
Schedule X(f)!K19
Modelled; All countries; geo=1
Raw template value=4678</t>
        </r>
      </text>
    </comment>
    <comment ref="A73" authorId="1" shapeId="0" xr:uid="{00000000-0006-0000-0100-000032000000}">
      <text>
        <r>
          <rPr>
            <sz val="11"/>
            <color theme="1"/>
            <rFont val="Calibri"/>
            <family val="2"/>
            <scheme val="minor"/>
          </rPr>
          <t>reporting/bscr/reconcile/filled in templates/2026 BSCR - UKEU - 33.xlsx
Schedule X(f)!L19
Modelled; All countries; geo=1
Raw template value=25152755.367618699</t>
        </r>
      </text>
    </comment>
    <comment ref="A74" authorId="1" shapeId="0" xr:uid="{00000000-0006-0000-0100-000033000000}">
      <text>
        <r>
          <rPr>
            <sz val="11"/>
            <color theme="1"/>
            <rFont val="Calibri"/>
            <family val="2"/>
            <scheme val="minor"/>
          </rPr>
          <t>reporting/bscr/reconcile/filled in templates/2026 BSCR - UKEU - 33.xlsx
Schedule X(f)!M19
Modelled; All countries; geo=1
Raw template value=18626528.497776199</t>
        </r>
      </text>
    </comment>
    <comment ref="A75" authorId="1" shapeId="0" xr:uid="{00000000-0006-0000-0100-000034000000}">
      <text>
        <r>
          <rPr>
            <sz val="11"/>
            <color theme="1"/>
            <rFont val="Calibri"/>
            <family val="2"/>
            <scheme val="minor"/>
          </rPr>
          <t>reporting/bscr/reconcile/filled in templates/2026 BSCR - UKEU - 33.xlsx
Schedule X(f)!E20
Not modelled; US; geo=0
Raw template value=326</t>
        </r>
      </text>
    </comment>
    <comment ref="A76" authorId="1" shapeId="0" xr:uid="{00000000-0006-0000-0100-000035000000}">
      <text>
        <r>
          <rPr>
            <sz val="11"/>
            <color theme="1"/>
            <rFont val="Calibri"/>
            <family val="2"/>
            <scheme val="minor"/>
          </rPr>
          <t>reporting/bscr/reconcile/filled in templates/2026 BSCR - UKEU - 33.xlsx
Schedule X(f)!F20
Not modelled; US; geo=0
Raw template value=2365811.5029090499</t>
        </r>
      </text>
    </comment>
    <comment ref="A77" authorId="1" shapeId="0" xr:uid="{00000000-0006-0000-0100-000036000000}">
      <text>
        <r>
          <rPr>
            <sz val="11"/>
            <color theme="1"/>
            <rFont val="Calibri"/>
            <family val="2"/>
            <scheme val="minor"/>
          </rPr>
          <t>reporting/bscr/reconcile/filled in templates/2026 BSCR - UKEU - 33.xlsx
Schedule X(f)!G20
Not modelled; US; geo=0
Raw template value=1413295.9653553199</t>
        </r>
      </text>
    </comment>
    <comment ref="A78" authorId="1" shapeId="0" xr:uid="{00000000-0006-0000-0100-000037000000}">
      <text>
        <r>
          <rPr>
            <sz val="11"/>
            <color theme="1"/>
            <rFont val="Calibri"/>
            <family val="2"/>
            <scheme val="minor"/>
          </rPr>
          <t>reporting/bscr/reconcile/filled in templates/2026 BSCR - UKEU - 33.xlsx
Schedule X(f)!H20
Not modelled; Other countries; geo=0
Raw template value=337</t>
        </r>
      </text>
    </comment>
    <comment ref="A79" authorId="1" shapeId="0" xr:uid="{00000000-0006-0000-0100-000038000000}">
      <text>
        <r>
          <rPr>
            <sz val="11"/>
            <color theme="1"/>
            <rFont val="Calibri"/>
            <family val="2"/>
            <scheme val="minor"/>
          </rPr>
          <t>reporting/bscr/reconcile/filled in templates/2026 BSCR - UKEU - 33.xlsx
Schedule X(f)!I20
Not modelled; Other countries; geo=0
Raw template value=2280117.63918021</t>
        </r>
      </text>
    </comment>
    <comment ref="A80" authorId="1" shapeId="0" xr:uid="{00000000-0006-0000-0100-000039000000}">
      <text>
        <r>
          <rPr>
            <sz val="11"/>
            <color theme="1"/>
            <rFont val="Calibri"/>
            <family val="2"/>
            <scheme val="minor"/>
          </rPr>
          <t>reporting/bscr/reconcile/filled in templates/2026 BSCR - UKEU - 33.xlsx
Schedule X(f)!J20
Not modelled; Other countries; geo=0
Raw template value=1518656.6859964901</t>
        </r>
      </text>
    </comment>
    <comment ref="A81" authorId="1" shapeId="0" xr:uid="{00000000-0006-0000-0100-00003A000000}">
      <text>
        <r>
          <rPr>
            <sz val="11"/>
            <color theme="1"/>
            <rFont val="Calibri"/>
            <family val="2"/>
            <scheme val="minor"/>
          </rPr>
          <t>reporting/bscr/reconcile/filled in templates/2026 BSCR - UKEU - 33.xlsx
Schedule X(f)!K20
Not modelled; All countries; geo=0
Raw template value=663</t>
        </r>
      </text>
    </comment>
    <comment ref="A82" authorId="1" shapeId="0" xr:uid="{00000000-0006-0000-0100-00003B000000}">
      <text>
        <r>
          <rPr>
            <sz val="11"/>
            <color theme="1"/>
            <rFont val="Calibri"/>
            <family val="2"/>
            <scheme val="minor"/>
          </rPr>
          <t>reporting/bscr/reconcile/filled in templates/2026 BSCR - UKEU - 33.xlsx
Schedule X(f)!L20
Not modelled; All countries; geo=0
Raw template value=4645929.1420892598</t>
        </r>
      </text>
    </comment>
    <comment ref="A83" authorId="1" shapeId="0" xr:uid="{00000000-0006-0000-0100-00003C000000}">
      <text>
        <r>
          <rPr>
            <sz val="11"/>
            <color theme="1"/>
            <rFont val="Calibri"/>
            <family val="2"/>
            <scheme val="minor"/>
          </rPr>
          <t>reporting/bscr/reconcile/filled in templates/2026 BSCR - UKEU - 33.xlsx
Schedule X(f)!M20
Not modelled; All countries; geo=0
Raw template value=2931952.65135181</t>
        </r>
      </text>
    </comment>
    <comment ref="A84" authorId="1" shapeId="0" xr:uid="{00000000-0006-0000-0100-00003D000000}">
      <text>
        <r>
          <rPr>
            <sz val="11"/>
            <color theme="1"/>
            <rFont val="Calibri"/>
            <family val="2"/>
            <scheme val="minor"/>
          </rPr>
          <t>reporting/bscr/reconcile/filled in templates/2026 BSCR - UKEU - 33.xlsx
Schedule X(f)!E21
Total; US; geo=None
Raw template value=432</t>
        </r>
      </text>
    </comment>
    <comment ref="A85" authorId="1" shapeId="0" xr:uid="{00000000-0006-0000-0100-00003E000000}">
      <text>
        <r>
          <rPr>
            <sz val="11"/>
            <color theme="1"/>
            <rFont val="Calibri"/>
            <family val="2"/>
            <scheme val="minor"/>
          </rPr>
          <t>reporting/bscr/reconcile/filled in templates/2026 BSCR - UKEU - 33.xlsx
Schedule X(f)!F21
Total; US; geo=None
Raw template value=3104784.9202575656</t>
        </r>
      </text>
    </comment>
    <comment ref="A86" authorId="1" shapeId="0" xr:uid="{00000000-0006-0000-0100-00003F000000}">
      <text>
        <r>
          <rPr>
            <sz val="11"/>
            <color theme="1"/>
            <rFont val="Calibri"/>
            <family val="2"/>
            <scheme val="minor"/>
          </rPr>
          <t>reporting/bscr/reconcile/filled in templates/2026 BSCR - UKEU - 33.xlsx
Schedule X(f)!G21
Total; US; geo=None
Raw template value=1839548.2751729849</t>
        </r>
      </text>
    </comment>
    <comment ref="A87" authorId="1" shapeId="0" xr:uid="{00000000-0006-0000-0100-000040000000}">
      <text>
        <r>
          <rPr>
            <sz val="11"/>
            <color theme="1"/>
            <rFont val="Calibri"/>
            <family val="2"/>
            <scheme val="minor"/>
          </rPr>
          <t>reporting/bscr/reconcile/filled in templates/2026 BSCR - UKEU - 33.xlsx
Schedule X(f)!H21
Total; Other countries; geo=None
Raw template value=4909</t>
        </r>
      </text>
    </comment>
    <comment ref="A88" authorId="1" shapeId="0" xr:uid="{00000000-0006-0000-0100-000041000000}">
      <text>
        <r>
          <rPr>
            <sz val="11"/>
            <color theme="1"/>
            <rFont val="Calibri"/>
            <family val="2"/>
            <scheme val="minor"/>
          </rPr>
          <t>reporting/bscr/reconcile/filled in templates/2026 BSCR - UKEU - 33.xlsx
Schedule X(f)!I21
Total; Other countries; geo=None
Raw template value=26693899.589450393</t>
        </r>
      </text>
    </comment>
    <comment ref="A89" authorId="1" shapeId="0" xr:uid="{00000000-0006-0000-0100-000042000000}">
      <text>
        <r>
          <rPr>
            <sz val="11"/>
            <color theme="1"/>
            <rFont val="Calibri"/>
            <family val="2"/>
            <scheme val="minor"/>
          </rPr>
          <t>reporting/bscr/reconcile/filled in templates/2026 BSCR - UKEU - 33.xlsx
Schedule X(f)!J21
Total; Other countries; geo=None
Raw template value=19718932.873955026</t>
        </r>
      </text>
    </comment>
    <comment ref="A90" authorId="1" shapeId="0" xr:uid="{00000000-0006-0000-0100-000043000000}">
      <text>
        <r>
          <rPr>
            <sz val="11"/>
            <color theme="1"/>
            <rFont val="Calibri"/>
            <family val="2"/>
            <scheme val="minor"/>
          </rPr>
          <t>reporting/bscr/reconcile/filled in templates/2026 BSCR - UKEU - 33.xlsx
Schedule X(f)!K21
Total; All countries; geo=None
Raw template value=5341</t>
        </r>
      </text>
    </comment>
    <comment ref="A91" authorId="1" shapeId="0" xr:uid="{00000000-0006-0000-0100-000044000000}">
      <text>
        <r>
          <rPr>
            <sz val="11"/>
            <color theme="1"/>
            <rFont val="Calibri"/>
            <family val="2"/>
            <scheme val="minor"/>
          </rPr>
          <t>reporting/bscr/reconcile/filled in templates/2026 BSCR - UKEU - 33.xlsx
Schedule X(f)!L21
Total; All countries; geo=None
Raw template value=29798684.509707958</t>
        </r>
      </text>
    </comment>
    <comment ref="A92" authorId="1" shapeId="0" xr:uid="{00000000-0006-0000-0100-000045000000}">
      <text>
        <r>
          <rPr>
            <sz val="11"/>
            <color theme="1"/>
            <rFont val="Calibri"/>
            <family val="2"/>
            <scheme val="minor"/>
          </rPr>
          <t>reporting/bscr/reconcile/filled in templates/2026 BSCR - UKEU - 33.xlsx
Schedule X(f)!M21
Total; All countries; geo=None
Raw template value=21558481.149128009</t>
        </r>
      </text>
    </comment>
    <comment ref="A93" authorId="1" shapeId="0" xr:uid="{00000000-0006-0000-0100-000046000000}">
      <text>
        <r>
          <rPr>
            <sz val="11"/>
            <color theme="1"/>
            <rFont val="Calibri"/>
            <family val="2"/>
            <scheme val="minor"/>
          </rPr>
          <t>reporting/bscr/reconcile/filled in templates/2026 BSCR - UKEU - 33.xlsx
Schedule X(f)!E28
Detailed exposure data; US; geo=1
Raw template value=106</t>
        </r>
      </text>
    </comment>
    <comment ref="A94" authorId="1" shapeId="0" xr:uid="{00000000-0006-0000-0100-000047000000}">
      <text>
        <r>
          <rPr>
            <sz val="11"/>
            <color theme="1"/>
            <rFont val="Calibri"/>
            <family val="2"/>
            <scheme val="minor"/>
          </rPr>
          <t>reporting/bscr/reconcile/filled in templates/2026 BSCR - UKEU - 33.xlsx
Schedule X(f)!F28
Detailed exposure data; US; geo=1
Raw template value=738973.41734851594</t>
        </r>
      </text>
    </comment>
    <comment ref="A95" authorId="1" shapeId="0" xr:uid="{00000000-0006-0000-0100-000048000000}">
      <text>
        <r>
          <rPr>
            <sz val="11"/>
            <color theme="1"/>
            <rFont val="Calibri"/>
            <family val="2"/>
            <scheme val="minor"/>
          </rPr>
          <t>reporting/bscr/reconcile/filled in templates/2026 BSCR - UKEU - 33.xlsx
Schedule X(f)!G28
Detailed exposure data; US; geo=1
Raw template value=426252.30981766497</t>
        </r>
      </text>
    </comment>
    <comment ref="A96" authorId="1" shapeId="0" xr:uid="{00000000-0006-0000-0100-000049000000}">
      <text>
        <r>
          <rPr>
            <sz val="11"/>
            <color theme="1"/>
            <rFont val="Calibri"/>
            <family val="2"/>
            <scheme val="minor"/>
          </rPr>
          <t>reporting/bscr/reconcile/filled in templates/2026 BSCR - UKEU - 33.xlsx
Schedule X(f)!H28
Detailed exposure data; Other countries; geo=1
Raw template value=4572</t>
        </r>
      </text>
    </comment>
    <comment ref="A97" authorId="1" shapeId="0" xr:uid="{00000000-0006-0000-0100-00004A000000}">
      <text>
        <r>
          <rPr>
            <sz val="11"/>
            <color theme="1"/>
            <rFont val="Calibri"/>
            <family val="2"/>
            <scheme val="minor"/>
          </rPr>
          <t>reporting/bscr/reconcile/filled in templates/2026 BSCR - UKEU - 33.xlsx
Schedule X(f)!I28
Detailed exposure data; Other countries; geo=1
Raw template value=24413781.950270183</t>
        </r>
      </text>
    </comment>
    <comment ref="A98" authorId="1" shapeId="0" xr:uid="{00000000-0006-0000-0100-00004B000000}">
      <text>
        <r>
          <rPr>
            <sz val="11"/>
            <color theme="1"/>
            <rFont val="Calibri"/>
            <family val="2"/>
            <scheme val="minor"/>
          </rPr>
          <t>reporting/bscr/reconcile/filled in templates/2026 BSCR - UKEU - 33.xlsx
Schedule X(f)!J28
Detailed exposure data; Other countries; geo=1
Raw template value=18200276.187958535</t>
        </r>
      </text>
    </comment>
    <comment ref="A99" authorId="1" shapeId="0" xr:uid="{00000000-0006-0000-0100-00004C000000}">
      <text>
        <r>
          <rPr>
            <sz val="11"/>
            <color theme="1"/>
            <rFont val="Calibri"/>
            <family val="2"/>
            <scheme val="minor"/>
          </rPr>
          <t>reporting/bscr/reconcile/filled in templates/2026 BSCR - UKEU - 33.xlsx
Schedule X(f)!K28
Detailed exposure data; All countries; geo=1
Raw template value=4678</t>
        </r>
      </text>
    </comment>
    <comment ref="A100" authorId="1" shapeId="0" xr:uid="{00000000-0006-0000-0100-00004D000000}">
      <text>
        <r>
          <rPr>
            <sz val="11"/>
            <color theme="1"/>
            <rFont val="Calibri"/>
            <family val="2"/>
            <scheme val="minor"/>
          </rPr>
          <t>reporting/bscr/reconcile/filled in templates/2026 BSCR - UKEU - 33.xlsx
Schedule X(f)!L28
Detailed exposure data; All countries; geo=1
Raw template value=25152755.367618699</t>
        </r>
      </text>
    </comment>
    <comment ref="A101" authorId="1" shapeId="0" xr:uid="{00000000-0006-0000-0100-00004E000000}">
      <text>
        <r>
          <rPr>
            <sz val="11"/>
            <color theme="1"/>
            <rFont val="Calibri"/>
            <family val="2"/>
            <scheme val="minor"/>
          </rPr>
          <t>reporting/bscr/reconcile/filled in templates/2026 BSCR - UKEU - 33.xlsx
Schedule X(f)!M28
Detailed exposure data; All countries; geo=1
Raw template value=18626528.497776199</t>
        </r>
      </text>
    </comment>
    <comment ref="A102" authorId="1" shapeId="0" xr:uid="{00000000-0006-0000-0100-00004F000000}">
      <text>
        <r>
          <rPr>
            <sz val="11"/>
            <color theme="1"/>
            <rFont val="Calibri"/>
            <family val="2"/>
            <scheme val="minor"/>
          </rPr>
          <t>reporting/bscr/reconcile/filled in templates/2026 BSCR - UKEU - 33.xlsx
Schedule X(f)!E33
Total modelled; US; geo=1
Raw template value=106</t>
        </r>
      </text>
    </comment>
    <comment ref="A103" authorId="1" shapeId="0" xr:uid="{00000000-0006-0000-0100-000050000000}">
      <text>
        <r>
          <rPr>
            <sz val="11"/>
            <color theme="1"/>
            <rFont val="Calibri"/>
            <family val="2"/>
            <scheme val="minor"/>
          </rPr>
          <t>reporting/bscr/reconcile/filled in templates/2026 BSCR - UKEU - 33.xlsx
Schedule X(f)!F33
Total modelled; US; geo=1
Raw template value=738973.41734851594</t>
        </r>
      </text>
    </comment>
    <comment ref="A104" authorId="1" shapeId="0" xr:uid="{00000000-0006-0000-0100-000051000000}">
      <text>
        <r>
          <rPr>
            <sz val="11"/>
            <color theme="1"/>
            <rFont val="Calibri"/>
            <family val="2"/>
            <scheme val="minor"/>
          </rPr>
          <t>reporting/bscr/reconcile/filled in templates/2026 BSCR - UKEU - 33.xlsx
Schedule X(f)!G33
Total modelled; US; geo=1
Raw template value=426252.30981766497</t>
        </r>
      </text>
    </comment>
    <comment ref="A105" authorId="1" shapeId="0" xr:uid="{00000000-0006-0000-0100-000052000000}">
      <text>
        <r>
          <rPr>
            <sz val="11"/>
            <color theme="1"/>
            <rFont val="Calibri"/>
            <family val="2"/>
            <scheme val="minor"/>
          </rPr>
          <t>reporting/bscr/reconcile/filled in templates/2026 BSCR - UKEU - 33.xlsx
Schedule X(f)!H33
Total modelled; Other countries; geo=1
Raw template value=4572</t>
        </r>
      </text>
    </comment>
    <comment ref="A106" authorId="1" shapeId="0" xr:uid="{00000000-0006-0000-0100-000053000000}">
      <text>
        <r>
          <rPr>
            <sz val="11"/>
            <color theme="1"/>
            <rFont val="Calibri"/>
            <family val="2"/>
            <scheme val="minor"/>
          </rPr>
          <t>reporting/bscr/reconcile/filled in templates/2026 BSCR - UKEU - 33.xlsx
Schedule X(f)!I33
Total modelled; Other countries; geo=1
Raw template value=24413781.950270183</t>
        </r>
      </text>
    </comment>
    <comment ref="A107" authorId="1" shapeId="0" xr:uid="{00000000-0006-0000-0100-000054000000}">
      <text>
        <r>
          <rPr>
            <sz val="11"/>
            <color theme="1"/>
            <rFont val="Calibri"/>
            <family val="2"/>
            <scheme val="minor"/>
          </rPr>
          <t>reporting/bscr/reconcile/filled in templates/2026 BSCR - UKEU - 33.xlsx
Schedule X(f)!J33
Total modelled; Other countries; geo=1
Raw template value=18200276.187958535</t>
        </r>
      </text>
    </comment>
    <comment ref="A108" authorId="1" shapeId="0" xr:uid="{00000000-0006-0000-0100-000055000000}">
      <text>
        <r>
          <rPr>
            <sz val="11"/>
            <color theme="1"/>
            <rFont val="Calibri"/>
            <family val="2"/>
            <scheme val="minor"/>
          </rPr>
          <t>reporting/bscr/reconcile/filled in templates/2026 BSCR - UKEU - 33.xlsx
Schedule X(f)!K33
Total modelled; All countries; geo=1
Raw template value=4678</t>
        </r>
      </text>
    </comment>
    <comment ref="A109" authorId="1" shapeId="0" xr:uid="{00000000-0006-0000-0100-000056000000}">
      <text>
        <r>
          <rPr>
            <sz val="11"/>
            <color theme="1"/>
            <rFont val="Calibri"/>
            <family val="2"/>
            <scheme val="minor"/>
          </rPr>
          <t>reporting/bscr/reconcile/filled in templates/2026 BSCR - UKEU - 33.xlsx
Schedule X(f)!L33
Total modelled; All countries; geo=1
Raw template value=25152755.367618699</t>
        </r>
      </text>
    </comment>
    <comment ref="A110" authorId="1" shapeId="0" xr:uid="{00000000-0006-0000-0100-000057000000}">
      <text>
        <r>
          <rPr>
            <sz val="11"/>
            <color theme="1"/>
            <rFont val="Calibri"/>
            <family val="2"/>
            <scheme val="minor"/>
          </rPr>
          <t>reporting/bscr/reconcile/filled in templates/2026 BSCR - UKEU - 33.xlsx
Schedule X(f)!M33
Total modelled; All countries; geo=1
Raw template value=18626528.497776199</t>
        </r>
      </text>
    </comment>
    <comment ref="A111" authorId="1" shapeId="0" xr:uid="{00000000-0006-0000-0100-000058000000}">
      <text>
        <r>
          <rPr>
            <sz val="11"/>
            <color theme="1"/>
            <rFont val="Calibri"/>
            <family val="2"/>
            <scheme val="minor"/>
          </rPr>
          <t>reporting/bscr/reconcile/filled in templates/2026 BSCR - UKEU - 33.xlsx
Schedule X(f)!E43
Data deficient; US; geo=0
Raw template value=326</t>
        </r>
      </text>
    </comment>
    <comment ref="A112" authorId="1" shapeId="0" xr:uid="{00000000-0006-0000-0100-000059000000}">
      <text>
        <r>
          <rPr>
            <sz val="11"/>
            <color theme="1"/>
            <rFont val="Calibri"/>
            <family val="2"/>
            <scheme val="minor"/>
          </rPr>
          <t>reporting/bscr/reconcile/filled in templates/2026 BSCR - UKEU - 33.xlsx
Schedule X(f)!F43
Data deficient; US; geo=0
Raw template value=2365811.5029090499</t>
        </r>
      </text>
    </comment>
    <comment ref="A113" authorId="1" shapeId="0" xr:uid="{00000000-0006-0000-0100-00005A000000}">
      <text>
        <r>
          <rPr>
            <sz val="11"/>
            <color theme="1"/>
            <rFont val="Calibri"/>
            <family val="2"/>
            <scheme val="minor"/>
          </rPr>
          <t>reporting/bscr/reconcile/filled in templates/2026 BSCR - UKEU - 33.xlsx
Schedule X(f)!G43
Data deficient; US; geo=0
Raw template value=1413295.9653553199</t>
        </r>
      </text>
    </comment>
    <comment ref="A114" authorId="1" shapeId="0" xr:uid="{00000000-0006-0000-0100-00005B000000}">
      <text>
        <r>
          <rPr>
            <sz val="11"/>
            <color theme="1"/>
            <rFont val="Calibri"/>
            <family val="2"/>
            <scheme val="minor"/>
          </rPr>
          <t>reporting/bscr/reconcile/filled in templates/2026 BSCR - UKEU - 33.xlsx
Schedule X(f)!H43
Data deficient; Other countries; geo=0
Raw template value=337</t>
        </r>
      </text>
    </comment>
    <comment ref="A115" authorId="1" shapeId="0" xr:uid="{00000000-0006-0000-0100-00005C000000}">
      <text>
        <r>
          <rPr>
            <sz val="11"/>
            <color theme="1"/>
            <rFont val="Calibri"/>
            <family val="2"/>
            <scheme val="minor"/>
          </rPr>
          <t>reporting/bscr/reconcile/filled in templates/2026 BSCR - UKEU - 33.xlsx
Schedule X(f)!I43
Data deficient; Other countries; geo=0
Raw template value=2280117.63918021</t>
        </r>
      </text>
    </comment>
    <comment ref="A116" authorId="1" shapeId="0" xr:uid="{00000000-0006-0000-0100-00005D000000}">
      <text>
        <r>
          <rPr>
            <sz val="11"/>
            <color theme="1"/>
            <rFont val="Calibri"/>
            <family val="2"/>
            <scheme val="minor"/>
          </rPr>
          <t>reporting/bscr/reconcile/filled in templates/2026 BSCR - UKEU - 33.xlsx
Schedule X(f)!J43
Data deficient; Other countries; geo=0
Raw template value=1518656.6859964901</t>
        </r>
      </text>
    </comment>
    <comment ref="A117" authorId="1" shapeId="0" xr:uid="{00000000-0006-0000-0100-00005E000000}">
      <text>
        <r>
          <rPr>
            <sz val="11"/>
            <color theme="1"/>
            <rFont val="Calibri"/>
            <family val="2"/>
            <scheme val="minor"/>
          </rPr>
          <t>reporting/bscr/reconcile/filled in templates/2026 BSCR - UKEU - 33.xlsx
Schedule X(f)!K43
Data deficient; All countries; geo=0
Raw template value=663</t>
        </r>
      </text>
    </comment>
    <comment ref="A118" authorId="1" shapeId="0" xr:uid="{00000000-0006-0000-0100-00005F000000}">
      <text>
        <r>
          <rPr>
            <sz val="11"/>
            <color theme="1"/>
            <rFont val="Calibri"/>
            <family val="2"/>
            <scheme val="minor"/>
          </rPr>
          <t>reporting/bscr/reconcile/filled in templates/2026 BSCR - UKEU - 33.xlsx
Schedule X(f)!L43
Data deficient; All countries; geo=0
Raw template value=4645929.1420892598</t>
        </r>
      </text>
    </comment>
    <comment ref="A119" authorId="1" shapeId="0" xr:uid="{00000000-0006-0000-0100-000060000000}">
      <text>
        <r>
          <rPr>
            <sz val="11"/>
            <color theme="1"/>
            <rFont val="Calibri"/>
            <family val="2"/>
            <scheme val="minor"/>
          </rPr>
          <t>reporting/bscr/reconcile/filled in templates/2026 BSCR - UKEU - 33.xlsx
Schedule X(f)!M43
Data deficient; All countries; geo=0
Raw template value=2931952.65135181</t>
        </r>
      </text>
    </comment>
    <comment ref="A120" authorId="1" shapeId="0" xr:uid="{00000000-0006-0000-0100-000061000000}">
      <text>
        <r>
          <rPr>
            <sz val="11"/>
            <color theme="1"/>
            <rFont val="Calibri"/>
            <family val="2"/>
            <scheme val="minor"/>
          </rPr>
          <t>reporting/bscr/reconcile/filled in templates/2026 BSCR - UKEU - 33.xlsx
Schedule X(f)!E46
Total not modelled; US; geo=0
Raw template value=326</t>
        </r>
      </text>
    </comment>
    <comment ref="A121" authorId="1" shapeId="0" xr:uid="{00000000-0006-0000-0100-000062000000}">
      <text>
        <r>
          <rPr>
            <sz val="11"/>
            <color theme="1"/>
            <rFont val="Calibri"/>
            <family val="2"/>
            <scheme val="minor"/>
          </rPr>
          <t>reporting/bscr/reconcile/filled in templates/2026 BSCR - UKEU - 33.xlsx
Schedule X(f)!F46
Total not modelled; US; geo=0
Raw template value=2365811.5029090499</t>
        </r>
      </text>
    </comment>
    <comment ref="A122" authorId="1" shapeId="0" xr:uid="{00000000-0006-0000-0100-000063000000}">
      <text>
        <r>
          <rPr>
            <sz val="11"/>
            <color theme="1"/>
            <rFont val="Calibri"/>
            <family val="2"/>
            <scheme val="minor"/>
          </rPr>
          <t>reporting/bscr/reconcile/filled in templates/2026 BSCR - UKEU - 33.xlsx
Schedule X(f)!G46
Total not modelled; US; geo=0
Raw template value=1413295.9653553199</t>
        </r>
      </text>
    </comment>
    <comment ref="A123" authorId="1" shapeId="0" xr:uid="{00000000-0006-0000-0100-000064000000}">
      <text>
        <r>
          <rPr>
            <sz val="11"/>
            <color theme="1"/>
            <rFont val="Calibri"/>
            <family val="2"/>
            <scheme val="minor"/>
          </rPr>
          <t>reporting/bscr/reconcile/filled in templates/2026 BSCR - UKEU - 33.xlsx
Schedule X(f)!H46
Total not modelled; Other countries; geo=0
Raw template value=337</t>
        </r>
      </text>
    </comment>
    <comment ref="A124" authorId="1" shapeId="0" xr:uid="{00000000-0006-0000-0100-000065000000}">
      <text>
        <r>
          <rPr>
            <sz val="11"/>
            <color theme="1"/>
            <rFont val="Calibri"/>
            <family val="2"/>
            <scheme val="minor"/>
          </rPr>
          <t>reporting/bscr/reconcile/filled in templates/2026 BSCR - UKEU - 33.xlsx
Schedule X(f)!I46
Total not modelled; Other countries; geo=0
Raw template value=2280117.63918021</t>
        </r>
      </text>
    </comment>
    <comment ref="A125" authorId="1" shapeId="0" xr:uid="{00000000-0006-0000-0100-000066000000}">
      <text>
        <r>
          <rPr>
            <sz val="11"/>
            <color theme="1"/>
            <rFont val="Calibri"/>
            <family val="2"/>
            <scheme val="minor"/>
          </rPr>
          <t>reporting/bscr/reconcile/filled in templates/2026 BSCR - UKEU - 33.xlsx
Schedule X(f)!J46
Total not modelled; Other countries; geo=0
Raw template value=1518656.6859964901</t>
        </r>
      </text>
    </comment>
    <comment ref="A126" authorId="1" shapeId="0" xr:uid="{00000000-0006-0000-0100-000067000000}">
      <text>
        <r>
          <rPr>
            <sz val="11"/>
            <color theme="1"/>
            <rFont val="Calibri"/>
            <family val="2"/>
            <scheme val="minor"/>
          </rPr>
          <t>reporting/bscr/reconcile/filled in templates/2026 BSCR - UKEU - 33.xlsx
Schedule X(f)!K46
Total not modelled; All countries; geo=0
Raw template value=663</t>
        </r>
      </text>
    </comment>
    <comment ref="A127" authorId="1" shapeId="0" xr:uid="{00000000-0006-0000-0100-000068000000}">
      <text>
        <r>
          <rPr>
            <sz val="11"/>
            <color theme="1"/>
            <rFont val="Calibri"/>
            <family val="2"/>
            <scheme val="minor"/>
          </rPr>
          <t>reporting/bscr/reconcile/filled in templates/2026 BSCR - UKEU - 33.xlsx
Schedule X(f)!L46
Total not modelled; All countries; geo=0
Raw template value=4645929.1420892598</t>
        </r>
      </text>
    </comment>
    <comment ref="A128" authorId="1" shapeId="0" xr:uid="{00000000-0006-0000-0100-000069000000}">
      <text>
        <r>
          <rPr>
            <sz val="11"/>
            <color theme="1"/>
            <rFont val="Calibri"/>
            <family val="2"/>
            <scheme val="minor"/>
          </rPr>
          <t>reporting/bscr/reconcile/filled in templates/2026 BSCR - UKEU - 33.xlsx
Schedule X(f)!M46
Total not modelled; All countries; geo=0
Raw template value=2931952.65135181</t>
        </r>
      </text>
    </comment>
    <comment ref="A129" authorId="1" shapeId="0" xr:uid="{00000000-0006-0000-0100-00006A000000}">
      <text>
        <r>
          <rPr>
            <sz val="11"/>
            <color theme="1"/>
            <rFont val="Calibri"/>
            <family val="2"/>
            <scheme val="minor"/>
          </rPr>
          <t>reporting/bscr/reconcile/filled in templates/2026 BSCR - UKEU - 33.xlsx
Schedule X(f)!E60
Data deficient; US; geo=0
Raw template value=326</t>
        </r>
      </text>
    </comment>
    <comment ref="A130" authorId="1" shapeId="0" xr:uid="{00000000-0006-0000-0100-00006B000000}">
      <text>
        <r>
          <rPr>
            <sz val="11"/>
            <color theme="1"/>
            <rFont val="Calibri"/>
            <family val="2"/>
            <scheme val="minor"/>
          </rPr>
          <t>reporting/bscr/reconcile/filled in templates/2026 BSCR - UKEU - 33.xlsx
Schedule X(f)!F60
Data deficient; US; geo=0
Raw template value=2365811.5029090499</t>
        </r>
      </text>
    </comment>
    <comment ref="A131" authorId="1" shapeId="0" xr:uid="{00000000-0006-0000-0100-00006C000000}">
      <text>
        <r>
          <rPr>
            <sz val="11"/>
            <color theme="1"/>
            <rFont val="Calibri"/>
            <family val="2"/>
            <scheme val="minor"/>
          </rPr>
          <t>reporting/bscr/reconcile/filled in templates/2026 BSCR - UKEU - 33.xlsx
Schedule X(f)!G60
Data deficient; US; geo=0
Raw template value=1413295.9653553199</t>
        </r>
      </text>
    </comment>
    <comment ref="A132" authorId="1" shapeId="0" xr:uid="{00000000-0006-0000-0100-00006D000000}">
      <text>
        <r>
          <rPr>
            <sz val="11"/>
            <color theme="1"/>
            <rFont val="Calibri"/>
            <family val="2"/>
            <scheme val="minor"/>
          </rPr>
          <t>reporting/bscr/reconcile/filled in templates/2026 BSCR - UKEU - 33.xlsx
Schedule X(f)!H60
Data deficient; Other countries; geo=0
Raw template value=337</t>
        </r>
      </text>
    </comment>
    <comment ref="A133" authorId="1" shapeId="0" xr:uid="{00000000-0006-0000-0100-00006E000000}">
      <text>
        <r>
          <rPr>
            <sz val="11"/>
            <color theme="1"/>
            <rFont val="Calibri"/>
            <family val="2"/>
            <scheme val="minor"/>
          </rPr>
          <t>reporting/bscr/reconcile/filled in templates/2026 BSCR - UKEU - 33.xlsx
Schedule X(f)!I60
Data deficient; Other countries; geo=0
Raw template value=2280117.63918021</t>
        </r>
      </text>
    </comment>
    <comment ref="A134" authorId="1" shapeId="0" xr:uid="{00000000-0006-0000-0100-00006F000000}">
      <text>
        <r>
          <rPr>
            <sz val="11"/>
            <color theme="1"/>
            <rFont val="Calibri"/>
            <family val="2"/>
            <scheme val="minor"/>
          </rPr>
          <t>reporting/bscr/reconcile/filled in templates/2026 BSCR - UKEU - 33.xlsx
Schedule X(f)!J60
Data deficient; Other countries; geo=0
Raw template value=1518656.6859964901</t>
        </r>
      </text>
    </comment>
    <comment ref="A135" authorId="1" shapeId="0" xr:uid="{00000000-0006-0000-0100-000070000000}">
      <text>
        <r>
          <rPr>
            <sz val="11"/>
            <color theme="1"/>
            <rFont val="Calibri"/>
            <family val="2"/>
            <scheme val="minor"/>
          </rPr>
          <t>reporting/bscr/reconcile/filled in templates/2026 BSCR - UKEU - 33.xlsx
Schedule X(f)!K60
Data deficient; All countries; geo=0
Raw template value=663</t>
        </r>
      </text>
    </comment>
    <comment ref="A136" authorId="1" shapeId="0" xr:uid="{00000000-0006-0000-0100-000071000000}">
      <text>
        <r>
          <rPr>
            <sz val="11"/>
            <color theme="1"/>
            <rFont val="Calibri"/>
            <family val="2"/>
            <scheme val="minor"/>
          </rPr>
          <t>reporting/bscr/reconcile/filled in templates/2026 BSCR - UKEU - 33.xlsx
Schedule X(f)!L60
Data deficient; All countries; geo=0
Raw template value=4645929.1420892598</t>
        </r>
      </text>
    </comment>
    <comment ref="A137" authorId="1" shapeId="0" xr:uid="{00000000-0006-0000-0100-000072000000}">
      <text>
        <r>
          <rPr>
            <sz val="11"/>
            <color theme="1"/>
            <rFont val="Calibri"/>
            <family val="2"/>
            <scheme val="minor"/>
          </rPr>
          <t>reporting/bscr/reconcile/filled in templates/2026 BSCR - UKEU - 33.xlsx
Schedule X(f)!M60
Data deficient; All countries; geo=0
Raw template value=2931952.65135181</t>
        </r>
      </text>
    </comment>
    <comment ref="A138" authorId="1" shapeId="0" xr:uid="{00000000-0006-0000-0100-000073000000}">
      <text>
        <r>
          <rPr>
            <sz val="11"/>
            <color theme="1"/>
            <rFont val="Calibri"/>
            <family val="2"/>
            <scheme val="minor"/>
          </rPr>
          <t>reporting/bscr/reconcile/filled in templates/2026 BSCR - UKEU - 33.xlsx
Schedule X(f)!E64
Total not modellable; US; geo=0
Raw template value=326</t>
        </r>
      </text>
    </comment>
    <comment ref="A139" authorId="1" shapeId="0" xr:uid="{00000000-0006-0000-0100-000074000000}">
      <text>
        <r>
          <rPr>
            <sz val="11"/>
            <color theme="1"/>
            <rFont val="Calibri"/>
            <family val="2"/>
            <scheme val="minor"/>
          </rPr>
          <t>reporting/bscr/reconcile/filled in templates/2026 BSCR - UKEU - 33.xlsx
Schedule X(f)!F64
Total not modellable; US; geo=0
Raw template value=2365811.5029090499</t>
        </r>
      </text>
    </comment>
    <comment ref="A140" authorId="1" shapeId="0" xr:uid="{00000000-0006-0000-0100-000075000000}">
      <text>
        <r>
          <rPr>
            <sz val="11"/>
            <color theme="1"/>
            <rFont val="Calibri"/>
            <family val="2"/>
            <scheme val="minor"/>
          </rPr>
          <t>reporting/bscr/reconcile/filled in templates/2026 BSCR - UKEU - 33.xlsx
Schedule X(f)!G64
Total not modellable; US; geo=0
Raw template value=1413295.9653553199</t>
        </r>
      </text>
    </comment>
    <comment ref="A141" authorId="1" shapeId="0" xr:uid="{00000000-0006-0000-0100-000076000000}">
      <text>
        <r>
          <rPr>
            <sz val="11"/>
            <color theme="1"/>
            <rFont val="Calibri"/>
            <family val="2"/>
            <scheme val="minor"/>
          </rPr>
          <t>reporting/bscr/reconcile/filled in templates/2026 BSCR - UKEU - 33.xlsx
Schedule X(f)!H64
Total not modellable; Other countries; geo=0
Raw template value=337</t>
        </r>
      </text>
    </comment>
    <comment ref="A142" authorId="1" shapeId="0" xr:uid="{00000000-0006-0000-0100-000077000000}">
      <text>
        <r>
          <rPr>
            <sz val="11"/>
            <color theme="1"/>
            <rFont val="Calibri"/>
            <family val="2"/>
            <scheme val="minor"/>
          </rPr>
          <t>reporting/bscr/reconcile/filled in templates/2026 BSCR - UKEU - 33.xlsx
Schedule X(f)!I64
Total not modellable; Other countries; geo=0
Raw template value=2280117.63918021</t>
        </r>
      </text>
    </comment>
    <comment ref="A143" authorId="1" shapeId="0" xr:uid="{00000000-0006-0000-0100-000078000000}">
      <text>
        <r>
          <rPr>
            <sz val="11"/>
            <color theme="1"/>
            <rFont val="Calibri"/>
            <family val="2"/>
            <scheme val="minor"/>
          </rPr>
          <t>reporting/bscr/reconcile/filled in templates/2026 BSCR - UKEU - 33.xlsx
Schedule X(f)!J64
Total not modellable; Other countries; geo=0
Raw template value=1518656.6859964901</t>
        </r>
      </text>
    </comment>
    <comment ref="A144" authorId="1" shapeId="0" xr:uid="{00000000-0006-0000-0100-000079000000}">
      <text>
        <r>
          <rPr>
            <sz val="11"/>
            <color theme="1"/>
            <rFont val="Calibri"/>
            <family val="2"/>
            <scheme val="minor"/>
          </rPr>
          <t>reporting/bscr/reconcile/filled in templates/2026 BSCR - UKEU - 33.xlsx
Schedule X(f)!K64
Total not modellable; All countries; geo=0
Raw template value=663</t>
        </r>
      </text>
    </comment>
    <comment ref="A145" authorId="1" shapeId="0" xr:uid="{00000000-0006-0000-0100-00007A000000}">
      <text>
        <r>
          <rPr>
            <sz val="11"/>
            <color theme="1"/>
            <rFont val="Calibri"/>
            <family val="2"/>
            <scheme val="minor"/>
          </rPr>
          <t>reporting/bscr/reconcile/filled in templates/2026 BSCR - UKEU - 33.xlsx
Schedule X(f)!L64
Total not modellable; All countries; geo=0
Raw template value=4645929.1420892598</t>
        </r>
      </text>
    </comment>
    <comment ref="A146" authorId="1" shapeId="0" xr:uid="{00000000-0006-0000-0100-00007B000000}">
      <text>
        <r>
          <rPr>
            <sz val="11"/>
            <color theme="1"/>
            <rFont val="Calibri"/>
            <family val="2"/>
            <scheme val="minor"/>
          </rPr>
          <t>reporting/bscr/reconcile/filled in templates/2026 BSCR - UKEU - 33.xlsx
Schedule X(f)!M64
Total not modellable; All countries; geo=0
Raw template value=2931952.65135181</t>
        </r>
      </text>
    </comment>
    <comment ref="A147" authorId="1" shapeId="0" xr:uid="{00000000-0006-0000-0100-00007C000000}">
      <text>
        <r>
          <rPr>
            <sz val="11"/>
            <color theme="1"/>
            <rFont val="Calibri"/>
            <family val="2"/>
            <scheme val="minor"/>
          </rPr>
          <t>reporting/bscr/reconcile/filled in templates/2026 BSCR - UKEU - 3624 v2.xlsx
Schedule X(f)!E10
Modellable; US; geo=1
Raw template value=3</t>
        </r>
      </text>
    </comment>
    <comment ref="A148" authorId="1" shapeId="0" xr:uid="{00000000-0006-0000-0100-00007D000000}">
      <text>
        <r>
          <rPr>
            <sz val="11"/>
            <color theme="1"/>
            <rFont val="Calibri"/>
            <family val="2"/>
            <scheme val="minor"/>
          </rPr>
          <t>reporting/bscr/reconcile/filled in templates/2026 BSCR - UKEU - 3624 v2.xlsx
Schedule X(f)!F10
Modellable; US; geo=1
Raw template value=2462.6999999999998</t>
        </r>
      </text>
    </comment>
    <comment ref="A149" authorId="1" shapeId="0" xr:uid="{00000000-0006-0000-0100-00007E000000}">
      <text>
        <r>
          <rPr>
            <sz val="11"/>
            <color theme="1"/>
            <rFont val="Calibri"/>
            <family val="2"/>
            <scheme val="minor"/>
          </rPr>
          <t>reporting/bscr/reconcile/filled in templates/2026 BSCR - UKEU - 3624 v2.xlsx
Schedule X(f)!G10
Modellable; US; geo=1
Raw template value=2462.6999999999998</t>
        </r>
      </text>
    </comment>
    <comment ref="A150" authorId="1" shapeId="0" xr:uid="{00000000-0006-0000-0100-00007F000000}">
      <text>
        <r>
          <rPr>
            <sz val="11"/>
            <color theme="1"/>
            <rFont val="Calibri"/>
            <family val="2"/>
            <scheme val="minor"/>
          </rPr>
          <t>reporting/bscr/reconcile/filled in templates/2026 BSCR - UKEU - 3624 v2.xlsx
Schedule X(f)!H10
Modellable; Other countries; geo=1
Raw template value=24</t>
        </r>
      </text>
    </comment>
    <comment ref="A151" authorId="1" shapeId="0" xr:uid="{00000000-0006-0000-0100-000080000000}">
      <text>
        <r>
          <rPr>
            <sz val="11"/>
            <color theme="1"/>
            <rFont val="Calibri"/>
            <family val="2"/>
            <scheme val="minor"/>
          </rPr>
          <t>reporting/bscr/reconcile/filled in templates/2026 BSCR - UKEU - 3624 v2.xlsx
Schedule X(f)!I10
Modellable; Other countries; geo=1
Raw template value=17951.7968</t>
        </r>
      </text>
    </comment>
    <comment ref="A152" authorId="1" shapeId="0" xr:uid="{00000000-0006-0000-0100-000081000000}">
      <text>
        <r>
          <rPr>
            <sz val="11"/>
            <color theme="1"/>
            <rFont val="Calibri"/>
            <family val="2"/>
            <scheme val="minor"/>
          </rPr>
          <t>reporting/bscr/reconcile/filled in templates/2026 BSCR - UKEU - 3624 v2.xlsx
Schedule X(f)!J10
Modellable; Other countries; geo=1
Raw template value=17951.7968</t>
        </r>
      </text>
    </comment>
    <comment ref="A153" authorId="1" shapeId="0" xr:uid="{00000000-0006-0000-0100-000082000000}">
      <text>
        <r>
          <rPr>
            <sz val="11"/>
            <color theme="1"/>
            <rFont val="Calibri"/>
            <family val="2"/>
            <scheme val="minor"/>
          </rPr>
          <t>reporting/bscr/reconcile/filled in templates/2026 BSCR - UKEU - 3624 v2.xlsx
Schedule X(f)!K10
Modellable; All countries; geo=1
Raw template value=27</t>
        </r>
      </text>
    </comment>
    <comment ref="A154" authorId="1" shapeId="0" xr:uid="{00000000-0006-0000-0100-000083000000}">
      <text>
        <r>
          <rPr>
            <sz val="11"/>
            <color theme="1"/>
            <rFont val="Calibri"/>
            <family val="2"/>
            <scheme val="minor"/>
          </rPr>
          <t>reporting/bscr/reconcile/filled in templates/2026 BSCR - UKEU - 3624 v2.xlsx
Schedule X(f)!L10
Modellable; All countries; geo=1
Raw template value=20414.496800000001</t>
        </r>
      </text>
    </comment>
    <comment ref="A155" authorId="1" shapeId="0" xr:uid="{00000000-0006-0000-0100-000084000000}">
      <text>
        <r>
          <rPr>
            <sz val="11"/>
            <color theme="1"/>
            <rFont val="Calibri"/>
            <family val="2"/>
            <scheme val="minor"/>
          </rPr>
          <t>reporting/bscr/reconcile/filled in templates/2026 BSCR - UKEU - 3624 v2.xlsx
Schedule X(f)!M10
Modellable; All countries; geo=1
Raw template value=20414.496800000001</t>
        </r>
      </text>
    </comment>
    <comment ref="A156" authorId="1" shapeId="0" xr:uid="{00000000-0006-0000-0100-000085000000}">
      <text>
        <r>
          <rPr>
            <sz val="11"/>
            <color theme="1"/>
            <rFont val="Calibri"/>
            <family val="2"/>
            <scheme val="minor"/>
          </rPr>
          <t>reporting/bscr/reconcile/filled in templates/2026 BSCR - UKEU - 3624 v2.xlsx
Schedule X(f)!E11
Not modellable; US; geo=0
Raw template value=1</t>
        </r>
      </text>
    </comment>
    <comment ref="A157" authorId="1" shapeId="0" xr:uid="{00000000-0006-0000-0100-000086000000}">
      <text>
        <r>
          <rPr>
            <sz val="11"/>
            <color theme="1"/>
            <rFont val="Calibri"/>
            <family val="2"/>
            <scheme val="minor"/>
          </rPr>
          <t>reporting/bscr/reconcile/filled in templates/2026 BSCR - UKEU - 3624 v2.xlsx
Schedule X(f)!F11
Not modellable; US; geo=0
Raw template value=345</t>
        </r>
      </text>
    </comment>
    <comment ref="A158" authorId="1" shapeId="0" xr:uid="{00000000-0006-0000-0100-000087000000}">
      <text>
        <r>
          <rPr>
            <sz val="11"/>
            <color theme="1"/>
            <rFont val="Calibri"/>
            <family val="2"/>
            <scheme val="minor"/>
          </rPr>
          <t>reporting/bscr/reconcile/filled in templates/2026 BSCR - UKEU - 3624 v2.xlsx
Schedule X(f)!G11
Not modellable; US; geo=0
Raw template value=345</t>
        </r>
      </text>
    </comment>
    <comment ref="A159" authorId="1" shapeId="0" xr:uid="{00000000-0006-0000-0100-000088000000}">
      <text>
        <r>
          <rPr>
            <sz val="11"/>
            <color theme="1"/>
            <rFont val="Calibri"/>
            <family val="2"/>
            <scheme val="minor"/>
          </rPr>
          <t>reporting/bscr/reconcile/filled in templates/2026 BSCR - UKEU - 3624 v2.xlsx
Schedule X(f)!H11
Not modellable; Other countries; geo=0
Raw template value=8</t>
        </r>
      </text>
    </comment>
    <comment ref="A160" authorId="1" shapeId="0" xr:uid="{00000000-0006-0000-0100-000089000000}">
      <text>
        <r>
          <rPr>
            <sz val="11"/>
            <color theme="1"/>
            <rFont val="Calibri"/>
            <family val="2"/>
            <scheme val="minor"/>
          </rPr>
          <t>reporting/bscr/reconcile/filled in templates/2026 BSCR - UKEU - 3624 v2.xlsx
Schedule X(f)!I11
Not modellable; Other countries; geo=0
Raw template value=1307</t>
        </r>
      </text>
    </comment>
    <comment ref="A161" authorId="1" shapeId="0" xr:uid="{00000000-0006-0000-0100-00008A000000}">
      <text>
        <r>
          <rPr>
            <sz val="11"/>
            <color theme="1"/>
            <rFont val="Calibri"/>
            <family val="2"/>
            <scheme val="minor"/>
          </rPr>
          <t>reporting/bscr/reconcile/filled in templates/2026 BSCR - UKEU - 3624 v2.xlsx
Schedule X(f)!J11
Not modellable; Other countries; geo=0
Raw template value=1307</t>
        </r>
      </text>
    </comment>
    <comment ref="A162" authorId="1" shapeId="0" xr:uid="{00000000-0006-0000-0100-00008B000000}">
      <text>
        <r>
          <rPr>
            <sz val="11"/>
            <color theme="1"/>
            <rFont val="Calibri"/>
            <family val="2"/>
            <scheme val="minor"/>
          </rPr>
          <t>reporting/bscr/reconcile/filled in templates/2026 BSCR - UKEU - 3624 v2.xlsx
Schedule X(f)!K11
Not modellable; All countries; geo=0
Raw template value=9</t>
        </r>
      </text>
    </comment>
    <comment ref="A163" authorId="1" shapeId="0" xr:uid="{00000000-0006-0000-0100-00008C000000}">
      <text>
        <r>
          <rPr>
            <sz val="11"/>
            <color theme="1"/>
            <rFont val="Calibri"/>
            <family val="2"/>
            <scheme val="minor"/>
          </rPr>
          <t>reporting/bscr/reconcile/filled in templates/2026 BSCR - UKEU - 3624 v2.xlsx
Schedule X(f)!L11
Not modellable; All countries; geo=0
Raw template value=1652</t>
        </r>
      </text>
    </comment>
    <comment ref="A164" authorId="1" shapeId="0" xr:uid="{00000000-0006-0000-0100-00008D000000}">
      <text>
        <r>
          <rPr>
            <sz val="11"/>
            <color theme="1"/>
            <rFont val="Calibri"/>
            <family val="2"/>
            <scheme val="minor"/>
          </rPr>
          <t>reporting/bscr/reconcile/filled in templates/2026 BSCR - UKEU - 3624 v2.xlsx
Schedule X(f)!M11
Not modellable; All countries; geo=0
Raw template value=1652</t>
        </r>
      </text>
    </comment>
    <comment ref="A165" authorId="1" shapeId="0" xr:uid="{00000000-0006-0000-0100-00008E000000}">
      <text>
        <r>
          <rPr>
            <sz val="11"/>
            <color theme="1"/>
            <rFont val="Calibri"/>
            <family val="2"/>
            <scheme val="minor"/>
          </rPr>
          <t>reporting/bscr/reconcile/filled in templates/2026 BSCR - UKEU - 3624 v2.xlsx
Schedule X(f)!E12
Total; US; geo=None
Raw template value=4</t>
        </r>
      </text>
    </comment>
    <comment ref="A166" authorId="1" shapeId="0" xr:uid="{00000000-0006-0000-0100-00008F000000}">
      <text>
        <r>
          <rPr>
            <sz val="11"/>
            <color theme="1"/>
            <rFont val="Calibri"/>
            <family val="2"/>
            <scheme val="minor"/>
          </rPr>
          <t>reporting/bscr/reconcile/filled in templates/2026 BSCR - UKEU - 3624 v2.xlsx
Schedule X(f)!F12
Total; US; geo=None
Raw template value=2807.7</t>
        </r>
      </text>
    </comment>
    <comment ref="A167" authorId="1" shapeId="0" xr:uid="{00000000-0006-0000-0100-000090000000}">
      <text>
        <r>
          <rPr>
            <sz val="11"/>
            <color theme="1"/>
            <rFont val="Calibri"/>
            <family val="2"/>
            <scheme val="minor"/>
          </rPr>
          <t>reporting/bscr/reconcile/filled in templates/2026 BSCR - UKEU - 3624 v2.xlsx
Schedule X(f)!G12
Total; US; geo=None
Raw template value=2807.7</t>
        </r>
      </text>
    </comment>
    <comment ref="A168" authorId="1" shapeId="0" xr:uid="{00000000-0006-0000-0100-000091000000}">
      <text>
        <r>
          <rPr>
            <sz val="11"/>
            <color theme="1"/>
            <rFont val="Calibri"/>
            <family val="2"/>
            <scheme val="minor"/>
          </rPr>
          <t>reporting/bscr/reconcile/filled in templates/2026 BSCR - UKEU - 3624 v2.xlsx
Schedule X(f)!H12
Total; Other countries; geo=None
Raw template value=32</t>
        </r>
      </text>
    </comment>
    <comment ref="A169" authorId="1" shapeId="0" xr:uid="{00000000-0006-0000-0100-000092000000}">
      <text>
        <r>
          <rPr>
            <sz val="11"/>
            <color theme="1"/>
            <rFont val="Calibri"/>
            <family val="2"/>
            <scheme val="minor"/>
          </rPr>
          <t>reporting/bscr/reconcile/filled in templates/2026 BSCR - UKEU - 3624 v2.xlsx
Schedule X(f)!I12
Total; Other countries; geo=None
Raw template value=19258.7968</t>
        </r>
      </text>
    </comment>
    <comment ref="A170" authorId="1" shapeId="0" xr:uid="{00000000-0006-0000-0100-000093000000}">
      <text>
        <r>
          <rPr>
            <sz val="11"/>
            <color theme="1"/>
            <rFont val="Calibri"/>
            <family val="2"/>
            <scheme val="minor"/>
          </rPr>
          <t>reporting/bscr/reconcile/filled in templates/2026 BSCR - UKEU - 3624 v2.xlsx
Schedule X(f)!J12
Total; Other countries; geo=None
Raw template value=19258.7968</t>
        </r>
      </text>
    </comment>
    <comment ref="A171" authorId="1" shapeId="0" xr:uid="{00000000-0006-0000-0100-000094000000}">
      <text>
        <r>
          <rPr>
            <sz val="11"/>
            <color theme="1"/>
            <rFont val="Calibri"/>
            <family val="2"/>
            <scheme val="minor"/>
          </rPr>
          <t>reporting/bscr/reconcile/filled in templates/2026 BSCR - UKEU - 3624 v2.xlsx
Schedule X(f)!K12
Total; All countries; geo=None
Raw template value=36</t>
        </r>
      </text>
    </comment>
    <comment ref="A172" authorId="1" shapeId="0" xr:uid="{00000000-0006-0000-0100-000095000000}">
      <text>
        <r>
          <rPr>
            <sz val="11"/>
            <color theme="1"/>
            <rFont val="Calibri"/>
            <family val="2"/>
            <scheme val="minor"/>
          </rPr>
          <t>reporting/bscr/reconcile/filled in templates/2026 BSCR - UKEU - 3624 v2.xlsx
Schedule X(f)!L12
Total; All countries; geo=None
Raw template value=22066.496800000001</t>
        </r>
      </text>
    </comment>
    <comment ref="A173" authorId="1" shapeId="0" xr:uid="{00000000-0006-0000-0100-000096000000}">
      <text>
        <r>
          <rPr>
            <sz val="11"/>
            <color theme="1"/>
            <rFont val="Calibri"/>
            <family val="2"/>
            <scheme val="minor"/>
          </rPr>
          <t>reporting/bscr/reconcile/filled in templates/2026 BSCR - UKEU - 3624 v2.xlsx
Schedule X(f)!M12
Total; All countries; geo=None
Raw template value=22066.496800000001</t>
        </r>
      </text>
    </comment>
    <comment ref="A174" authorId="1" shapeId="0" xr:uid="{00000000-0006-0000-0100-000097000000}">
      <text>
        <r>
          <rPr>
            <sz val="11"/>
            <color theme="1"/>
            <rFont val="Calibri"/>
            <family val="2"/>
            <scheme val="minor"/>
          </rPr>
          <t>reporting/bscr/reconcile/filled in templates/2026 BSCR - UKEU - 3624 v2.xlsx
Schedule X(f)!E19
Modelled; US; geo=1
Raw template value=3</t>
        </r>
      </text>
    </comment>
    <comment ref="A175" authorId="1" shapeId="0" xr:uid="{00000000-0006-0000-0100-000098000000}">
      <text>
        <r>
          <rPr>
            <sz val="11"/>
            <color theme="1"/>
            <rFont val="Calibri"/>
            <family val="2"/>
            <scheme val="minor"/>
          </rPr>
          <t>reporting/bscr/reconcile/filled in templates/2026 BSCR - UKEU - 3624 v2.xlsx
Schedule X(f)!F19
Modelled; US; geo=1
Raw template value=2462.6999999999998</t>
        </r>
      </text>
    </comment>
    <comment ref="A176" authorId="1" shapeId="0" xr:uid="{00000000-0006-0000-0100-000099000000}">
      <text>
        <r>
          <rPr>
            <sz val="11"/>
            <color theme="1"/>
            <rFont val="Calibri"/>
            <family val="2"/>
            <scheme val="minor"/>
          </rPr>
          <t>reporting/bscr/reconcile/filled in templates/2026 BSCR - UKEU - 3624 v2.xlsx
Schedule X(f)!G19
Modelled; US; geo=1
Raw template value=2462.6999999999998</t>
        </r>
      </text>
    </comment>
    <comment ref="A177" authorId="1" shapeId="0" xr:uid="{00000000-0006-0000-0100-00009A000000}">
      <text>
        <r>
          <rPr>
            <sz val="11"/>
            <color theme="1"/>
            <rFont val="Calibri"/>
            <family val="2"/>
            <scheme val="minor"/>
          </rPr>
          <t>reporting/bscr/reconcile/filled in templates/2026 BSCR - UKEU - 3624 v2.xlsx
Schedule X(f)!H19
Modelled; Other countries; geo=1
Raw template value=24</t>
        </r>
      </text>
    </comment>
    <comment ref="A178" authorId="1" shapeId="0" xr:uid="{00000000-0006-0000-0100-00009B000000}">
      <text>
        <r>
          <rPr>
            <sz val="11"/>
            <color theme="1"/>
            <rFont val="Calibri"/>
            <family val="2"/>
            <scheme val="minor"/>
          </rPr>
          <t>reporting/bscr/reconcile/filled in templates/2026 BSCR - UKEU - 3624 v2.xlsx
Schedule X(f)!I19
Modelled; Other countries; geo=1
Raw template value=17951.7968</t>
        </r>
      </text>
    </comment>
    <comment ref="A179" authorId="1" shapeId="0" xr:uid="{00000000-0006-0000-0100-00009C000000}">
      <text>
        <r>
          <rPr>
            <sz val="11"/>
            <color theme="1"/>
            <rFont val="Calibri"/>
            <family val="2"/>
            <scheme val="minor"/>
          </rPr>
          <t>reporting/bscr/reconcile/filled in templates/2026 BSCR - UKEU - 3624 v2.xlsx
Schedule X(f)!J19
Modelled; Other countries; geo=1
Raw template value=17951.7968</t>
        </r>
      </text>
    </comment>
    <comment ref="A180" authorId="1" shapeId="0" xr:uid="{00000000-0006-0000-0100-00009D000000}">
      <text>
        <r>
          <rPr>
            <sz val="11"/>
            <color theme="1"/>
            <rFont val="Calibri"/>
            <family val="2"/>
            <scheme val="minor"/>
          </rPr>
          <t>reporting/bscr/reconcile/filled in templates/2026 BSCR - UKEU - 3624 v2.xlsx
Schedule X(f)!K19
Modelled; All countries; geo=1
Raw template value=27</t>
        </r>
      </text>
    </comment>
    <comment ref="A181" authorId="1" shapeId="0" xr:uid="{00000000-0006-0000-0100-00009E000000}">
      <text>
        <r>
          <rPr>
            <sz val="11"/>
            <color theme="1"/>
            <rFont val="Calibri"/>
            <family val="2"/>
            <scheme val="minor"/>
          </rPr>
          <t>reporting/bscr/reconcile/filled in templates/2026 BSCR - UKEU - 3624 v2.xlsx
Schedule X(f)!L19
Modelled; All countries; geo=1
Raw template value=20414.496800000001</t>
        </r>
      </text>
    </comment>
    <comment ref="A182" authorId="1" shapeId="0" xr:uid="{00000000-0006-0000-0100-00009F000000}">
      <text>
        <r>
          <rPr>
            <sz val="11"/>
            <color theme="1"/>
            <rFont val="Calibri"/>
            <family val="2"/>
            <scheme val="minor"/>
          </rPr>
          <t>reporting/bscr/reconcile/filled in templates/2026 BSCR - UKEU - 3624 v2.xlsx
Schedule X(f)!M19
Modelled; All countries; geo=1
Raw template value=20414.496800000001</t>
        </r>
      </text>
    </comment>
    <comment ref="A183" authorId="1" shapeId="0" xr:uid="{00000000-0006-0000-0100-0000A0000000}">
      <text>
        <r>
          <rPr>
            <sz val="11"/>
            <color theme="1"/>
            <rFont val="Calibri"/>
            <family val="2"/>
            <scheme val="minor"/>
          </rPr>
          <t>reporting/bscr/reconcile/filled in templates/2026 BSCR - UKEU - 3624 v2.xlsx
Schedule X(f)!E20
Not modelled; US; geo=0
Raw template value=1</t>
        </r>
      </text>
    </comment>
    <comment ref="A184" authorId="1" shapeId="0" xr:uid="{00000000-0006-0000-0100-0000A1000000}">
      <text>
        <r>
          <rPr>
            <sz val="11"/>
            <color theme="1"/>
            <rFont val="Calibri"/>
            <family val="2"/>
            <scheme val="minor"/>
          </rPr>
          <t>reporting/bscr/reconcile/filled in templates/2026 BSCR - UKEU - 3624 v2.xlsx
Schedule X(f)!F20
Not modelled; US; geo=0
Raw template value=345</t>
        </r>
      </text>
    </comment>
    <comment ref="A185" authorId="1" shapeId="0" xr:uid="{00000000-0006-0000-0100-0000A2000000}">
      <text>
        <r>
          <rPr>
            <sz val="11"/>
            <color theme="1"/>
            <rFont val="Calibri"/>
            <family val="2"/>
            <scheme val="minor"/>
          </rPr>
          <t>reporting/bscr/reconcile/filled in templates/2026 BSCR - UKEU - 3624 v2.xlsx
Schedule X(f)!G20
Not modelled; US; geo=0
Raw template value=345</t>
        </r>
      </text>
    </comment>
    <comment ref="A186" authorId="1" shapeId="0" xr:uid="{00000000-0006-0000-0100-0000A3000000}">
      <text>
        <r>
          <rPr>
            <sz val="11"/>
            <color theme="1"/>
            <rFont val="Calibri"/>
            <family val="2"/>
            <scheme val="minor"/>
          </rPr>
          <t>reporting/bscr/reconcile/filled in templates/2026 BSCR - UKEU - 3624 v2.xlsx
Schedule X(f)!H20
Not modelled; Other countries; geo=0
Raw template value=8</t>
        </r>
      </text>
    </comment>
    <comment ref="A187" authorId="1" shapeId="0" xr:uid="{00000000-0006-0000-0100-0000A4000000}">
      <text>
        <r>
          <rPr>
            <sz val="11"/>
            <color theme="1"/>
            <rFont val="Calibri"/>
            <family val="2"/>
            <scheme val="minor"/>
          </rPr>
          <t>reporting/bscr/reconcile/filled in templates/2026 BSCR - UKEU - 3624 v2.xlsx
Schedule X(f)!I20
Not modelled; Other countries; geo=0
Raw template value=1307</t>
        </r>
      </text>
    </comment>
    <comment ref="A188" authorId="1" shapeId="0" xr:uid="{00000000-0006-0000-0100-0000A5000000}">
      <text>
        <r>
          <rPr>
            <sz val="11"/>
            <color theme="1"/>
            <rFont val="Calibri"/>
            <family val="2"/>
            <scheme val="minor"/>
          </rPr>
          <t>reporting/bscr/reconcile/filled in templates/2026 BSCR - UKEU - 3624 v2.xlsx
Schedule X(f)!J20
Not modelled; Other countries; geo=0
Raw template value=1307</t>
        </r>
      </text>
    </comment>
    <comment ref="A189" authorId="1" shapeId="0" xr:uid="{00000000-0006-0000-0100-0000A6000000}">
      <text>
        <r>
          <rPr>
            <sz val="11"/>
            <color theme="1"/>
            <rFont val="Calibri"/>
            <family val="2"/>
            <scheme val="minor"/>
          </rPr>
          <t>reporting/bscr/reconcile/filled in templates/2026 BSCR - UKEU - 3624 v2.xlsx
Schedule X(f)!K20
Not modelled; All countries; geo=0
Raw template value=9</t>
        </r>
      </text>
    </comment>
    <comment ref="A190" authorId="1" shapeId="0" xr:uid="{00000000-0006-0000-0100-0000A7000000}">
      <text>
        <r>
          <rPr>
            <sz val="11"/>
            <color theme="1"/>
            <rFont val="Calibri"/>
            <family val="2"/>
            <scheme val="minor"/>
          </rPr>
          <t>reporting/bscr/reconcile/filled in templates/2026 BSCR - UKEU - 3624 v2.xlsx
Schedule X(f)!L20
Not modelled; All countries; geo=0
Raw template value=1652</t>
        </r>
      </text>
    </comment>
    <comment ref="A191" authorId="1" shapeId="0" xr:uid="{00000000-0006-0000-0100-0000A8000000}">
      <text>
        <r>
          <rPr>
            <sz val="11"/>
            <color theme="1"/>
            <rFont val="Calibri"/>
            <family val="2"/>
            <scheme val="minor"/>
          </rPr>
          <t>reporting/bscr/reconcile/filled in templates/2026 BSCR - UKEU - 3624 v2.xlsx
Schedule X(f)!M20
Not modelled; All countries; geo=0
Raw template value=1652</t>
        </r>
      </text>
    </comment>
    <comment ref="A192" authorId="1" shapeId="0" xr:uid="{00000000-0006-0000-0100-0000A9000000}">
      <text>
        <r>
          <rPr>
            <sz val="11"/>
            <color theme="1"/>
            <rFont val="Calibri"/>
            <family val="2"/>
            <scheme val="minor"/>
          </rPr>
          <t>reporting/bscr/reconcile/filled in templates/2026 BSCR - UKEU - 3624 v2.xlsx
Schedule X(f)!E21
Total; US; geo=None
Raw template value=4</t>
        </r>
      </text>
    </comment>
    <comment ref="A193" authorId="1" shapeId="0" xr:uid="{00000000-0006-0000-0100-0000AA000000}">
      <text>
        <r>
          <rPr>
            <sz val="11"/>
            <color theme="1"/>
            <rFont val="Calibri"/>
            <family val="2"/>
            <scheme val="minor"/>
          </rPr>
          <t>reporting/bscr/reconcile/filled in templates/2026 BSCR - UKEU - 3624 v2.xlsx
Schedule X(f)!F21
Total; US; geo=None
Raw template value=2807.7</t>
        </r>
      </text>
    </comment>
    <comment ref="A194" authorId="1" shapeId="0" xr:uid="{00000000-0006-0000-0100-0000AB000000}">
      <text>
        <r>
          <rPr>
            <sz val="11"/>
            <color theme="1"/>
            <rFont val="Calibri"/>
            <family val="2"/>
            <scheme val="minor"/>
          </rPr>
          <t>reporting/bscr/reconcile/filled in templates/2026 BSCR - UKEU - 3624 v2.xlsx
Schedule X(f)!G21
Total; US; geo=None
Raw template value=2807.7</t>
        </r>
      </text>
    </comment>
    <comment ref="A195" authorId="1" shapeId="0" xr:uid="{00000000-0006-0000-0100-0000AC000000}">
      <text>
        <r>
          <rPr>
            <sz val="11"/>
            <color theme="1"/>
            <rFont val="Calibri"/>
            <family val="2"/>
            <scheme val="minor"/>
          </rPr>
          <t>reporting/bscr/reconcile/filled in templates/2026 BSCR - UKEU - 3624 v2.xlsx
Schedule X(f)!H21
Total; Other countries; geo=None
Raw template value=32</t>
        </r>
      </text>
    </comment>
    <comment ref="A196" authorId="1" shapeId="0" xr:uid="{00000000-0006-0000-0100-0000AD000000}">
      <text>
        <r>
          <rPr>
            <sz val="11"/>
            <color theme="1"/>
            <rFont val="Calibri"/>
            <family val="2"/>
            <scheme val="minor"/>
          </rPr>
          <t>reporting/bscr/reconcile/filled in templates/2026 BSCR - UKEU - 3624 v2.xlsx
Schedule X(f)!I21
Total; Other countries; geo=None
Raw template value=19258.7968</t>
        </r>
      </text>
    </comment>
    <comment ref="A197" authorId="1" shapeId="0" xr:uid="{00000000-0006-0000-0100-0000AE000000}">
      <text>
        <r>
          <rPr>
            <sz val="11"/>
            <color theme="1"/>
            <rFont val="Calibri"/>
            <family val="2"/>
            <scheme val="minor"/>
          </rPr>
          <t>reporting/bscr/reconcile/filled in templates/2026 BSCR - UKEU - 3624 v2.xlsx
Schedule X(f)!J21
Total; Other countries; geo=None
Raw template value=19258.7968</t>
        </r>
      </text>
    </comment>
    <comment ref="A198" authorId="1" shapeId="0" xr:uid="{00000000-0006-0000-0100-0000AF000000}">
      <text>
        <r>
          <rPr>
            <sz val="11"/>
            <color theme="1"/>
            <rFont val="Calibri"/>
            <family val="2"/>
            <scheme val="minor"/>
          </rPr>
          <t>reporting/bscr/reconcile/filled in templates/2026 BSCR - UKEU - 3624 v2.xlsx
Schedule X(f)!K21
Total; All countries; geo=None
Raw template value=36</t>
        </r>
      </text>
    </comment>
    <comment ref="A199" authorId="1" shapeId="0" xr:uid="{00000000-0006-0000-0100-0000B0000000}">
      <text>
        <r>
          <rPr>
            <sz val="11"/>
            <color theme="1"/>
            <rFont val="Calibri"/>
            <family val="2"/>
            <scheme val="minor"/>
          </rPr>
          <t>reporting/bscr/reconcile/filled in templates/2026 BSCR - UKEU - 3624 v2.xlsx
Schedule X(f)!L21
Total; All countries; geo=None
Raw template value=22066.496800000001</t>
        </r>
      </text>
    </comment>
    <comment ref="A200" authorId="1" shapeId="0" xr:uid="{00000000-0006-0000-0100-0000B1000000}">
      <text>
        <r>
          <rPr>
            <sz val="11"/>
            <color theme="1"/>
            <rFont val="Calibri"/>
            <family val="2"/>
            <scheme val="minor"/>
          </rPr>
          <t>reporting/bscr/reconcile/filled in templates/2026 BSCR - UKEU - 3624 v2.xlsx
Schedule X(f)!M21
Total; All countries; geo=None
Raw template value=22066.496800000001</t>
        </r>
      </text>
    </comment>
    <comment ref="A201" authorId="1" shapeId="0" xr:uid="{00000000-0006-0000-0100-0000B2000000}">
      <text>
        <r>
          <rPr>
            <sz val="11"/>
            <color theme="1"/>
            <rFont val="Calibri"/>
            <family val="2"/>
            <scheme val="minor"/>
          </rPr>
          <t>reporting/bscr/reconcile/filled in templates/2026 BSCR - UKEU - 3624 v2.xlsx
Schedule X(f)!E28
Detailed exposure data; US; geo=1
Raw template value=3</t>
        </r>
      </text>
    </comment>
    <comment ref="A202" authorId="1" shapeId="0" xr:uid="{00000000-0006-0000-0100-0000B3000000}">
      <text>
        <r>
          <rPr>
            <sz val="11"/>
            <color theme="1"/>
            <rFont val="Calibri"/>
            <family val="2"/>
            <scheme val="minor"/>
          </rPr>
          <t>reporting/bscr/reconcile/filled in templates/2026 BSCR - UKEU - 3624 v2.xlsx
Schedule X(f)!F28
Detailed exposure data; US; geo=1
Raw template value=2462.6999999999998</t>
        </r>
      </text>
    </comment>
    <comment ref="A203" authorId="1" shapeId="0" xr:uid="{00000000-0006-0000-0100-0000B4000000}">
      <text>
        <r>
          <rPr>
            <sz val="11"/>
            <color theme="1"/>
            <rFont val="Calibri"/>
            <family val="2"/>
            <scheme val="minor"/>
          </rPr>
          <t>reporting/bscr/reconcile/filled in templates/2026 BSCR - UKEU - 3624 v2.xlsx
Schedule X(f)!G28
Detailed exposure data; US; geo=1
Raw template value=2462.6999999999998</t>
        </r>
      </text>
    </comment>
    <comment ref="A204" authorId="1" shapeId="0" xr:uid="{00000000-0006-0000-0100-0000B5000000}">
      <text>
        <r>
          <rPr>
            <sz val="11"/>
            <color theme="1"/>
            <rFont val="Calibri"/>
            <family val="2"/>
            <scheme val="minor"/>
          </rPr>
          <t>reporting/bscr/reconcile/filled in templates/2026 BSCR - UKEU - 3624 v2.xlsx
Schedule X(f)!H28
Detailed exposure data; Other countries; geo=1
Raw template value=24</t>
        </r>
      </text>
    </comment>
    <comment ref="A205" authorId="1" shapeId="0" xr:uid="{00000000-0006-0000-0100-0000B6000000}">
      <text>
        <r>
          <rPr>
            <sz val="11"/>
            <color theme="1"/>
            <rFont val="Calibri"/>
            <family val="2"/>
            <scheme val="minor"/>
          </rPr>
          <t>reporting/bscr/reconcile/filled in templates/2026 BSCR - UKEU - 3624 v2.xlsx
Schedule X(f)!I28
Detailed exposure data; Other countries; geo=1
Raw template value=17951.7968</t>
        </r>
      </text>
    </comment>
    <comment ref="A206" authorId="1" shapeId="0" xr:uid="{00000000-0006-0000-0100-0000B7000000}">
      <text>
        <r>
          <rPr>
            <sz val="11"/>
            <color theme="1"/>
            <rFont val="Calibri"/>
            <family val="2"/>
            <scheme val="minor"/>
          </rPr>
          <t>reporting/bscr/reconcile/filled in templates/2026 BSCR - UKEU - 3624 v2.xlsx
Schedule X(f)!J28
Detailed exposure data; Other countries; geo=1
Raw template value=17951.7968</t>
        </r>
      </text>
    </comment>
    <comment ref="A207" authorId="1" shapeId="0" xr:uid="{00000000-0006-0000-0100-0000B8000000}">
      <text>
        <r>
          <rPr>
            <sz val="11"/>
            <color theme="1"/>
            <rFont val="Calibri"/>
            <family val="2"/>
            <scheme val="minor"/>
          </rPr>
          <t>reporting/bscr/reconcile/filled in templates/2026 BSCR - UKEU - 3624 v2.xlsx
Schedule X(f)!K28
Detailed exposure data; All countries; geo=1
Raw template value=27</t>
        </r>
      </text>
    </comment>
    <comment ref="A208" authorId="1" shapeId="0" xr:uid="{00000000-0006-0000-0100-0000B9000000}">
      <text>
        <r>
          <rPr>
            <sz val="11"/>
            <color theme="1"/>
            <rFont val="Calibri"/>
            <family val="2"/>
            <scheme val="minor"/>
          </rPr>
          <t>reporting/bscr/reconcile/filled in templates/2026 BSCR - UKEU - 3624 v2.xlsx
Schedule X(f)!L28
Detailed exposure data; All countries; geo=1
Raw template value=20414.496800000001</t>
        </r>
      </text>
    </comment>
    <comment ref="A209" authorId="1" shapeId="0" xr:uid="{00000000-0006-0000-0100-0000BA000000}">
      <text>
        <r>
          <rPr>
            <sz val="11"/>
            <color theme="1"/>
            <rFont val="Calibri"/>
            <family val="2"/>
            <scheme val="minor"/>
          </rPr>
          <t>reporting/bscr/reconcile/filled in templates/2026 BSCR - UKEU - 3624 v2.xlsx
Schedule X(f)!M28
Detailed exposure data; All countries; geo=1
Raw template value=20414.496800000001</t>
        </r>
      </text>
    </comment>
    <comment ref="A210" authorId="1" shapeId="0" xr:uid="{00000000-0006-0000-0100-0000BB000000}">
      <text>
        <r>
          <rPr>
            <sz val="11"/>
            <color theme="1"/>
            <rFont val="Calibri"/>
            <family val="2"/>
            <scheme val="minor"/>
          </rPr>
          <t>reporting/bscr/reconcile/filled in templates/2026 BSCR - UKEU - 3624 v2.xlsx
Schedule X(f)!E33
Total modelled; US; geo=1
Raw template value=3</t>
        </r>
      </text>
    </comment>
    <comment ref="A211" authorId="1" shapeId="0" xr:uid="{00000000-0006-0000-0100-0000BC000000}">
      <text>
        <r>
          <rPr>
            <sz val="11"/>
            <color theme="1"/>
            <rFont val="Calibri"/>
            <family val="2"/>
            <scheme val="minor"/>
          </rPr>
          <t>reporting/bscr/reconcile/filled in templates/2026 BSCR - UKEU - 3624 v2.xlsx
Schedule X(f)!F33
Total modelled; US; geo=1
Raw template value=2462.6999999999998</t>
        </r>
      </text>
    </comment>
    <comment ref="A212" authorId="1" shapeId="0" xr:uid="{00000000-0006-0000-0100-0000BD000000}">
      <text>
        <r>
          <rPr>
            <sz val="11"/>
            <color theme="1"/>
            <rFont val="Calibri"/>
            <family val="2"/>
            <scheme val="minor"/>
          </rPr>
          <t>reporting/bscr/reconcile/filled in templates/2026 BSCR - UKEU - 3624 v2.xlsx
Schedule X(f)!G33
Total modelled; US; geo=1
Raw template value=2462.6999999999998</t>
        </r>
      </text>
    </comment>
    <comment ref="A213" authorId="1" shapeId="0" xr:uid="{00000000-0006-0000-0100-0000BE000000}">
      <text>
        <r>
          <rPr>
            <sz val="11"/>
            <color theme="1"/>
            <rFont val="Calibri"/>
            <family val="2"/>
            <scheme val="minor"/>
          </rPr>
          <t>reporting/bscr/reconcile/filled in templates/2026 BSCR - UKEU - 3624 v2.xlsx
Schedule X(f)!H33
Total modelled; Other countries; geo=1
Raw template value=24</t>
        </r>
      </text>
    </comment>
    <comment ref="A214" authorId="1" shapeId="0" xr:uid="{00000000-0006-0000-0100-0000BF000000}">
      <text>
        <r>
          <rPr>
            <sz val="11"/>
            <color theme="1"/>
            <rFont val="Calibri"/>
            <family val="2"/>
            <scheme val="minor"/>
          </rPr>
          <t>reporting/bscr/reconcile/filled in templates/2026 BSCR - UKEU - 3624 v2.xlsx
Schedule X(f)!I33
Total modelled; Other countries; geo=1
Raw template value=17951.7968</t>
        </r>
      </text>
    </comment>
    <comment ref="A215" authorId="1" shapeId="0" xr:uid="{00000000-0006-0000-0100-0000C0000000}">
      <text>
        <r>
          <rPr>
            <sz val="11"/>
            <color theme="1"/>
            <rFont val="Calibri"/>
            <family val="2"/>
            <scheme val="minor"/>
          </rPr>
          <t>reporting/bscr/reconcile/filled in templates/2026 BSCR - UKEU - 3624 v2.xlsx
Schedule X(f)!J33
Total modelled; Other countries; geo=1
Raw template value=17951.7968</t>
        </r>
      </text>
    </comment>
    <comment ref="A216" authorId="1" shapeId="0" xr:uid="{00000000-0006-0000-0100-0000C1000000}">
      <text>
        <r>
          <rPr>
            <sz val="11"/>
            <color theme="1"/>
            <rFont val="Calibri"/>
            <family val="2"/>
            <scheme val="minor"/>
          </rPr>
          <t>reporting/bscr/reconcile/filled in templates/2026 BSCR - UKEU - 3624 v2.xlsx
Schedule X(f)!K33
Total modelled; All countries; geo=1
Raw template value=27</t>
        </r>
      </text>
    </comment>
    <comment ref="A217" authorId="1" shapeId="0" xr:uid="{00000000-0006-0000-0100-0000C2000000}">
      <text>
        <r>
          <rPr>
            <sz val="11"/>
            <color theme="1"/>
            <rFont val="Calibri"/>
            <family val="2"/>
            <scheme val="minor"/>
          </rPr>
          <t>reporting/bscr/reconcile/filled in templates/2026 BSCR - UKEU - 3624 v2.xlsx
Schedule X(f)!L33
Total modelled; All countries; geo=1
Raw template value=20414.496800000001</t>
        </r>
      </text>
    </comment>
    <comment ref="A218" authorId="1" shapeId="0" xr:uid="{00000000-0006-0000-0100-0000C3000000}">
      <text>
        <r>
          <rPr>
            <sz val="11"/>
            <color theme="1"/>
            <rFont val="Calibri"/>
            <family val="2"/>
            <scheme val="minor"/>
          </rPr>
          <t>reporting/bscr/reconcile/filled in templates/2026 BSCR - UKEU - 3624 v2.xlsx
Schedule X(f)!M33
Total modelled; All countries; geo=1
Raw template value=20414.496800000001</t>
        </r>
      </text>
    </comment>
    <comment ref="A219" authorId="1" shapeId="0" xr:uid="{00000000-0006-0000-0100-0000C4000000}">
      <text>
        <r>
          <rPr>
            <sz val="11"/>
            <color theme="1"/>
            <rFont val="Calibri"/>
            <family val="2"/>
            <scheme val="minor"/>
          </rPr>
          <t>reporting/bscr/reconcile/filled in templates/2026 BSCR - UKEU - 3624 v2.xlsx
Schedule X(f)!E43
Data deficient; US; geo=0
Raw template value=1</t>
        </r>
      </text>
    </comment>
    <comment ref="A220" authorId="1" shapeId="0" xr:uid="{00000000-0006-0000-0100-0000C5000000}">
      <text>
        <r>
          <rPr>
            <sz val="11"/>
            <color theme="1"/>
            <rFont val="Calibri"/>
            <family val="2"/>
            <scheme val="minor"/>
          </rPr>
          <t>reporting/bscr/reconcile/filled in templates/2026 BSCR - UKEU - 3624 v2.xlsx
Schedule X(f)!F43
Data deficient; US; geo=0
Raw template value=345</t>
        </r>
      </text>
    </comment>
    <comment ref="A221" authorId="1" shapeId="0" xr:uid="{00000000-0006-0000-0100-0000C6000000}">
      <text>
        <r>
          <rPr>
            <sz val="11"/>
            <color theme="1"/>
            <rFont val="Calibri"/>
            <family val="2"/>
            <scheme val="minor"/>
          </rPr>
          <t>reporting/bscr/reconcile/filled in templates/2026 BSCR - UKEU - 3624 v2.xlsx
Schedule X(f)!G43
Data deficient; US; geo=0
Raw template value=345</t>
        </r>
      </text>
    </comment>
    <comment ref="A222" authorId="1" shapeId="0" xr:uid="{00000000-0006-0000-0100-0000C7000000}">
      <text>
        <r>
          <rPr>
            <sz val="11"/>
            <color theme="1"/>
            <rFont val="Calibri"/>
            <family val="2"/>
            <scheme val="minor"/>
          </rPr>
          <t>reporting/bscr/reconcile/filled in templates/2026 BSCR - UKEU - 3624 v2.xlsx
Schedule X(f)!H43
Data deficient; Other countries; geo=0
Raw template value=8</t>
        </r>
      </text>
    </comment>
    <comment ref="A223" authorId="1" shapeId="0" xr:uid="{00000000-0006-0000-0100-0000C8000000}">
      <text>
        <r>
          <rPr>
            <sz val="11"/>
            <color theme="1"/>
            <rFont val="Calibri"/>
            <family val="2"/>
            <scheme val="minor"/>
          </rPr>
          <t>reporting/bscr/reconcile/filled in templates/2026 BSCR - UKEU - 3624 v2.xlsx
Schedule X(f)!I43
Data deficient; Other countries; geo=0
Raw template value=1307</t>
        </r>
      </text>
    </comment>
    <comment ref="A224" authorId="1" shapeId="0" xr:uid="{00000000-0006-0000-0100-0000C9000000}">
      <text>
        <r>
          <rPr>
            <sz val="11"/>
            <color theme="1"/>
            <rFont val="Calibri"/>
            <family val="2"/>
            <scheme val="minor"/>
          </rPr>
          <t>reporting/bscr/reconcile/filled in templates/2026 BSCR - UKEU - 3624 v2.xlsx
Schedule X(f)!J43
Data deficient; Other countries; geo=0
Raw template value=1307</t>
        </r>
      </text>
    </comment>
    <comment ref="A225" authorId="1" shapeId="0" xr:uid="{00000000-0006-0000-0100-0000CA000000}">
      <text>
        <r>
          <rPr>
            <sz val="11"/>
            <color theme="1"/>
            <rFont val="Calibri"/>
            <family val="2"/>
            <scheme val="minor"/>
          </rPr>
          <t>reporting/bscr/reconcile/filled in templates/2026 BSCR - UKEU - 3624 v2.xlsx
Schedule X(f)!K43
Data deficient; All countries; geo=0
Raw template value=9</t>
        </r>
      </text>
    </comment>
    <comment ref="A226" authorId="1" shapeId="0" xr:uid="{00000000-0006-0000-0100-0000CB000000}">
      <text>
        <r>
          <rPr>
            <sz val="11"/>
            <color theme="1"/>
            <rFont val="Calibri"/>
            <family val="2"/>
            <scheme val="minor"/>
          </rPr>
          <t>reporting/bscr/reconcile/filled in templates/2026 BSCR - UKEU - 3624 v2.xlsx
Schedule X(f)!L43
Data deficient; All countries; geo=0
Raw template value=1652</t>
        </r>
      </text>
    </comment>
    <comment ref="A227" authorId="1" shapeId="0" xr:uid="{00000000-0006-0000-0100-0000CC000000}">
      <text>
        <r>
          <rPr>
            <sz val="11"/>
            <color theme="1"/>
            <rFont val="Calibri"/>
            <family val="2"/>
            <scheme val="minor"/>
          </rPr>
          <t>reporting/bscr/reconcile/filled in templates/2026 BSCR - UKEU - 3624 v2.xlsx
Schedule X(f)!M43
Data deficient; All countries; geo=0
Raw template value=1652</t>
        </r>
      </text>
    </comment>
    <comment ref="A228" authorId="1" shapeId="0" xr:uid="{00000000-0006-0000-0100-0000CD000000}">
      <text>
        <r>
          <rPr>
            <sz val="11"/>
            <color theme="1"/>
            <rFont val="Calibri"/>
            <family val="2"/>
            <scheme val="minor"/>
          </rPr>
          <t>reporting/bscr/reconcile/filled in templates/2026 BSCR - UKEU - 3624 v2.xlsx
Schedule X(f)!E46
Total not modelled; US; geo=0
Raw template value=1</t>
        </r>
      </text>
    </comment>
    <comment ref="A229" authorId="1" shapeId="0" xr:uid="{00000000-0006-0000-0100-0000CE000000}">
      <text>
        <r>
          <rPr>
            <sz val="11"/>
            <color theme="1"/>
            <rFont val="Calibri"/>
            <family val="2"/>
            <scheme val="minor"/>
          </rPr>
          <t>reporting/bscr/reconcile/filled in templates/2026 BSCR - UKEU - 3624 v2.xlsx
Schedule X(f)!F46
Total not modelled; US; geo=0
Raw template value=345</t>
        </r>
      </text>
    </comment>
    <comment ref="A230" authorId="1" shapeId="0" xr:uid="{00000000-0006-0000-0100-0000CF000000}">
      <text>
        <r>
          <rPr>
            <sz val="11"/>
            <color theme="1"/>
            <rFont val="Calibri"/>
            <family val="2"/>
            <scheme val="minor"/>
          </rPr>
          <t>reporting/bscr/reconcile/filled in templates/2026 BSCR - UKEU - 3624 v2.xlsx
Schedule X(f)!G46
Total not modelled; US; geo=0
Raw template value=345</t>
        </r>
      </text>
    </comment>
    <comment ref="A231" authorId="1" shapeId="0" xr:uid="{00000000-0006-0000-0100-0000D0000000}">
      <text>
        <r>
          <rPr>
            <sz val="11"/>
            <color theme="1"/>
            <rFont val="Calibri"/>
            <family val="2"/>
            <scheme val="minor"/>
          </rPr>
          <t>reporting/bscr/reconcile/filled in templates/2026 BSCR - UKEU - 3624 v2.xlsx
Schedule X(f)!H46
Total not modelled; Other countries; geo=0
Raw template value=8</t>
        </r>
      </text>
    </comment>
    <comment ref="A232" authorId="1" shapeId="0" xr:uid="{00000000-0006-0000-0100-0000D1000000}">
      <text>
        <r>
          <rPr>
            <sz val="11"/>
            <color theme="1"/>
            <rFont val="Calibri"/>
            <family val="2"/>
            <scheme val="minor"/>
          </rPr>
          <t>reporting/bscr/reconcile/filled in templates/2026 BSCR - UKEU - 3624 v2.xlsx
Schedule X(f)!I46
Total not modelled; Other countries; geo=0
Raw template value=1307</t>
        </r>
      </text>
    </comment>
    <comment ref="A233" authorId="1" shapeId="0" xr:uid="{00000000-0006-0000-0100-0000D2000000}">
      <text>
        <r>
          <rPr>
            <sz val="11"/>
            <color theme="1"/>
            <rFont val="Calibri"/>
            <family val="2"/>
            <scheme val="minor"/>
          </rPr>
          <t>reporting/bscr/reconcile/filled in templates/2026 BSCR - UKEU - 3624 v2.xlsx
Schedule X(f)!J46
Total not modelled; Other countries; geo=0
Raw template value=1307</t>
        </r>
      </text>
    </comment>
    <comment ref="A234" authorId="1" shapeId="0" xr:uid="{00000000-0006-0000-0100-0000D3000000}">
      <text>
        <r>
          <rPr>
            <sz val="11"/>
            <color theme="1"/>
            <rFont val="Calibri"/>
            <family val="2"/>
            <scheme val="minor"/>
          </rPr>
          <t>reporting/bscr/reconcile/filled in templates/2026 BSCR - UKEU - 3624 v2.xlsx
Schedule X(f)!K46
Total not modelled; All countries; geo=0
Raw template value=9</t>
        </r>
      </text>
    </comment>
    <comment ref="A235" authorId="1" shapeId="0" xr:uid="{00000000-0006-0000-0100-0000D4000000}">
      <text>
        <r>
          <rPr>
            <sz val="11"/>
            <color theme="1"/>
            <rFont val="Calibri"/>
            <family val="2"/>
            <scheme val="minor"/>
          </rPr>
          <t>reporting/bscr/reconcile/filled in templates/2026 BSCR - UKEU - 3624 v2.xlsx
Schedule X(f)!L46
Total not modelled; All countries; geo=0
Raw template value=1652</t>
        </r>
      </text>
    </comment>
    <comment ref="A236" authorId="1" shapeId="0" xr:uid="{00000000-0006-0000-0100-0000D5000000}">
      <text>
        <r>
          <rPr>
            <sz val="11"/>
            <color theme="1"/>
            <rFont val="Calibri"/>
            <family val="2"/>
            <scheme val="minor"/>
          </rPr>
          <t>reporting/bscr/reconcile/filled in templates/2026 BSCR - UKEU - 3624 v2.xlsx
Schedule X(f)!M46
Total not modelled; All countries; geo=0
Raw template value=1652</t>
        </r>
      </text>
    </comment>
    <comment ref="A237" authorId="1" shapeId="0" xr:uid="{00000000-0006-0000-0100-0000D6000000}">
      <text>
        <r>
          <rPr>
            <sz val="11"/>
            <color theme="1"/>
            <rFont val="Calibri"/>
            <family val="2"/>
            <scheme val="minor"/>
          </rPr>
          <t>reporting/bscr/reconcile/filled in templates/2026 BSCR - UKEU - 3624 v2.xlsx
Schedule X(f)!E60
Data deficient; US; geo=0
Raw template value=1</t>
        </r>
      </text>
    </comment>
    <comment ref="A238" authorId="1" shapeId="0" xr:uid="{00000000-0006-0000-0100-0000D7000000}">
      <text>
        <r>
          <rPr>
            <sz val="11"/>
            <color theme="1"/>
            <rFont val="Calibri"/>
            <family val="2"/>
            <scheme val="minor"/>
          </rPr>
          <t>reporting/bscr/reconcile/filled in templates/2026 BSCR - UKEU - 3624 v2.xlsx
Schedule X(f)!F60
Data deficient; US; geo=0
Raw template value=345</t>
        </r>
      </text>
    </comment>
    <comment ref="A239" authorId="1" shapeId="0" xr:uid="{00000000-0006-0000-0100-0000D8000000}">
      <text>
        <r>
          <rPr>
            <sz val="11"/>
            <color theme="1"/>
            <rFont val="Calibri"/>
            <family val="2"/>
            <scheme val="minor"/>
          </rPr>
          <t>reporting/bscr/reconcile/filled in templates/2026 BSCR - UKEU - 3624 v2.xlsx
Schedule X(f)!G60
Data deficient; US; geo=0
Raw template value=345</t>
        </r>
      </text>
    </comment>
    <comment ref="A240" authorId="1" shapeId="0" xr:uid="{00000000-0006-0000-0100-0000D9000000}">
      <text>
        <r>
          <rPr>
            <sz val="11"/>
            <color theme="1"/>
            <rFont val="Calibri"/>
            <family val="2"/>
            <scheme val="minor"/>
          </rPr>
          <t>reporting/bscr/reconcile/filled in templates/2026 BSCR - UKEU - 3624 v2.xlsx
Schedule X(f)!H60
Data deficient; Other countries; geo=0
Raw template value=8</t>
        </r>
      </text>
    </comment>
    <comment ref="A241" authorId="1" shapeId="0" xr:uid="{00000000-0006-0000-0100-0000DA000000}">
      <text>
        <r>
          <rPr>
            <sz val="11"/>
            <color theme="1"/>
            <rFont val="Calibri"/>
            <family val="2"/>
            <scheme val="minor"/>
          </rPr>
          <t>reporting/bscr/reconcile/filled in templates/2026 BSCR - UKEU - 3624 v2.xlsx
Schedule X(f)!I60
Data deficient; Other countries; geo=0
Raw template value=1307</t>
        </r>
      </text>
    </comment>
    <comment ref="A242" authorId="1" shapeId="0" xr:uid="{00000000-0006-0000-0100-0000DB000000}">
      <text>
        <r>
          <rPr>
            <sz val="11"/>
            <color theme="1"/>
            <rFont val="Calibri"/>
            <family val="2"/>
            <scheme val="minor"/>
          </rPr>
          <t>reporting/bscr/reconcile/filled in templates/2026 BSCR - UKEU - 3624 v2.xlsx
Schedule X(f)!J60
Data deficient; Other countries; geo=0
Raw template value=1307</t>
        </r>
      </text>
    </comment>
    <comment ref="A243" authorId="1" shapeId="0" xr:uid="{00000000-0006-0000-0100-0000DC000000}">
      <text>
        <r>
          <rPr>
            <sz val="11"/>
            <color theme="1"/>
            <rFont val="Calibri"/>
            <family val="2"/>
            <scheme val="minor"/>
          </rPr>
          <t>reporting/bscr/reconcile/filled in templates/2026 BSCR - UKEU - 3624 v2.xlsx
Schedule X(f)!K60
Data deficient; All countries; geo=0
Raw template value=9</t>
        </r>
      </text>
    </comment>
    <comment ref="A244" authorId="1" shapeId="0" xr:uid="{00000000-0006-0000-0100-0000DD000000}">
      <text>
        <r>
          <rPr>
            <sz val="11"/>
            <color theme="1"/>
            <rFont val="Calibri"/>
            <family val="2"/>
            <scheme val="minor"/>
          </rPr>
          <t>reporting/bscr/reconcile/filled in templates/2026 BSCR - UKEU - 3624 v2.xlsx
Schedule X(f)!L60
Data deficient; All countries; geo=0
Raw template value=1652</t>
        </r>
      </text>
    </comment>
    <comment ref="A245" authorId="1" shapeId="0" xr:uid="{00000000-0006-0000-0100-0000DE000000}">
      <text>
        <r>
          <rPr>
            <sz val="11"/>
            <color theme="1"/>
            <rFont val="Calibri"/>
            <family val="2"/>
            <scheme val="minor"/>
          </rPr>
          <t>reporting/bscr/reconcile/filled in templates/2026 BSCR - UKEU - 3624 v2.xlsx
Schedule X(f)!M60
Data deficient; All countries; geo=0
Raw template value=1652</t>
        </r>
      </text>
    </comment>
    <comment ref="A246" authorId="1" shapeId="0" xr:uid="{00000000-0006-0000-0100-0000DF000000}">
      <text>
        <r>
          <rPr>
            <sz val="11"/>
            <color theme="1"/>
            <rFont val="Calibri"/>
            <family val="2"/>
            <scheme val="minor"/>
          </rPr>
          <t>reporting/bscr/reconcile/filled in templates/2026 BSCR - UKEU - 3624 v2.xlsx
Schedule X(f)!E64
Total not modellable; US; geo=0
Raw template value=1</t>
        </r>
      </text>
    </comment>
    <comment ref="A247" authorId="1" shapeId="0" xr:uid="{00000000-0006-0000-0100-0000E0000000}">
      <text>
        <r>
          <rPr>
            <sz val="11"/>
            <color theme="1"/>
            <rFont val="Calibri"/>
            <family val="2"/>
            <scheme val="minor"/>
          </rPr>
          <t>reporting/bscr/reconcile/filled in templates/2026 BSCR - UKEU - 3624 v2.xlsx
Schedule X(f)!F64
Total not modellable; US; geo=0
Raw template value=345</t>
        </r>
      </text>
    </comment>
    <comment ref="A248" authorId="1" shapeId="0" xr:uid="{00000000-0006-0000-0100-0000E1000000}">
      <text>
        <r>
          <rPr>
            <sz val="11"/>
            <color theme="1"/>
            <rFont val="Calibri"/>
            <family val="2"/>
            <scheme val="minor"/>
          </rPr>
          <t>reporting/bscr/reconcile/filled in templates/2026 BSCR - UKEU - 3624 v2.xlsx
Schedule X(f)!G64
Total not modellable; US; geo=0
Raw template value=345</t>
        </r>
      </text>
    </comment>
    <comment ref="A249" authorId="1" shapeId="0" xr:uid="{00000000-0006-0000-0100-0000E2000000}">
      <text>
        <r>
          <rPr>
            <sz val="11"/>
            <color theme="1"/>
            <rFont val="Calibri"/>
            <family val="2"/>
            <scheme val="minor"/>
          </rPr>
          <t>reporting/bscr/reconcile/filled in templates/2026 BSCR - UKEU - 3624 v2.xlsx
Schedule X(f)!H64
Total not modellable; Other countries; geo=0
Raw template value=8</t>
        </r>
      </text>
    </comment>
    <comment ref="A250" authorId="1" shapeId="0" xr:uid="{00000000-0006-0000-0100-0000E3000000}">
      <text>
        <r>
          <rPr>
            <sz val="11"/>
            <color theme="1"/>
            <rFont val="Calibri"/>
            <family val="2"/>
            <scheme val="minor"/>
          </rPr>
          <t>reporting/bscr/reconcile/filled in templates/2026 BSCR - UKEU - 3624 v2.xlsx
Schedule X(f)!I64
Total not modellable; Other countries; geo=0
Raw template value=1307</t>
        </r>
      </text>
    </comment>
    <comment ref="A251" authorId="1" shapeId="0" xr:uid="{00000000-0006-0000-0100-0000E4000000}">
      <text>
        <r>
          <rPr>
            <sz val="11"/>
            <color theme="1"/>
            <rFont val="Calibri"/>
            <family val="2"/>
            <scheme val="minor"/>
          </rPr>
          <t>reporting/bscr/reconcile/filled in templates/2026 BSCR - UKEU - 3624 v2.xlsx
Schedule X(f)!J64
Total not modellable; Other countries; geo=0
Raw template value=1307</t>
        </r>
      </text>
    </comment>
    <comment ref="A252" authorId="1" shapeId="0" xr:uid="{00000000-0006-0000-0100-0000E5000000}">
      <text>
        <r>
          <rPr>
            <sz val="11"/>
            <color theme="1"/>
            <rFont val="Calibri"/>
            <family val="2"/>
            <scheme val="minor"/>
          </rPr>
          <t>reporting/bscr/reconcile/filled in templates/2026 BSCR - UKEU - 3624 v2.xlsx
Schedule X(f)!K64
Total not modellable; All countries; geo=0
Raw template value=9</t>
        </r>
      </text>
    </comment>
    <comment ref="A253" authorId="1" shapeId="0" xr:uid="{00000000-0006-0000-0100-0000E6000000}">
      <text>
        <r>
          <rPr>
            <sz val="11"/>
            <color theme="1"/>
            <rFont val="Calibri"/>
            <family val="2"/>
            <scheme val="minor"/>
          </rPr>
          <t>reporting/bscr/reconcile/filled in templates/2026 BSCR - UKEU - 3624 v2.xlsx
Schedule X(f)!L64
Total not modellable; All countries; geo=0
Raw template value=1652</t>
        </r>
      </text>
    </comment>
    <comment ref="A254" authorId="1" shapeId="0" xr:uid="{00000000-0006-0000-0100-0000E7000000}">
      <text>
        <r>
          <rPr>
            <sz val="11"/>
            <color theme="1"/>
            <rFont val="Calibri"/>
            <family val="2"/>
            <scheme val="minor"/>
          </rPr>
          <t>reporting/bscr/reconcile/filled in templates/2026 BSCR - UKEU - 3624 v2.xlsx
Schedule X(f)!M64
Total not modellable; All countries; geo=0
Raw template value=1652</t>
        </r>
      </text>
    </comment>
    <comment ref="A255" authorId="1" shapeId="0" xr:uid="{00000000-0006-0000-0100-0000E8000000}">
      <text>
        <r>
          <rPr>
            <sz val="11"/>
            <color theme="1"/>
            <rFont val="Calibri"/>
            <family val="2"/>
            <scheme val="minor"/>
          </rPr>
          <t>reporting/bscr/reconcile/filled in templates/2026 BSCR - UKEU - HIC v2.xlsx
Schedule X(f)!E10
Modellable; US; geo=1
Raw template value=32</t>
        </r>
      </text>
    </comment>
    <comment ref="A256" authorId="1" shapeId="0" xr:uid="{00000000-0006-0000-0100-0000E9000000}">
      <text>
        <r>
          <rPr>
            <sz val="11"/>
            <color theme="1"/>
            <rFont val="Calibri"/>
            <family val="2"/>
            <scheme val="minor"/>
          </rPr>
          <t>reporting/bscr/reconcile/filled in templates/2026 BSCR - UKEU - HIC v2.xlsx
Schedule X(f)!F10
Modellable; US; geo=1
Raw template value=22746.034</t>
        </r>
      </text>
    </comment>
    <comment ref="A257" authorId="1" shapeId="0" xr:uid="{00000000-0006-0000-0100-0000EA000000}">
      <text>
        <r>
          <rPr>
            <sz val="11"/>
            <color theme="1"/>
            <rFont val="Calibri"/>
            <family val="2"/>
            <scheme val="minor"/>
          </rPr>
          <t>reporting/bscr/reconcile/filled in templates/2026 BSCR - UKEU - HIC v2.xlsx
Schedule X(f)!G10
Modellable; US; geo=1
Raw template value=22746.034</t>
        </r>
      </text>
    </comment>
    <comment ref="A258" authorId="1" shapeId="0" xr:uid="{00000000-0006-0000-0100-0000EB000000}">
      <text>
        <r>
          <rPr>
            <sz val="11"/>
            <color theme="1"/>
            <rFont val="Calibri"/>
            <family val="2"/>
            <scheme val="minor"/>
          </rPr>
          <t>reporting/bscr/reconcile/filled in templates/2026 BSCR - UKEU - HIC v2.xlsx
Schedule X(f)!H10
Modellable; Other countries; geo=1
Raw template value=173626</t>
        </r>
      </text>
    </comment>
    <comment ref="A259" authorId="1" shapeId="0" xr:uid="{00000000-0006-0000-0100-0000EC000000}">
      <text>
        <r>
          <rPr>
            <sz val="11"/>
            <color theme="1"/>
            <rFont val="Calibri"/>
            <family val="2"/>
            <scheme val="minor"/>
          </rPr>
          <t>reporting/bscr/reconcile/filled in templates/2026 BSCR - UKEU - HIC v2.xlsx
Schedule X(f)!I10
Modellable; Other countries; geo=1
Raw template value=121704907.469478</t>
        </r>
      </text>
    </comment>
    <comment ref="A260" authorId="1" shapeId="0" xr:uid="{00000000-0006-0000-0100-0000ED000000}">
      <text>
        <r>
          <rPr>
            <sz val="11"/>
            <color theme="1"/>
            <rFont val="Calibri"/>
            <family val="2"/>
            <scheme val="minor"/>
          </rPr>
          <t>reporting/bscr/reconcile/filled in templates/2026 BSCR - UKEU - HIC v2.xlsx
Schedule X(f)!J10
Modellable; Other countries; geo=1
Raw template value=121704907.469478</t>
        </r>
      </text>
    </comment>
    <comment ref="A261" authorId="1" shapeId="0" xr:uid="{00000000-0006-0000-0100-0000EE000000}">
      <text>
        <r>
          <rPr>
            <sz val="11"/>
            <color theme="1"/>
            <rFont val="Calibri"/>
            <family val="2"/>
            <scheme val="minor"/>
          </rPr>
          <t>reporting/bscr/reconcile/filled in templates/2026 BSCR - UKEU - HIC v2.xlsx
Schedule X(f)!K10
Modellable; All countries; geo=1
Raw template value=173658</t>
        </r>
      </text>
    </comment>
    <comment ref="A262" authorId="1" shapeId="0" xr:uid="{00000000-0006-0000-0100-0000EF000000}">
      <text>
        <r>
          <rPr>
            <sz val="11"/>
            <color theme="1"/>
            <rFont val="Calibri"/>
            <family val="2"/>
            <scheme val="minor"/>
          </rPr>
          <t>reporting/bscr/reconcile/filled in templates/2026 BSCR - UKEU - HIC v2.xlsx
Schedule X(f)!L10
Modellable; All countries; geo=1
Raw template value=121727653.50347799</t>
        </r>
      </text>
    </comment>
    <comment ref="A263" authorId="1" shapeId="0" xr:uid="{00000000-0006-0000-0100-0000F0000000}">
      <text>
        <r>
          <rPr>
            <sz val="11"/>
            <color theme="1"/>
            <rFont val="Calibri"/>
            <family val="2"/>
            <scheme val="minor"/>
          </rPr>
          <t>reporting/bscr/reconcile/filled in templates/2026 BSCR - UKEU - HIC v2.xlsx
Schedule X(f)!M10
Modellable; All countries; geo=1
Raw template value=121727653.50347799</t>
        </r>
      </text>
    </comment>
    <comment ref="A264" authorId="1" shapeId="0" xr:uid="{00000000-0006-0000-0100-0000F1000000}">
      <text>
        <r>
          <rPr>
            <sz val="11"/>
            <color theme="1"/>
            <rFont val="Calibri"/>
            <family val="2"/>
            <scheme val="minor"/>
          </rPr>
          <t>reporting/bscr/reconcile/filled in templates/2026 BSCR - UKEU - HIC v2.xlsx
Schedule X(f)!E11
Not modellable; US; geo=0
Raw template value=1</t>
        </r>
      </text>
    </comment>
    <comment ref="A265" authorId="1" shapeId="0" xr:uid="{00000000-0006-0000-0100-0000F2000000}">
      <text>
        <r>
          <rPr>
            <sz val="11"/>
            <color theme="1"/>
            <rFont val="Calibri"/>
            <family val="2"/>
            <scheme val="minor"/>
          </rPr>
          <t>reporting/bscr/reconcile/filled in templates/2026 BSCR - UKEU - HIC v2.xlsx
Schedule X(f)!F11
Not modellable; US; geo=0
Raw template value=101</t>
        </r>
      </text>
    </comment>
    <comment ref="A266" authorId="1" shapeId="0" xr:uid="{00000000-0006-0000-0100-0000F3000000}">
      <text>
        <r>
          <rPr>
            <sz val="11"/>
            <color theme="1"/>
            <rFont val="Calibri"/>
            <family val="2"/>
            <scheme val="minor"/>
          </rPr>
          <t>reporting/bscr/reconcile/filled in templates/2026 BSCR - UKEU - HIC v2.xlsx
Schedule X(f)!G11
Not modellable; US; geo=0
Raw template value=101</t>
        </r>
      </text>
    </comment>
    <comment ref="A267" authorId="1" shapeId="0" xr:uid="{00000000-0006-0000-0100-0000F4000000}">
      <text>
        <r>
          <rPr>
            <sz val="11"/>
            <color theme="1"/>
            <rFont val="Calibri"/>
            <family val="2"/>
            <scheme val="minor"/>
          </rPr>
          <t>reporting/bscr/reconcile/filled in templates/2026 BSCR - UKEU - HIC v2.xlsx
Schedule X(f)!H11
Not modellable; Other countries; geo=0
Raw template value=28</t>
        </r>
      </text>
    </comment>
    <comment ref="A268" authorId="1" shapeId="0" xr:uid="{00000000-0006-0000-0100-0000F5000000}">
      <text>
        <r>
          <rPr>
            <sz val="11"/>
            <color theme="1"/>
            <rFont val="Calibri"/>
            <family val="2"/>
            <scheme val="minor"/>
          </rPr>
          <t>reporting/bscr/reconcile/filled in templates/2026 BSCR - UKEU - HIC v2.xlsx
Schedule X(f)!I11
Not modellable; Other countries; geo=0
Raw template value=15332.806399999899</t>
        </r>
      </text>
    </comment>
    <comment ref="A269" authorId="1" shapeId="0" xr:uid="{00000000-0006-0000-0100-0000F6000000}">
      <text>
        <r>
          <rPr>
            <sz val="11"/>
            <color theme="1"/>
            <rFont val="Calibri"/>
            <family val="2"/>
            <scheme val="minor"/>
          </rPr>
          <t>reporting/bscr/reconcile/filled in templates/2026 BSCR - UKEU - HIC v2.xlsx
Schedule X(f)!J11
Not modellable; Other countries; geo=0
Raw template value=15332.806399999899</t>
        </r>
      </text>
    </comment>
    <comment ref="A270" authorId="1" shapeId="0" xr:uid="{00000000-0006-0000-0100-0000F7000000}">
      <text>
        <r>
          <rPr>
            <sz val="11"/>
            <color theme="1"/>
            <rFont val="Calibri"/>
            <family val="2"/>
            <scheme val="minor"/>
          </rPr>
          <t>reporting/bscr/reconcile/filled in templates/2026 BSCR - UKEU - HIC v2.xlsx
Schedule X(f)!K11
Not modellable; All countries; geo=0
Raw template value=29</t>
        </r>
      </text>
    </comment>
    <comment ref="A271" authorId="1" shapeId="0" xr:uid="{00000000-0006-0000-0100-0000F8000000}">
      <text>
        <r>
          <rPr>
            <sz val="11"/>
            <color theme="1"/>
            <rFont val="Calibri"/>
            <family val="2"/>
            <scheme val="minor"/>
          </rPr>
          <t>reporting/bscr/reconcile/filled in templates/2026 BSCR - UKEU - HIC v2.xlsx
Schedule X(f)!L11
Not modellable; All countries; geo=0
Raw template value=15433.806399999899</t>
        </r>
      </text>
    </comment>
    <comment ref="A272" authorId="1" shapeId="0" xr:uid="{00000000-0006-0000-0100-0000F9000000}">
      <text>
        <r>
          <rPr>
            <sz val="11"/>
            <color theme="1"/>
            <rFont val="Calibri"/>
            <family val="2"/>
            <scheme val="minor"/>
          </rPr>
          <t>reporting/bscr/reconcile/filled in templates/2026 BSCR - UKEU - HIC v2.xlsx
Schedule X(f)!M11
Not modellable; All countries; geo=0
Raw template value=15433.806399999899</t>
        </r>
      </text>
    </comment>
    <comment ref="A273" authorId="1" shapeId="0" xr:uid="{00000000-0006-0000-0100-0000FA000000}">
      <text>
        <r>
          <rPr>
            <sz val="11"/>
            <color theme="1"/>
            <rFont val="Calibri"/>
            <family val="2"/>
            <scheme val="minor"/>
          </rPr>
          <t>reporting/bscr/reconcile/filled in templates/2026 BSCR - UKEU - HIC v2.xlsx
Schedule X(f)!E12
Total; US; geo=None
Raw template value=33</t>
        </r>
      </text>
    </comment>
    <comment ref="A274" authorId="1" shapeId="0" xr:uid="{00000000-0006-0000-0100-0000FB000000}">
      <text>
        <r>
          <rPr>
            <sz val="11"/>
            <color theme="1"/>
            <rFont val="Calibri"/>
            <family val="2"/>
            <scheme val="minor"/>
          </rPr>
          <t>reporting/bscr/reconcile/filled in templates/2026 BSCR - UKEU - HIC v2.xlsx
Schedule X(f)!F12
Total; US; geo=None
Raw template value=22847.034</t>
        </r>
      </text>
    </comment>
    <comment ref="A275" authorId="1" shapeId="0" xr:uid="{00000000-0006-0000-0100-0000FC000000}">
      <text>
        <r>
          <rPr>
            <sz val="11"/>
            <color theme="1"/>
            <rFont val="Calibri"/>
            <family val="2"/>
            <scheme val="minor"/>
          </rPr>
          <t>reporting/bscr/reconcile/filled in templates/2026 BSCR - UKEU - HIC v2.xlsx
Schedule X(f)!G12
Total; US; geo=None
Raw template value=22847.034</t>
        </r>
      </text>
    </comment>
    <comment ref="A276" authorId="1" shapeId="0" xr:uid="{00000000-0006-0000-0100-0000FD000000}">
      <text>
        <r>
          <rPr>
            <sz val="11"/>
            <color theme="1"/>
            <rFont val="Calibri"/>
            <family val="2"/>
            <scheme val="minor"/>
          </rPr>
          <t>reporting/bscr/reconcile/filled in templates/2026 BSCR - UKEU - HIC v2.xlsx
Schedule X(f)!H12
Total; Other countries; geo=None
Raw template value=173654</t>
        </r>
      </text>
    </comment>
    <comment ref="A277" authorId="1" shapeId="0" xr:uid="{00000000-0006-0000-0100-0000FE000000}">
      <text>
        <r>
          <rPr>
            <sz val="11"/>
            <color theme="1"/>
            <rFont val="Calibri"/>
            <family val="2"/>
            <scheme val="minor"/>
          </rPr>
          <t>reporting/bscr/reconcile/filled in templates/2026 BSCR - UKEU - HIC v2.xlsx
Schedule X(f)!I12
Total; Other countries; geo=None
Raw template value=121720240.275878</t>
        </r>
      </text>
    </comment>
    <comment ref="A278" authorId="1" shapeId="0" xr:uid="{00000000-0006-0000-0100-0000FF000000}">
      <text>
        <r>
          <rPr>
            <sz val="11"/>
            <color theme="1"/>
            <rFont val="Calibri"/>
            <family val="2"/>
            <scheme val="minor"/>
          </rPr>
          <t>reporting/bscr/reconcile/filled in templates/2026 BSCR - UKEU - HIC v2.xlsx
Schedule X(f)!J12
Total; Other countries; geo=None
Raw template value=121720240.275878</t>
        </r>
      </text>
    </comment>
    <comment ref="A279" authorId="1" shapeId="0" xr:uid="{00000000-0006-0000-0100-000000010000}">
      <text>
        <r>
          <rPr>
            <sz val="11"/>
            <color theme="1"/>
            <rFont val="Calibri"/>
            <family val="2"/>
            <scheme val="minor"/>
          </rPr>
          <t>reporting/bscr/reconcile/filled in templates/2026 BSCR - UKEU - HIC v2.xlsx
Schedule X(f)!K12
Total; All countries; geo=None
Raw template value=173687</t>
        </r>
      </text>
    </comment>
    <comment ref="A280" authorId="1" shapeId="0" xr:uid="{00000000-0006-0000-0100-000001010000}">
      <text>
        <r>
          <rPr>
            <sz val="11"/>
            <color theme="1"/>
            <rFont val="Calibri"/>
            <family val="2"/>
            <scheme val="minor"/>
          </rPr>
          <t>reporting/bscr/reconcile/filled in templates/2026 BSCR - UKEU - HIC v2.xlsx
Schedule X(f)!L12
Total; All countries; geo=None
Raw template value=121743087.30987799</t>
        </r>
      </text>
    </comment>
    <comment ref="A281" authorId="1" shapeId="0" xr:uid="{00000000-0006-0000-0100-000002010000}">
      <text>
        <r>
          <rPr>
            <sz val="11"/>
            <color theme="1"/>
            <rFont val="Calibri"/>
            <family val="2"/>
            <scheme val="minor"/>
          </rPr>
          <t>reporting/bscr/reconcile/filled in templates/2026 BSCR - UKEU - HIC v2.xlsx
Schedule X(f)!M12
Total; All countries; geo=None
Raw template value=121743087.30987799</t>
        </r>
      </text>
    </comment>
    <comment ref="A282" authorId="1" shapeId="0" xr:uid="{00000000-0006-0000-0100-000003010000}">
      <text>
        <r>
          <rPr>
            <sz val="11"/>
            <color theme="1"/>
            <rFont val="Calibri"/>
            <family val="2"/>
            <scheme val="minor"/>
          </rPr>
          <t>reporting/bscr/reconcile/filled in templates/2026 BSCR - UKEU - HIC v2.xlsx
Schedule X(f)!E19
Modelled; US; geo=1
Raw template value=32</t>
        </r>
      </text>
    </comment>
    <comment ref="A283" authorId="1" shapeId="0" xr:uid="{00000000-0006-0000-0100-000004010000}">
      <text>
        <r>
          <rPr>
            <sz val="11"/>
            <color theme="1"/>
            <rFont val="Calibri"/>
            <family val="2"/>
            <scheme val="minor"/>
          </rPr>
          <t>reporting/bscr/reconcile/filled in templates/2026 BSCR - UKEU - HIC v2.xlsx
Schedule X(f)!F19
Modelled; US; geo=1
Raw template value=22746.034</t>
        </r>
      </text>
    </comment>
    <comment ref="A284" authorId="1" shapeId="0" xr:uid="{00000000-0006-0000-0100-000005010000}">
      <text>
        <r>
          <rPr>
            <sz val="11"/>
            <color theme="1"/>
            <rFont val="Calibri"/>
            <family val="2"/>
            <scheme val="minor"/>
          </rPr>
          <t>reporting/bscr/reconcile/filled in templates/2026 BSCR - UKEU - HIC v2.xlsx
Schedule X(f)!G19
Modelled; US; geo=1
Raw template value=22746.034</t>
        </r>
      </text>
    </comment>
    <comment ref="A285" authorId="1" shapeId="0" xr:uid="{00000000-0006-0000-0100-000006010000}">
      <text>
        <r>
          <rPr>
            <sz val="11"/>
            <color theme="1"/>
            <rFont val="Calibri"/>
            <family val="2"/>
            <scheme val="minor"/>
          </rPr>
          <t>reporting/bscr/reconcile/filled in templates/2026 BSCR - UKEU - HIC v2.xlsx
Schedule X(f)!H19
Modelled; Other countries; geo=1
Raw template value=173626</t>
        </r>
      </text>
    </comment>
    <comment ref="A286" authorId="1" shapeId="0" xr:uid="{00000000-0006-0000-0100-000007010000}">
      <text>
        <r>
          <rPr>
            <sz val="11"/>
            <color theme="1"/>
            <rFont val="Calibri"/>
            <family val="2"/>
            <scheme val="minor"/>
          </rPr>
          <t>reporting/bscr/reconcile/filled in templates/2026 BSCR - UKEU - HIC v2.xlsx
Schedule X(f)!I19
Modelled; Other countries; geo=1
Raw template value=121704907.469478</t>
        </r>
      </text>
    </comment>
    <comment ref="A287" authorId="1" shapeId="0" xr:uid="{00000000-0006-0000-0100-000008010000}">
      <text>
        <r>
          <rPr>
            <sz val="11"/>
            <color theme="1"/>
            <rFont val="Calibri"/>
            <family val="2"/>
            <scheme val="minor"/>
          </rPr>
          <t>reporting/bscr/reconcile/filled in templates/2026 BSCR - UKEU - HIC v2.xlsx
Schedule X(f)!J19
Modelled; Other countries; geo=1
Raw template value=121704907.469478</t>
        </r>
      </text>
    </comment>
    <comment ref="A288" authorId="1" shapeId="0" xr:uid="{00000000-0006-0000-0100-000009010000}">
      <text>
        <r>
          <rPr>
            <sz val="11"/>
            <color theme="1"/>
            <rFont val="Calibri"/>
            <family val="2"/>
            <scheme val="minor"/>
          </rPr>
          <t>reporting/bscr/reconcile/filled in templates/2026 BSCR - UKEU - HIC v2.xlsx
Schedule X(f)!K19
Modelled; All countries; geo=1
Raw template value=173658</t>
        </r>
      </text>
    </comment>
    <comment ref="A289" authorId="1" shapeId="0" xr:uid="{00000000-0006-0000-0100-00000A010000}">
      <text>
        <r>
          <rPr>
            <sz val="11"/>
            <color theme="1"/>
            <rFont val="Calibri"/>
            <family val="2"/>
            <scheme val="minor"/>
          </rPr>
          <t>reporting/bscr/reconcile/filled in templates/2026 BSCR - UKEU - HIC v2.xlsx
Schedule X(f)!L19
Modelled; All countries; geo=1
Raw template value=121727653.50347799</t>
        </r>
      </text>
    </comment>
    <comment ref="A290" authorId="1" shapeId="0" xr:uid="{00000000-0006-0000-0100-00000B010000}">
      <text>
        <r>
          <rPr>
            <sz val="11"/>
            <color theme="1"/>
            <rFont val="Calibri"/>
            <family val="2"/>
            <scheme val="minor"/>
          </rPr>
          <t>reporting/bscr/reconcile/filled in templates/2026 BSCR - UKEU - HIC v2.xlsx
Schedule X(f)!M19
Modelled; All countries; geo=1
Raw template value=121727653.50347799</t>
        </r>
      </text>
    </comment>
    <comment ref="A291" authorId="1" shapeId="0" xr:uid="{00000000-0006-0000-0100-00000C010000}">
      <text>
        <r>
          <rPr>
            <sz val="11"/>
            <color theme="1"/>
            <rFont val="Calibri"/>
            <family val="2"/>
            <scheme val="minor"/>
          </rPr>
          <t>reporting/bscr/reconcile/filled in templates/2026 BSCR - UKEU - HIC v2.xlsx
Schedule X(f)!E20
Not modelled; US; geo=0
Raw template value=1</t>
        </r>
      </text>
    </comment>
    <comment ref="A292" authorId="1" shapeId="0" xr:uid="{00000000-0006-0000-0100-00000D010000}">
      <text>
        <r>
          <rPr>
            <sz val="11"/>
            <color theme="1"/>
            <rFont val="Calibri"/>
            <family val="2"/>
            <scheme val="minor"/>
          </rPr>
          <t>reporting/bscr/reconcile/filled in templates/2026 BSCR - UKEU - HIC v2.xlsx
Schedule X(f)!F20
Not modelled; US; geo=0
Raw template value=101</t>
        </r>
      </text>
    </comment>
    <comment ref="A293" authorId="1" shapeId="0" xr:uid="{00000000-0006-0000-0100-00000E010000}">
      <text>
        <r>
          <rPr>
            <sz val="11"/>
            <color theme="1"/>
            <rFont val="Calibri"/>
            <family val="2"/>
            <scheme val="minor"/>
          </rPr>
          <t>reporting/bscr/reconcile/filled in templates/2026 BSCR - UKEU - HIC v2.xlsx
Schedule X(f)!G20
Not modelled; US; geo=0
Raw template value=101</t>
        </r>
      </text>
    </comment>
    <comment ref="A294" authorId="1" shapeId="0" xr:uid="{00000000-0006-0000-0100-00000F010000}">
      <text>
        <r>
          <rPr>
            <sz val="11"/>
            <color theme="1"/>
            <rFont val="Calibri"/>
            <family val="2"/>
            <scheme val="minor"/>
          </rPr>
          <t>reporting/bscr/reconcile/filled in templates/2026 BSCR - UKEU - HIC v2.xlsx
Schedule X(f)!H20
Not modelled; Other countries; geo=0
Raw template value=28</t>
        </r>
      </text>
    </comment>
    <comment ref="A295" authorId="1" shapeId="0" xr:uid="{00000000-0006-0000-0100-000010010000}">
      <text>
        <r>
          <rPr>
            <sz val="11"/>
            <color theme="1"/>
            <rFont val="Calibri"/>
            <family val="2"/>
            <scheme val="minor"/>
          </rPr>
          <t>reporting/bscr/reconcile/filled in templates/2026 BSCR - UKEU - HIC v2.xlsx
Schedule X(f)!I20
Not modelled; Other countries; geo=0
Raw template value=15332.806399999899</t>
        </r>
      </text>
    </comment>
    <comment ref="A296" authorId="1" shapeId="0" xr:uid="{00000000-0006-0000-0100-000011010000}">
      <text>
        <r>
          <rPr>
            <sz val="11"/>
            <color theme="1"/>
            <rFont val="Calibri"/>
            <family val="2"/>
            <scheme val="minor"/>
          </rPr>
          <t>reporting/bscr/reconcile/filled in templates/2026 BSCR - UKEU - HIC v2.xlsx
Schedule X(f)!J20
Not modelled; Other countries; geo=0
Raw template value=15332.806399999899</t>
        </r>
      </text>
    </comment>
    <comment ref="A297" authorId="1" shapeId="0" xr:uid="{00000000-0006-0000-0100-000012010000}">
      <text>
        <r>
          <rPr>
            <sz val="11"/>
            <color theme="1"/>
            <rFont val="Calibri"/>
            <family val="2"/>
            <scheme val="minor"/>
          </rPr>
          <t>reporting/bscr/reconcile/filled in templates/2026 BSCR - UKEU - HIC v2.xlsx
Schedule X(f)!K20
Not modelled; All countries; geo=0
Raw template value=29</t>
        </r>
      </text>
    </comment>
    <comment ref="A298" authorId="1" shapeId="0" xr:uid="{00000000-0006-0000-0100-000013010000}">
      <text>
        <r>
          <rPr>
            <sz val="11"/>
            <color theme="1"/>
            <rFont val="Calibri"/>
            <family val="2"/>
            <scheme val="minor"/>
          </rPr>
          <t>reporting/bscr/reconcile/filled in templates/2026 BSCR - UKEU - HIC v2.xlsx
Schedule X(f)!L20
Not modelled; All countries; geo=0
Raw template value=15433.806399999899</t>
        </r>
      </text>
    </comment>
    <comment ref="A299" authorId="1" shapeId="0" xr:uid="{00000000-0006-0000-0100-000014010000}">
      <text>
        <r>
          <rPr>
            <sz val="11"/>
            <color theme="1"/>
            <rFont val="Calibri"/>
            <family val="2"/>
            <scheme val="minor"/>
          </rPr>
          <t>reporting/bscr/reconcile/filled in templates/2026 BSCR - UKEU - HIC v2.xlsx
Schedule X(f)!M20
Not modelled; All countries; geo=0
Raw template value=15433.806399999899</t>
        </r>
      </text>
    </comment>
    <comment ref="A300" authorId="1" shapeId="0" xr:uid="{00000000-0006-0000-0100-000015010000}">
      <text>
        <r>
          <rPr>
            <sz val="11"/>
            <color theme="1"/>
            <rFont val="Calibri"/>
            <family val="2"/>
            <scheme val="minor"/>
          </rPr>
          <t>reporting/bscr/reconcile/filled in templates/2026 BSCR - UKEU - HIC v2.xlsx
Schedule X(f)!E21
Total; US; geo=None
Raw template value=33</t>
        </r>
      </text>
    </comment>
    <comment ref="A301" authorId="1" shapeId="0" xr:uid="{00000000-0006-0000-0100-000016010000}">
      <text>
        <r>
          <rPr>
            <sz val="11"/>
            <color theme="1"/>
            <rFont val="Calibri"/>
            <family val="2"/>
            <scheme val="minor"/>
          </rPr>
          <t>reporting/bscr/reconcile/filled in templates/2026 BSCR - UKEU - HIC v2.xlsx
Schedule X(f)!F21
Total; US; geo=None
Raw template value=22847.034</t>
        </r>
      </text>
    </comment>
    <comment ref="A302" authorId="1" shapeId="0" xr:uid="{00000000-0006-0000-0100-000017010000}">
      <text>
        <r>
          <rPr>
            <sz val="11"/>
            <color theme="1"/>
            <rFont val="Calibri"/>
            <family val="2"/>
            <scheme val="minor"/>
          </rPr>
          <t>reporting/bscr/reconcile/filled in templates/2026 BSCR - UKEU - HIC v2.xlsx
Schedule X(f)!G21
Total; US; geo=None
Raw template value=22847.034</t>
        </r>
      </text>
    </comment>
    <comment ref="A303" authorId="1" shapeId="0" xr:uid="{00000000-0006-0000-0100-000018010000}">
      <text>
        <r>
          <rPr>
            <sz val="11"/>
            <color theme="1"/>
            <rFont val="Calibri"/>
            <family val="2"/>
            <scheme val="minor"/>
          </rPr>
          <t>reporting/bscr/reconcile/filled in templates/2026 BSCR - UKEU - HIC v2.xlsx
Schedule X(f)!H21
Total; Other countries; geo=None
Raw template value=173654</t>
        </r>
      </text>
    </comment>
    <comment ref="A304" authorId="1" shapeId="0" xr:uid="{00000000-0006-0000-0100-000019010000}">
      <text>
        <r>
          <rPr>
            <sz val="11"/>
            <color theme="1"/>
            <rFont val="Calibri"/>
            <family val="2"/>
            <scheme val="minor"/>
          </rPr>
          <t>reporting/bscr/reconcile/filled in templates/2026 BSCR - UKEU - HIC v2.xlsx
Schedule X(f)!I21
Total; Other countries; geo=None
Raw template value=121720240.275878</t>
        </r>
      </text>
    </comment>
    <comment ref="A305" authorId="1" shapeId="0" xr:uid="{00000000-0006-0000-0100-00001A010000}">
      <text>
        <r>
          <rPr>
            <sz val="11"/>
            <color theme="1"/>
            <rFont val="Calibri"/>
            <family val="2"/>
            <scheme val="minor"/>
          </rPr>
          <t>reporting/bscr/reconcile/filled in templates/2026 BSCR - UKEU - HIC v2.xlsx
Schedule X(f)!J21
Total; Other countries; geo=None
Raw template value=121720240.275878</t>
        </r>
      </text>
    </comment>
    <comment ref="A306" authorId="1" shapeId="0" xr:uid="{00000000-0006-0000-0100-00001B010000}">
      <text>
        <r>
          <rPr>
            <sz val="11"/>
            <color theme="1"/>
            <rFont val="Calibri"/>
            <family val="2"/>
            <scheme val="minor"/>
          </rPr>
          <t>reporting/bscr/reconcile/filled in templates/2026 BSCR - UKEU - HIC v2.xlsx
Schedule X(f)!K21
Total; All countries; geo=None
Raw template value=173687</t>
        </r>
      </text>
    </comment>
    <comment ref="A307" authorId="1" shapeId="0" xr:uid="{00000000-0006-0000-0100-00001C010000}">
      <text>
        <r>
          <rPr>
            <sz val="11"/>
            <color theme="1"/>
            <rFont val="Calibri"/>
            <family val="2"/>
            <scheme val="minor"/>
          </rPr>
          <t>reporting/bscr/reconcile/filled in templates/2026 BSCR - UKEU - HIC v2.xlsx
Schedule X(f)!L21
Total; All countries; geo=None
Raw template value=121743087.30987799</t>
        </r>
      </text>
    </comment>
    <comment ref="A308" authorId="1" shapeId="0" xr:uid="{00000000-0006-0000-0100-00001D010000}">
      <text>
        <r>
          <rPr>
            <sz val="11"/>
            <color theme="1"/>
            <rFont val="Calibri"/>
            <family val="2"/>
            <scheme val="minor"/>
          </rPr>
          <t>reporting/bscr/reconcile/filled in templates/2026 BSCR - UKEU - HIC v2.xlsx
Schedule X(f)!M21
Total; All countries; geo=None
Raw template value=121743087.30987799</t>
        </r>
      </text>
    </comment>
    <comment ref="A309" authorId="1" shapeId="0" xr:uid="{00000000-0006-0000-0100-00001E010000}">
      <text>
        <r>
          <rPr>
            <sz val="11"/>
            <color theme="1"/>
            <rFont val="Calibri"/>
            <family val="2"/>
            <scheme val="minor"/>
          </rPr>
          <t>reporting/bscr/reconcile/filled in templates/2026 BSCR - UKEU - HIC v2.xlsx
Schedule X(f)!E28
Detailed exposure data; US; geo=1
Raw template value=32</t>
        </r>
      </text>
    </comment>
    <comment ref="A310" authorId="1" shapeId="0" xr:uid="{00000000-0006-0000-0100-00001F010000}">
      <text>
        <r>
          <rPr>
            <sz val="11"/>
            <color theme="1"/>
            <rFont val="Calibri"/>
            <family val="2"/>
            <scheme val="minor"/>
          </rPr>
          <t>reporting/bscr/reconcile/filled in templates/2026 BSCR - UKEU - HIC v2.xlsx
Schedule X(f)!F28
Detailed exposure data; US; geo=1
Raw template value=22746.034</t>
        </r>
      </text>
    </comment>
    <comment ref="A311" authorId="1" shapeId="0" xr:uid="{00000000-0006-0000-0100-000020010000}">
      <text>
        <r>
          <rPr>
            <sz val="11"/>
            <color theme="1"/>
            <rFont val="Calibri"/>
            <family val="2"/>
            <scheme val="minor"/>
          </rPr>
          <t>reporting/bscr/reconcile/filled in templates/2026 BSCR - UKEU - HIC v2.xlsx
Schedule X(f)!G28
Detailed exposure data; US; geo=1
Raw template value=22746.034</t>
        </r>
      </text>
    </comment>
    <comment ref="A312" authorId="1" shapeId="0" xr:uid="{00000000-0006-0000-0100-000021010000}">
      <text>
        <r>
          <rPr>
            <sz val="11"/>
            <color theme="1"/>
            <rFont val="Calibri"/>
            <family val="2"/>
            <scheme val="minor"/>
          </rPr>
          <t>reporting/bscr/reconcile/filled in templates/2026 BSCR - UKEU - HIC v2.xlsx
Schedule X(f)!H28
Detailed exposure data; Other countries; geo=1
Raw template value=173626</t>
        </r>
      </text>
    </comment>
    <comment ref="A313" authorId="1" shapeId="0" xr:uid="{00000000-0006-0000-0100-000022010000}">
      <text>
        <r>
          <rPr>
            <sz val="11"/>
            <color theme="1"/>
            <rFont val="Calibri"/>
            <family val="2"/>
            <scheme val="minor"/>
          </rPr>
          <t>reporting/bscr/reconcile/filled in templates/2026 BSCR - UKEU - HIC v2.xlsx
Schedule X(f)!I28
Detailed exposure data; Other countries; geo=1
Raw template value=121704907.469478</t>
        </r>
      </text>
    </comment>
    <comment ref="A314" authorId="1" shapeId="0" xr:uid="{00000000-0006-0000-0100-000023010000}">
      <text>
        <r>
          <rPr>
            <sz val="11"/>
            <color theme="1"/>
            <rFont val="Calibri"/>
            <family val="2"/>
            <scheme val="minor"/>
          </rPr>
          <t>reporting/bscr/reconcile/filled in templates/2026 BSCR - UKEU - HIC v2.xlsx
Schedule X(f)!J28
Detailed exposure data; Other countries; geo=1
Raw template value=121704907.469478</t>
        </r>
      </text>
    </comment>
    <comment ref="A315" authorId="1" shapeId="0" xr:uid="{00000000-0006-0000-0100-000024010000}">
      <text>
        <r>
          <rPr>
            <sz val="11"/>
            <color theme="1"/>
            <rFont val="Calibri"/>
            <family val="2"/>
            <scheme val="minor"/>
          </rPr>
          <t>reporting/bscr/reconcile/filled in templates/2026 BSCR - UKEU - HIC v2.xlsx
Schedule X(f)!K28
Detailed exposure data; All countries; geo=1
Raw template value=173658</t>
        </r>
      </text>
    </comment>
    <comment ref="A316" authorId="1" shapeId="0" xr:uid="{00000000-0006-0000-0100-000025010000}">
      <text>
        <r>
          <rPr>
            <sz val="11"/>
            <color theme="1"/>
            <rFont val="Calibri"/>
            <family val="2"/>
            <scheme val="minor"/>
          </rPr>
          <t>reporting/bscr/reconcile/filled in templates/2026 BSCR - UKEU - HIC v2.xlsx
Schedule X(f)!L28
Detailed exposure data; All countries; geo=1
Raw template value=121727653.50347799</t>
        </r>
      </text>
    </comment>
    <comment ref="A317" authorId="1" shapeId="0" xr:uid="{00000000-0006-0000-0100-000026010000}">
      <text>
        <r>
          <rPr>
            <sz val="11"/>
            <color theme="1"/>
            <rFont val="Calibri"/>
            <family val="2"/>
            <scheme val="minor"/>
          </rPr>
          <t>reporting/bscr/reconcile/filled in templates/2026 BSCR - UKEU - HIC v2.xlsx
Schedule X(f)!M28
Detailed exposure data; All countries; geo=1
Raw template value=121727653.50347799</t>
        </r>
      </text>
    </comment>
    <comment ref="A318" authorId="1" shapeId="0" xr:uid="{00000000-0006-0000-0100-000027010000}">
      <text>
        <r>
          <rPr>
            <sz val="11"/>
            <color theme="1"/>
            <rFont val="Calibri"/>
            <family val="2"/>
            <scheme val="minor"/>
          </rPr>
          <t>reporting/bscr/reconcile/filled in templates/2026 BSCR - UKEU - HIC v2.xlsx
Schedule X(f)!E33
Total modelled; US; geo=1
Raw template value=32</t>
        </r>
      </text>
    </comment>
    <comment ref="A319" authorId="1" shapeId="0" xr:uid="{00000000-0006-0000-0100-000028010000}">
      <text>
        <r>
          <rPr>
            <sz val="11"/>
            <color theme="1"/>
            <rFont val="Calibri"/>
            <family val="2"/>
            <scheme val="minor"/>
          </rPr>
          <t>reporting/bscr/reconcile/filled in templates/2026 BSCR - UKEU - HIC v2.xlsx
Schedule X(f)!F33
Total modelled; US; geo=1
Raw template value=22746.034</t>
        </r>
      </text>
    </comment>
    <comment ref="A320" authorId="1" shapeId="0" xr:uid="{00000000-0006-0000-0100-000029010000}">
      <text>
        <r>
          <rPr>
            <sz val="11"/>
            <color theme="1"/>
            <rFont val="Calibri"/>
            <family val="2"/>
            <scheme val="minor"/>
          </rPr>
          <t>reporting/bscr/reconcile/filled in templates/2026 BSCR - UKEU - HIC v2.xlsx
Schedule X(f)!G33
Total modelled; US; geo=1
Raw template value=22746.034</t>
        </r>
      </text>
    </comment>
    <comment ref="A321" authorId="1" shapeId="0" xr:uid="{00000000-0006-0000-0100-00002A010000}">
      <text>
        <r>
          <rPr>
            <sz val="11"/>
            <color theme="1"/>
            <rFont val="Calibri"/>
            <family val="2"/>
            <scheme val="minor"/>
          </rPr>
          <t>reporting/bscr/reconcile/filled in templates/2026 BSCR - UKEU - HIC v2.xlsx
Schedule X(f)!H33
Total modelled; Other countries; geo=1
Raw template value=173626</t>
        </r>
      </text>
    </comment>
    <comment ref="A322" authorId="1" shapeId="0" xr:uid="{00000000-0006-0000-0100-00002B010000}">
      <text>
        <r>
          <rPr>
            <sz val="11"/>
            <color theme="1"/>
            <rFont val="Calibri"/>
            <family val="2"/>
            <scheme val="minor"/>
          </rPr>
          <t>reporting/bscr/reconcile/filled in templates/2026 BSCR - UKEU - HIC v2.xlsx
Schedule X(f)!I33
Total modelled; Other countries; geo=1
Raw template value=121704907.469478</t>
        </r>
      </text>
    </comment>
    <comment ref="A323" authorId="1" shapeId="0" xr:uid="{00000000-0006-0000-0100-00002C010000}">
      <text>
        <r>
          <rPr>
            <sz val="11"/>
            <color theme="1"/>
            <rFont val="Calibri"/>
            <family val="2"/>
            <scheme val="minor"/>
          </rPr>
          <t>reporting/bscr/reconcile/filled in templates/2026 BSCR - UKEU - HIC v2.xlsx
Schedule X(f)!J33
Total modelled; Other countries; geo=1
Raw template value=121704907.469478</t>
        </r>
      </text>
    </comment>
    <comment ref="A324" authorId="1" shapeId="0" xr:uid="{00000000-0006-0000-0100-00002D010000}">
      <text>
        <r>
          <rPr>
            <sz val="11"/>
            <color theme="1"/>
            <rFont val="Calibri"/>
            <family val="2"/>
            <scheme val="minor"/>
          </rPr>
          <t>reporting/bscr/reconcile/filled in templates/2026 BSCR - UKEU - HIC v2.xlsx
Schedule X(f)!K33
Total modelled; All countries; geo=1
Raw template value=173658</t>
        </r>
      </text>
    </comment>
    <comment ref="A325" authorId="1" shapeId="0" xr:uid="{00000000-0006-0000-0100-00002E010000}">
      <text>
        <r>
          <rPr>
            <sz val="11"/>
            <color theme="1"/>
            <rFont val="Calibri"/>
            <family val="2"/>
            <scheme val="minor"/>
          </rPr>
          <t>reporting/bscr/reconcile/filled in templates/2026 BSCR - UKEU - HIC v2.xlsx
Schedule X(f)!L33
Total modelled; All countries; geo=1
Raw template value=121727653.50347799</t>
        </r>
      </text>
    </comment>
    <comment ref="A326" authorId="1" shapeId="0" xr:uid="{00000000-0006-0000-0100-00002F010000}">
      <text>
        <r>
          <rPr>
            <sz val="11"/>
            <color theme="1"/>
            <rFont val="Calibri"/>
            <family val="2"/>
            <scheme val="minor"/>
          </rPr>
          <t>reporting/bscr/reconcile/filled in templates/2026 BSCR - UKEU - HIC v2.xlsx
Schedule X(f)!M33
Total modelled; All countries; geo=1
Raw template value=121727653.50347799</t>
        </r>
      </text>
    </comment>
    <comment ref="A327" authorId="1" shapeId="0" xr:uid="{00000000-0006-0000-0100-000030010000}">
      <text>
        <r>
          <rPr>
            <sz val="11"/>
            <color theme="1"/>
            <rFont val="Calibri"/>
            <family val="2"/>
            <scheme val="minor"/>
          </rPr>
          <t>reporting/bscr/reconcile/filled in templates/2026 BSCR - UKEU - HIC v2.xlsx
Schedule X(f)!E43
Data deficient; US; geo=0
Raw template value=1</t>
        </r>
      </text>
    </comment>
    <comment ref="A328" authorId="1" shapeId="0" xr:uid="{00000000-0006-0000-0100-000031010000}">
      <text>
        <r>
          <rPr>
            <sz val="11"/>
            <color theme="1"/>
            <rFont val="Calibri"/>
            <family val="2"/>
            <scheme val="minor"/>
          </rPr>
          <t>reporting/bscr/reconcile/filled in templates/2026 BSCR - UKEU - HIC v2.xlsx
Schedule X(f)!F43
Data deficient; US; geo=0
Raw template value=101</t>
        </r>
      </text>
    </comment>
    <comment ref="A329" authorId="1" shapeId="0" xr:uid="{00000000-0006-0000-0100-000032010000}">
      <text>
        <r>
          <rPr>
            <sz val="11"/>
            <color theme="1"/>
            <rFont val="Calibri"/>
            <family val="2"/>
            <scheme val="minor"/>
          </rPr>
          <t>reporting/bscr/reconcile/filled in templates/2026 BSCR - UKEU - HIC v2.xlsx
Schedule X(f)!G43
Data deficient; US; geo=0
Raw template value=101</t>
        </r>
      </text>
    </comment>
    <comment ref="A330" authorId="1" shapeId="0" xr:uid="{00000000-0006-0000-0100-000033010000}">
      <text>
        <r>
          <rPr>
            <sz val="11"/>
            <color theme="1"/>
            <rFont val="Calibri"/>
            <family val="2"/>
            <scheme val="minor"/>
          </rPr>
          <t>reporting/bscr/reconcile/filled in templates/2026 BSCR - UKEU - HIC v2.xlsx
Schedule X(f)!H43
Data deficient; Other countries; geo=0
Raw template value=28</t>
        </r>
      </text>
    </comment>
    <comment ref="A331" authorId="1" shapeId="0" xr:uid="{00000000-0006-0000-0100-000034010000}">
      <text>
        <r>
          <rPr>
            <sz val="11"/>
            <color theme="1"/>
            <rFont val="Calibri"/>
            <family val="2"/>
            <scheme val="minor"/>
          </rPr>
          <t>reporting/bscr/reconcile/filled in templates/2026 BSCR - UKEU - HIC v2.xlsx
Schedule X(f)!I43
Data deficient; Other countries; geo=0
Raw template value=15332.806399999899</t>
        </r>
      </text>
    </comment>
    <comment ref="A332" authorId="1" shapeId="0" xr:uid="{00000000-0006-0000-0100-000035010000}">
      <text>
        <r>
          <rPr>
            <sz val="11"/>
            <color theme="1"/>
            <rFont val="Calibri"/>
            <family val="2"/>
            <scheme val="minor"/>
          </rPr>
          <t>reporting/bscr/reconcile/filled in templates/2026 BSCR - UKEU - HIC v2.xlsx
Schedule X(f)!J43
Data deficient; Other countries; geo=0
Raw template value=15332.806399999899</t>
        </r>
      </text>
    </comment>
    <comment ref="A333" authorId="1" shapeId="0" xr:uid="{00000000-0006-0000-0100-000036010000}">
      <text>
        <r>
          <rPr>
            <sz val="11"/>
            <color theme="1"/>
            <rFont val="Calibri"/>
            <family val="2"/>
            <scheme val="minor"/>
          </rPr>
          <t>reporting/bscr/reconcile/filled in templates/2026 BSCR - UKEU - HIC v2.xlsx
Schedule X(f)!K43
Data deficient; All countries; geo=0
Raw template value=29</t>
        </r>
      </text>
    </comment>
    <comment ref="A334" authorId="1" shapeId="0" xr:uid="{00000000-0006-0000-0100-000037010000}">
      <text>
        <r>
          <rPr>
            <sz val="11"/>
            <color theme="1"/>
            <rFont val="Calibri"/>
            <family val="2"/>
            <scheme val="minor"/>
          </rPr>
          <t>reporting/bscr/reconcile/filled in templates/2026 BSCR - UKEU - HIC v2.xlsx
Schedule X(f)!L43
Data deficient; All countries; geo=0
Raw template value=15433.806399999899</t>
        </r>
      </text>
    </comment>
    <comment ref="A335" authorId="1" shapeId="0" xr:uid="{00000000-0006-0000-0100-000038010000}">
      <text>
        <r>
          <rPr>
            <sz val="11"/>
            <color theme="1"/>
            <rFont val="Calibri"/>
            <family val="2"/>
            <scheme val="minor"/>
          </rPr>
          <t>reporting/bscr/reconcile/filled in templates/2026 BSCR - UKEU - HIC v2.xlsx
Schedule X(f)!M43
Data deficient; All countries; geo=0
Raw template value=15433.806399999899</t>
        </r>
      </text>
    </comment>
    <comment ref="A336" authorId="1" shapeId="0" xr:uid="{00000000-0006-0000-0100-000039010000}">
      <text>
        <r>
          <rPr>
            <sz val="11"/>
            <color theme="1"/>
            <rFont val="Calibri"/>
            <family val="2"/>
            <scheme val="minor"/>
          </rPr>
          <t>reporting/bscr/reconcile/filled in templates/2026 BSCR - UKEU - HIC v2.xlsx
Schedule X(f)!E46
Total not modelled; US; geo=0
Raw template value=1</t>
        </r>
      </text>
    </comment>
    <comment ref="A337" authorId="1" shapeId="0" xr:uid="{00000000-0006-0000-0100-00003A010000}">
      <text>
        <r>
          <rPr>
            <sz val="11"/>
            <color theme="1"/>
            <rFont val="Calibri"/>
            <family val="2"/>
            <scheme val="minor"/>
          </rPr>
          <t>reporting/bscr/reconcile/filled in templates/2026 BSCR - UKEU - HIC v2.xlsx
Schedule X(f)!F46
Total not modelled; US; geo=0
Raw template value=101</t>
        </r>
      </text>
    </comment>
    <comment ref="A338" authorId="1" shapeId="0" xr:uid="{00000000-0006-0000-0100-00003B010000}">
      <text>
        <r>
          <rPr>
            <sz val="11"/>
            <color theme="1"/>
            <rFont val="Calibri"/>
            <family val="2"/>
            <scheme val="minor"/>
          </rPr>
          <t>reporting/bscr/reconcile/filled in templates/2026 BSCR - UKEU - HIC v2.xlsx
Schedule X(f)!G46
Total not modelled; US; geo=0
Raw template value=101</t>
        </r>
      </text>
    </comment>
    <comment ref="A339" authorId="1" shapeId="0" xr:uid="{00000000-0006-0000-0100-00003C010000}">
      <text>
        <r>
          <rPr>
            <sz val="11"/>
            <color theme="1"/>
            <rFont val="Calibri"/>
            <family val="2"/>
            <scheme val="minor"/>
          </rPr>
          <t>reporting/bscr/reconcile/filled in templates/2026 BSCR - UKEU - HIC v2.xlsx
Schedule X(f)!H46
Total not modelled; Other countries; geo=0
Raw template value=28</t>
        </r>
      </text>
    </comment>
    <comment ref="A340" authorId="1" shapeId="0" xr:uid="{00000000-0006-0000-0100-00003D010000}">
      <text>
        <r>
          <rPr>
            <sz val="11"/>
            <color theme="1"/>
            <rFont val="Calibri"/>
            <family val="2"/>
            <scheme val="minor"/>
          </rPr>
          <t>reporting/bscr/reconcile/filled in templates/2026 BSCR - UKEU - HIC v2.xlsx
Schedule X(f)!I46
Total not modelled; Other countries; geo=0
Raw template value=15332.806399999899</t>
        </r>
      </text>
    </comment>
    <comment ref="A341" authorId="1" shapeId="0" xr:uid="{00000000-0006-0000-0100-00003E010000}">
      <text>
        <r>
          <rPr>
            <sz val="11"/>
            <color theme="1"/>
            <rFont val="Calibri"/>
            <family val="2"/>
            <scheme val="minor"/>
          </rPr>
          <t>reporting/bscr/reconcile/filled in templates/2026 BSCR - UKEU - HIC v2.xlsx
Schedule X(f)!J46
Total not modelled; Other countries; geo=0
Raw template value=15332.806399999899</t>
        </r>
      </text>
    </comment>
    <comment ref="A342" authorId="1" shapeId="0" xr:uid="{00000000-0006-0000-0100-00003F010000}">
      <text>
        <r>
          <rPr>
            <sz val="11"/>
            <color theme="1"/>
            <rFont val="Calibri"/>
            <family val="2"/>
            <scheme val="minor"/>
          </rPr>
          <t>reporting/bscr/reconcile/filled in templates/2026 BSCR - UKEU - HIC v2.xlsx
Schedule X(f)!K46
Total not modelled; All countries; geo=0
Raw template value=29</t>
        </r>
      </text>
    </comment>
    <comment ref="A343" authorId="1" shapeId="0" xr:uid="{00000000-0006-0000-0100-000040010000}">
      <text>
        <r>
          <rPr>
            <sz val="11"/>
            <color theme="1"/>
            <rFont val="Calibri"/>
            <family val="2"/>
            <scheme val="minor"/>
          </rPr>
          <t>reporting/bscr/reconcile/filled in templates/2026 BSCR - UKEU - HIC v2.xlsx
Schedule X(f)!L46
Total not modelled; All countries; geo=0
Raw template value=15433.806399999899</t>
        </r>
      </text>
    </comment>
    <comment ref="A344" authorId="1" shapeId="0" xr:uid="{00000000-0006-0000-0100-000041010000}">
      <text>
        <r>
          <rPr>
            <sz val="11"/>
            <color theme="1"/>
            <rFont val="Calibri"/>
            <family val="2"/>
            <scheme val="minor"/>
          </rPr>
          <t>reporting/bscr/reconcile/filled in templates/2026 BSCR - UKEU - HIC v2.xlsx
Schedule X(f)!M46
Total not modelled; All countries; geo=0
Raw template value=15433.806399999899</t>
        </r>
      </text>
    </comment>
    <comment ref="A345" authorId="1" shapeId="0" xr:uid="{00000000-0006-0000-0100-000042010000}">
      <text>
        <r>
          <rPr>
            <sz val="11"/>
            <color theme="1"/>
            <rFont val="Calibri"/>
            <family val="2"/>
            <scheme val="minor"/>
          </rPr>
          <t>reporting/bscr/reconcile/filled in templates/2026 BSCR - UKEU - HIC v2.xlsx
Schedule X(f)!E60
Data deficient; US; geo=0
Raw template value=1</t>
        </r>
      </text>
    </comment>
    <comment ref="A346" authorId="1" shapeId="0" xr:uid="{00000000-0006-0000-0100-000043010000}">
      <text>
        <r>
          <rPr>
            <sz val="11"/>
            <color theme="1"/>
            <rFont val="Calibri"/>
            <family val="2"/>
            <scheme val="minor"/>
          </rPr>
          <t>reporting/bscr/reconcile/filled in templates/2026 BSCR - UKEU - HIC v2.xlsx
Schedule X(f)!F60
Data deficient; US; geo=0
Raw template value=101</t>
        </r>
      </text>
    </comment>
    <comment ref="A347" authorId="1" shapeId="0" xr:uid="{00000000-0006-0000-0100-000044010000}">
      <text>
        <r>
          <rPr>
            <sz val="11"/>
            <color theme="1"/>
            <rFont val="Calibri"/>
            <family val="2"/>
            <scheme val="minor"/>
          </rPr>
          <t>reporting/bscr/reconcile/filled in templates/2026 BSCR - UKEU - HIC v2.xlsx
Schedule X(f)!G60
Data deficient; US; geo=0
Raw template value=101</t>
        </r>
      </text>
    </comment>
    <comment ref="A348" authorId="1" shapeId="0" xr:uid="{00000000-0006-0000-0100-000045010000}">
      <text>
        <r>
          <rPr>
            <sz val="11"/>
            <color theme="1"/>
            <rFont val="Calibri"/>
            <family val="2"/>
            <scheme val="minor"/>
          </rPr>
          <t>reporting/bscr/reconcile/filled in templates/2026 BSCR - UKEU - HIC v2.xlsx
Schedule X(f)!H60
Data deficient; Other countries; geo=0
Raw template value=28</t>
        </r>
      </text>
    </comment>
    <comment ref="A349" authorId="1" shapeId="0" xr:uid="{00000000-0006-0000-0100-000046010000}">
      <text>
        <r>
          <rPr>
            <sz val="11"/>
            <color theme="1"/>
            <rFont val="Calibri"/>
            <family val="2"/>
            <scheme val="minor"/>
          </rPr>
          <t>reporting/bscr/reconcile/filled in templates/2026 BSCR - UKEU - HIC v2.xlsx
Schedule X(f)!I60
Data deficient; Other countries; geo=0
Raw template value=15332.806399999899</t>
        </r>
      </text>
    </comment>
    <comment ref="A350" authorId="1" shapeId="0" xr:uid="{00000000-0006-0000-0100-000047010000}">
      <text>
        <r>
          <rPr>
            <sz val="11"/>
            <color theme="1"/>
            <rFont val="Calibri"/>
            <family val="2"/>
            <scheme val="minor"/>
          </rPr>
          <t>reporting/bscr/reconcile/filled in templates/2026 BSCR - UKEU - HIC v2.xlsx
Schedule X(f)!J60
Data deficient; Other countries; geo=0
Raw template value=15332.806399999899</t>
        </r>
      </text>
    </comment>
    <comment ref="A351" authorId="1" shapeId="0" xr:uid="{00000000-0006-0000-0100-000048010000}">
      <text>
        <r>
          <rPr>
            <sz val="11"/>
            <color theme="1"/>
            <rFont val="Calibri"/>
            <family val="2"/>
            <scheme val="minor"/>
          </rPr>
          <t>reporting/bscr/reconcile/filled in templates/2026 BSCR - UKEU - HIC v2.xlsx
Schedule X(f)!K60
Data deficient; All countries; geo=0
Raw template value=29</t>
        </r>
      </text>
    </comment>
    <comment ref="A352" authorId="1" shapeId="0" xr:uid="{00000000-0006-0000-0100-000049010000}">
      <text>
        <r>
          <rPr>
            <sz val="11"/>
            <color theme="1"/>
            <rFont val="Calibri"/>
            <family val="2"/>
            <scheme val="minor"/>
          </rPr>
          <t>reporting/bscr/reconcile/filled in templates/2026 BSCR - UKEU - HIC v2.xlsx
Schedule X(f)!L60
Data deficient; All countries; geo=0
Raw template value=15433.806399999899</t>
        </r>
      </text>
    </comment>
    <comment ref="A353" authorId="1" shapeId="0" xr:uid="{00000000-0006-0000-0100-00004A010000}">
      <text>
        <r>
          <rPr>
            <sz val="11"/>
            <color theme="1"/>
            <rFont val="Calibri"/>
            <family val="2"/>
            <scheme val="minor"/>
          </rPr>
          <t>reporting/bscr/reconcile/filled in templates/2026 BSCR - UKEU - HIC v2.xlsx
Schedule X(f)!M60
Data deficient; All countries; geo=0
Raw template value=15433.806399999899</t>
        </r>
      </text>
    </comment>
    <comment ref="A354" authorId="1" shapeId="0" xr:uid="{00000000-0006-0000-0100-00004B010000}">
      <text>
        <r>
          <rPr>
            <sz val="11"/>
            <color theme="1"/>
            <rFont val="Calibri"/>
            <family val="2"/>
            <scheme val="minor"/>
          </rPr>
          <t>reporting/bscr/reconcile/filled in templates/2026 BSCR - UKEU - HIC v2.xlsx
Schedule X(f)!E64
Total not modellable; US; geo=0
Raw template value=1</t>
        </r>
      </text>
    </comment>
    <comment ref="A355" authorId="1" shapeId="0" xr:uid="{00000000-0006-0000-0100-00004C010000}">
      <text>
        <r>
          <rPr>
            <sz val="11"/>
            <color theme="1"/>
            <rFont val="Calibri"/>
            <family val="2"/>
            <scheme val="minor"/>
          </rPr>
          <t>reporting/bscr/reconcile/filled in templates/2026 BSCR - UKEU - HIC v2.xlsx
Schedule X(f)!F64
Total not modellable; US; geo=0
Raw template value=101</t>
        </r>
      </text>
    </comment>
    <comment ref="A356" authorId="1" shapeId="0" xr:uid="{00000000-0006-0000-0100-00004D010000}">
      <text>
        <r>
          <rPr>
            <sz val="11"/>
            <color theme="1"/>
            <rFont val="Calibri"/>
            <family val="2"/>
            <scheme val="minor"/>
          </rPr>
          <t>reporting/bscr/reconcile/filled in templates/2026 BSCR - UKEU - HIC v2.xlsx
Schedule X(f)!G64
Total not modellable; US; geo=0
Raw template value=101</t>
        </r>
      </text>
    </comment>
    <comment ref="A357" authorId="1" shapeId="0" xr:uid="{00000000-0006-0000-0100-00004E010000}">
      <text>
        <r>
          <rPr>
            <sz val="11"/>
            <color theme="1"/>
            <rFont val="Calibri"/>
            <family val="2"/>
            <scheme val="minor"/>
          </rPr>
          <t>reporting/bscr/reconcile/filled in templates/2026 BSCR - UKEU - HIC v2.xlsx
Schedule X(f)!H64
Total not modellable; Other countries; geo=0
Raw template value=28</t>
        </r>
      </text>
    </comment>
    <comment ref="A358" authorId="1" shapeId="0" xr:uid="{00000000-0006-0000-0100-00004F010000}">
      <text>
        <r>
          <rPr>
            <sz val="11"/>
            <color theme="1"/>
            <rFont val="Calibri"/>
            <family val="2"/>
            <scheme val="minor"/>
          </rPr>
          <t>reporting/bscr/reconcile/filled in templates/2026 BSCR - UKEU - HIC v2.xlsx
Schedule X(f)!I64
Total not modellable; Other countries; geo=0
Raw template value=15332.806399999899</t>
        </r>
      </text>
    </comment>
    <comment ref="A359" authorId="1" shapeId="0" xr:uid="{00000000-0006-0000-0100-000050010000}">
      <text>
        <r>
          <rPr>
            <sz val="11"/>
            <color theme="1"/>
            <rFont val="Calibri"/>
            <family val="2"/>
            <scheme val="minor"/>
          </rPr>
          <t>reporting/bscr/reconcile/filled in templates/2026 BSCR - UKEU - HIC v2.xlsx
Schedule X(f)!J64
Total not modellable; Other countries; geo=0
Raw template value=15332.806399999899</t>
        </r>
      </text>
    </comment>
    <comment ref="A360" authorId="1" shapeId="0" xr:uid="{00000000-0006-0000-0100-000051010000}">
      <text>
        <r>
          <rPr>
            <sz val="11"/>
            <color theme="1"/>
            <rFont val="Calibri"/>
            <family val="2"/>
            <scheme val="minor"/>
          </rPr>
          <t>reporting/bscr/reconcile/filled in templates/2026 BSCR - UKEU - HIC v2.xlsx
Schedule X(f)!K64
Total not modellable; All countries; geo=0
Raw template value=29</t>
        </r>
      </text>
    </comment>
    <comment ref="A361" authorId="1" shapeId="0" xr:uid="{00000000-0006-0000-0100-000052010000}">
      <text>
        <r>
          <rPr>
            <sz val="11"/>
            <color theme="1"/>
            <rFont val="Calibri"/>
            <family val="2"/>
            <scheme val="minor"/>
          </rPr>
          <t>reporting/bscr/reconcile/filled in templates/2026 BSCR - UKEU - HIC v2.xlsx
Schedule X(f)!L64
Total not modellable; All countries; geo=0
Raw template value=15433.806399999899</t>
        </r>
      </text>
    </comment>
    <comment ref="A362" authorId="1" shapeId="0" xr:uid="{00000000-0006-0000-0100-000053010000}">
      <text>
        <r>
          <rPr>
            <sz val="11"/>
            <color theme="1"/>
            <rFont val="Calibri"/>
            <family val="2"/>
            <scheme val="minor"/>
          </rPr>
          <t>reporting/bscr/reconcile/filled in templates/2026 BSCR - UKEU - HIC v2.xlsx
Schedule X(f)!M64
Total not modellable; All countries; geo=0
Raw template value=15433.806399999899</t>
        </r>
      </text>
    </comment>
    <comment ref="A363" authorId="1" shapeId="0" xr:uid="{00000000-0006-0000-0100-000054010000}">
      <text>
        <r>
          <rPr>
            <sz val="11"/>
            <color theme="1"/>
            <rFont val="Calibri"/>
            <family val="2"/>
            <scheme val="minor"/>
          </rPr>
          <t>reporting/bscr/reconcile/filled in templates/2026 BSCR - UKEU - HIG v2.xlsx
Schedule X(f)!E10
Modellable; US; geo=1
Raw template value=227</t>
        </r>
      </text>
    </comment>
    <comment ref="A364" authorId="1" shapeId="0" xr:uid="{00000000-0006-0000-0100-000055010000}">
      <text>
        <r>
          <rPr>
            <sz val="11"/>
            <color theme="1"/>
            <rFont val="Calibri"/>
            <family val="2"/>
            <scheme val="minor"/>
          </rPr>
          <t>reporting/bscr/reconcile/filled in templates/2026 BSCR - UKEU - HIG v2.xlsx
Schedule X(f)!F10
Modellable; US; geo=1
Raw template value=906507.55461050791</t>
        </r>
      </text>
    </comment>
    <comment ref="A365" authorId="1" shapeId="0" xr:uid="{00000000-0006-0000-0100-000056010000}">
      <text>
        <r>
          <rPr>
            <sz val="11"/>
            <color theme="1"/>
            <rFont val="Calibri"/>
            <family val="2"/>
            <scheme val="minor"/>
          </rPr>
          <t>reporting/bscr/reconcile/filled in templates/2026 BSCR - UKEU - HIG v2.xlsx
Schedule X(f)!G10
Modellable; US; geo=1
Raw template value=666539.31239975407</t>
        </r>
      </text>
    </comment>
    <comment ref="A366" authorId="1" shapeId="0" xr:uid="{00000000-0006-0000-0100-000057010000}">
      <text>
        <r>
          <rPr>
            <sz val="11"/>
            <color theme="1"/>
            <rFont val="Calibri"/>
            <family val="2"/>
            <scheme val="minor"/>
          </rPr>
          <t>reporting/bscr/reconcile/filled in templates/2026 BSCR - UKEU - HIG v2.xlsx
Schedule X(f)!H10
Modellable; Other countries; geo=1
Raw template value=1688</t>
        </r>
      </text>
    </comment>
    <comment ref="A367" authorId="1" shapeId="0" xr:uid="{00000000-0006-0000-0100-000058010000}">
      <text>
        <r>
          <rPr>
            <sz val="11"/>
            <color theme="1"/>
            <rFont val="Calibri"/>
            <family val="2"/>
            <scheme val="minor"/>
          </rPr>
          <t>reporting/bscr/reconcile/filled in templates/2026 BSCR - UKEU - HIG v2.xlsx
Schedule X(f)!I10
Modellable; Other countries; geo=1
Raw template value=6441009.659597843</t>
        </r>
      </text>
    </comment>
    <comment ref="A368" authorId="1" shapeId="0" xr:uid="{00000000-0006-0000-0100-000059010000}">
      <text>
        <r>
          <rPr>
            <sz val="11"/>
            <color theme="1"/>
            <rFont val="Calibri"/>
            <family val="2"/>
            <scheme val="minor"/>
          </rPr>
          <t>reporting/bscr/reconcile/filled in templates/2026 BSCR - UKEU - HIG v2.xlsx
Schedule X(f)!J10
Modellable; Other countries; geo=1
Raw template value=5165233.4649841255</t>
        </r>
      </text>
    </comment>
    <comment ref="A369" authorId="1" shapeId="0" xr:uid="{00000000-0006-0000-0100-00005A010000}">
      <text>
        <r>
          <rPr>
            <sz val="11"/>
            <color theme="1"/>
            <rFont val="Calibri"/>
            <family val="2"/>
            <scheme val="minor"/>
          </rPr>
          <t>reporting/bscr/reconcile/filled in templates/2026 BSCR - UKEU - HIG v2.xlsx
Schedule X(f)!K10
Modellable; All countries; geo=1
Raw template value=1915</t>
        </r>
      </text>
    </comment>
    <comment ref="A370" authorId="1" shapeId="0" xr:uid="{00000000-0006-0000-0100-00005B010000}">
      <text>
        <r>
          <rPr>
            <sz val="11"/>
            <color theme="1"/>
            <rFont val="Calibri"/>
            <family val="2"/>
            <scheme val="minor"/>
          </rPr>
          <t>reporting/bscr/reconcile/filled in templates/2026 BSCR - UKEU - HIG v2.xlsx
Schedule X(f)!L10
Modellable; All countries; geo=1
Raw template value=7347517.2142083505</t>
        </r>
      </text>
    </comment>
    <comment ref="A371" authorId="1" shapeId="0" xr:uid="{00000000-0006-0000-0100-00005C010000}">
      <text>
        <r>
          <rPr>
            <sz val="11"/>
            <color theme="1"/>
            <rFont val="Calibri"/>
            <family val="2"/>
            <scheme val="minor"/>
          </rPr>
          <t>reporting/bscr/reconcile/filled in templates/2026 BSCR - UKEU - HIG v2.xlsx
Schedule X(f)!M10
Modellable; All countries; geo=1
Raw template value=5831772.7773838798</t>
        </r>
      </text>
    </comment>
    <comment ref="A372" authorId="1" shapeId="0" xr:uid="{00000000-0006-0000-0100-00005D010000}">
      <text>
        <r>
          <rPr>
            <sz val="11"/>
            <color theme="1"/>
            <rFont val="Calibri"/>
            <family val="2"/>
            <scheme val="minor"/>
          </rPr>
          <t>reporting/bscr/reconcile/filled in templates/2026 BSCR - UKEU - HIG v2.xlsx
Schedule X(f)!E11
Not modellable; US; geo=0
Raw template value=20</t>
        </r>
      </text>
    </comment>
    <comment ref="A373" authorId="1" shapeId="0" xr:uid="{00000000-0006-0000-0100-00005E010000}">
      <text>
        <r>
          <rPr>
            <sz val="11"/>
            <color theme="1"/>
            <rFont val="Calibri"/>
            <family val="2"/>
            <scheme val="minor"/>
          </rPr>
          <t>reporting/bscr/reconcile/filled in templates/2026 BSCR - UKEU - HIG v2.xlsx
Schedule X(f)!F11
Not modellable; US; geo=0
Raw template value=175292.598767708</t>
        </r>
      </text>
    </comment>
    <comment ref="A374" authorId="1" shapeId="0" xr:uid="{00000000-0006-0000-0100-00005F010000}">
      <text>
        <r>
          <rPr>
            <sz val="11"/>
            <color theme="1"/>
            <rFont val="Calibri"/>
            <family val="2"/>
            <scheme val="minor"/>
          </rPr>
          <t>reporting/bscr/reconcile/filled in templates/2026 BSCR - UKEU - HIG v2.xlsx
Schedule X(f)!G11
Not modellable; US; geo=0
Raw template value=87273.963569168001</t>
        </r>
      </text>
    </comment>
    <comment ref="A375" authorId="1" shapeId="0" xr:uid="{00000000-0006-0000-0100-000060010000}">
      <text>
        <r>
          <rPr>
            <sz val="11"/>
            <color theme="1"/>
            <rFont val="Calibri"/>
            <family val="2"/>
            <scheme val="minor"/>
          </rPr>
          <t>reporting/bscr/reconcile/filled in templates/2026 BSCR - UKEU - HIG v2.xlsx
Schedule X(f)!H11
Not modellable; Other countries; geo=0
Raw template value=35</t>
        </r>
      </text>
    </comment>
    <comment ref="A376" authorId="1" shapeId="0" xr:uid="{00000000-0006-0000-0100-000061010000}">
      <text>
        <r>
          <rPr>
            <sz val="11"/>
            <color theme="1"/>
            <rFont val="Calibri"/>
            <family val="2"/>
            <scheme val="minor"/>
          </rPr>
          <t>reporting/bscr/reconcile/filled in templates/2026 BSCR - UKEU - HIG v2.xlsx
Schedule X(f)!I11
Not modellable; Other countries; geo=0
Raw template value=523734.70597262791</t>
        </r>
      </text>
    </comment>
    <comment ref="A377" authorId="1" shapeId="0" xr:uid="{00000000-0006-0000-0100-000062010000}">
      <text>
        <r>
          <rPr>
            <sz val="11"/>
            <color theme="1"/>
            <rFont val="Calibri"/>
            <family val="2"/>
            <scheme val="minor"/>
          </rPr>
          <t>reporting/bscr/reconcile/filled in templates/2026 BSCR - UKEU - HIG v2.xlsx
Schedule X(f)!J11
Not modellable; Other countries; geo=0
Raw template value=319688.18745629099</t>
        </r>
      </text>
    </comment>
    <comment ref="A378" authorId="1" shapeId="0" xr:uid="{00000000-0006-0000-0100-000063010000}">
      <text>
        <r>
          <rPr>
            <sz val="11"/>
            <color theme="1"/>
            <rFont val="Calibri"/>
            <family val="2"/>
            <scheme val="minor"/>
          </rPr>
          <t>reporting/bscr/reconcile/filled in templates/2026 BSCR - UKEU - HIG v2.xlsx
Schedule X(f)!K11
Not modellable; All countries; geo=0
Raw template value=55</t>
        </r>
      </text>
    </comment>
    <comment ref="A379" authorId="1" shapeId="0" xr:uid="{00000000-0006-0000-0100-000064010000}">
      <text>
        <r>
          <rPr>
            <sz val="11"/>
            <color theme="1"/>
            <rFont val="Calibri"/>
            <family val="2"/>
            <scheme val="minor"/>
          </rPr>
          <t>reporting/bscr/reconcile/filled in templates/2026 BSCR - UKEU - HIG v2.xlsx
Schedule X(f)!L11
Not modellable; All countries; geo=0
Raw template value=699027.30474033591</t>
        </r>
      </text>
    </comment>
    <comment ref="A380" authorId="1" shapeId="0" xr:uid="{00000000-0006-0000-0100-000065010000}">
      <text>
        <r>
          <rPr>
            <sz val="11"/>
            <color theme="1"/>
            <rFont val="Calibri"/>
            <family val="2"/>
            <scheme val="minor"/>
          </rPr>
          <t>reporting/bscr/reconcile/filled in templates/2026 BSCR - UKEU - HIG v2.xlsx
Schedule X(f)!M11
Not modellable; All countries; geo=0
Raw template value=406962.151025459</t>
        </r>
      </text>
    </comment>
    <comment ref="A381" authorId="1" shapeId="0" xr:uid="{00000000-0006-0000-0100-000066010000}">
      <text>
        <r>
          <rPr>
            <sz val="11"/>
            <color theme="1"/>
            <rFont val="Calibri"/>
            <family val="2"/>
            <scheme val="minor"/>
          </rPr>
          <t>reporting/bscr/reconcile/filled in templates/2026 BSCR - UKEU - HIG v2.xlsx
Schedule X(f)!E12
Total; US; geo=None
Raw template value=247</t>
        </r>
      </text>
    </comment>
    <comment ref="A382" authorId="1" shapeId="0" xr:uid="{00000000-0006-0000-0100-000067010000}">
      <text>
        <r>
          <rPr>
            <sz val="11"/>
            <color theme="1"/>
            <rFont val="Calibri"/>
            <family val="2"/>
            <scheme val="minor"/>
          </rPr>
          <t>reporting/bscr/reconcile/filled in templates/2026 BSCR - UKEU - HIG v2.xlsx
Schedule X(f)!F12
Total; US; geo=None
Raw template value=1081800.1533782159</t>
        </r>
      </text>
    </comment>
    <comment ref="A383" authorId="1" shapeId="0" xr:uid="{00000000-0006-0000-0100-000068010000}">
      <text>
        <r>
          <rPr>
            <sz val="11"/>
            <color theme="1"/>
            <rFont val="Calibri"/>
            <family val="2"/>
            <scheme val="minor"/>
          </rPr>
          <t>reporting/bscr/reconcile/filled in templates/2026 BSCR - UKEU - HIG v2.xlsx
Schedule X(f)!G12
Total; US; geo=None
Raw template value=753813.27596892207</t>
        </r>
      </text>
    </comment>
    <comment ref="A384" authorId="1" shapeId="0" xr:uid="{00000000-0006-0000-0100-000069010000}">
      <text>
        <r>
          <rPr>
            <sz val="11"/>
            <color theme="1"/>
            <rFont val="Calibri"/>
            <family val="2"/>
            <scheme val="minor"/>
          </rPr>
          <t>reporting/bscr/reconcile/filled in templates/2026 BSCR - UKEU - HIG v2.xlsx
Schedule X(f)!H12
Total; Other countries; geo=None
Raw template value=1723</t>
        </r>
      </text>
    </comment>
    <comment ref="A385" authorId="1" shapeId="0" xr:uid="{00000000-0006-0000-0100-00006A010000}">
      <text>
        <r>
          <rPr>
            <sz val="11"/>
            <color theme="1"/>
            <rFont val="Calibri"/>
            <family val="2"/>
            <scheme val="minor"/>
          </rPr>
          <t>reporting/bscr/reconcile/filled in templates/2026 BSCR - UKEU - HIG v2.xlsx
Schedule X(f)!I12
Total; Other countries; geo=None
Raw template value=6964744.3655704707</t>
        </r>
      </text>
    </comment>
    <comment ref="A386" authorId="1" shapeId="0" xr:uid="{00000000-0006-0000-0100-00006B010000}">
      <text>
        <r>
          <rPr>
            <sz val="11"/>
            <color theme="1"/>
            <rFont val="Calibri"/>
            <family val="2"/>
            <scheme val="minor"/>
          </rPr>
          <t>reporting/bscr/reconcile/filled in templates/2026 BSCR - UKEU - HIG v2.xlsx
Schedule X(f)!J12
Total; Other countries; geo=None
Raw template value=5484921.6524404166</t>
        </r>
      </text>
    </comment>
    <comment ref="A387" authorId="1" shapeId="0" xr:uid="{00000000-0006-0000-0100-00006C010000}">
      <text>
        <r>
          <rPr>
            <sz val="11"/>
            <color theme="1"/>
            <rFont val="Calibri"/>
            <family val="2"/>
            <scheme val="minor"/>
          </rPr>
          <t>reporting/bscr/reconcile/filled in templates/2026 BSCR - UKEU - HIG v2.xlsx
Schedule X(f)!K12
Total; All countries; geo=None
Raw template value=1970</t>
        </r>
      </text>
    </comment>
    <comment ref="A388" authorId="1" shapeId="0" xr:uid="{00000000-0006-0000-0100-00006D010000}">
      <text>
        <r>
          <rPr>
            <sz val="11"/>
            <color theme="1"/>
            <rFont val="Calibri"/>
            <family val="2"/>
            <scheme val="minor"/>
          </rPr>
          <t>reporting/bscr/reconcile/filled in templates/2026 BSCR - UKEU - HIG v2.xlsx
Schedule X(f)!L12
Total; All countries; geo=None
Raw template value=8046544.5189486863</t>
        </r>
      </text>
    </comment>
    <comment ref="A389" authorId="1" shapeId="0" xr:uid="{00000000-0006-0000-0100-00006E010000}">
      <text>
        <r>
          <rPr>
            <sz val="11"/>
            <color theme="1"/>
            <rFont val="Calibri"/>
            <family val="2"/>
            <scheme val="minor"/>
          </rPr>
          <t>reporting/bscr/reconcile/filled in templates/2026 BSCR - UKEU - HIG v2.xlsx
Schedule X(f)!M12
Total; All countries; geo=None
Raw template value=6238734.9284093389</t>
        </r>
      </text>
    </comment>
    <comment ref="A390" authorId="1" shapeId="0" xr:uid="{00000000-0006-0000-0100-00006F010000}">
      <text>
        <r>
          <rPr>
            <sz val="11"/>
            <color theme="1"/>
            <rFont val="Calibri"/>
            <family val="2"/>
            <scheme val="minor"/>
          </rPr>
          <t>reporting/bscr/reconcile/filled in templates/2026 BSCR - UKEU - HIG v2.xlsx
Schedule X(f)!E19
Modelled; US; geo=1
Raw template value=227</t>
        </r>
      </text>
    </comment>
    <comment ref="A391" authorId="1" shapeId="0" xr:uid="{00000000-0006-0000-0100-000070010000}">
      <text>
        <r>
          <rPr>
            <sz val="11"/>
            <color theme="1"/>
            <rFont val="Calibri"/>
            <family val="2"/>
            <scheme val="minor"/>
          </rPr>
          <t>reporting/bscr/reconcile/filled in templates/2026 BSCR - UKEU - HIG v2.xlsx
Schedule X(f)!F19
Modelled; US; geo=1
Raw template value=906507.55461050791</t>
        </r>
      </text>
    </comment>
    <comment ref="A392" authorId="1" shapeId="0" xr:uid="{00000000-0006-0000-0100-000071010000}">
      <text>
        <r>
          <rPr>
            <sz val="11"/>
            <color theme="1"/>
            <rFont val="Calibri"/>
            <family val="2"/>
            <scheme val="minor"/>
          </rPr>
          <t>reporting/bscr/reconcile/filled in templates/2026 BSCR - UKEU - HIG v2.xlsx
Schedule X(f)!G19
Modelled; US; geo=1
Raw template value=666539.31239975407</t>
        </r>
      </text>
    </comment>
    <comment ref="A393" authorId="1" shapeId="0" xr:uid="{00000000-0006-0000-0100-000072010000}">
      <text>
        <r>
          <rPr>
            <sz val="11"/>
            <color theme="1"/>
            <rFont val="Calibri"/>
            <family val="2"/>
            <scheme val="minor"/>
          </rPr>
          <t>reporting/bscr/reconcile/filled in templates/2026 BSCR - UKEU - HIG v2.xlsx
Schedule X(f)!H19
Modelled; Other countries; geo=1
Raw template value=1688</t>
        </r>
      </text>
    </comment>
    <comment ref="A394" authorId="1" shapeId="0" xr:uid="{00000000-0006-0000-0100-000073010000}">
      <text>
        <r>
          <rPr>
            <sz val="11"/>
            <color theme="1"/>
            <rFont val="Calibri"/>
            <family val="2"/>
            <scheme val="minor"/>
          </rPr>
          <t>reporting/bscr/reconcile/filled in templates/2026 BSCR - UKEU - HIG v2.xlsx
Schedule X(f)!I19
Modelled; Other countries; geo=1
Raw template value=6441009.659597843</t>
        </r>
      </text>
    </comment>
    <comment ref="A395" authorId="1" shapeId="0" xr:uid="{00000000-0006-0000-0100-000074010000}">
      <text>
        <r>
          <rPr>
            <sz val="11"/>
            <color theme="1"/>
            <rFont val="Calibri"/>
            <family val="2"/>
            <scheme val="minor"/>
          </rPr>
          <t>reporting/bscr/reconcile/filled in templates/2026 BSCR - UKEU - HIG v2.xlsx
Schedule X(f)!J19
Modelled; Other countries; geo=1
Raw template value=5165233.4649841255</t>
        </r>
      </text>
    </comment>
    <comment ref="A396" authorId="1" shapeId="0" xr:uid="{00000000-0006-0000-0100-000075010000}">
      <text>
        <r>
          <rPr>
            <sz val="11"/>
            <color theme="1"/>
            <rFont val="Calibri"/>
            <family val="2"/>
            <scheme val="minor"/>
          </rPr>
          <t>reporting/bscr/reconcile/filled in templates/2026 BSCR - UKEU - HIG v2.xlsx
Schedule X(f)!K19
Modelled; All countries; geo=1
Raw template value=1915</t>
        </r>
      </text>
    </comment>
    <comment ref="A397" authorId="1" shapeId="0" xr:uid="{00000000-0006-0000-0100-000076010000}">
      <text>
        <r>
          <rPr>
            <sz val="11"/>
            <color theme="1"/>
            <rFont val="Calibri"/>
            <family val="2"/>
            <scheme val="minor"/>
          </rPr>
          <t>reporting/bscr/reconcile/filled in templates/2026 BSCR - UKEU - HIG v2.xlsx
Schedule X(f)!L19
Modelled; All countries; geo=1
Raw template value=7347517.2142083505</t>
        </r>
      </text>
    </comment>
    <comment ref="A398" authorId="1" shapeId="0" xr:uid="{00000000-0006-0000-0100-000077010000}">
      <text>
        <r>
          <rPr>
            <sz val="11"/>
            <color theme="1"/>
            <rFont val="Calibri"/>
            <family val="2"/>
            <scheme val="minor"/>
          </rPr>
          <t>reporting/bscr/reconcile/filled in templates/2026 BSCR - UKEU - HIG v2.xlsx
Schedule X(f)!M19
Modelled; All countries; geo=1
Raw template value=5831772.7773838798</t>
        </r>
      </text>
    </comment>
    <comment ref="A399" authorId="1" shapeId="0" xr:uid="{00000000-0006-0000-0100-000078010000}">
      <text>
        <r>
          <rPr>
            <sz val="11"/>
            <color theme="1"/>
            <rFont val="Calibri"/>
            <family val="2"/>
            <scheme val="minor"/>
          </rPr>
          <t>reporting/bscr/reconcile/filled in templates/2026 BSCR - UKEU - HIG v2.xlsx
Schedule X(f)!E20
Not modelled; US; geo=0
Raw template value=20</t>
        </r>
      </text>
    </comment>
    <comment ref="A400" authorId="1" shapeId="0" xr:uid="{00000000-0006-0000-0100-000079010000}">
      <text>
        <r>
          <rPr>
            <sz val="11"/>
            <color theme="1"/>
            <rFont val="Calibri"/>
            <family val="2"/>
            <scheme val="minor"/>
          </rPr>
          <t>reporting/bscr/reconcile/filled in templates/2026 BSCR - UKEU - HIG v2.xlsx
Schedule X(f)!F20
Not modelled; US; geo=0
Raw template value=175292.598767708</t>
        </r>
      </text>
    </comment>
    <comment ref="A401" authorId="1" shapeId="0" xr:uid="{00000000-0006-0000-0100-00007A010000}">
      <text>
        <r>
          <rPr>
            <sz val="11"/>
            <color theme="1"/>
            <rFont val="Calibri"/>
            <family val="2"/>
            <scheme val="minor"/>
          </rPr>
          <t>reporting/bscr/reconcile/filled in templates/2026 BSCR - UKEU - HIG v2.xlsx
Schedule X(f)!G20
Not modelled; US; geo=0
Raw template value=87273.963569168001</t>
        </r>
      </text>
    </comment>
    <comment ref="A402" authorId="1" shapeId="0" xr:uid="{00000000-0006-0000-0100-00007B010000}">
      <text>
        <r>
          <rPr>
            <sz val="11"/>
            <color theme="1"/>
            <rFont val="Calibri"/>
            <family val="2"/>
            <scheme val="minor"/>
          </rPr>
          <t>reporting/bscr/reconcile/filled in templates/2026 BSCR - UKEU - HIG v2.xlsx
Schedule X(f)!H20
Not modelled; Other countries; geo=0
Raw template value=35</t>
        </r>
      </text>
    </comment>
    <comment ref="A403" authorId="1" shapeId="0" xr:uid="{00000000-0006-0000-0100-00007C010000}">
      <text>
        <r>
          <rPr>
            <sz val="11"/>
            <color theme="1"/>
            <rFont val="Calibri"/>
            <family val="2"/>
            <scheme val="minor"/>
          </rPr>
          <t>reporting/bscr/reconcile/filled in templates/2026 BSCR - UKEU - HIG v2.xlsx
Schedule X(f)!I20
Not modelled; Other countries; geo=0
Raw template value=523734.70597262791</t>
        </r>
      </text>
    </comment>
    <comment ref="A404" authorId="1" shapeId="0" xr:uid="{00000000-0006-0000-0100-00007D010000}">
      <text>
        <r>
          <rPr>
            <sz val="11"/>
            <color theme="1"/>
            <rFont val="Calibri"/>
            <family val="2"/>
            <scheme val="minor"/>
          </rPr>
          <t>reporting/bscr/reconcile/filled in templates/2026 BSCR - UKEU - HIG v2.xlsx
Schedule X(f)!J20
Not modelled; Other countries; geo=0
Raw template value=319688.18745629099</t>
        </r>
      </text>
    </comment>
    <comment ref="A405" authorId="1" shapeId="0" xr:uid="{00000000-0006-0000-0100-00007E010000}">
      <text>
        <r>
          <rPr>
            <sz val="11"/>
            <color theme="1"/>
            <rFont val="Calibri"/>
            <family val="2"/>
            <scheme val="minor"/>
          </rPr>
          <t>reporting/bscr/reconcile/filled in templates/2026 BSCR - UKEU - HIG v2.xlsx
Schedule X(f)!K20
Not modelled; All countries; geo=0
Raw template value=55</t>
        </r>
      </text>
    </comment>
    <comment ref="A406" authorId="1" shapeId="0" xr:uid="{00000000-0006-0000-0100-00007F010000}">
      <text>
        <r>
          <rPr>
            <sz val="11"/>
            <color theme="1"/>
            <rFont val="Calibri"/>
            <family val="2"/>
            <scheme val="minor"/>
          </rPr>
          <t>reporting/bscr/reconcile/filled in templates/2026 BSCR - UKEU - HIG v2.xlsx
Schedule X(f)!L20
Not modelled; All countries; geo=0
Raw template value=699027.30474033591</t>
        </r>
      </text>
    </comment>
    <comment ref="A407" authorId="1" shapeId="0" xr:uid="{00000000-0006-0000-0100-000080010000}">
      <text>
        <r>
          <rPr>
            <sz val="11"/>
            <color theme="1"/>
            <rFont val="Calibri"/>
            <family val="2"/>
            <scheme val="minor"/>
          </rPr>
          <t>reporting/bscr/reconcile/filled in templates/2026 BSCR - UKEU - HIG v2.xlsx
Schedule X(f)!M20
Not modelled; All countries; geo=0
Raw template value=406962.151025459</t>
        </r>
      </text>
    </comment>
    <comment ref="A408" authorId="1" shapeId="0" xr:uid="{00000000-0006-0000-0100-000081010000}">
      <text>
        <r>
          <rPr>
            <sz val="11"/>
            <color theme="1"/>
            <rFont val="Calibri"/>
            <family val="2"/>
            <scheme val="minor"/>
          </rPr>
          <t>reporting/bscr/reconcile/filled in templates/2026 BSCR - UKEU - HIG v2.xlsx
Schedule X(f)!E21
Total; US; geo=None
Raw template value=247</t>
        </r>
      </text>
    </comment>
    <comment ref="A409" authorId="1" shapeId="0" xr:uid="{00000000-0006-0000-0100-000082010000}">
      <text>
        <r>
          <rPr>
            <sz val="11"/>
            <color theme="1"/>
            <rFont val="Calibri"/>
            <family val="2"/>
            <scheme val="minor"/>
          </rPr>
          <t>reporting/bscr/reconcile/filled in templates/2026 BSCR - UKEU - HIG v2.xlsx
Schedule X(f)!F21
Total; US; geo=None
Raw template value=1081800.1533782159</t>
        </r>
      </text>
    </comment>
    <comment ref="A410" authorId="1" shapeId="0" xr:uid="{00000000-0006-0000-0100-000083010000}">
      <text>
        <r>
          <rPr>
            <sz val="11"/>
            <color theme="1"/>
            <rFont val="Calibri"/>
            <family val="2"/>
            <scheme val="minor"/>
          </rPr>
          <t>reporting/bscr/reconcile/filled in templates/2026 BSCR - UKEU - HIG v2.xlsx
Schedule X(f)!G21
Total; US; geo=None
Raw template value=753813.27596892207</t>
        </r>
      </text>
    </comment>
    <comment ref="A411" authorId="1" shapeId="0" xr:uid="{00000000-0006-0000-0100-000084010000}">
      <text>
        <r>
          <rPr>
            <sz val="11"/>
            <color theme="1"/>
            <rFont val="Calibri"/>
            <family val="2"/>
            <scheme val="minor"/>
          </rPr>
          <t>reporting/bscr/reconcile/filled in templates/2026 BSCR - UKEU - HIG v2.xlsx
Schedule X(f)!H21
Total; Other countries; geo=None
Raw template value=1723</t>
        </r>
      </text>
    </comment>
    <comment ref="A412" authorId="1" shapeId="0" xr:uid="{00000000-0006-0000-0100-000085010000}">
      <text>
        <r>
          <rPr>
            <sz val="11"/>
            <color theme="1"/>
            <rFont val="Calibri"/>
            <family val="2"/>
            <scheme val="minor"/>
          </rPr>
          <t>reporting/bscr/reconcile/filled in templates/2026 BSCR - UKEU - HIG v2.xlsx
Schedule X(f)!I21
Total; Other countries; geo=None
Raw template value=6964744.3655704707</t>
        </r>
      </text>
    </comment>
    <comment ref="A413" authorId="1" shapeId="0" xr:uid="{00000000-0006-0000-0100-000086010000}">
      <text>
        <r>
          <rPr>
            <sz val="11"/>
            <color theme="1"/>
            <rFont val="Calibri"/>
            <family val="2"/>
            <scheme val="minor"/>
          </rPr>
          <t>reporting/bscr/reconcile/filled in templates/2026 BSCR - UKEU - HIG v2.xlsx
Schedule X(f)!J21
Total; Other countries; geo=None
Raw template value=5484921.6524404166</t>
        </r>
      </text>
    </comment>
    <comment ref="A414" authorId="1" shapeId="0" xr:uid="{00000000-0006-0000-0100-000087010000}">
      <text>
        <r>
          <rPr>
            <sz val="11"/>
            <color theme="1"/>
            <rFont val="Calibri"/>
            <family val="2"/>
            <scheme val="minor"/>
          </rPr>
          <t>reporting/bscr/reconcile/filled in templates/2026 BSCR - UKEU - HIG v2.xlsx
Schedule X(f)!K21
Total; All countries; geo=None
Raw template value=1970</t>
        </r>
      </text>
    </comment>
    <comment ref="A415" authorId="1" shapeId="0" xr:uid="{00000000-0006-0000-0100-000088010000}">
      <text>
        <r>
          <rPr>
            <sz val="11"/>
            <color theme="1"/>
            <rFont val="Calibri"/>
            <family val="2"/>
            <scheme val="minor"/>
          </rPr>
          <t>reporting/bscr/reconcile/filled in templates/2026 BSCR - UKEU - HIG v2.xlsx
Schedule X(f)!L21
Total; All countries; geo=None
Raw template value=8046544.5189486863</t>
        </r>
      </text>
    </comment>
    <comment ref="A416" authorId="1" shapeId="0" xr:uid="{00000000-0006-0000-0100-000089010000}">
      <text>
        <r>
          <rPr>
            <sz val="11"/>
            <color theme="1"/>
            <rFont val="Calibri"/>
            <family val="2"/>
            <scheme val="minor"/>
          </rPr>
          <t>reporting/bscr/reconcile/filled in templates/2026 BSCR - UKEU - HIG v2.xlsx
Schedule X(f)!M21
Total; All countries; geo=None
Raw template value=6238734.9284093389</t>
        </r>
      </text>
    </comment>
    <comment ref="A417" authorId="1" shapeId="0" xr:uid="{00000000-0006-0000-0100-00008A010000}">
      <text>
        <r>
          <rPr>
            <sz val="11"/>
            <color theme="1"/>
            <rFont val="Calibri"/>
            <family val="2"/>
            <scheme val="minor"/>
          </rPr>
          <t>reporting/bscr/reconcile/filled in templates/2026 BSCR - UKEU - HIG v2.xlsx
Schedule X(f)!E28
Detailed exposure data; US; geo=1
Raw template value=227</t>
        </r>
      </text>
    </comment>
    <comment ref="A418" authorId="1" shapeId="0" xr:uid="{00000000-0006-0000-0100-00008B010000}">
      <text>
        <r>
          <rPr>
            <sz val="11"/>
            <color theme="1"/>
            <rFont val="Calibri"/>
            <family val="2"/>
            <scheme val="minor"/>
          </rPr>
          <t>reporting/bscr/reconcile/filled in templates/2026 BSCR - UKEU - HIG v2.xlsx
Schedule X(f)!F28
Detailed exposure data; US; geo=1
Raw template value=906507.55461050791</t>
        </r>
      </text>
    </comment>
    <comment ref="A419" authorId="1" shapeId="0" xr:uid="{00000000-0006-0000-0100-00008C010000}">
      <text>
        <r>
          <rPr>
            <sz val="11"/>
            <color theme="1"/>
            <rFont val="Calibri"/>
            <family val="2"/>
            <scheme val="minor"/>
          </rPr>
          <t>reporting/bscr/reconcile/filled in templates/2026 BSCR - UKEU - HIG v2.xlsx
Schedule X(f)!G28
Detailed exposure data; US; geo=1
Raw template value=666539.31239975407</t>
        </r>
      </text>
    </comment>
    <comment ref="A420" authorId="1" shapeId="0" xr:uid="{00000000-0006-0000-0100-00008D010000}">
      <text>
        <r>
          <rPr>
            <sz val="11"/>
            <color theme="1"/>
            <rFont val="Calibri"/>
            <family val="2"/>
            <scheme val="minor"/>
          </rPr>
          <t>reporting/bscr/reconcile/filled in templates/2026 BSCR - UKEU - HIG v2.xlsx
Schedule X(f)!H28
Detailed exposure data; Other countries; geo=1
Raw template value=1688</t>
        </r>
      </text>
    </comment>
    <comment ref="A421" authorId="1" shapeId="0" xr:uid="{00000000-0006-0000-0100-00008E010000}">
      <text>
        <r>
          <rPr>
            <sz val="11"/>
            <color theme="1"/>
            <rFont val="Calibri"/>
            <family val="2"/>
            <scheme val="minor"/>
          </rPr>
          <t>reporting/bscr/reconcile/filled in templates/2026 BSCR - UKEU - HIG v2.xlsx
Schedule X(f)!I28
Detailed exposure data; Other countries; geo=1
Raw template value=6441009.659597843</t>
        </r>
      </text>
    </comment>
    <comment ref="A422" authorId="1" shapeId="0" xr:uid="{00000000-0006-0000-0100-00008F010000}">
      <text>
        <r>
          <rPr>
            <sz val="11"/>
            <color theme="1"/>
            <rFont val="Calibri"/>
            <family val="2"/>
            <scheme val="minor"/>
          </rPr>
          <t>reporting/bscr/reconcile/filled in templates/2026 BSCR - UKEU - HIG v2.xlsx
Schedule X(f)!J28
Detailed exposure data; Other countries; geo=1
Raw template value=5165233.4649841255</t>
        </r>
      </text>
    </comment>
    <comment ref="A423" authorId="1" shapeId="0" xr:uid="{00000000-0006-0000-0100-000090010000}">
      <text>
        <r>
          <rPr>
            <sz val="11"/>
            <color theme="1"/>
            <rFont val="Calibri"/>
            <family val="2"/>
            <scheme val="minor"/>
          </rPr>
          <t>reporting/bscr/reconcile/filled in templates/2026 BSCR - UKEU - HIG v2.xlsx
Schedule X(f)!K28
Detailed exposure data; All countries; geo=1
Raw template value=1915</t>
        </r>
      </text>
    </comment>
    <comment ref="A424" authorId="1" shapeId="0" xr:uid="{00000000-0006-0000-0100-000091010000}">
      <text>
        <r>
          <rPr>
            <sz val="11"/>
            <color theme="1"/>
            <rFont val="Calibri"/>
            <family val="2"/>
            <scheme val="minor"/>
          </rPr>
          <t>reporting/bscr/reconcile/filled in templates/2026 BSCR - UKEU - HIG v2.xlsx
Schedule X(f)!L28
Detailed exposure data; All countries; geo=1
Raw template value=7347517.2142083505</t>
        </r>
      </text>
    </comment>
    <comment ref="A425" authorId="1" shapeId="0" xr:uid="{00000000-0006-0000-0100-000092010000}">
      <text>
        <r>
          <rPr>
            <sz val="11"/>
            <color theme="1"/>
            <rFont val="Calibri"/>
            <family val="2"/>
            <scheme val="minor"/>
          </rPr>
          <t>reporting/bscr/reconcile/filled in templates/2026 BSCR - UKEU - HIG v2.xlsx
Schedule X(f)!M28
Detailed exposure data; All countries; geo=1
Raw template value=5831772.7773838798</t>
        </r>
      </text>
    </comment>
    <comment ref="A426" authorId="1" shapeId="0" xr:uid="{00000000-0006-0000-0100-000093010000}">
      <text>
        <r>
          <rPr>
            <sz val="11"/>
            <color theme="1"/>
            <rFont val="Calibri"/>
            <family val="2"/>
            <scheme val="minor"/>
          </rPr>
          <t>reporting/bscr/reconcile/filled in templates/2026 BSCR - UKEU - HIG v2.xlsx
Schedule X(f)!E33
Total modelled; US; geo=1
Raw template value=227</t>
        </r>
      </text>
    </comment>
    <comment ref="A427" authorId="1" shapeId="0" xr:uid="{00000000-0006-0000-0100-000094010000}">
      <text>
        <r>
          <rPr>
            <sz val="11"/>
            <color theme="1"/>
            <rFont val="Calibri"/>
            <family val="2"/>
            <scheme val="minor"/>
          </rPr>
          <t>reporting/bscr/reconcile/filled in templates/2026 BSCR - UKEU - HIG v2.xlsx
Schedule X(f)!F33
Total modelled; US; geo=1
Raw template value=906507.55461050791</t>
        </r>
      </text>
    </comment>
    <comment ref="A428" authorId="1" shapeId="0" xr:uid="{00000000-0006-0000-0100-000095010000}">
      <text>
        <r>
          <rPr>
            <sz val="11"/>
            <color theme="1"/>
            <rFont val="Calibri"/>
            <family val="2"/>
            <scheme val="minor"/>
          </rPr>
          <t>reporting/bscr/reconcile/filled in templates/2026 BSCR - UKEU - HIG v2.xlsx
Schedule X(f)!G33
Total modelled; US; geo=1
Raw template value=666539.31239975407</t>
        </r>
      </text>
    </comment>
    <comment ref="A429" authorId="1" shapeId="0" xr:uid="{00000000-0006-0000-0100-000096010000}">
      <text>
        <r>
          <rPr>
            <sz val="11"/>
            <color theme="1"/>
            <rFont val="Calibri"/>
            <family val="2"/>
            <scheme val="minor"/>
          </rPr>
          <t>reporting/bscr/reconcile/filled in templates/2026 BSCR - UKEU - HIG v2.xlsx
Schedule X(f)!H33
Total modelled; Other countries; geo=1
Raw template value=1688</t>
        </r>
      </text>
    </comment>
    <comment ref="A430" authorId="1" shapeId="0" xr:uid="{00000000-0006-0000-0100-000097010000}">
      <text>
        <r>
          <rPr>
            <sz val="11"/>
            <color theme="1"/>
            <rFont val="Calibri"/>
            <family val="2"/>
            <scheme val="minor"/>
          </rPr>
          <t>reporting/bscr/reconcile/filled in templates/2026 BSCR - UKEU - HIG v2.xlsx
Schedule X(f)!I33
Total modelled; Other countries; geo=1
Raw template value=6441009.659597843</t>
        </r>
      </text>
    </comment>
    <comment ref="A431" authorId="1" shapeId="0" xr:uid="{00000000-0006-0000-0100-000098010000}">
      <text>
        <r>
          <rPr>
            <sz val="11"/>
            <color theme="1"/>
            <rFont val="Calibri"/>
            <family val="2"/>
            <scheme val="minor"/>
          </rPr>
          <t>reporting/bscr/reconcile/filled in templates/2026 BSCR - UKEU - HIG v2.xlsx
Schedule X(f)!J33
Total modelled; Other countries; geo=1
Raw template value=5165233.4649841255</t>
        </r>
      </text>
    </comment>
    <comment ref="A432" authorId="1" shapeId="0" xr:uid="{00000000-0006-0000-0100-000099010000}">
      <text>
        <r>
          <rPr>
            <sz val="11"/>
            <color theme="1"/>
            <rFont val="Calibri"/>
            <family val="2"/>
            <scheme val="minor"/>
          </rPr>
          <t>reporting/bscr/reconcile/filled in templates/2026 BSCR - UKEU - HIG v2.xlsx
Schedule X(f)!K33
Total modelled; All countries; geo=1
Raw template value=1915</t>
        </r>
      </text>
    </comment>
    <comment ref="A433" authorId="1" shapeId="0" xr:uid="{00000000-0006-0000-0100-00009A010000}">
      <text>
        <r>
          <rPr>
            <sz val="11"/>
            <color theme="1"/>
            <rFont val="Calibri"/>
            <family val="2"/>
            <scheme val="minor"/>
          </rPr>
          <t>reporting/bscr/reconcile/filled in templates/2026 BSCR - UKEU - HIG v2.xlsx
Schedule X(f)!L33
Total modelled; All countries; geo=1
Raw template value=7347517.2142083505</t>
        </r>
      </text>
    </comment>
    <comment ref="A434" authorId="1" shapeId="0" xr:uid="{00000000-0006-0000-0100-00009B010000}">
      <text>
        <r>
          <rPr>
            <sz val="11"/>
            <color theme="1"/>
            <rFont val="Calibri"/>
            <family val="2"/>
            <scheme val="minor"/>
          </rPr>
          <t>reporting/bscr/reconcile/filled in templates/2026 BSCR - UKEU - HIG v2.xlsx
Schedule X(f)!M33
Total modelled; All countries; geo=1
Raw template value=5831772.7773838798</t>
        </r>
      </text>
    </comment>
    <comment ref="A435" authorId="1" shapeId="0" xr:uid="{00000000-0006-0000-0100-00009C010000}">
      <text>
        <r>
          <rPr>
            <sz val="11"/>
            <color theme="1"/>
            <rFont val="Calibri"/>
            <family val="2"/>
            <scheme val="minor"/>
          </rPr>
          <t>reporting/bscr/reconcile/filled in templates/2026 BSCR - UKEU - HIG v2.xlsx
Schedule X(f)!E43
Data deficient; US; geo=0
Raw template value=20</t>
        </r>
      </text>
    </comment>
    <comment ref="A436" authorId="1" shapeId="0" xr:uid="{00000000-0006-0000-0100-00009D010000}">
      <text>
        <r>
          <rPr>
            <sz val="11"/>
            <color theme="1"/>
            <rFont val="Calibri"/>
            <family val="2"/>
            <scheme val="minor"/>
          </rPr>
          <t>reporting/bscr/reconcile/filled in templates/2026 BSCR - UKEU - HIG v2.xlsx
Schedule X(f)!F43
Data deficient; US; geo=0
Raw template value=175292.598767708</t>
        </r>
      </text>
    </comment>
    <comment ref="A437" authorId="1" shapeId="0" xr:uid="{00000000-0006-0000-0100-00009E010000}">
      <text>
        <r>
          <rPr>
            <sz val="11"/>
            <color theme="1"/>
            <rFont val="Calibri"/>
            <family val="2"/>
            <scheme val="minor"/>
          </rPr>
          <t>reporting/bscr/reconcile/filled in templates/2026 BSCR - UKEU - HIG v2.xlsx
Schedule X(f)!G43
Data deficient; US; geo=0
Raw template value=87273.963569168001</t>
        </r>
      </text>
    </comment>
    <comment ref="A438" authorId="1" shapeId="0" xr:uid="{00000000-0006-0000-0100-00009F010000}">
      <text>
        <r>
          <rPr>
            <sz val="11"/>
            <color theme="1"/>
            <rFont val="Calibri"/>
            <family val="2"/>
            <scheme val="minor"/>
          </rPr>
          <t>reporting/bscr/reconcile/filled in templates/2026 BSCR - UKEU - HIG v2.xlsx
Schedule X(f)!H43
Data deficient; Other countries; geo=0
Raw template value=35</t>
        </r>
      </text>
    </comment>
    <comment ref="A439" authorId="1" shapeId="0" xr:uid="{00000000-0006-0000-0100-0000A0010000}">
      <text>
        <r>
          <rPr>
            <sz val="11"/>
            <color theme="1"/>
            <rFont val="Calibri"/>
            <family val="2"/>
            <scheme val="minor"/>
          </rPr>
          <t>reporting/bscr/reconcile/filled in templates/2026 BSCR - UKEU - HIG v2.xlsx
Schedule X(f)!I43
Data deficient; Other countries; geo=0
Raw template value=523734.70597262791</t>
        </r>
      </text>
    </comment>
    <comment ref="A440" authorId="1" shapeId="0" xr:uid="{00000000-0006-0000-0100-0000A1010000}">
      <text>
        <r>
          <rPr>
            <sz val="11"/>
            <color theme="1"/>
            <rFont val="Calibri"/>
            <family val="2"/>
            <scheme val="minor"/>
          </rPr>
          <t>reporting/bscr/reconcile/filled in templates/2026 BSCR - UKEU - HIG v2.xlsx
Schedule X(f)!J43
Data deficient; Other countries; geo=0
Raw template value=319688.18745629099</t>
        </r>
      </text>
    </comment>
    <comment ref="A441" authorId="1" shapeId="0" xr:uid="{00000000-0006-0000-0100-0000A2010000}">
      <text>
        <r>
          <rPr>
            <sz val="11"/>
            <color theme="1"/>
            <rFont val="Calibri"/>
            <family val="2"/>
            <scheme val="minor"/>
          </rPr>
          <t>reporting/bscr/reconcile/filled in templates/2026 BSCR - UKEU - HIG v2.xlsx
Schedule X(f)!K43
Data deficient; All countries; geo=0
Raw template value=55</t>
        </r>
      </text>
    </comment>
    <comment ref="A442" authorId="1" shapeId="0" xr:uid="{00000000-0006-0000-0100-0000A3010000}">
      <text>
        <r>
          <rPr>
            <sz val="11"/>
            <color theme="1"/>
            <rFont val="Calibri"/>
            <family val="2"/>
            <scheme val="minor"/>
          </rPr>
          <t>reporting/bscr/reconcile/filled in templates/2026 BSCR - UKEU - HIG v2.xlsx
Schedule X(f)!L43
Data deficient; All countries; geo=0
Raw template value=699027.30474033591</t>
        </r>
      </text>
    </comment>
    <comment ref="A443" authorId="1" shapeId="0" xr:uid="{00000000-0006-0000-0100-0000A4010000}">
      <text>
        <r>
          <rPr>
            <sz val="11"/>
            <color theme="1"/>
            <rFont val="Calibri"/>
            <family val="2"/>
            <scheme val="minor"/>
          </rPr>
          <t>reporting/bscr/reconcile/filled in templates/2026 BSCR - UKEU - HIG v2.xlsx
Schedule X(f)!M43
Data deficient; All countries; geo=0
Raw template value=406962.151025459</t>
        </r>
      </text>
    </comment>
    <comment ref="A444" authorId="1" shapeId="0" xr:uid="{00000000-0006-0000-0100-0000A5010000}">
      <text>
        <r>
          <rPr>
            <sz val="11"/>
            <color theme="1"/>
            <rFont val="Calibri"/>
            <family val="2"/>
            <scheme val="minor"/>
          </rPr>
          <t>reporting/bscr/reconcile/filled in templates/2026 BSCR - UKEU - HIG v2.xlsx
Schedule X(f)!E46
Total not modelled; US; geo=0
Raw template value=20</t>
        </r>
      </text>
    </comment>
    <comment ref="A445" authorId="1" shapeId="0" xr:uid="{00000000-0006-0000-0100-0000A6010000}">
      <text>
        <r>
          <rPr>
            <sz val="11"/>
            <color theme="1"/>
            <rFont val="Calibri"/>
            <family val="2"/>
            <scheme val="minor"/>
          </rPr>
          <t>reporting/bscr/reconcile/filled in templates/2026 BSCR - UKEU - HIG v2.xlsx
Schedule X(f)!F46
Total not modelled; US; geo=0
Raw template value=175292.598767708</t>
        </r>
      </text>
    </comment>
    <comment ref="A446" authorId="1" shapeId="0" xr:uid="{00000000-0006-0000-0100-0000A7010000}">
      <text>
        <r>
          <rPr>
            <sz val="11"/>
            <color theme="1"/>
            <rFont val="Calibri"/>
            <family val="2"/>
            <scheme val="minor"/>
          </rPr>
          <t>reporting/bscr/reconcile/filled in templates/2026 BSCR - UKEU - HIG v2.xlsx
Schedule X(f)!G46
Total not modelled; US; geo=0
Raw template value=87273.963569168001</t>
        </r>
      </text>
    </comment>
    <comment ref="A447" authorId="1" shapeId="0" xr:uid="{00000000-0006-0000-0100-0000A8010000}">
      <text>
        <r>
          <rPr>
            <sz val="11"/>
            <color theme="1"/>
            <rFont val="Calibri"/>
            <family val="2"/>
            <scheme val="minor"/>
          </rPr>
          <t>reporting/bscr/reconcile/filled in templates/2026 BSCR - UKEU - HIG v2.xlsx
Schedule X(f)!H46
Total not modelled; Other countries; geo=0
Raw template value=35</t>
        </r>
      </text>
    </comment>
    <comment ref="A448" authorId="1" shapeId="0" xr:uid="{00000000-0006-0000-0100-0000A9010000}">
      <text>
        <r>
          <rPr>
            <sz val="11"/>
            <color theme="1"/>
            <rFont val="Calibri"/>
            <family val="2"/>
            <scheme val="minor"/>
          </rPr>
          <t>reporting/bscr/reconcile/filled in templates/2026 BSCR - UKEU - HIG v2.xlsx
Schedule X(f)!I46
Total not modelled; Other countries; geo=0
Raw template value=523734.70597262791</t>
        </r>
      </text>
    </comment>
    <comment ref="A449" authorId="1" shapeId="0" xr:uid="{00000000-0006-0000-0100-0000AA010000}">
      <text>
        <r>
          <rPr>
            <sz val="11"/>
            <color theme="1"/>
            <rFont val="Calibri"/>
            <family val="2"/>
            <scheme val="minor"/>
          </rPr>
          <t>reporting/bscr/reconcile/filled in templates/2026 BSCR - UKEU - HIG v2.xlsx
Schedule X(f)!J46
Total not modelled; Other countries; geo=0
Raw template value=319688.18745629099</t>
        </r>
      </text>
    </comment>
    <comment ref="A450" authorId="1" shapeId="0" xr:uid="{00000000-0006-0000-0100-0000AB010000}">
      <text>
        <r>
          <rPr>
            <sz val="11"/>
            <color theme="1"/>
            <rFont val="Calibri"/>
            <family val="2"/>
            <scheme val="minor"/>
          </rPr>
          <t>reporting/bscr/reconcile/filled in templates/2026 BSCR - UKEU - HIG v2.xlsx
Schedule X(f)!K46
Total not modelled; All countries; geo=0
Raw template value=55</t>
        </r>
      </text>
    </comment>
    <comment ref="A451" authorId="1" shapeId="0" xr:uid="{00000000-0006-0000-0100-0000AC010000}">
      <text>
        <r>
          <rPr>
            <sz val="11"/>
            <color theme="1"/>
            <rFont val="Calibri"/>
            <family val="2"/>
            <scheme val="minor"/>
          </rPr>
          <t>reporting/bscr/reconcile/filled in templates/2026 BSCR - UKEU - HIG v2.xlsx
Schedule X(f)!L46
Total not modelled; All countries; geo=0
Raw template value=699027.30474033591</t>
        </r>
      </text>
    </comment>
    <comment ref="A452" authorId="1" shapeId="0" xr:uid="{00000000-0006-0000-0100-0000AD010000}">
      <text>
        <r>
          <rPr>
            <sz val="11"/>
            <color theme="1"/>
            <rFont val="Calibri"/>
            <family val="2"/>
            <scheme val="minor"/>
          </rPr>
          <t>reporting/bscr/reconcile/filled in templates/2026 BSCR - UKEU - HIG v2.xlsx
Schedule X(f)!M46
Total not modelled; All countries; geo=0
Raw template value=406962.151025459</t>
        </r>
      </text>
    </comment>
    <comment ref="A453" authorId="1" shapeId="0" xr:uid="{00000000-0006-0000-0100-0000AE010000}">
      <text>
        <r>
          <rPr>
            <sz val="11"/>
            <color theme="1"/>
            <rFont val="Calibri"/>
            <family val="2"/>
            <scheme val="minor"/>
          </rPr>
          <t>reporting/bscr/reconcile/filled in templates/2026 BSCR - UKEU - HIG v2.xlsx
Schedule X(f)!E60
Data deficient; US; geo=0
Raw template value=20</t>
        </r>
      </text>
    </comment>
    <comment ref="A454" authorId="1" shapeId="0" xr:uid="{00000000-0006-0000-0100-0000AF010000}">
      <text>
        <r>
          <rPr>
            <sz val="11"/>
            <color theme="1"/>
            <rFont val="Calibri"/>
            <family val="2"/>
            <scheme val="minor"/>
          </rPr>
          <t>reporting/bscr/reconcile/filled in templates/2026 BSCR - UKEU - HIG v2.xlsx
Schedule X(f)!F60
Data deficient; US; geo=0
Raw template value=175292.598767708</t>
        </r>
      </text>
    </comment>
    <comment ref="A455" authorId="1" shapeId="0" xr:uid="{00000000-0006-0000-0100-0000B0010000}">
      <text>
        <r>
          <rPr>
            <sz val="11"/>
            <color theme="1"/>
            <rFont val="Calibri"/>
            <family val="2"/>
            <scheme val="minor"/>
          </rPr>
          <t>reporting/bscr/reconcile/filled in templates/2026 BSCR - UKEU - HIG v2.xlsx
Schedule X(f)!G60
Data deficient; US; geo=0
Raw template value=87273.963569168001</t>
        </r>
      </text>
    </comment>
    <comment ref="A456" authorId="1" shapeId="0" xr:uid="{00000000-0006-0000-0100-0000B1010000}">
      <text>
        <r>
          <rPr>
            <sz val="11"/>
            <color theme="1"/>
            <rFont val="Calibri"/>
            <family val="2"/>
            <scheme val="minor"/>
          </rPr>
          <t>reporting/bscr/reconcile/filled in templates/2026 BSCR - UKEU - HIG v2.xlsx
Schedule X(f)!H60
Data deficient; Other countries; geo=0
Raw template value=35</t>
        </r>
      </text>
    </comment>
    <comment ref="A457" authorId="1" shapeId="0" xr:uid="{00000000-0006-0000-0100-0000B2010000}">
      <text>
        <r>
          <rPr>
            <sz val="11"/>
            <color theme="1"/>
            <rFont val="Calibri"/>
            <family val="2"/>
            <scheme val="minor"/>
          </rPr>
          <t>reporting/bscr/reconcile/filled in templates/2026 BSCR - UKEU - HIG v2.xlsx
Schedule X(f)!I60
Data deficient; Other countries; geo=0
Raw template value=523734.70597262791</t>
        </r>
      </text>
    </comment>
    <comment ref="A458" authorId="1" shapeId="0" xr:uid="{00000000-0006-0000-0100-0000B3010000}">
      <text>
        <r>
          <rPr>
            <sz val="11"/>
            <color theme="1"/>
            <rFont val="Calibri"/>
            <family val="2"/>
            <scheme val="minor"/>
          </rPr>
          <t>reporting/bscr/reconcile/filled in templates/2026 BSCR - UKEU - HIG v2.xlsx
Schedule X(f)!J60
Data deficient; Other countries; geo=0
Raw template value=319688.18745629099</t>
        </r>
      </text>
    </comment>
    <comment ref="A459" authorId="1" shapeId="0" xr:uid="{00000000-0006-0000-0100-0000B4010000}">
      <text>
        <r>
          <rPr>
            <sz val="11"/>
            <color theme="1"/>
            <rFont val="Calibri"/>
            <family val="2"/>
            <scheme val="minor"/>
          </rPr>
          <t>reporting/bscr/reconcile/filled in templates/2026 BSCR - UKEU - HIG v2.xlsx
Schedule X(f)!K60
Data deficient; All countries; geo=0
Raw template value=55</t>
        </r>
      </text>
    </comment>
    <comment ref="A460" authorId="1" shapeId="0" xr:uid="{00000000-0006-0000-0100-0000B5010000}">
      <text>
        <r>
          <rPr>
            <sz val="11"/>
            <color theme="1"/>
            <rFont val="Calibri"/>
            <family val="2"/>
            <scheme val="minor"/>
          </rPr>
          <t>reporting/bscr/reconcile/filled in templates/2026 BSCR - UKEU - HIG v2.xlsx
Schedule X(f)!L60
Data deficient; All countries; geo=0
Raw template value=699027.30474033591</t>
        </r>
      </text>
    </comment>
    <comment ref="A461" authorId="1" shapeId="0" xr:uid="{00000000-0006-0000-0100-0000B6010000}">
      <text>
        <r>
          <rPr>
            <sz val="11"/>
            <color theme="1"/>
            <rFont val="Calibri"/>
            <family val="2"/>
            <scheme val="minor"/>
          </rPr>
          <t>reporting/bscr/reconcile/filled in templates/2026 BSCR - UKEU - HIG v2.xlsx
Schedule X(f)!M60
Data deficient; All countries; geo=0
Raw template value=406962.151025459</t>
        </r>
      </text>
    </comment>
    <comment ref="A462" authorId="1" shapeId="0" xr:uid="{00000000-0006-0000-0100-0000B7010000}">
      <text>
        <r>
          <rPr>
            <sz val="11"/>
            <color theme="1"/>
            <rFont val="Calibri"/>
            <family val="2"/>
            <scheme val="minor"/>
          </rPr>
          <t>reporting/bscr/reconcile/filled in templates/2026 BSCR - UKEU - HIG v2.xlsx
Schedule X(f)!E64
Total not modellable; US; geo=0
Raw template value=20</t>
        </r>
      </text>
    </comment>
    <comment ref="A463" authorId="1" shapeId="0" xr:uid="{00000000-0006-0000-0100-0000B8010000}">
      <text>
        <r>
          <rPr>
            <sz val="11"/>
            <color theme="1"/>
            <rFont val="Calibri"/>
            <family val="2"/>
            <scheme val="minor"/>
          </rPr>
          <t>reporting/bscr/reconcile/filled in templates/2026 BSCR - UKEU - HIG v2.xlsx
Schedule X(f)!F64
Total not modellable; US; geo=0
Raw template value=175292.598767708</t>
        </r>
      </text>
    </comment>
    <comment ref="A464" authorId="1" shapeId="0" xr:uid="{00000000-0006-0000-0100-0000B9010000}">
      <text>
        <r>
          <rPr>
            <sz val="11"/>
            <color theme="1"/>
            <rFont val="Calibri"/>
            <family val="2"/>
            <scheme val="minor"/>
          </rPr>
          <t>reporting/bscr/reconcile/filled in templates/2026 BSCR - UKEU - HIG v2.xlsx
Schedule X(f)!G64
Total not modellable; US; geo=0
Raw template value=87273.963569168001</t>
        </r>
      </text>
    </comment>
    <comment ref="A465" authorId="1" shapeId="0" xr:uid="{00000000-0006-0000-0100-0000BA010000}">
      <text>
        <r>
          <rPr>
            <sz val="11"/>
            <color theme="1"/>
            <rFont val="Calibri"/>
            <family val="2"/>
            <scheme val="minor"/>
          </rPr>
          <t>reporting/bscr/reconcile/filled in templates/2026 BSCR - UKEU - HIG v2.xlsx
Schedule X(f)!H64
Total not modellable; Other countries; geo=0
Raw template value=35</t>
        </r>
      </text>
    </comment>
    <comment ref="A466" authorId="1" shapeId="0" xr:uid="{00000000-0006-0000-0100-0000BB010000}">
      <text>
        <r>
          <rPr>
            <sz val="11"/>
            <color theme="1"/>
            <rFont val="Calibri"/>
            <family val="2"/>
            <scheme val="minor"/>
          </rPr>
          <t>reporting/bscr/reconcile/filled in templates/2026 BSCR - UKEU - HIG v2.xlsx
Schedule X(f)!I64
Total not modellable; Other countries; geo=0
Raw template value=523734.70597262791</t>
        </r>
      </text>
    </comment>
    <comment ref="A467" authorId="1" shapeId="0" xr:uid="{00000000-0006-0000-0100-0000BC010000}">
      <text>
        <r>
          <rPr>
            <sz val="11"/>
            <color theme="1"/>
            <rFont val="Calibri"/>
            <family val="2"/>
            <scheme val="minor"/>
          </rPr>
          <t>reporting/bscr/reconcile/filled in templates/2026 BSCR - UKEU - HIG v2.xlsx
Schedule X(f)!J64
Total not modellable; Other countries; geo=0
Raw template value=319688.18745629099</t>
        </r>
      </text>
    </comment>
    <comment ref="A468" authorId="1" shapeId="0" xr:uid="{00000000-0006-0000-0100-0000BD010000}">
      <text>
        <r>
          <rPr>
            <sz val="11"/>
            <color theme="1"/>
            <rFont val="Calibri"/>
            <family val="2"/>
            <scheme val="minor"/>
          </rPr>
          <t>reporting/bscr/reconcile/filled in templates/2026 BSCR - UKEU - HIG v2.xlsx
Schedule X(f)!K64
Total not modellable; All countries; geo=0
Raw template value=55</t>
        </r>
      </text>
    </comment>
    <comment ref="A469" authorId="1" shapeId="0" xr:uid="{00000000-0006-0000-0100-0000BE010000}">
      <text>
        <r>
          <rPr>
            <sz val="11"/>
            <color theme="1"/>
            <rFont val="Calibri"/>
            <family val="2"/>
            <scheme val="minor"/>
          </rPr>
          <t>reporting/bscr/reconcile/filled in templates/2026 BSCR - UKEU - HIG v2.xlsx
Schedule X(f)!L64
Total not modellable; All countries; geo=0
Raw template value=699027.30474033591</t>
        </r>
      </text>
    </comment>
    <comment ref="A470" authorId="1" shapeId="0" xr:uid="{00000000-0006-0000-0100-0000BF010000}">
      <text>
        <r>
          <rPr>
            <sz val="11"/>
            <color theme="1"/>
            <rFont val="Calibri"/>
            <family val="2"/>
            <scheme val="minor"/>
          </rPr>
          <t>reporting/bscr/reconcile/filled in templates/2026 BSCR - UKEU - HIG v2.xlsx
Schedule X(f)!M64
Total not modellable; All countries; geo=0
Raw template value=406962.151025459</t>
        </r>
      </text>
    </comment>
    <comment ref="A471" authorId="1" shapeId="0" xr:uid="{00000000-0006-0000-0100-0000C0010000}">
      <text>
        <r>
          <rPr>
            <sz val="11"/>
            <color theme="1"/>
            <rFont val="Calibri"/>
            <family val="2"/>
            <scheme val="minor"/>
          </rPr>
          <t>reporting/bscr/reconcile/filled in templates/2026 BSCR - UKEU - HSA v2.xlsx
Schedule X(f)!E10
Modellable; US; geo=1
Raw template value=76</t>
        </r>
      </text>
    </comment>
    <comment ref="A472" authorId="1" shapeId="0" xr:uid="{00000000-0006-0000-0100-0000C1010000}">
      <text>
        <r>
          <rPr>
            <sz val="11"/>
            <color theme="1"/>
            <rFont val="Calibri"/>
            <family val="2"/>
            <scheme val="minor"/>
          </rPr>
          <t>reporting/bscr/reconcile/filled in templates/2026 BSCR - UKEU - HSA v2.xlsx
Schedule X(f)!F10
Modellable; US; geo=1
Raw template value=101774.358815952</t>
        </r>
      </text>
    </comment>
    <comment ref="A473" authorId="1" shapeId="0" xr:uid="{00000000-0006-0000-0100-0000C2010000}">
      <text>
        <r>
          <rPr>
            <sz val="11"/>
            <color theme="1"/>
            <rFont val="Calibri"/>
            <family val="2"/>
            <scheme val="minor"/>
          </rPr>
          <t>reporting/bscr/reconcile/filled in templates/2026 BSCR - UKEU - HSA v2.xlsx
Schedule X(f)!G10
Modellable; US; geo=1
Raw template value=100967.40281595201</t>
        </r>
      </text>
    </comment>
    <comment ref="A474" authorId="1" shapeId="0" xr:uid="{00000000-0006-0000-0100-0000C3010000}">
      <text>
        <r>
          <rPr>
            <sz val="11"/>
            <color theme="1"/>
            <rFont val="Calibri"/>
            <family val="2"/>
            <scheme val="minor"/>
          </rPr>
          <t>reporting/bscr/reconcile/filled in templates/2026 BSCR - UKEU - HSA v2.xlsx
Schedule X(f)!H10
Modellable; Other countries; geo=1
Raw template value=89775</t>
        </r>
      </text>
    </comment>
    <comment ref="A475" authorId="1" shapeId="0" xr:uid="{00000000-0006-0000-0100-0000C4010000}">
      <text>
        <r>
          <rPr>
            <sz val="11"/>
            <color theme="1"/>
            <rFont val="Calibri"/>
            <family val="2"/>
            <scheme val="minor"/>
          </rPr>
          <t>reporting/bscr/reconcile/filled in templates/2026 BSCR - UKEU - HSA v2.xlsx
Schedule X(f)!I10
Modellable; Other countries; geo=1
Raw template value=77110133.158741742</t>
        </r>
      </text>
    </comment>
    <comment ref="A476" authorId="1" shapeId="0" xr:uid="{00000000-0006-0000-0100-0000C5010000}">
      <text>
        <r>
          <rPr>
            <sz val="11"/>
            <color theme="1"/>
            <rFont val="Calibri"/>
            <family val="2"/>
            <scheme val="minor"/>
          </rPr>
          <t>reporting/bscr/reconcile/filled in templates/2026 BSCR - UKEU - HSA v2.xlsx
Schedule X(f)!J10
Modellable; Other countries; geo=1
Raw template value=75414340.976338953</t>
        </r>
      </text>
    </comment>
    <comment ref="A477" authorId="1" shapeId="0" xr:uid="{00000000-0006-0000-0100-0000C6010000}">
      <text>
        <r>
          <rPr>
            <sz val="11"/>
            <color theme="1"/>
            <rFont val="Calibri"/>
            <family val="2"/>
            <scheme val="minor"/>
          </rPr>
          <t>reporting/bscr/reconcile/filled in templates/2026 BSCR - UKEU - HSA v2.xlsx
Schedule X(f)!K10
Modellable; All countries; geo=1
Raw template value=89851</t>
        </r>
      </text>
    </comment>
    <comment ref="A478" authorId="1" shapeId="0" xr:uid="{00000000-0006-0000-0100-0000C7010000}">
      <text>
        <r>
          <rPr>
            <sz val="11"/>
            <color theme="1"/>
            <rFont val="Calibri"/>
            <family val="2"/>
            <scheme val="minor"/>
          </rPr>
          <t>reporting/bscr/reconcile/filled in templates/2026 BSCR - UKEU - HSA v2.xlsx
Schedule X(f)!L10
Modellable; All countries; geo=1
Raw template value=77211907.517557696</t>
        </r>
      </text>
    </comment>
    <comment ref="A479" authorId="1" shapeId="0" xr:uid="{00000000-0006-0000-0100-0000C8010000}">
      <text>
        <r>
          <rPr>
            <sz val="11"/>
            <color theme="1"/>
            <rFont val="Calibri"/>
            <family val="2"/>
            <scheme val="minor"/>
          </rPr>
          <t>reporting/bscr/reconcile/filled in templates/2026 BSCR - UKEU - HSA v2.xlsx
Schedule X(f)!M10
Modellable; All countries; geo=1
Raw template value=75515308.379154906</t>
        </r>
      </text>
    </comment>
    <comment ref="A480" authorId="1" shapeId="0" xr:uid="{00000000-0006-0000-0100-0000C9010000}">
      <text>
        <r>
          <rPr>
            <sz val="11"/>
            <color theme="1"/>
            <rFont val="Calibri"/>
            <family val="2"/>
            <scheme val="minor"/>
          </rPr>
          <t>reporting/bscr/reconcile/filled in templates/2026 BSCR - UKEU - HSA v2.xlsx
Schedule X(f)!H11
Not modellable; Other countries; geo=0
Raw template value=201</t>
        </r>
      </text>
    </comment>
    <comment ref="A481" authorId="1" shapeId="0" xr:uid="{00000000-0006-0000-0100-0000CA010000}">
      <text>
        <r>
          <rPr>
            <sz val="11"/>
            <color theme="1"/>
            <rFont val="Calibri"/>
            <family val="2"/>
            <scheme val="minor"/>
          </rPr>
          <t>reporting/bscr/reconcile/filled in templates/2026 BSCR - UKEU - HSA v2.xlsx
Schedule X(f)!I11
Not modellable; Other countries; geo=0
Raw template value=349291.12870018999</t>
        </r>
      </text>
    </comment>
    <comment ref="A482" authorId="1" shapeId="0" xr:uid="{00000000-0006-0000-0100-0000CB010000}">
      <text>
        <r>
          <rPr>
            <sz val="11"/>
            <color theme="1"/>
            <rFont val="Calibri"/>
            <family val="2"/>
            <scheme val="minor"/>
          </rPr>
          <t>reporting/bscr/reconcile/filled in templates/2026 BSCR - UKEU - HSA v2.xlsx
Schedule X(f)!J11
Not modellable; Other countries; geo=0
Raw template value=349291.12870018999</t>
        </r>
      </text>
    </comment>
    <comment ref="A483" authorId="1" shapeId="0" xr:uid="{00000000-0006-0000-0100-0000CC010000}">
      <text>
        <r>
          <rPr>
            <sz val="11"/>
            <color theme="1"/>
            <rFont val="Calibri"/>
            <family val="2"/>
            <scheme val="minor"/>
          </rPr>
          <t>reporting/bscr/reconcile/filled in templates/2026 BSCR - UKEU - HSA v2.xlsx
Schedule X(f)!K11
Not modellable; All countries; geo=0
Raw template value=201</t>
        </r>
      </text>
    </comment>
    <comment ref="A484" authorId="1" shapeId="0" xr:uid="{00000000-0006-0000-0100-0000CD010000}">
      <text>
        <r>
          <rPr>
            <sz val="11"/>
            <color theme="1"/>
            <rFont val="Calibri"/>
            <family val="2"/>
            <scheme val="minor"/>
          </rPr>
          <t>reporting/bscr/reconcile/filled in templates/2026 BSCR - UKEU - HSA v2.xlsx
Schedule X(f)!L11
Not modellable; All countries; geo=0
Raw template value=349291.12870018999</t>
        </r>
      </text>
    </comment>
    <comment ref="A485" authorId="1" shapeId="0" xr:uid="{00000000-0006-0000-0100-0000CE010000}">
      <text>
        <r>
          <rPr>
            <sz val="11"/>
            <color theme="1"/>
            <rFont val="Calibri"/>
            <family val="2"/>
            <scheme val="minor"/>
          </rPr>
          <t>reporting/bscr/reconcile/filled in templates/2026 BSCR - UKEU - HSA v2.xlsx
Schedule X(f)!M11
Not modellable; All countries; geo=0
Raw template value=349291.12870018999</t>
        </r>
      </text>
    </comment>
    <comment ref="A486" authorId="1" shapeId="0" xr:uid="{00000000-0006-0000-0100-0000CF010000}">
      <text>
        <r>
          <rPr>
            <sz val="11"/>
            <color theme="1"/>
            <rFont val="Calibri"/>
            <family val="2"/>
            <scheme val="minor"/>
          </rPr>
          <t>reporting/bscr/reconcile/filled in templates/2026 BSCR - UKEU - HSA v2.xlsx
Schedule X(f)!E12
Total; US; geo=None
Raw template value=76</t>
        </r>
      </text>
    </comment>
    <comment ref="A487" authorId="1" shapeId="0" xr:uid="{00000000-0006-0000-0100-0000D0010000}">
      <text>
        <r>
          <rPr>
            <sz val="11"/>
            <color theme="1"/>
            <rFont val="Calibri"/>
            <family val="2"/>
            <scheme val="minor"/>
          </rPr>
          <t>reporting/bscr/reconcile/filled in templates/2026 BSCR - UKEU - HSA v2.xlsx
Schedule X(f)!F12
Total; US; geo=None
Raw template value=101774.358815952</t>
        </r>
      </text>
    </comment>
    <comment ref="A488" authorId="1" shapeId="0" xr:uid="{00000000-0006-0000-0100-0000D1010000}">
      <text>
        <r>
          <rPr>
            <sz val="11"/>
            <color theme="1"/>
            <rFont val="Calibri"/>
            <family val="2"/>
            <scheme val="minor"/>
          </rPr>
          <t>reporting/bscr/reconcile/filled in templates/2026 BSCR - UKEU - HSA v2.xlsx
Schedule X(f)!G12
Total; US; geo=None
Raw template value=100967.40281595201</t>
        </r>
      </text>
    </comment>
    <comment ref="A489" authorId="1" shapeId="0" xr:uid="{00000000-0006-0000-0100-0000D2010000}">
      <text>
        <r>
          <rPr>
            <sz val="11"/>
            <color theme="1"/>
            <rFont val="Calibri"/>
            <family val="2"/>
            <scheme val="minor"/>
          </rPr>
          <t>reporting/bscr/reconcile/filled in templates/2026 BSCR - UKEU - HSA v2.xlsx
Schedule X(f)!H12
Total; Other countries; geo=None
Raw template value=89976</t>
        </r>
      </text>
    </comment>
    <comment ref="A490" authorId="1" shapeId="0" xr:uid="{00000000-0006-0000-0100-0000D3010000}">
      <text>
        <r>
          <rPr>
            <sz val="11"/>
            <color theme="1"/>
            <rFont val="Calibri"/>
            <family val="2"/>
            <scheme val="minor"/>
          </rPr>
          <t>reporting/bscr/reconcile/filled in templates/2026 BSCR - UKEU - HSA v2.xlsx
Schedule X(f)!I12
Total; Other countries; geo=None
Raw template value=77459424.287441939</t>
        </r>
      </text>
    </comment>
    <comment ref="A491" authorId="1" shapeId="0" xr:uid="{00000000-0006-0000-0100-0000D4010000}">
      <text>
        <r>
          <rPr>
            <sz val="11"/>
            <color theme="1"/>
            <rFont val="Calibri"/>
            <family val="2"/>
            <scheme val="minor"/>
          </rPr>
          <t>reporting/bscr/reconcile/filled in templates/2026 BSCR - UKEU - HSA v2.xlsx
Schedule X(f)!J12
Total; Other countries; geo=None
Raw template value=75763632.10503915</t>
        </r>
      </text>
    </comment>
    <comment ref="A492" authorId="1" shapeId="0" xr:uid="{00000000-0006-0000-0100-0000D5010000}">
      <text>
        <r>
          <rPr>
            <sz val="11"/>
            <color theme="1"/>
            <rFont val="Calibri"/>
            <family val="2"/>
            <scheme val="minor"/>
          </rPr>
          <t>reporting/bscr/reconcile/filled in templates/2026 BSCR - UKEU - HSA v2.xlsx
Schedule X(f)!K12
Total; All countries; geo=None
Raw template value=90052</t>
        </r>
      </text>
    </comment>
    <comment ref="A493" authorId="1" shapeId="0" xr:uid="{00000000-0006-0000-0100-0000D6010000}">
      <text>
        <r>
          <rPr>
            <sz val="11"/>
            <color theme="1"/>
            <rFont val="Calibri"/>
            <family val="2"/>
            <scheme val="minor"/>
          </rPr>
          <t>reporting/bscr/reconcile/filled in templates/2026 BSCR - UKEU - HSA v2.xlsx
Schedule X(f)!L12
Total; All countries; geo=None
Raw template value=77561198.646257892</t>
        </r>
      </text>
    </comment>
    <comment ref="A494" authorId="1" shapeId="0" xr:uid="{00000000-0006-0000-0100-0000D7010000}">
      <text>
        <r>
          <rPr>
            <sz val="11"/>
            <color theme="1"/>
            <rFont val="Calibri"/>
            <family val="2"/>
            <scheme val="minor"/>
          </rPr>
          <t>reporting/bscr/reconcile/filled in templates/2026 BSCR - UKEU - HSA v2.xlsx
Schedule X(f)!M12
Total; All countries; geo=None
Raw template value=75864599.507855102</t>
        </r>
      </text>
    </comment>
    <comment ref="A495" authorId="1" shapeId="0" xr:uid="{00000000-0006-0000-0100-0000D8010000}">
      <text>
        <r>
          <rPr>
            <sz val="11"/>
            <color theme="1"/>
            <rFont val="Calibri"/>
            <family val="2"/>
            <scheme val="minor"/>
          </rPr>
          <t>reporting/bscr/reconcile/filled in templates/2026 BSCR - UKEU - HSA v2.xlsx
Schedule X(f)!E19
Modelled; US; geo=1
Raw template value=76</t>
        </r>
      </text>
    </comment>
    <comment ref="A496" authorId="1" shapeId="0" xr:uid="{00000000-0006-0000-0100-0000D9010000}">
      <text>
        <r>
          <rPr>
            <sz val="11"/>
            <color theme="1"/>
            <rFont val="Calibri"/>
            <family val="2"/>
            <scheme val="minor"/>
          </rPr>
          <t>reporting/bscr/reconcile/filled in templates/2026 BSCR - UKEU - HSA v2.xlsx
Schedule X(f)!F19
Modelled; US; geo=1
Raw template value=101774.358815952</t>
        </r>
      </text>
    </comment>
    <comment ref="A497" authorId="1" shapeId="0" xr:uid="{00000000-0006-0000-0100-0000DA010000}">
      <text>
        <r>
          <rPr>
            <sz val="11"/>
            <color theme="1"/>
            <rFont val="Calibri"/>
            <family val="2"/>
            <scheme val="minor"/>
          </rPr>
          <t>reporting/bscr/reconcile/filled in templates/2026 BSCR - UKEU - HSA v2.xlsx
Schedule X(f)!G19
Modelled; US; geo=1
Raw template value=100967.40281595201</t>
        </r>
      </text>
    </comment>
    <comment ref="A498" authorId="1" shapeId="0" xr:uid="{00000000-0006-0000-0100-0000DB010000}">
      <text>
        <r>
          <rPr>
            <sz val="11"/>
            <color theme="1"/>
            <rFont val="Calibri"/>
            <family val="2"/>
            <scheme val="minor"/>
          </rPr>
          <t>reporting/bscr/reconcile/filled in templates/2026 BSCR - UKEU - HSA v2.xlsx
Schedule X(f)!H19
Modelled; Other countries; geo=1
Raw template value=89775</t>
        </r>
      </text>
    </comment>
    <comment ref="A499" authorId="1" shapeId="0" xr:uid="{00000000-0006-0000-0100-0000DC010000}">
      <text>
        <r>
          <rPr>
            <sz val="11"/>
            <color theme="1"/>
            <rFont val="Calibri"/>
            <family val="2"/>
            <scheme val="minor"/>
          </rPr>
          <t>reporting/bscr/reconcile/filled in templates/2026 BSCR - UKEU - HSA v2.xlsx
Schedule X(f)!I19
Modelled; Other countries; geo=1
Raw template value=77110133.158741742</t>
        </r>
      </text>
    </comment>
    <comment ref="A500" authorId="1" shapeId="0" xr:uid="{00000000-0006-0000-0100-0000DD010000}">
      <text>
        <r>
          <rPr>
            <sz val="11"/>
            <color theme="1"/>
            <rFont val="Calibri"/>
            <family val="2"/>
            <scheme val="minor"/>
          </rPr>
          <t>reporting/bscr/reconcile/filled in templates/2026 BSCR - UKEU - HSA v2.xlsx
Schedule X(f)!J19
Modelled; Other countries; geo=1
Raw template value=75414340.976338953</t>
        </r>
      </text>
    </comment>
    <comment ref="A501" authorId="1" shapeId="0" xr:uid="{00000000-0006-0000-0100-0000DE010000}">
      <text>
        <r>
          <rPr>
            <sz val="11"/>
            <color theme="1"/>
            <rFont val="Calibri"/>
            <family val="2"/>
            <scheme val="minor"/>
          </rPr>
          <t>reporting/bscr/reconcile/filled in templates/2026 BSCR - UKEU - HSA v2.xlsx
Schedule X(f)!K19
Modelled; All countries; geo=1
Raw template value=89851</t>
        </r>
      </text>
    </comment>
    <comment ref="A502" authorId="1" shapeId="0" xr:uid="{00000000-0006-0000-0100-0000DF010000}">
      <text>
        <r>
          <rPr>
            <sz val="11"/>
            <color theme="1"/>
            <rFont val="Calibri"/>
            <family val="2"/>
            <scheme val="minor"/>
          </rPr>
          <t>reporting/bscr/reconcile/filled in templates/2026 BSCR - UKEU - HSA v2.xlsx
Schedule X(f)!L19
Modelled; All countries; geo=1
Raw template value=77211907.517557696</t>
        </r>
      </text>
    </comment>
    <comment ref="A503" authorId="1" shapeId="0" xr:uid="{00000000-0006-0000-0100-0000E0010000}">
      <text>
        <r>
          <rPr>
            <sz val="11"/>
            <color theme="1"/>
            <rFont val="Calibri"/>
            <family val="2"/>
            <scheme val="minor"/>
          </rPr>
          <t>reporting/bscr/reconcile/filled in templates/2026 BSCR - UKEU - HSA v2.xlsx
Schedule X(f)!M19
Modelled; All countries; geo=1
Raw template value=75515308.379154906</t>
        </r>
      </text>
    </comment>
    <comment ref="A504" authorId="1" shapeId="0" xr:uid="{00000000-0006-0000-0100-0000E1010000}">
      <text>
        <r>
          <rPr>
            <sz val="11"/>
            <color theme="1"/>
            <rFont val="Calibri"/>
            <family val="2"/>
            <scheme val="minor"/>
          </rPr>
          <t>reporting/bscr/reconcile/filled in templates/2026 BSCR - UKEU - HSA v2.xlsx
Schedule X(f)!H20
Not modelled; Other countries; geo=0
Raw template value=201</t>
        </r>
      </text>
    </comment>
    <comment ref="A505" authorId="1" shapeId="0" xr:uid="{00000000-0006-0000-0100-0000E2010000}">
      <text>
        <r>
          <rPr>
            <sz val="11"/>
            <color theme="1"/>
            <rFont val="Calibri"/>
            <family val="2"/>
            <scheme val="minor"/>
          </rPr>
          <t>reporting/bscr/reconcile/filled in templates/2026 BSCR - UKEU - HSA v2.xlsx
Schedule X(f)!I20
Not modelled; Other countries; geo=0
Raw template value=349291.12870018999</t>
        </r>
      </text>
    </comment>
    <comment ref="A506" authorId="1" shapeId="0" xr:uid="{00000000-0006-0000-0100-0000E3010000}">
      <text>
        <r>
          <rPr>
            <sz val="11"/>
            <color theme="1"/>
            <rFont val="Calibri"/>
            <family val="2"/>
            <scheme val="minor"/>
          </rPr>
          <t>reporting/bscr/reconcile/filled in templates/2026 BSCR - UKEU - HSA v2.xlsx
Schedule X(f)!J20
Not modelled; Other countries; geo=0
Raw template value=349291.12870018999</t>
        </r>
      </text>
    </comment>
    <comment ref="A507" authorId="1" shapeId="0" xr:uid="{00000000-0006-0000-0100-0000E4010000}">
      <text>
        <r>
          <rPr>
            <sz val="11"/>
            <color theme="1"/>
            <rFont val="Calibri"/>
            <family val="2"/>
            <scheme val="minor"/>
          </rPr>
          <t>reporting/bscr/reconcile/filled in templates/2026 BSCR - UKEU - HSA v2.xlsx
Schedule X(f)!K20
Not modelled; All countries; geo=0
Raw template value=201</t>
        </r>
      </text>
    </comment>
    <comment ref="A508" authorId="1" shapeId="0" xr:uid="{00000000-0006-0000-0100-0000E5010000}">
      <text>
        <r>
          <rPr>
            <sz val="11"/>
            <color theme="1"/>
            <rFont val="Calibri"/>
            <family val="2"/>
            <scheme val="minor"/>
          </rPr>
          <t>reporting/bscr/reconcile/filled in templates/2026 BSCR - UKEU - HSA v2.xlsx
Schedule X(f)!L20
Not modelled; All countries; geo=0
Raw template value=349291.12870018999</t>
        </r>
      </text>
    </comment>
    <comment ref="A509" authorId="1" shapeId="0" xr:uid="{00000000-0006-0000-0100-0000E6010000}">
      <text>
        <r>
          <rPr>
            <sz val="11"/>
            <color theme="1"/>
            <rFont val="Calibri"/>
            <family val="2"/>
            <scheme val="minor"/>
          </rPr>
          <t>reporting/bscr/reconcile/filled in templates/2026 BSCR - UKEU - HSA v2.xlsx
Schedule X(f)!M20
Not modelled; All countries; geo=0
Raw template value=349291.12870018999</t>
        </r>
      </text>
    </comment>
    <comment ref="A510" authorId="1" shapeId="0" xr:uid="{00000000-0006-0000-0100-0000E7010000}">
      <text>
        <r>
          <rPr>
            <sz val="11"/>
            <color theme="1"/>
            <rFont val="Calibri"/>
            <family val="2"/>
            <scheme val="minor"/>
          </rPr>
          <t>reporting/bscr/reconcile/filled in templates/2026 BSCR - UKEU - HSA v2.xlsx
Schedule X(f)!E21
Total; US; geo=None
Raw template value=76</t>
        </r>
      </text>
    </comment>
    <comment ref="A511" authorId="1" shapeId="0" xr:uid="{00000000-0006-0000-0100-0000E8010000}">
      <text>
        <r>
          <rPr>
            <sz val="11"/>
            <color theme="1"/>
            <rFont val="Calibri"/>
            <family val="2"/>
            <scheme val="minor"/>
          </rPr>
          <t>reporting/bscr/reconcile/filled in templates/2026 BSCR - UKEU - HSA v2.xlsx
Schedule X(f)!F21
Total; US; geo=None
Raw template value=101774.358815952</t>
        </r>
      </text>
    </comment>
    <comment ref="A512" authorId="1" shapeId="0" xr:uid="{00000000-0006-0000-0100-0000E9010000}">
      <text>
        <r>
          <rPr>
            <sz val="11"/>
            <color theme="1"/>
            <rFont val="Calibri"/>
            <family val="2"/>
            <scheme val="minor"/>
          </rPr>
          <t>reporting/bscr/reconcile/filled in templates/2026 BSCR - UKEU - HSA v2.xlsx
Schedule X(f)!G21
Total; US; geo=None
Raw template value=100967.40281595201</t>
        </r>
      </text>
    </comment>
    <comment ref="A513" authorId="1" shapeId="0" xr:uid="{00000000-0006-0000-0100-0000EA010000}">
      <text>
        <r>
          <rPr>
            <sz val="11"/>
            <color theme="1"/>
            <rFont val="Calibri"/>
            <family val="2"/>
            <scheme val="minor"/>
          </rPr>
          <t>reporting/bscr/reconcile/filled in templates/2026 BSCR - UKEU - HSA v2.xlsx
Schedule X(f)!H21
Total; Other countries; geo=None
Raw template value=89976</t>
        </r>
      </text>
    </comment>
    <comment ref="A514" authorId="1" shapeId="0" xr:uid="{00000000-0006-0000-0100-0000EB010000}">
      <text>
        <r>
          <rPr>
            <sz val="11"/>
            <color theme="1"/>
            <rFont val="Calibri"/>
            <family val="2"/>
            <scheme val="minor"/>
          </rPr>
          <t>reporting/bscr/reconcile/filled in templates/2026 BSCR - UKEU - HSA v2.xlsx
Schedule X(f)!I21
Total; Other countries; geo=None
Raw template value=77459424.287441939</t>
        </r>
      </text>
    </comment>
    <comment ref="A515" authorId="1" shapeId="0" xr:uid="{00000000-0006-0000-0100-0000EC010000}">
      <text>
        <r>
          <rPr>
            <sz val="11"/>
            <color theme="1"/>
            <rFont val="Calibri"/>
            <family val="2"/>
            <scheme val="minor"/>
          </rPr>
          <t>reporting/bscr/reconcile/filled in templates/2026 BSCR - UKEU - HSA v2.xlsx
Schedule X(f)!J21
Total; Other countries; geo=None
Raw template value=75763632.10503915</t>
        </r>
      </text>
    </comment>
    <comment ref="A516" authorId="1" shapeId="0" xr:uid="{00000000-0006-0000-0100-0000ED010000}">
      <text>
        <r>
          <rPr>
            <sz val="11"/>
            <color theme="1"/>
            <rFont val="Calibri"/>
            <family val="2"/>
            <scheme val="minor"/>
          </rPr>
          <t>reporting/bscr/reconcile/filled in templates/2026 BSCR - UKEU - HSA v2.xlsx
Schedule X(f)!K21
Total; All countries; geo=None
Raw template value=90052</t>
        </r>
      </text>
    </comment>
    <comment ref="A517" authorId="1" shapeId="0" xr:uid="{00000000-0006-0000-0100-0000EE010000}">
      <text>
        <r>
          <rPr>
            <sz val="11"/>
            <color theme="1"/>
            <rFont val="Calibri"/>
            <family val="2"/>
            <scheme val="minor"/>
          </rPr>
          <t>reporting/bscr/reconcile/filled in templates/2026 BSCR - UKEU - HSA v2.xlsx
Schedule X(f)!L21
Total; All countries; geo=None
Raw template value=77561198.646257892</t>
        </r>
      </text>
    </comment>
    <comment ref="A518" authorId="1" shapeId="0" xr:uid="{00000000-0006-0000-0100-0000EF010000}">
      <text>
        <r>
          <rPr>
            <sz val="11"/>
            <color theme="1"/>
            <rFont val="Calibri"/>
            <family val="2"/>
            <scheme val="minor"/>
          </rPr>
          <t>reporting/bscr/reconcile/filled in templates/2026 BSCR - UKEU - HSA v2.xlsx
Schedule X(f)!M21
Total; All countries; geo=None
Raw template value=75864599.507855102</t>
        </r>
      </text>
    </comment>
    <comment ref="A519" authorId="1" shapeId="0" xr:uid="{00000000-0006-0000-0100-0000F0010000}">
      <text>
        <r>
          <rPr>
            <sz val="11"/>
            <color theme="1"/>
            <rFont val="Calibri"/>
            <family val="2"/>
            <scheme val="minor"/>
          </rPr>
          <t>reporting/bscr/reconcile/filled in templates/2026 BSCR - UKEU - HSA v2.xlsx
Schedule X(f)!E28
Detailed exposure data; US; geo=1
Raw template value=76</t>
        </r>
      </text>
    </comment>
    <comment ref="A520" authorId="1" shapeId="0" xr:uid="{00000000-0006-0000-0100-0000F1010000}">
      <text>
        <r>
          <rPr>
            <sz val="11"/>
            <color theme="1"/>
            <rFont val="Calibri"/>
            <family val="2"/>
            <scheme val="minor"/>
          </rPr>
          <t>reporting/bscr/reconcile/filled in templates/2026 BSCR - UKEU - HSA v2.xlsx
Schedule X(f)!F28
Detailed exposure data; US; geo=1
Raw template value=101774.358815952</t>
        </r>
      </text>
    </comment>
    <comment ref="A521" authorId="1" shapeId="0" xr:uid="{00000000-0006-0000-0100-0000F2010000}">
      <text>
        <r>
          <rPr>
            <sz val="11"/>
            <color theme="1"/>
            <rFont val="Calibri"/>
            <family val="2"/>
            <scheme val="minor"/>
          </rPr>
          <t>reporting/bscr/reconcile/filled in templates/2026 BSCR - UKEU - HSA v2.xlsx
Schedule X(f)!G28
Detailed exposure data; US; geo=1
Raw template value=100967.40281595201</t>
        </r>
      </text>
    </comment>
    <comment ref="A522" authorId="1" shapeId="0" xr:uid="{00000000-0006-0000-0100-0000F3010000}">
      <text>
        <r>
          <rPr>
            <sz val="11"/>
            <color theme="1"/>
            <rFont val="Calibri"/>
            <family val="2"/>
            <scheme val="minor"/>
          </rPr>
          <t>reporting/bscr/reconcile/filled in templates/2026 BSCR - UKEU - HSA v2.xlsx
Schedule X(f)!H28
Detailed exposure data; Other countries; geo=1
Raw template value=89775</t>
        </r>
      </text>
    </comment>
    <comment ref="A523" authorId="1" shapeId="0" xr:uid="{00000000-0006-0000-0100-0000F4010000}">
      <text>
        <r>
          <rPr>
            <sz val="11"/>
            <color theme="1"/>
            <rFont val="Calibri"/>
            <family val="2"/>
            <scheme val="minor"/>
          </rPr>
          <t>reporting/bscr/reconcile/filled in templates/2026 BSCR - UKEU - HSA v2.xlsx
Schedule X(f)!I28
Detailed exposure data; Other countries; geo=1
Raw template value=77110133.158741742</t>
        </r>
      </text>
    </comment>
    <comment ref="A524" authorId="1" shapeId="0" xr:uid="{00000000-0006-0000-0100-0000F5010000}">
      <text>
        <r>
          <rPr>
            <sz val="11"/>
            <color theme="1"/>
            <rFont val="Calibri"/>
            <family val="2"/>
            <scheme val="minor"/>
          </rPr>
          <t>reporting/bscr/reconcile/filled in templates/2026 BSCR - UKEU - HSA v2.xlsx
Schedule X(f)!J28
Detailed exposure data; Other countries; geo=1
Raw template value=75414340.976338953</t>
        </r>
      </text>
    </comment>
    <comment ref="A525" authorId="1" shapeId="0" xr:uid="{00000000-0006-0000-0100-0000F6010000}">
      <text>
        <r>
          <rPr>
            <sz val="11"/>
            <color theme="1"/>
            <rFont val="Calibri"/>
            <family val="2"/>
            <scheme val="minor"/>
          </rPr>
          <t>reporting/bscr/reconcile/filled in templates/2026 BSCR - UKEU - HSA v2.xlsx
Schedule X(f)!K28
Detailed exposure data; All countries; geo=1
Raw template value=89851</t>
        </r>
      </text>
    </comment>
    <comment ref="A526" authorId="1" shapeId="0" xr:uid="{00000000-0006-0000-0100-0000F7010000}">
      <text>
        <r>
          <rPr>
            <sz val="11"/>
            <color theme="1"/>
            <rFont val="Calibri"/>
            <family val="2"/>
            <scheme val="minor"/>
          </rPr>
          <t>reporting/bscr/reconcile/filled in templates/2026 BSCR - UKEU - HSA v2.xlsx
Schedule X(f)!L28
Detailed exposure data; All countries; geo=1
Raw template value=77211907.517557696</t>
        </r>
      </text>
    </comment>
    <comment ref="A527" authorId="1" shapeId="0" xr:uid="{00000000-0006-0000-0100-0000F8010000}">
      <text>
        <r>
          <rPr>
            <sz val="11"/>
            <color theme="1"/>
            <rFont val="Calibri"/>
            <family val="2"/>
            <scheme val="minor"/>
          </rPr>
          <t>reporting/bscr/reconcile/filled in templates/2026 BSCR - UKEU - HSA v2.xlsx
Schedule X(f)!M28
Detailed exposure data; All countries; geo=1
Raw template value=75515308.379154906</t>
        </r>
      </text>
    </comment>
    <comment ref="A528" authorId="1" shapeId="0" xr:uid="{00000000-0006-0000-0100-0000F9010000}">
      <text>
        <r>
          <rPr>
            <sz val="11"/>
            <color theme="1"/>
            <rFont val="Calibri"/>
            <family val="2"/>
            <scheme val="minor"/>
          </rPr>
          <t>reporting/bscr/reconcile/filled in templates/2026 BSCR - UKEU - HSA v2.xlsx
Schedule X(f)!E33
Total modelled; US; geo=1
Raw template value=76</t>
        </r>
      </text>
    </comment>
    <comment ref="A529" authorId="1" shapeId="0" xr:uid="{00000000-0006-0000-0100-0000FA010000}">
      <text>
        <r>
          <rPr>
            <sz val="11"/>
            <color theme="1"/>
            <rFont val="Calibri"/>
            <family val="2"/>
            <scheme val="minor"/>
          </rPr>
          <t>reporting/bscr/reconcile/filled in templates/2026 BSCR - UKEU - HSA v2.xlsx
Schedule X(f)!F33
Total modelled; US; geo=1
Raw template value=101774.358815952</t>
        </r>
      </text>
    </comment>
    <comment ref="A530" authorId="1" shapeId="0" xr:uid="{00000000-0006-0000-0100-0000FB010000}">
      <text>
        <r>
          <rPr>
            <sz val="11"/>
            <color theme="1"/>
            <rFont val="Calibri"/>
            <family val="2"/>
            <scheme val="minor"/>
          </rPr>
          <t>reporting/bscr/reconcile/filled in templates/2026 BSCR - UKEU - HSA v2.xlsx
Schedule X(f)!G33
Total modelled; US; geo=1
Raw template value=100967.40281595201</t>
        </r>
      </text>
    </comment>
    <comment ref="A531" authorId="1" shapeId="0" xr:uid="{00000000-0006-0000-0100-0000FC010000}">
      <text>
        <r>
          <rPr>
            <sz val="11"/>
            <color theme="1"/>
            <rFont val="Calibri"/>
            <family val="2"/>
            <scheme val="minor"/>
          </rPr>
          <t>reporting/bscr/reconcile/filled in templates/2026 BSCR - UKEU - HSA v2.xlsx
Schedule X(f)!H33
Total modelled; Other countries; geo=1
Raw template value=89775</t>
        </r>
      </text>
    </comment>
    <comment ref="A532" authorId="1" shapeId="0" xr:uid="{00000000-0006-0000-0100-0000FD010000}">
      <text>
        <r>
          <rPr>
            <sz val="11"/>
            <color theme="1"/>
            <rFont val="Calibri"/>
            <family val="2"/>
            <scheme val="minor"/>
          </rPr>
          <t>reporting/bscr/reconcile/filled in templates/2026 BSCR - UKEU - HSA v2.xlsx
Schedule X(f)!I33
Total modelled; Other countries; geo=1
Raw template value=77110133.158741742</t>
        </r>
      </text>
    </comment>
    <comment ref="A533" authorId="1" shapeId="0" xr:uid="{00000000-0006-0000-0100-0000FE010000}">
      <text>
        <r>
          <rPr>
            <sz val="11"/>
            <color theme="1"/>
            <rFont val="Calibri"/>
            <family val="2"/>
            <scheme val="minor"/>
          </rPr>
          <t>reporting/bscr/reconcile/filled in templates/2026 BSCR - UKEU - HSA v2.xlsx
Schedule X(f)!J33
Total modelled; Other countries; geo=1
Raw template value=75414340.976338953</t>
        </r>
      </text>
    </comment>
    <comment ref="A534" authorId="1" shapeId="0" xr:uid="{00000000-0006-0000-0100-0000FF010000}">
      <text>
        <r>
          <rPr>
            <sz val="11"/>
            <color theme="1"/>
            <rFont val="Calibri"/>
            <family val="2"/>
            <scheme val="minor"/>
          </rPr>
          <t>reporting/bscr/reconcile/filled in templates/2026 BSCR - UKEU - HSA v2.xlsx
Schedule X(f)!K33
Total modelled; All countries; geo=1
Raw template value=89851</t>
        </r>
      </text>
    </comment>
    <comment ref="A535" authorId="1" shapeId="0" xr:uid="{00000000-0006-0000-0100-000000020000}">
      <text>
        <r>
          <rPr>
            <sz val="11"/>
            <color theme="1"/>
            <rFont val="Calibri"/>
            <family val="2"/>
            <scheme val="minor"/>
          </rPr>
          <t>reporting/bscr/reconcile/filled in templates/2026 BSCR - UKEU - HSA v2.xlsx
Schedule X(f)!L33
Total modelled; All countries; geo=1
Raw template value=77211907.517557696</t>
        </r>
      </text>
    </comment>
    <comment ref="A536" authorId="1" shapeId="0" xr:uid="{00000000-0006-0000-0100-000001020000}">
      <text>
        <r>
          <rPr>
            <sz val="11"/>
            <color theme="1"/>
            <rFont val="Calibri"/>
            <family val="2"/>
            <scheme val="minor"/>
          </rPr>
          <t>reporting/bscr/reconcile/filled in templates/2026 BSCR - UKEU - HSA v2.xlsx
Schedule X(f)!M33
Total modelled; All countries; geo=1
Raw template value=75515308.379154906</t>
        </r>
      </text>
    </comment>
    <comment ref="A537" authorId="1" shapeId="0" xr:uid="{00000000-0006-0000-0100-000002020000}">
      <text>
        <r>
          <rPr>
            <sz val="11"/>
            <color theme="1"/>
            <rFont val="Calibri"/>
            <family val="2"/>
            <scheme val="minor"/>
          </rPr>
          <t>reporting/bscr/reconcile/filled in templates/2026 BSCR - UKEU - HSA v2.xlsx
Schedule X(f)!H43
Data deficient; Other countries; geo=0
Raw template value=201</t>
        </r>
      </text>
    </comment>
    <comment ref="A538" authorId="1" shapeId="0" xr:uid="{00000000-0006-0000-0100-000003020000}">
      <text>
        <r>
          <rPr>
            <sz val="11"/>
            <color theme="1"/>
            <rFont val="Calibri"/>
            <family val="2"/>
            <scheme val="minor"/>
          </rPr>
          <t>reporting/bscr/reconcile/filled in templates/2026 BSCR - UKEU - HSA v2.xlsx
Schedule X(f)!I43
Data deficient; Other countries; geo=0
Raw template value=349291.12870018999</t>
        </r>
      </text>
    </comment>
    <comment ref="A539" authorId="1" shapeId="0" xr:uid="{00000000-0006-0000-0100-000004020000}">
      <text>
        <r>
          <rPr>
            <sz val="11"/>
            <color theme="1"/>
            <rFont val="Calibri"/>
            <family val="2"/>
            <scheme val="minor"/>
          </rPr>
          <t>reporting/bscr/reconcile/filled in templates/2026 BSCR - UKEU - HSA v2.xlsx
Schedule X(f)!J43
Data deficient; Other countries; geo=0
Raw template value=349291.12870018999</t>
        </r>
      </text>
    </comment>
    <comment ref="A540" authorId="1" shapeId="0" xr:uid="{00000000-0006-0000-0100-000005020000}">
      <text>
        <r>
          <rPr>
            <sz val="11"/>
            <color theme="1"/>
            <rFont val="Calibri"/>
            <family val="2"/>
            <scheme val="minor"/>
          </rPr>
          <t>reporting/bscr/reconcile/filled in templates/2026 BSCR - UKEU - HSA v2.xlsx
Schedule X(f)!K43
Data deficient; All countries; geo=0
Raw template value=201</t>
        </r>
      </text>
    </comment>
    <comment ref="A541" authorId="1" shapeId="0" xr:uid="{00000000-0006-0000-0100-000006020000}">
      <text>
        <r>
          <rPr>
            <sz val="11"/>
            <color theme="1"/>
            <rFont val="Calibri"/>
            <family val="2"/>
            <scheme val="minor"/>
          </rPr>
          <t>reporting/bscr/reconcile/filled in templates/2026 BSCR - UKEU - HSA v2.xlsx
Schedule X(f)!L43
Data deficient; All countries; geo=0
Raw template value=349291.12870018999</t>
        </r>
      </text>
    </comment>
    <comment ref="A542" authorId="1" shapeId="0" xr:uid="{00000000-0006-0000-0100-000007020000}">
      <text>
        <r>
          <rPr>
            <sz val="11"/>
            <color theme="1"/>
            <rFont val="Calibri"/>
            <family val="2"/>
            <scheme val="minor"/>
          </rPr>
          <t>reporting/bscr/reconcile/filled in templates/2026 BSCR - UKEU - HSA v2.xlsx
Schedule X(f)!M43
Data deficient; All countries; geo=0
Raw template value=349291.12870018999</t>
        </r>
      </text>
    </comment>
    <comment ref="A543" authorId="1" shapeId="0" xr:uid="{00000000-0006-0000-0100-000008020000}">
      <text>
        <r>
          <rPr>
            <sz val="11"/>
            <color theme="1"/>
            <rFont val="Calibri"/>
            <family val="2"/>
            <scheme val="minor"/>
          </rPr>
          <t>reporting/bscr/reconcile/filled in templates/2026 BSCR - UKEU - HSA v2.xlsx
Schedule X(f)!E46
Total not modelled; US; geo=0
Raw template value=0</t>
        </r>
      </text>
    </comment>
    <comment ref="A544" authorId="1" shapeId="0" xr:uid="{00000000-0006-0000-0100-000009020000}">
      <text>
        <r>
          <rPr>
            <sz val="11"/>
            <color theme="1"/>
            <rFont val="Calibri"/>
            <family val="2"/>
            <scheme val="minor"/>
          </rPr>
          <t>reporting/bscr/reconcile/filled in templates/2026 BSCR - UKEU - HSA v2.xlsx
Schedule X(f)!F46
Total not modelled; US; geo=0
Raw template value=0</t>
        </r>
      </text>
    </comment>
    <comment ref="A545" authorId="1" shapeId="0" xr:uid="{00000000-0006-0000-0100-00000A020000}">
      <text>
        <r>
          <rPr>
            <sz val="11"/>
            <color theme="1"/>
            <rFont val="Calibri"/>
            <family val="2"/>
            <scheme val="minor"/>
          </rPr>
          <t>reporting/bscr/reconcile/filled in templates/2026 BSCR - UKEU - HSA v2.xlsx
Schedule X(f)!G46
Total not modelled; US; geo=0
Raw template value=0</t>
        </r>
      </text>
    </comment>
    <comment ref="A546" authorId="1" shapeId="0" xr:uid="{00000000-0006-0000-0100-00000B020000}">
      <text>
        <r>
          <rPr>
            <sz val="11"/>
            <color theme="1"/>
            <rFont val="Calibri"/>
            <family val="2"/>
            <scheme val="minor"/>
          </rPr>
          <t>reporting/bscr/reconcile/filled in templates/2026 BSCR - UKEU - HSA v2.xlsx
Schedule X(f)!H46
Total not modelled; Other countries; geo=0
Raw template value=201</t>
        </r>
      </text>
    </comment>
    <comment ref="A547" authorId="1" shapeId="0" xr:uid="{00000000-0006-0000-0100-00000C020000}">
      <text>
        <r>
          <rPr>
            <sz val="11"/>
            <color theme="1"/>
            <rFont val="Calibri"/>
            <family val="2"/>
            <scheme val="minor"/>
          </rPr>
          <t>reporting/bscr/reconcile/filled in templates/2026 BSCR - UKEU - HSA v2.xlsx
Schedule X(f)!I46
Total not modelled; Other countries; geo=0
Raw template value=349291.12870018999</t>
        </r>
      </text>
    </comment>
    <comment ref="A548" authorId="1" shapeId="0" xr:uid="{00000000-0006-0000-0100-00000D020000}">
      <text>
        <r>
          <rPr>
            <sz val="11"/>
            <color theme="1"/>
            <rFont val="Calibri"/>
            <family val="2"/>
            <scheme val="minor"/>
          </rPr>
          <t>reporting/bscr/reconcile/filled in templates/2026 BSCR - UKEU - HSA v2.xlsx
Schedule X(f)!J46
Total not modelled; Other countries; geo=0
Raw template value=349291.12870018999</t>
        </r>
      </text>
    </comment>
    <comment ref="A549" authorId="1" shapeId="0" xr:uid="{00000000-0006-0000-0100-00000E020000}">
      <text>
        <r>
          <rPr>
            <sz val="11"/>
            <color theme="1"/>
            <rFont val="Calibri"/>
            <family val="2"/>
            <scheme val="minor"/>
          </rPr>
          <t>reporting/bscr/reconcile/filled in templates/2026 BSCR - UKEU - HSA v2.xlsx
Schedule X(f)!K46
Total not modelled; All countries; geo=0
Raw template value=201</t>
        </r>
      </text>
    </comment>
    <comment ref="A550" authorId="1" shapeId="0" xr:uid="{00000000-0006-0000-0100-00000F020000}">
      <text>
        <r>
          <rPr>
            <sz val="11"/>
            <color theme="1"/>
            <rFont val="Calibri"/>
            <family val="2"/>
            <scheme val="minor"/>
          </rPr>
          <t>reporting/bscr/reconcile/filled in templates/2026 BSCR - UKEU - HSA v2.xlsx
Schedule X(f)!L46
Total not modelled; All countries; geo=0
Raw template value=349291.12870018999</t>
        </r>
      </text>
    </comment>
    <comment ref="A551" authorId="1" shapeId="0" xr:uid="{00000000-0006-0000-0100-000010020000}">
      <text>
        <r>
          <rPr>
            <sz val="11"/>
            <color theme="1"/>
            <rFont val="Calibri"/>
            <family val="2"/>
            <scheme val="minor"/>
          </rPr>
          <t>reporting/bscr/reconcile/filled in templates/2026 BSCR - UKEU - HSA v2.xlsx
Schedule X(f)!M46
Total not modelled; All countries; geo=0
Raw template value=349291.12870018999</t>
        </r>
      </text>
    </comment>
    <comment ref="A552" authorId="1" shapeId="0" xr:uid="{00000000-0006-0000-0100-000011020000}">
      <text>
        <r>
          <rPr>
            <sz val="11"/>
            <color theme="1"/>
            <rFont val="Calibri"/>
            <family val="2"/>
            <scheme val="minor"/>
          </rPr>
          <t>reporting/bscr/reconcile/filled in templates/2026 BSCR - UKEU - HSA v2.xlsx
Schedule X(f)!H60
Data deficient; Other countries; geo=0
Raw template value=201</t>
        </r>
      </text>
    </comment>
    <comment ref="A553" authorId="1" shapeId="0" xr:uid="{00000000-0006-0000-0100-000012020000}">
      <text>
        <r>
          <rPr>
            <sz val="11"/>
            <color theme="1"/>
            <rFont val="Calibri"/>
            <family val="2"/>
            <scheme val="minor"/>
          </rPr>
          <t>reporting/bscr/reconcile/filled in templates/2026 BSCR - UKEU - HSA v2.xlsx
Schedule X(f)!I60
Data deficient; Other countries; geo=0
Raw template value=349291.12870018999</t>
        </r>
      </text>
    </comment>
    <comment ref="A554" authorId="1" shapeId="0" xr:uid="{00000000-0006-0000-0100-000013020000}">
      <text>
        <r>
          <rPr>
            <sz val="11"/>
            <color theme="1"/>
            <rFont val="Calibri"/>
            <family val="2"/>
            <scheme val="minor"/>
          </rPr>
          <t>reporting/bscr/reconcile/filled in templates/2026 BSCR - UKEU - HSA v2.xlsx
Schedule X(f)!J60
Data deficient; Other countries; geo=0
Raw template value=349291.12870018999</t>
        </r>
      </text>
    </comment>
    <comment ref="A555" authorId="1" shapeId="0" xr:uid="{00000000-0006-0000-0100-000014020000}">
      <text>
        <r>
          <rPr>
            <sz val="11"/>
            <color theme="1"/>
            <rFont val="Calibri"/>
            <family val="2"/>
            <scheme val="minor"/>
          </rPr>
          <t>reporting/bscr/reconcile/filled in templates/2026 BSCR - UKEU - HSA v2.xlsx
Schedule X(f)!K60
Data deficient; All countries; geo=0
Raw template value=201</t>
        </r>
      </text>
    </comment>
    <comment ref="A556" authorId="1" shapeId="0" xr:uid="{00000000-0006-0000-0100-000015020000}">
      <text>
        <r>
          <rPr>
            <sz val="11"/>
            <color theme="1"/>
            <rFont val="Calibri"/>
            <family val="2"/>
            <scheme val="minor"/>
          </rPr>
          <t>reporting/bscr/reconcile/filled in templates/2026 BSCR - UKEU - HSA v2.xlsx
Schedule X(f)!L60
Data deficient; All countries; geo=0
Raw template value=349291.12870018999</t>
        </r>
      </text>
    </comment>
    <comment ref="A557" authorId="1" shapeId="0" xr:uid="{00000000-0006-0000-0100-000016020000}">
      <text>
        <r>
          <rPr>
            <sz val="11"/>
            <color theme="1"/>
            <rFont val="Calibri"/>
            <family val="2"/>
            <scheme val="minor"/>
          </rPr>
          <t>reporting/bscr/reconcile/filled in templates/2026 BSCR - UKEU - HSA v2.xlsx
Schedule X(f)!M60
Data deficient; All countries; geo=0
Raw template value=349291.12870018999</t>
        </r>
      </text>
    </comment>
    <comment ref="A558" authorId="1" shapeId="0" xr:uid="{00000000-0006-0000-0100-000017020000}">
      <text>
        <r>
          <rPr>
            <sz val="11"/>
            <color theme="1"/>
            <rFont val="Calibri"/>
            <family val="2"/>
            <scheme val="minor"/>
          </rPr>
          <t>reporting/bscr/reconcile/filled in templates/2026 BSCR - UKEU - HSA v2.xlsx
Schedule X(f)!E64
Total not modellable; US; geo=0
Raw template value=0</t>
        </r>
      </text>
    </comment>
    <comment ref="A559" authorId="1" shapeId="0" xr:uid="{00000000-0006-0000-0100-000018020000}">
      <text>
        <r>
          <rPr>
            <sz val="11"/>
            <color theme="1"/>
            <rFont val="Calibri"/>
            <family val="2"/>
            <scheme val="minor"/>
          </rPr>
          <t>reporting/bscr/reconcile/filled in templates/2026 BSCR - UKEU - HSA v2.xlsx
Schedule X(f)!F64
Total not modellable; US; geo=0
Raw template value=0</t>
        </r>
      </text>
    </comment>
    <comment ref="A560" authorId="1" shapeId="0" xr:uid="{00000000-0006-0000-0100-000019020000}">
      <text>
        <r>
          <rPr>
            <sz val="11"/>
            <color theme="1"/>
            <rFont val="Calibri"/>
            <family val="2"/>
            <scheme val="minor"/>
          </rPr>
          <t>reporting/bscr/reconcile/filled in templates/2026 BSCR - UKEU - HSA v2.xlsx
Schedule X(f)!G64
Total not modellable; US; geo=0
Raw template value=0</t>
        </r>
      </text>
    </comment>
    <comment ref="A561" authorId="1" shapeId="0" xr:uid="{00000000-0006-0000-0100-00001A020000}">
      <text>
        <r>
          <rPr>
            <sz val="11"/>
            <color theme="1"/>
            <rFont val="Calibri"/>
            <family val="2"/>
            <scheme val="minor"/>
          </rPr>
          <t>reporting/bscr/reconcile/filled in templates/2026 BSCR - UKEU - HSA v2.xlsx
Schedule X(f)!H64
Total not modellable; Other countries; geo=0
Raw template value=201</t>
        </r>
      </text>
    </comment>
    <comment ref="A562" authorId="1" shapeId="0" xr:uid="{00000000-0006-0000-0100-00001B020000}">
      <text>
        <r>
          <rPr>
            <sz val="11"/>
            <color theme="1"/>
            <rFont val="Calibri"/>
            <family val="2"/>
            <scheme val="minor"/>
          </rPr>
          <t>reporting/bscr/reconcile/filled in templates/2026 BSCR - UKEU - HSA v2.xlsx
Schedule X(f)!I64
Total not modellable; Other countries; geo=0
Raw template value=349291.12870018999</t>
        </r>
      </text>
    </comment>
    <comment ref="A563" authorId="1" shapeId="0" xr:uid="{00000000-0006-0000-0100-00001C020000}">
      <text>
        <r>
          <rPr>
            <sz val="11"/>
            <color theme="1"/>
            <rFont val="Calibri"/>
            <family val="2"/>
            <scheme val="minor"/>
          </rPr>
          <t>reporting/bscr/reconcile/filled in templates/2026 BSCR - UKEU - HSA v2.xlsx
Schedule X(f)!J64
Total not modellable; Other countries; geo=0
Raw template value=349291.12870018999</t>
        </r>
      </text>
    </comment>
    <comment ref="A564" authorId="1" shapeId="0" xr:uid="{00000000-0006-0000-0100-00001D020000}">
      <text>
        <r>
          <rPr>
            <sz val="11"/>
            <color theme="1"/>
            <rFont val="Calibri"/>
            <family val="2"/>
            <scheme val="minor"/>
          </rPr>
          <t>reporting/bscr/reconcile/filled in templates/2026 BSCR - UKEU - HSA v2.xlsx
Schedule X(f)!K64
Total not modellable; All countries; geo=0
Raw template value=201</t>
        </r>
      </text>
    </comment>
    <comment ref="A565" authorId="1" shapeId="0" xr:uid="{00000000-0006-0000-0100-00001E020000}">
      <text>
        <r>
          <rPr>
            <sz val="11"/>
            <color theme="1"/>
            <rFont val="Calibri"/>
            <family val="2"/>
            <scheme val="minor"/>
          </rPr>
          <t>reporting/bscr/reconcile/filled in templates/2026 BSCR - UKEU - HSA v2.xlsx
Schedule X(f)!L64
Total not modellable; All countries; geo=0
Raw template value=349291.12870018999</t>
        </r>
      </text>
    </comment>
    <comment ref="A566" authorId="1" shapeId="0" xr:uid="{00000000-0006-0000-0100-00001F020000}">
      <text>
        <r>
          <rPr>
            <sz val="11"/>
            <color theme="1"/>
            <rFont val="Calibri"/>
            <family val="2"/>
            <scheme val="minor"/>
          </rPr>
          <t>reporting/bscr/reconcile/filled in templates/2026 BSCR - UKEU - HSA v2.xlsx
Schedule X(f)!M64
Total not modellable; All countries; geo=0
Raw template value=349291.12870018999</t>
        </r>
      </text>
    </comment>
  </commentList>
</comments>
</file>

<file path=xl/sharedStrings.xml><?xml version="1.0" encoding="utf-8"?>
<sst xmlns="http://schemas.openxmlformats.org/spreadsheetml/2006/main" count="1733" uniqueCount="624">
  <si>
    <t>BSCR reconciliation — what is being tested</t>
  </si>
  <si>
    <t>Evidence chain: February Schedule X(f) → old saved output → legacy query → corrected query → new saved output. This workbook tests counts and exposure amounts, not premiums, loss curves or submission approval.</t>
  </si>
  <si>
    <t>Step / scope</t>
  </si>
  <si>
    <t>Result / basis</t>
  </si>
  <si>
    <t>Precisely what this means</t>
  </si>
  <si>
    <t>1. Templates → old output</t>
  </si>
  <si>
    <t>PRE-FX MATCH; USD CONVERSION MISSING</t>
  </si>
  <si>
    <t>The 33 original and four v2 templates match the old pre-FX output numerically. Their saved monetary amounts do not include the later workbook's 1.35 USD conversion. See the actual values and conversion separately on Schedule X(f).</t>
  </si>
  <si>
    <t>2. Old output → legacy query</t>
  </si>
  <si>
    <t>PASS: all 452 output rows</t>
  </si>
  <si>
    <t>Counts exact; gross/net differences below $0.01 after FX normalization. The old geocode duplication and original earthquake-only classification are intentionally preserved.</t>
  </si>
  <si>
    <t>3. Legacy → corrected</t>
  </si>
  <si>
    <t>Difference fully explained in ALL</t>
  </si>
  <si>
    <t>Changing only the geocoding join explains $4,812.963m gross, $3,050.632m net and 285 fewer grouped rows across 184 accounts. Old exposure was duplicated between geocode buckets.</t>
  </si>
  <si>
    <t>4. Corrected → new output</t>
  </si>
  <si>
    <t>PASS: all 737 output rows</t>
  </si>
  <si>
    <t>Counts exact; gross/net differences below $0.01. Counts, Gross exposure and Net exposure show both the query and saved-output values.</t>
  </si>
  <si>
    <t>Currency finding</t>
  </si>
  <si>
    <t>1.35 FX missing from v2 figures</t>
  </si>
  <si>
    <t>Numeric agreement is not currency correctness. V2 contains the pre-FX amounts under USD labels. Convert currency by multiplying1.35; handle thousand-to-million scaling separately. Counts need neither adjustment.</t>
  </si>
  <si>
    <t>Counting basis</t>
  </si>
  <si>
    <t>Grouped source rows</t>
  </si>
  <si>
    <t>count_policies is not an independently verified count of contracts. No policies were deleted; the 285 reduction is in grouped rows after correcting the join.</t>
  </si>
  <si>
    <t>Test boundary</t>
  </si>
  <si>
    <t>Not every template number</t>
  </si>
  <si>
    <t>Schedule X(f) table 1, table 2 and populated detailed/data-deficient rows and totals in tables 3/4/6 are checked. Premiums, EP curves, narrative/percentage fields and unpopulated/zero-placeholder categories are not proven by this test. April reclassifications are outside this template test.</t>
  </si>
  <si>
    <t>Regional differences</t>
  </si>
  <si>
    <t>Separate from the ALL correction</t>
  </si>
  <si>
    <t>Legacy uses earthquake for all regions and case-sensitive state matching. Current uses wind for some regions, case-insensitive US-state matching and extra regional views. Do not total overlapping regions.</t>
  </si>
  <si>
    <t>Two scripts</t>
  </si>
  <si>
    <t>bscr-extract-legacy.sql / bscr-output.sql</t>
  </si>
  <si>
    <t>Run against the same frozen EDM snapshot and parameters. Legacy is historical reproduction, not production correction. Both are full aggregate outputs with eight columns.</t>
  </si>
  <si>
    <t>Execution evidence</t>
  </si>
  <si>
    <t>Local replay of uploaded EDM data</t>
  </si>
  <si>
    <t>Old and new query results were replayed locally and checked against the saved outputs. Four raw table counts match source metadata. No live SQL Server execution or claim of confirmed February submission.</t>
  </si>
  <si>
    <t>Schedule X(f) — pre-FX match, missing USD conversion</t>
  </si>
  <si>
    <t>The corrected February templates match the OLD PRE-FX output. Their USD heading is not supported by the saved monetary values: the later workbook's 1.35 conversion is missing. Currency and thousand/million scaling are separate issues. Counts are unaffected.</t>
  </si>
  <si>
    <t>Entity</t>
  </si>
  <si>
    <t>Measure</t>
  </si>
  <si>
    <t>Template as saved</t>
  </si>
  <si>
    <t>Old output: same pre-FX scale</t>
  </si>
  <si>
    <t>Legacy query: same pre-FX scale</t>
  </si>
  <si>
    <t>Required USD: same scale</t>
  </si>
  <si>
    <t>Required USD millions</t>
  </si>
  <si>
    <t>33</t>
  </si>
  <si>
    <t>Count</t>
  </si>
  <si>
    <t>Gross exposure</t>
  </si>
  <si>
    <t>Net exposure</t>
  </si>
  <si>
    <t>3624</t>
  </si>
  <si>
    <t>HIC</t>
  </si>
  <si>
    <t>HIG</t>
  </si>
  <si>
    <t>HSA</t>
  </si>
  <si>
    <t>Currency finding and scaling — two separate checks</t>
  </si>
  <si>
    <t>C–E show the actual pre-FX template scale: source output /1,000. These match numerically. That does NOT mean the USD-labelled template was filled in correctly. Counts are shown unscaled.</t>
  </si>
  <si>
    <t>CURRENCY: multiply the saved monetary value by1.35, as evidenced by the later USD workings. Column F shows that USD conversion WITHOUT changing the scale. The v2 template is missing this FX step.</t>
  </si>
  <si>
    <t>SCALING: column G divides the USD value in F by1,000 to show USD millions. This is separate from currency conversion. HIC L12:121,743,087.309878 pre-FX →164,353,167.868335 USD at the same scale →164,353.167868 USD million.</t>
  </si>
  <si>
    <t>The expandable528-cell checks below use normalized USDm and establish numerical lineage only. Counts match exactly; monetary residuals are below $0.01. They do not approve the template currency, unit headings or modelability allocations.</t>
  </si>
  <si>
    <t>Template files used</t>
  </si>
  <si>
    <t>2026 BSCR - UKEU - 33.xlsx</t>
  </si>
  <si>
    <t>2026 BSCR - UKEU - 3624 v2.xlsx</t>
  </si>
  <si>
    <t>2026 BSCR - UKEU - HIC v2.xlsx</t>
  </si>
  <si>
    <t>2026 BSCR - UKEU - HIG v2.xlsx</t>
  </si>
  <si>
    <t>2026 BSCR - UKEU - HSA v2.xlsx</t>
  </si>
  <si>
    <t>Supporting normalized checks — matching after conversion does not validate the saved template currency</t>
  </si>
  <si>
    <t>Entity / cell</t>
  </si>
  <si>
    <t>Population / measure</t>
  </si>
  <si>
    <t>Template normalized</t>
  </si>
  <si>
    <t>Old saved output</t>
  </si>
  <si>
    <t>Legacy query</t>
  </si>
  <si>
    <t>Template − old</t>
  </si>
  <si>
    <t>Old − legacy</t>
  </si>
  <si>
    <t>Result</t>
  </si>
  <si>
    <t>33 / E10</t>
  </si>
  <si>
    <t>US / Count</t>
  </si>
  <si>
    <t>MATCH AFTER NORMALIZATION</t>
  </si>
  <si>
    <t>33 / F10</t>
  </si>
  <si>
    <t>US / Gross / USDm</t>
  </si>
  <si>
    <t>33 / G10</t>
  </si>
  <si>
    <t>US / Net / USDm</t>
  </si>
  <si>
    <t>33 / H10</t>
  </si>
  <si>
    <t>Other countries / Count</t>
  </si>
  <si>
    <t>33 / I10</t>
  </si>
  <si>
    <t>Other countries / Gross / USDm</t>
  </si>
  <si>
    <t>33 / J10</t>
  </si>
  <si>
    <t>Other countries / Net / USDm</t>
  </si>
  <si>
    <t>33 / K10</t>
  </si>
  <si>
    <t>All countries / Count</t>
  </si>
  <si>
    <t>33 / L10</t>
  </si>
  <si>
    <t>All countries / Gross / USDm</t>
  </si>
  <si>
    <t>33 / M10</t>
  </si>
  <si>
    <t>All countries / Net / USDm</t>
  </si>
  <si>
    <t>33 / E11</t>
  </si>
  <si>
    <t>33 / F11</t>
  </si>
  <si>
    <t>33 / G11</t>
  </si>
  <si>
    <t>33 / H11</t>
  </si>
  <si>
    <t>33 / I11</t>
  </si>
  <si>
    <t>33 / J11</t>
  </si>
  <si>
    <t>33 / K11</t>
  </si>
  <si>
    <t>33 / L11</t>
  </si>
  <si>
    <t>33 / M11</t>
  </si>
  <si>
    <t>33 / E12</t>
  </si>
  <si>
    <t>33 / F12</t>
  </si>
  <si>
    <t>33 / G12</t>
  </si>
  <si>
    <t>33 / H12</t>
  </si>
  <si>
    <t>33 / I12</t>
  </si>
  <si>
    <t>33 / J12</t>
  </si>
  <si>
    <t>33 / K12</t>
  </si>
  <si>
    <t>33 / L12</t>
  </si>
  <si>
    <t>33 / M12</t>
  </si>
  <si>
    <t>33 / E19</t>
  </si>
  <si>
    <t>33 / F19</t>
  </si>
  <si>
    <t>33 / G19</t>
  </si>
  <si>
    <t>33 / H19</t>
  </si>
  <si>
    <t>33 / I19</t>
  </si>
  <si>
    <t>33 / J19</t>
  </si>
  <si>
    <t>33 / K19</t>
  </si>
  <si>
    <t>33 / L19</t>
  </si>
  <si>
    <t>33 / M19</t>
  </si>
  <si>
    <t>33 / E20</t>
  </si>
  <si>
    <t>33 / F20</t>
  </si>
  <si>
    <t>33 / G20</t>
  </si>
  <si>
    <t>33 / H20</t>
  </si>
  <si>
    <t>33 / I20</t>
  </si>
  <si>
    <t>33 / J20</t>
  </si>
  <si>
    <t>33 / K20</t>
  </si>
  <si>
    <t>33 / L20</t>
  </si>
  <si>
    <t>33 / M20</t>
  </si>
  <si>
    <t>33 / E21</t>
  </si>
  <si>
    <t>33 / F21</t>
  </si>
  <si>
    <t>33 / G21</t>
  </si>
  <si>
    <t>33 / H21</t>
  </si>
  <si>
    <t>33 / I21</t>
  </si>
  <si>
    <t>33 / J21</t>
  </si>
  <si>
    <t>33 / K21</t>
  </si>
  <si>
    <t>33 / L21</t>
  </si>
  <si>
    <t>33 / M21</t>
  </si>
  <si>
    <t>33 / E28</t>
  </si>
  <si>
    <t>33 / F28</t>
  </si>
  <si>
    <t>33 / G28</t>
  </si>
  <si>
    <t>33 / H28</t>
  </si>
  <si>
    <t>33 / I28</t>
  </si>
  <si>
    <t>33 / J28</t>
  </si>
  <si>
    <t>33 / K28</t>
  </si>
  <si>
    <t>33 / L28</t>
  </si>
  <si>
    <t>33 / M28</t>
  </si>
  <si>
    <t>33 / E33</t>
  </si>
  <si>
    <t>33 / F33</t>
  </si>
  <si>
    <t>33 / G33</t>
  </si>
  <si>
    <t>33 / H33</t>
  </si>
  <si>
    <t>33 / I33</t>
  </si>
  <si>
    <t>33 / J33</t>
  </si>
  <si>
    <t>33 / K33</t>
  </si>
  <si>
    <t>33 / L33</t>
  </si>
  <si>
    <t>33 / M33</t>
  </si>
  <si>
    <t>33 / E43</t>
  </si>
  <si>
    <t>33 / F43</t>
  </si>
  <si>
    <t>33 / G43</t>
  </si>
  <si>
    <t>33 / H43</t>
  </si>
  <si>
    <t>33 / I43</t>
  </si>
  <si>
    <t>33 / J43</t>
  </si>
  <si>
    <t>33 / K43</t>
  </si>
  <si>
    <t>33 / L43</t>
  </si>
  <si>
    <t>33 / M43</t>
  </si>
  <si>
    <t>33 / E46</t>
  </si>
  <si>
    <t>33 / F46</t>
  </si>
  <si>
    <t>33 / G46</t>
  </si>
  <si>
    <t>33 / H46</t>
  </si>
  <si>
    <t>33 / I46</t>
  </si>
  <si>
    <t>33 / J46</t>
  </si>
  <si>
    <t>33 / K46</t>
  </si>
  <si>
    <t>33 / L46</t>
  </si>
  <si>
    <t>33 / M46</t>
  </si>
  <si>
    <t>33 / E60</t>
  </si>
  <si>
    <t>33 / F60</t>
  </si>
  <si>
    <t>33 / G60</t>
  </si>
  <si>
    <t>33 / H60</t>
  </si>
  <si>
    <t>33 / I60</t>
  </si>
  <si>
    <t>33 / J60</t>
  </si>
  <si>
    <t>33 / K60</t>
  </si>
  <si>
    <t>33 / L60</t>
  </si>
  <si>
    <t>33 / M60</t>
  </si>
  <si>
    <t>33 / E64</t>
  </si>
  <si>
    <t>33 / F64</t>
  </si>
  <si>
    <t>33 / G64</t>
  </si>
  <si>
    <t>33 / H64</t>
  </si>
  <si>
    <t>33 / I64</t>
  </si>
  <si>
    <t>33 / J64</t>
  </si>
  <si>
    <t>33 / K64</t>
  </si>
  <si>
    <t>33 / L64</t>
  </si>
  <si>
    <t>33 / M64</t>
  </si>
  <si>
    <t>3624 / E10</t>
  </si>
  <si>
    <t>3624 / F10</t>
  </si>
  <si>
    <t>3624 / G10</t>
  </si>
  <si>
    <t>3624 / H10</t>
  </si>
  <si>
    <t>3624 / I10</t>
  </si>
  <si>
    <t>3624 / J10</t>
  </si>
  <si>
    <t>3624 / K10</t>
  </si>
  <si>
    <t>3624 / L10</t>
  </si>
  <si>
    <t>3624 / M10</t>
  </si>
  <si>
    <t>3624 / E11</t>
  </si>
  <si>
    <t>3624 / F11</t>
  </si>
  <si>
    <t>3624 / G11</t>
  </si>
  <si>
    <t>3624 / H11</t>
  </si>
  <si>
    <t>3624 / I11</t>
  </si>
  <si>
    <t>3624 / J11</t>
  </si>
  <si>
    <t>3624 / K11</t>
  </si>
  <si>
    <t>3624 / L11</t>
  </si>
  <si>
    <t>3624 / M11</t>
  </si>
  <si>
    <t>3624 / E12</t>
  </si>
  <si>
    <t>3624 / F12</t>
  </si>
  <si>
    <t>3624 / G12</t>
  </si>
  <si>
    <t>3624 / H12</t>
  </si>
  <si>
    <t>3624 / I12</t>
  </si>
  <si>
    <t>3624 / J12</t>
  </si>
  <si>
    <t>3624 / K12</t>
  </si>
  <si>
    <t>3624 / L12</t>
  </si>
  <si>
    <t>3624 / M12</t>
  </si>
  <si>
    <t>3624 / E19</t>
  </si>
  <si>
    <t>3624 / F19</t>
  </si>
  <si>
    <t>3624 / G19</t>
  </si>
  <si>
    <t>3624 / H19</t>
  </si>
  <si>
    <t>3624 / I19</t>
  </si>
  <si>
    <t>3624 / J19</t>
  </si>
  <si>
    <t>3624 / K19</t>
  </si>
  <si>
    <t>3624 / L19</t>
  </si>
  <si>
    <t>3624 / M19</t>
  </si>
  <si>
    <t>3624 / E20</t>
  </si>
  <si>
    <t>3624 / F20</t>
  </si>
  <si>
    <t>3624 / G20</t>
  </si>
  <si>
    <t>3624 / H20</t>
  </si>
  <si>
    <t>3624 / I20</t>
  </si>
  <si>
    <t>3624 / J20</t>
  </si>
  <si>
    <t>3624 / K20</t>
  </si>
  <si>
    <t>3624 / L20</t>
  </si>
  <si>
    <t>3624 / M20</t>
  </si>
  <si>
    <t>3624 / E21</t>
  </si>
  <si>
    <t>3624 / F21</t>
  </si>
  <si>
    <t>3624 / G21</t>
  </si>
  <si>
    <t>3624 / H21</t>
  </si>
  <si>
    <t>3624 / I21</t>
  </si>
  <si>
    <t>3624 / J21</t>
  </si>
  <si>
    <t>3624 / K21</t>
  </si>
  <si>
    <t>3624 / L21</t>
  </si>
  <si>
    <t>3624 / M21</t>
  </si>
  <si>
    <t>3624 / E28</t>
  </si>
  <si>
    <t>3624 / F28</t>
  </si>
  <si>
    <t>3624 / G28</t>
  </si>
  <si>
    <t>3624 / H28</t>
  </si>
  <si>
    <t>3624 / I28</t>
  </si>
  <si>
    <t>3624 / J28</t>
  </si>
  <si>
    <t>3624 / K28</t>
  </si>
  <si>
    <t>3624 / L28</t>
  </si>
  <si>
    <t>3624 / M28</t>
  </si>
  <si>
    <t>3624 / E33</t>
  </si>
  <si>
    <t>3624 / F33</t>
  </si>
  <si>
    <t>3624 / G33</t>
  </si>
  <si>
    <t>3624 / H33</t>
  </si>
  <si>
    <t>3624 / I33</t>
  </si>
  <si>
    <t>3624 / J33</t>
  </si>
  <si>
    <t>3624 / K33</t>
  </si>
  <si>
    <t>3624 / L33</t>
  </si>
  <si>
    <t>3624 / M33</t>
  </si>
  <si>
    <t>3624 / E43</t>
  </si>
  <si>
    <t>3624 / F43</t>
  </si>
  <si>
    <t>3624 / G43</t>
  </si>
  <si>
    <t>3624 / H43</t>
  </si>
  <si>
    <t>3624 / I43</t>
  </si>
  <si>
    <t>3624 / J43</t>
  </si>
  <si>
    <t>3624 / K43</t>
  </si>
  <si>
    <t>3624 / L43</t>
  </si>
  <si>
    <t>3624 / M43</t>
  </si>
  <si>
    <t>3624 / E46</t>
  </si>
  <si>
    <t>3624 / F46</t>
  </si>
  <si>
    <t>3624 / G46</t>
  </si>
  <si>
    <t>3624 / H46</t>
  </si>
  <si>
    <t>3624 / I46</t>
  </si>
  <si>
    <t>3624 / J46</t>
  </si>
  <si>
    <t>3624 / K46</t>
  </si>
  <si>
    <t>3624 / L46</t>
  </si>
  <si>
    <t>3624 / M46</t>
  </si>
  <si>
    <t>3624 / E60</t>
  </si>
  <si>
    <t>3624 / F60</t>
  </si>
  <si>
    <t>3624 / G60</t>
  </si>
  <si>
    <t>3624 / H60</t>
  </si>
  <si>
    <t>3624 / I60</t>
  </si>
  <si>
    <t>3624 / J60</t>
  </si>
  <si>
    <t>3624 / K60</t>
  </si>
  <si>
    <t>3624 / L60</t>
  </si>
  <si>
    <t>3624 / M60</t>
  </si>
  <si>
    <t>3624 / E64</t>
  </si>
  <si>
    <t>3624 / F64</t>
  </si>
  <si>
    <t>3624 / G64</t>
  </si>
  <si>
    <t>3624 / H64</t>
  </si>
  <si>
    <t>3624 / I64</t>
  </si>
  <si>
    <t>3624 / J64</t>
  </si>
  <si>
    <t>3624 / K64</t>
  </si>
  <si>
    <t>3624 / L64</t>
  </si>
  <si>
    <t>3624 / M64</t>
  </si>
  <si>
    <t>HIC / E10</t>
  </si>
  <si>
    <t>HIC / F10</t>
  </si>
  <si>
    <t>HIC / G10</t>
  </si>
  <si>
    <t>HIC / H10</t>
  </si>
  <si>
    <t>HIC / I10</t>
  </si>
  <si>
    <t>HIC / J10</t>
  </si>
  <si>
    <t>HIC / K10</t>
  </si>
  <si>
    <t>HIC / L10</t>
  </si>
  <si>
    <t>HIC / M10</t>
  </si>
  <si>
    <t>HIC / E11</t>
  </si>
  <si>
    <t>HIC / F11</t>
  </si>
  <si>
    <t>HIC / G11</t>
  </si>
  <si>
    <t>HIC / H11</t>
  </si>
  <si>
    <t>HIC / I11</t>
  </si>
  <si>
    <t>HIC / J11</t>
  </si>
  <si>
    <t>HIC / K11</t>
  </si>
  <si>
    <t>HIC / L11</t>
  </si>
  <si>
    <t>HIC / M11</t>
  </si>
  <si>
    <t>HIC / E12</t>
  </si>
  <si>
    <t>HIC / F12</t>
  </si>
  <si>
    <t>HIC / G12</t>
  </si>
  <si>
    <t>HIC / H12</t>
  </si>
  <si>
    <t>HIC / I12</t>
  </si>
  <si>
    <t>HIC / J12</t>
  </si>
  <si>
    <t>HIC / K12</t>
  </si>
  <si>
    <t>HIC / L12</t>
  </si>
  <si>
    <t>HIC / M12</t>
  </si>
  <si>
    <t>HIC / E19</t>
  </si>
  <si>
    <t>HIC / F19</t>
  </si>
  <si>
    <t>HIC / G19</t>
  </si>
  <si>
    <t>HIC / H19</t>
  </si>
  <si>
    <t>HIC / I19</t>
  </si>
  <si>
    <t>HIC / J19</t>
  </si>
  <si>
    <t>HIC / K19</t>
  </si>
  <si>
    <t>HIC / L19</t>
  </si>
  <si>
    <t>HIC / M19</t>
  </si>
  <si>
    <t>HIC / E20</t>
  </si>
  <si>
    <t>HIC / F20</t>
  </si>
  <si>
    <t>HIC / G20</t>
  </si>
  <si>
    <t>HIC / H20</t>
  </si>
  <si>
    <t>HIC / I20</t>
  </si>
  <si>
    <t>HIC / J20</t>
  </si>
  <si>
    <t>HIC / K20</t>
  </si>
  <si>
    <t>HIC / L20</t>
  </si>
  <si>
    <t>HIC / M20</t>
  </si>
  <si>
    <t>HIC / E21</t>
  </si>
  <si>
    <t>HIC / F21</t>
  </si>
  <si>
    <t>HIC / G21</t>
  </si>
  <si>
    <t>HIC / H21</t>
  </si>
  <si>
    <t>HIC / I21</t>
  </si>
  <si>
    <t>HIC / J21</t>
  </si>
  <si>
    <t>HIC / K21</t>
  </si>
  <si>
    <t>HIC / L21</t>
  </si>
  <si>
    <t>HIC / M21</t>
  </si>
  <si>
    <t>HIC / E28</t>
  </si>
  <si>
    <t>HIC / F28</t>
  </si>
  <si>
    <t>HIC / G28</t>
  </si>
  <si>
    <t>HIC / H28</t>
  </si>
  <si>
    <t>HIC / I28</t>
  </si>
  <si>
    <t>HIC / J28</t>
  </si>
  <si>
    <t>HIC / K28</t>
  </si>
  <si>
    <t>HIC / L28</t>
  </si>
  <si>
    <t>HIC / M28</t>
  </si>
  <si>
    <t>HIC / E33</t>
  </si>
  <si>
    <t>HIC / F33</t>
  </si>
  <si>
    <t>HIC / G33</t>
  </si>
  <si>
    <t>HIC / H33</t>
  </si>
  <si>
    <t>HIC / I33</t>
  </si>
  <si>
    <t>HIC / J33</t>
  </si>
  <si>
    <t>HIC / K33</t>
  </si>
  <si>
    <t>HIC / L33</t>
  </si>
  <si>
    <t>HIC / M33</t>
  </si>
  <si>
    <t>HIC / E43</t>
  </si>
  <si>
    <t>HIC / F43</t>
  </si>
  <si>
    <t>HIC / G43</t>
  </si>
  <si>
    <t>HIC / H43</t>
  </si>
  <si>
    <t>HIC / I43</t>
  </si>
  <si>
    <t>HIC / J43</t>
  </si>
  <si>
    <t>HIC / K43</t>
  </si>
  <si>
    <t>HIC / L43</t>
  </si>
  <si>
    <t>HIC / M43</t>
  </si>
  <si>
    <t>HIC / E46</t>
  </si>
  <si>
    <t>HIC / F46</t>
  </si>
  <si>
    <t>HIC / G46</t>
  </si>
  <si>
    <t>HIC / H46</t>
  </si>
  <si>
    <t>HIC / I46</t>
  </si>
  <si>
    <t>HIC / J46</t>
  </si>
  <si>
    <t>HIC / K46</t>
  </si>
  <si>
    <t>HIC / L46</t>
  </si>
  <si>
    <t>HIC / M46</t>
  </si>
  <si>
    <t>HIC / E60</t>
  </si>
  <si>
    <t>HIC / F60</t>
  </si>
  <si>
    <t>HIC / G60</t>
  </si>
  <si>
    <t>HIC / H60</t>
  </si>
  <si>
    <t>HIC / I60</t>
  </si>
  <si>
    <t>HIC / J60</t>
  </si>
  <si>
    <t>HIC / K60</t>
  </si>
  <si>
    <t>HIC / L60</t>
  </si>
  <si>
    <t>HIC / M60</t>
  </si>
  <si>
    <t>HIC / E64</t>
  </si>
  <si>
    <t>HIC / F64</t>
  </si>
  <si>
    <t>HIC / G64</t>
  </si>
  <si>
    <t>HIC / H64</t>
  </si>
  <si>
    <t>HIC / I64</t>
  </si>
  <si>
    <t>HIC / J64</t>
  </si>
  <si>
    <t>HIC / K64</t>
  </si>
  <si>
    <t>HIC / L64</t>
  </si>
  <si>
    <t>HIC / M64</t>
  </si>
  <si>
    <t>HIG / E10</t>
  </si>
  <si>
    <t>HIG / F10</t>
  </si>
  <si>
    <t>HIG / G10</t>
  </si>
  <si>
    <t>HIG / H10</t>
  </si>
  <si>
    <t>HIG / I10</t>
  </si>
  <si>
    <t>HIG / J10</t>
  </si>
  <si>
    <t>HIG / K10</t>
  </si>
  <si>
    <t>HIG / L10</t>
  </si>
  <si>
    <t>HIG / M10</t>
  </si>
  <si>
    <t>HIG / E11</t>
  </si>
  <si>
    <t>HIG / F11</t>
  </si>
  <si>
    <t>HIG / G11</t>
  </si>
  <si>
    <t>HIG / H11</t>
  </si>
  <si>
    <t>HIG / I11</t>
  </si>
  <si>
    <t>HIG / J11</t>
  </si>
  <si>
    <t>HIG / K11</t>
  </si>
  <si>
    <t>HIG / L11</t>
  </si>
  <si>
    <t>HIG / M11</t>
  </si>
  <si>
    <t>HIG / E12</t>
  </si>
  <si>
    <t>HIG / F12</t>
  </si>
  <si>
    <t>HIG / G12</t>
  </si>
  <si>
    <t>HIG / H12</t>
  </si>
  <si>
    <t>HIG / I12</t>
  </si>
  <si>
    <t>HIG / J12</t>
  </si>
  <si>
    <t>HIG / K12</t>
  </si>
  <si>
    <t>HIG / L12</t>
  </si>
  <si>
    <t>HIG / M12</t>
  </si>
  <si>
    <t>HIG / E19</t>
  </si>
  <si>
    <t>HIG / F19</t>
  </si>
  <si>
    <t>HIG / G19</t>
  </si>
  <si>
    <t>HIG / H19</t>
  </si>
  <si>
    <t>HIG / I19</t>
  </si>
  <si>
    <t>HIG / J19</t>
  </si>
  <si>
    <t>HIG / K19</t>
  </si>
  <si>
    <t>HIG / L19</t>
  </si>
  <si>
    <t>HIG / M19</t>
  </si>
  <si>
    <t>HIG / E20</t>
  </si>
  <si>
    <t>HIG / F20</t>
  </si>
  <si>
    <t>HIG / G20</t>
  </si>
  <si>
    <t>HIG / H20</t>
  </si>
  <si>
    <t>HIG / I20</t>
  </si>
  <si>
    <t>HIG / J20</t>
  </si>
  <si>
    <t>HIG / K20</t>
  </si>
  <si>
    <t>HIG / L20</t>
  </si>
  <si>
    <t>HIG / M20</t>
  </si>
  <si>
    <t>HIG / E21</t>
  </si>
  <si>
    <t>HIG / F21</t>
  </si>
  <si>
    <t>HIG / G21</t>
  </si>
  <si>
    <t>HIG / H21</t>
  </si>
  <si>
    <t>HIG / I21</t>
  </si>
  <si>
    <t>HIG / J21</t>
  </si>
  <si>
    <t>HIG / K21</t>
  </si>
  <si>
    <t>HIG / L21</t>
  </si>
  <si>
    <t>HIG / M21</t>
  </si>
  <si>
    <t>HIG / E28</t>
  </si>
  <si>
    <t>HIG / F28</t>
  </si>
  <si>
    <t>HIG / G28</t>
  </si>
  <si>
    <t>HIG / H28</t>
  </si>
  <si>
    <t>HIG / I28</t>
  </si>
  <si>
    <t>HIG / J28</t>
  </si>
  <si>
    <t>HIG / K28</t>
  </si>
  <si>
    <t>HIG / L28</t>
  </si>
  <si>
    <t>HIG / M28</t>
  </si>
  <si>
    <t>HIG / E33</t>
  </si>
  <si>
    <t>HIG / F33</t>
  </si>
  <si>
    <t>HIG / G33</t>
  </si>
  <si>
    <t>HIG / H33</t>
  </si>
  <si>
    <t>HIG / I33</t>
  </si>
  <si>
    <t>HIG / J33</t>
  </si>
  <si>
    <t>HIG / K33</t>
  </si>
  <si>
    <t>HIG / L33</t>
  </si>
  <si>
    <t>HIG / M33</t>
  </si>
  <si>
    <t>HIG / E43</t>
  </si>
  <si>
    <t>HIG / F43</t>
  </si>
  <si>
    <t>HIG / G43</t>
  </si>
  <si>
    <t>HIG / H43</t>
  </si>
  <si>
    <t>HIG / I43</t>
  </si>
  <si>
    <t>HIG / J43</t>
  </si>
  <si>
    <t>HIG / K43</t>
  </si>
  <si>
    <t>HIG / L43</t>
  </si>
  <si>
    <t>HIG / M43</t>
  </si>
  <si>
    <t>HIG / E46</t>
  </si>
  <si>
    <t>HIG / F46</t>
  </si>
  <si>
    <t>HIG / G46</t>
  </si>
  <si>
    <t>HIG / H46</t>
  </si>
  <si>
    <t>HIG / I46</t>
  </si>
  <si>
    <t>HIG / J46</t>
  </si>
  <si>
    <t>HIG / K46</t>
  </si>
  <si>
    <t>HIG / L46</t>
  </si>
  <si>
    <t>HIG / M46</t>
  </si>
  <si>
    <t>HIG / E60</t>
  </si>
  <si>
    <t>HIG / F60</t>
  </si>
  <si>
    <t>HIG / G60</t>
  </si>
  <si>
    <t>HIG / H60</t>
  </si>
  <si>
    <t>HIG / I60</t>
  </si>
  <si>
    <t>HIG / J60</t>
  </si>
  <si>
    <t>HIG / K60</t>
  </si>
  <si>
    <t>HIG / L60</t>
  </si>
  <si>
    <t>HIG / M60</t>
  </si>
  <si>
    <t>HIG / E64</t>
  </si>
  <si>
    <t>HIG / F64</t>
  </si>
  <si>
    <t>HIG / G64</t>
  </si>
  <si>
    <t>HIG / H64</t>
  </si>
  <si>
    <t>HIG / I64</t>
  </si>
  <si>
    <t>HIG / J64</t>
  </si>
  <si>
    <t>HIG / K64</t>
  </si>
  <si>
    <t>HIG / L64</t>
  </si>
  <si>
    <t>HIG / M64</t>
  </si>
  <si>
    <t>HSA / E10</t>
  </si>
  <si>
    <t>HSA / F10</t>
  </si>
  <si>
    <t>HSA / G10</t>
  </si>
  <si>
    <t>HSA / H10</t>
  </si>
  <si>
    <t>HSA / I10</t>
  </si>
  <si>
    <t>HSA / J10</t>
  </si>
  <si>
    <t>HSA / K10</t>
  </si>
  <si>
    <t>HSA / L10</t>
  </si>
  <si>
    <t>HSA / M10</t>
  </si>
  <si>
    <t>HSA / H11</t>
  </si>
  <si>
    <t>HSA / I11</t>
  </si>
  <si>
    <t>HSA / J11</t>
  </si>
  <si>
    <t>HSA / K11</t>
  </si>
  <si>
    <t>HSA / L11</t>
  </si>
  <si>
    <t>HSA / M11</t>
  </si>
  <si>
    <t>HSA / E12</t>
  </si>
  <si>
    <t>HSA / F12</t>
  </si>
  <si>
    <t>HSA / G12</t>
  </si>
  <si>
    <t>HSA / H12</t>
  </si>
  <si>
    <t>HSA / I12</t>
  </si>
  <si>
    <t>HSA / J12</t>
  </si>
  <si>
    <t>HSA / K12</t>
  </si>
  <si>
    <t>HSA / L12</t>
  </si>
  <si>
    <t>HSA / M12</t>
  </si>
  <si>
    <t>HSA / E19</t>
  </si>
  <si>
    <t>HSA / F19</t>
  </si>
  <si>
    <t>HSA / G19</t>
  </si>
  <si>
    <t>HSA / H19</t>
  </si>
  <si>
    <t>HSA / I19</t>
  </si>
  <si>
    <t>HSA / J19</t>
  </si>
  <si>
    <t>HSA / K19</t>
  </si>
  <si>
    <t>HSA / L19</t>
  </si>
  <si>
    <t>HSA / M19</t>
  </si>
  <si>
    <t>HSA / H20</t>
  </si>
  <si>
    <t>HSA / I20</t>
  </si>
  <si>
    <t>HSA / J20</t>
  </si>
  <si>
    <t>HSA / K20</t>
  </si>
  <si>
    <t>HSA / L20</t>
  </si>
  <si>
    <t>HSA / M20</t>
  </si>
  <si>
    <t>HSA / E21</t>
  </si>
  <si>
    <t>HSA / F21</t>
  </si>
  <si>
    <t>HSA / G21</t>
  </si>
  <si>
    <t>HSA / H21</t>
  </si>
  <si>
    <t>HSA / I21</t>
  </si>
  <si>
    <t>HSA / J21</t>
  </si>
  <si>
    <t>HSA / K21</t>
  </si>
  <si>
    <t>HSA / L21</t>
  </si>
  <si>
    <t>HSA / M21</t>
  </si>
  <si>
    <t>HSA / E28</t>
  </si>
  <si>
    <t>HSA / F28</t>
  </si>
  <si>
    <t>HSA / G28</t>
  </si>
  <si>
    <t>HSA / H28</t>
  </si>
  <si>
    <t>HSA / I28</t>
  </si>
  <si>
    <t>HSA / J28</t>
  </si>
  <si>
    <t>HSA / K28</t>
  </si>
  <si>
    <t>HSA / L28</t>
  </si>
  <si>
    <t>HSA / M28</t>
  </si>
  <si>
    <t>HSA / E33</t>
  </si>
  <si>
    <t>HSA / F33</t>
  </si>
  <si>
    <t>HSA / G33</t>
  </si>
  <si>
    <t>HSA / H33</t>
  </si>
  <si>
    <t>HSA / I33</t>
  </si>
  <si>
    <t>HSA / J33</t>
  </si>
  <si>
    <t>HSA / K33</t>
  </si>
  <si>
    <t>HSA / L33</t>
  </si>
  <si>
    <t>HSA / M33</t>
  </si>
  <si>
    <t>HSA / H43</t>
  </si>
  <si>
    <t>HSA / I43</t>
  </si>
  <si>
    <t>HSA / J43</t>
  </si>
  <si>
    <t>HSA / K43</t>
  </si>
  <si>
    <t>HSA / L43</t>
  </si>
  <si>
    <t>HSA / M43</t>
  </si>
  <si>
    <t>HSA / E46</t>
  </si>
  <si>
    <t>HSA / F46</t>
  </si>
  <si>
    <t>HSA / G46</t>
  </si>
  <si>
    <t>HSA / H46</t>
  </si>
  <si>
    <t>HSA / I46</t>
  </si>
  <si>
    <t>HSA / J46</t>
  </si>
  <si>
    <t>HSA / K46</t>
  </si>
  <si>
    <t>HSA / L46</t>
  </si>
  <si>
    <t>HSA / M46</t>
  </si>
  <si>
    <t>HSA / H60</t>
  </si>
  <si>
    <t>HSA / I60</t>
  </si>
  <si>
    <t>HSA / J60</t>
  </si>
  <si>
    <t>HSA / K60</t>
  </si>
  <si>
    <t>HSA / L60</t>
  </si>
  <si>
    <t>HSA / M60</t>
  </si>
  <si>
    <t>HSA / E64</t>
  </si>
  <si>
    <t>HSA / F64</t>
  </si>
  <si>
    <t>HSA / G64</t>
  </si>
  <si>
    <t>HSA / H64</t>
  </si>
  <si>
    <t>HSA / I64</t>
  </si>
  <si>
    <t>HSA / J64</t>
  </si>
  <si>
    <t>HSA / K64</t>
  </si>
  <si>
    <t>HSA / L64</t>
  </si>
  <si>
    <t>HSA / M64</t>
  </si>
  <si>
    <t>Counts — ALL / earthquake</t>
  </si>
  <si>
    <t>Counts. Read left to right: old saved output → legacy query → corrected query → new saved output. Change = corrected query minus legacy query. ALL / earthquake only; both geocode statuses combined.</t>
  </si>
  <si>
    <t>Corrected query</t>
  </si>
  <si>
    <t>New saved output</t>
  </si>
  <si>
    <t>Change</t>
  </si>
  <si>
    <t>TOTAL</t>
  </si>
  <si>
    <t>Sources and basis</t>
  </si>
  <si>
    <t>Old saved output: bscr/output/bscr-output.csv. New saved output: bscr/reconcile/bscr_output_wseq.csv. Both queries default to 1.35 FX; old monetary values are converted once to USD. The Schedule X(f) tab establishes the link to the corrected February templates.</t>
  </si>
  <si>
    <t>Gross exposure — ALL / earthquake</t>
  </si>
  <si>
    <t>USD millions. Read left to right: old saved output → legacy query → corrected query → new saved output. Change = corrected query minus legacy query. ALL / earthquake only; both geocode statuses combined.</t>
  </si>
  <si>
    <t>Old CSV monetary amounts are pre-FX; this tab converts them once at1.35 to USD millions. Schedule X(f) shows that the v2 templates retain the pre-FX values despite USD headings. Matching this normalized table does not validate the templates as saved. Geocoding duplication is a separate calculation correction.</t>
  </si>
  <si>
    <t>Net exposure — ALL / earthquake</t>
  </si>
  <si>
    <t>USD</t>
  </si>
  <si>
    <t>Reconcile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</si>
</sst>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0"/>
    <numFmt numFmtId="165" formatCode="#,##0.000;[Red]\(#,##0.000\);0.000"/>
    <numFmt numFmtId="166" formatCode="[&gt;=0.0005]#,##0.000;[Red][&lt;=-0.0005]\(#,##0.000\);0.000"/>
    <numFmt numFmtId="167" formatCode="&quot;MATCH&quot;"/>
    <numFmt numFmtId="168" formatCode="&quot;CHECK&quot;"/>
  </numFmts>
  <fonts count="9" x14ac:knownFonts="1">
    <font>
      <sz val="11"/>
      <color theme="1"/>
      <name val="Calibri"/>
      <family val="2"/>
      <scheme val="minor"/>
    </font>
    <font>
      <b/>
      <sz val="18"/>
      <color rgb="FFFFFFFF"/>
      <name val="Calibri"/>
    </font>
    <font>
      <sz val="11"/>
      <color rgb="FF666666"/>
      <name val="Calibri"/>
    </font>
    <font>
      <b/>
      <sz val="11"/>
      <color rgb="FFFFFFFF"/>
      <name val="Calibri"/>
    </font>
    <font>
      <sz val="11"/>
      <name val="Calibri"/>
    </font>
    <font>
      <b/>
      <sz val="11"/>
      <color rgb="FF17365D"/>
      <name val="Calibri"/>
    </font>
    <font>
      <b/>
      <sz val="12"/>
      <color rgb="FF17365D"/>
      <name val="Calibri"/>
    </font>
    <font>
      <u/>
      <sz val="11"/>
      <color rgb="FF0563C1"/>
      <name val="Calibri"/>
    </font>
    <font>
      <b/>
      <sz val="11"/>
      <color rgb="FFFFFFFF"/>
      <name val="Calibri"/>
      <family val="2"/>
    </font>
  </fonts>
  <fills count="13">
    <fill>
      <patternFill patternType="none"/>
    </fill>
    <fill>
      <patternFill patternType="gray125"/>
    </fill>
    <fill>
      <patternFill patternType="solid">
        <fgColor rgb="FF17365D"/>
      </patternFill>
    </fill>
    <fill>
      <patternFill patternType="solid">
        <fgColor rgb="FFEAF1F8"/>
      </patternFill>
    </fill>
    <fill>
      <patternFill patternType="solid">
        <fgColor rgb="FFFFF2CC"/>
      </patternFill>
    </fill>
    <fill>
      <patternFill patternType="solid">
        <fgColor rgb="FFD9E2F3"/>
      </patternFill>
    </fill>
    <fill>
      <patternFill patternType="solid">
        <fgColor rgb="FFE2F0D9"/>
      </patternFill>
    </fill>
    <fill>
      <patternFill patternType="solid">
        <fgColor rgb="FFDDEBF7"/>
      </patternFill>
    </fill>
    <fill>
      <patternFill patternType="solid">
        <fgColor rgb="FFFFF2CC"/>
        <bgColor indexed="64"/>
      </patternFill>
    </fill>
    <fill>
      <patternFill patternType="solid">
        <fgColor rgb="FFDDEBF7"/>
        <bgColor indexed="64"/>
      </patternFill>
    </fill>
    <fill>
      <patternFill patternType="solid">
        <fgColor rgb="FFE2EFDA"/>
        <bgColor indexed="64"/>
      </patternFill>
    </fill>
    <fill>
      <patternFill patternType="solid">
        <fgColor rgb="FFC6EFCE"/>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48">
    <xf numFmtId="0" fontId="0" fillId="0" borderId="0" xfId="0"/>
    <xf numFmtId="0" fontId="3" fillId="2" borderId="0" xfId="0" applyFont="1" applyFill="1" applyAlignment="1">
      <alignment vertical="center" wrapText="1"/>
    </xf>
    <xf numFmtId="0" fontId="4" fillId="3" borderId="0" xfId="0" applyFont="1" applyFill="1" applyAlignment="1">
      <alignment vertical="center" wrapText="1"/>
    </xf>
    <xf numFmtId="0" fontId="4" fillId="0" borderId="0" xfId="0" applyFont="1" applyAlignment="1">
      <alignment vertical="center" wrapText="1"/>
    </xf>
    <xf numFmtId="164" fontId="4" fillId="6" borderId="0" xfId="0" applyNumberFormat="1" applyFont="1" applyFill="1" applyAlignment="1">
      <alignment vertical="center"/>
    </xf>
    <xf numFmtId="164" fontId="4" fillId="7" borderId="0" xfId="0" applyNumberFormat="1" applyFont="1" applyFill="1" applyAlignment="1">
      <alignment vertical="center"/>
    </xf>
    <xf numFmtId="164" fontId="4" fillId="4" borderId="0" xfId="0" applyNumberFormat="1" applyFont="1" applyFill="1" applyAlignment="1">
      <alignment vertical="center"/>
    </xf>
    <xf numFmtId="0" fontId="5" fillId="5" borderId="0" xfId="0" applyFont="1" applyFill="1" applyAlignment="1">
      <alignment vertical="center" wrapText="1"/>
    </xf>
    <xf numFmtId="164" fontId="5" fillId="6" borderId="0" xfId="0" applyNumberFormat="1" applyFont="1" applyFill="1" applyAlignment="1">
      <alignment vertical="center"/>
    </xf>
    <xf numFmtId="164" fontId="5" fillId="7" borderId="0" xfId="0" applyNumberFormat="1" applyFont="1" applyFill="1" applyAlignment="1">
      <alignment vertical="center"/>
    </xf>
    <xf numFmtId="164" fontId="5" fillId="5" borderId="0" xfId="0" applyNumberFormat="1" applyFont="1" applyFill="1" applyAlignment="1">
      <alignment vertical="center"/>
    </xf>
    <xf numFmtId="165" fontId="4" fillId="6" borderId="0" xfId="0" applyNumberFormat="1" applyFont="1" applyFill="1" applyAlignment="1">
      <alignment vertical="center"/>
    </xf>
    <xf numFmtId="165" fontId="4" fillId="7" borderId="0" xfId="0" applyNumberFormat="1" applyFont="1" applyFill="1" applyAlignment="1">
      <alignment vertical="center"/>
    </xf>
    <xf numFmtId="165" fontId="4" fillId="4" borderId="0" xfId="0" applyNumberFormat="1" applyFont="1" applyFill="1" applyAlignment="1">
      <alignment vertical="center"/>
    </xf>
    <xf numFmtId="165" fontId="5" fillId="6" borderId="0" xfId="0" applyNumberFormat="1" applyFont="1" applyFill="1" applyAlignment="1">
      <alignment vertical="center"/>
    </xf>
    <xf numFmtId="165" fontId="5" fillId="7" borderId="0" xfId="0" applyNumberFormat="1" applyFont="1" applyFill="1" applyAlignment="1">
      <alignment vertical="center"/>
    </xf>
    <xf numFmtId="165" fontId="5" fillId="5" borderId="0" xfId="0" applyNumberFormat="1" applyFont="1" applyFill="1" applyAlignment="1">
      <alignment vertical="center"/>
    </xf>
    <xf numFmtId="164" fontId="4" fillId="3" borderId="0" xfId="0" applyNumberFormat="1" applyFont="1" applyFill="1" applyAlignment="1">
      <alignment vertical="center"/>
    </xf>
    <xf numFmtId="164" fontId="4" fillId="0" borderId="0" xfId="0" applyNumberFormat="1" applyFont="1" applyAlignment="1">
      <alignment vertical="center"/>
    </xf>
    <xf numFmtId="165" fontId="4" fillId="0" borderId="0" xfId="0" applyNumberFormat="1" applyFont="1" applyAlignment="1">
      <alignment vertical="center"/>
    </xf>
    <xf numFmtId="165" fontId="4" fillId="3" borderId="0" xfId="0" applyNumberFormat="1" applyFont="1" applyFill="1" applyAlignment="1">
      <alignment vertical="center"/>
    </xf>
    <xf numFmtId="166" fontId="4" fillId="6" borderId="0" xfId="0" applyNumberFormat="1" applyFont="1" applyFill="1" applyAlignment="1">
      <alignment vertical="center"/>
    </xf>
    <xf numFmtId="3" fontId="4" fillId="3" borderId="0" xfId="0" applyNumberFormat="1" applyFont="1" applyFill="1" applyAlignment="1">
      <alignment vertical="center"/>
    </xf>
    <xf numFmtId="3" fontId="4" fillId="6" borderId="0" xfId="0" applyNumberFormat="1" applyFont="1" applyFill="1" applyAlignment="1">
      <alignment vertical="center"/>
    </xf>
    <xf numFmtId="0" fontId="4" fillId="6" borderId="0" xfId="0" applyFont="1" applyFill="1" applyAlignment="1">
      <alignment vertical="center" wrapText="1"/>
    </xf>
    <xf numFmtId="3" fontId="4" fillId="0" borderId="0" xfId="0" applyNumberFormat="1" applyFont="1" applyAlignment="1">
      <alignment vertical="center"/>
    </xf>
    <xf numFmtId="0" fontId="4" fillId="0" borderId="0" xfId="0" applyFont="1" applyAlignment="1">
      <alignment wrapText="1"/>
    </xf>
    <xf numFmtId="0" fontId="4" fillId="3" borderId="0" xfId="0" applyFont="1" applyFill="1" applyAlignment="1">
      <alignment wrapText="1"/>
    </xf>
    <xf numFmtId="0" fontId="1" fillId="2" borderId="0" xfId="0" applyFont="1" applyFill="1"/>
    <xf numFmtId="0" fontId="0" fillId="0" borderId="0" xfId="0"/>
    <xf numFmtId="0" fontId="2" fillId="0" borderId="0" xfId="0" applyFont="1" applyAlignment="1">
      <alignment vertical="center" wrapText="1"/>
    </xf>
    <xf numFmtId="0" fontId="0" fillId="0" borderId="0" xfId="0" applyAlignment="1">
      <alignment vertical="center" wrapText="1"/>
    </xf>
    <xf numFmtId="0" fontId="7" fillId="0" borderId="0" xfId="0" applyFont="1"/>
    <xf numFmtId="0" fontId="6" fillId="0" borderId="0" xfId="0" applyFont="1"/>
    <xf numFmtId="0" fontId="0" fillId="0" borderId="0" xfId="0" applyAlignment="1">
      <alignment vertical="top" wrapText="1"/>
    </xf>
    <xf numFmtId="0" fontId="8" fillId="2" borderId="0" xfId="0" applyFont="1" applyFill="1" applyAlignment="1">
      <alignment vertical="center" wrapText="1"/>
    </xf>
    <xf numFmtId="3" fontId="0" fillId="0" borderId="0" xfId="0" applyNumberFormat="1"/>
    <xf numFmtId="3" fontId="4" fillId="12" borderId="0" xfId="0" applyNumberFormat="1" applyFont="1" applyFill="1" applyAlignment="1">
      <alignment vertical="center"/>
    </xf>
    <xf numFmtId="3" fontId="4" fillId="12" borderId="0" xfId="0" applyNumberFormat="1" applyFont="1" applyFill="1" applyAlignment="1">
      <alignment vertical="center"/>
    </xf>
    <xf numFmtId="3" fontId="4" fillId="12" borderId="0" xfId="0" applyFont="1" applyFill="1" applyAlignment="1" applyNumberFormat="1">
      <alignment vertical="center" wrapText="1"/>
    </xf>
    <xf numFmtId="3" fontId="4" fillId="12" borderId="0" xfId="0" applyNumberFormat="1" applyFont="1" applyFill="1" applyAlignment="1">
      <alignment vertical="center"/>
    </xf>
    <xf numFmtId="167" fontId="0" fillId="11" borderId="0" xfId="0" applyNumberFormat="1" applyFill="1"/>
    <xf numFmtId="165" fontId="4" fillId="8" borderId="0" xfId="0" applyNumberFormat="1" applyFont="1" applyAlignment="1" applyFill="1">
      <alignment vertical="center"/>
    </xf>
    <xf numFmtId="165" fontId="4" fillId="9" borderId="0" xfId="0" applyNumberFormat="1" applyFont="1" applyFill="1" applyAlignment="1">
      <alignment vertical="center"/>
    </xf>
    <xf numFmtId="0" fontId="4" fillId="9" borderId="0" xfId="0" applyFont="1" applyFill="1" applyAlignment="1">
      <alignment vertical="center" wrapText="1"/>
    </xf>
    <xf numFmtId="165" fontId="4" fillId="10" borderId="0" xfId="0" applyNumberFormat="1" applyFont="1" applyFill="1" applyAlignment="1">
      <alignment vertical="center"/>
    </xf>
    <xf numFmtId="165" fontId="4" fillId="8" borderId="0" xfId="0" applyNumberFormat="1" applyFont="1" applyFill="1" applyAlignment="1">
      <alignment vertical="center"/>
    </xf>
    <xf numFmtId="3" fontId="4" fillId="12" borderId="0" xfId="0" applyNumberFormat="1" applyFont="1" applyAlignment="1" applyFill="1">
      <alignment vertical="center"/>
    </xf>
  </cellXfs>
  <cellStyles count="1">
    <cellStyle name="Normal" xfId="0" builtinId="0"/>
  </cellStyles>
  <dxfs count="3">
    <dxf>
      <numFmt numFmtId="3" formatCode="#,##0"/>
    </dxf>
    <dxf>
      <font>
        <b/>
        <color rgb="FF006100"/>
      </font>
      <numFmt numFmtId="167" formatCode="&quot;MATCH&quot;"/>
      <fill>
        <patternFill patternType="solid">
          <fgColor rgb="FFC6EFCE"/>
          <bgColor indexed="64"/>
        </patternFill>
      </fill>
    </dxf>
    <dxf>
      <font>
        <b/>
        <color rgb="FF9C0006"/>
      </font>
      <numFmt numFmtId="168" formatCode="&quot;CHECK&quot;"/>
      <fill>
        <patternFill patternType="solid">
          <fgColor rgb="FFFFC7CE"/>
          <bgColor indexed="6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con101" displayName="Recon101" ref="A5:C15">
  <autoFilter ref="A5:C15" xr:uid="{00000000-0009-0000-0100-000001000000}"/>
  <tableColumns count="3">
    <tableColumn id="1" xr3:uid="{00000000-0010-0000-0000-000001000000}" name="Step / scope"/>
    <tableColumn id="2" xr3:uid="{00000000-0010-0000-0000-000002000000}" name="Result / basis"/>
    <tableColumn id="3" xr3:uid="{00000000-0010-0000-0000-000003000000}" name="Precisely what this means"/>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con102" displayName="Recon102" ref="A5:I20">
  <autoFilter ref="A5:I20" xr:uid="{00000000-0009-0000-0100-000002000000}"/>
  <tableColumns count="9">
    <tableColumn id="1" xr3:uid="{00000000-0010-0000-0100-000001000000}" name="Entity"/>
    <tableColumn id="2" xr3:uid="{00000000-0010-0000-0100-000002000000}" name="Measure"/>
    <tableColumn id="3" xr3:uid="{00000000-0010-0000-0100-000003000000}" name="Template as saved"/>
    <tableColumn id="4" xr3:uid="{00000000-0010-0000-0100-000004000000}" name="Old output: same pre-FX scale"/>
    <tableColumn id="5" xr3:uid="{00000000-0010-0000-0100-000005000000}" name="Legacy query: same pre-FX scale"/>
    <tableColumn id="6" xr3:uid="{00000000-0010-0000-0100-000006000000}" name="Required USD: same scale"/>
    <tableColumn id="7" xr3:uid="{00000000-0010-0000-0100-000007000000}" name="Required USD millions"/>
    <tableColumn id="8" xr3:uid="{00000000-0010-0000-0100-000008000000}" name="Legacy USD / count">
      <calculatedColumnFormula>IF([@Measure]="Count",[@[Legacy query: same pre-FX scale]],[@[Legacy query: same pre-FX scale]]*1.35)</calculatedColumnFormula>
    </tableColumn>
    <tableColumn id="9" xr3:uid="{0B3803EC-9399-421A-86B9-0DEB9EBC8CA9}" name="Reconcile" dataDxfId="0">
      <calculatedColumnFormula>IF([@Measure]="Count",[@[Legacy USD / count]]-[@[Template as saved]],[@[Legacy USD / count]]-[@[Required USD: same scale]])</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con103" displayName="Recon103" ref="A38:H566">
  <autoFilter ref="A38:H566" xr:uid="{00000000-0009-0000-0100-000003000000}"/>
  <tableColumns count="8">
    <tableColumn id="1" xr3:uid="{00000000-0010-0000-0200-000001000000}" name="Entity / cell"/>
    <tableColumn id="2" xr3:uid="{00000000-0010-0000-0200-000002000000}" name="Population / measure"/>
    <tableColumn id="3" xr3:uid="{00000000-0010-0000-0200-000003000000}" name="Template normalized"/>
    <tableColumn id="4" xr3:uid="{00000000-0010-0000-0200-000004000000}" name="Old saved output"/>
    <tableColumn id="5" xr3:uid="{00000000-0010-0000-0200-000005000000}" name="Legacy query"/>
    <tableColumn id="6" xr3:uid="{00000000-0010-0000-0200-000006000000}" name="Template − old"/>
    <tableColumn id="7" xr3:uid="{00000000-0010-0000-0200-000007000000}" name="Old − legacy"/>
    <tableColumn id="8" xr3:uid="{00000000-0010-0000-0200-000008000000}" name="Result"/>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con2" displayName="Recon2" ref="A5:F11">
  <autoFilter ref="A5:F11" xr:uid="{00000000-0009-0000-0100-000004000000}"/>
  <tableColumns count="6">
    <tableColumn id="1" xr3:uid="{00000000-0010-0000-0300-000001000000}" name="Entity"/>
    <tableColumn id="2" xr3:uid="{00000000-0010-0000-0300-000002000000}" name="Old saved output"/>
    <tableColumn id="3" xr3:uid="{00000000-0010-0000-0300-000003000000}" name="Legacy query"/>
    <tableColumn id="4" xr3:uid="{00000000-0010-0000-0300-000004000000}" name="Corrected query"/>
    <tableColumn id="5" xr3:uid="{00000000-0010-0000-0300-000005000000}" name="New saved output"/>
    <tableColumn id="6" xr3:uid="{00000000-0010-0000-0300-000006000000}" name="Change"/>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con3" displayName="Recon3" ref="A5:F11">
  <autoFilter ref="A5:F11" xr:uid="{00000000-0009-0000-0100-000005000000}"/>
  <tableColumns count="6">
    <tableColumn id="1" xr3:uid="{00000000-0010-0000-0400-000001000000}" name="Entity"/>
    <tableColumn id="2" xr3:uid="{00000000-0010-0000-0400-000002000000}" name="Old saved output"/>
    <tableColumn id="3" xr3:uid="{00000000-0010-0000-0400-000003000000}" name="Legacy query"/>
    <tableColumn id="4" xr3:uid="{00000000-0010-0000-0400-000004000000}" name="Corrected query"/>
    <tableColumn id="5" xr3:uid="{00000000-0010-0000-0400-000005000000}" name="New saved output"/>
    <tableColumn id="6" xr3:uid="{00000000-0010-0000-0400-000006000000}" name="Change"/>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con4" displayName="Recon4" ref="A5:F11">
  <autoFilter ref="A5:F11" xr:uid="{00000000-0009-0000-0100-000006000000}"/>
  <tableColumns count="6">
    <tableColumn id="1" xr3:uid="{00000000-0010-0000-0500-000001000000}" name="Entity"/>
    <tableColumn id="2" xr3:uid="{00000000-0010-0000-0500-000002000000}" name="Old saved output"/>
    <tableColumn id="3" xr3:uid="{00000000-0010-0000-0500-000003000000}" name="Legacy query"/>
    <tableColumn id="4" xr3:uid="{00000000-0010-0000-0500-000004000000}" name="Corrected query"/>
    <tableColumn id="5" xr3:uid="{00000000-0010-0000-0500-000005000000}" name="New saved output"/>
    <tableColumn id="6" xr3:uid="{00000000-0010-0000-0500-000006000000}" name="Chang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filled%20in%20templates/2026%20BSCR%20-%20UKEU%20-%20HIC%20v2.xlsx" TargetMode="External"/><Relationship Id="rId7" Type="http://schemas.openxmlformats.org/officeDocument/2006/relationships/table" Target="../tables/table2.xml"/><Relationship Id="rId2" Type="http://schemas.openxmlformats.org/officeDocument/2006/relationships/hyperlink" Target="../filled%20in%20templates/2026%20BSCR%20-%20UKEU%20-%203624%20v2.xlsx" TargetMode="External"/><Relationship Id="rId1" Type="http://schemas.openxmlformats.org/officeDocument/2006/relationships/hyperlink" Target="../filled%20in%20templates/2026%20BSCR%20-%20UKEU%20-%2033.xlsx" TargetMode="External"/><Relationship Id="rId6" Type="http://schemas.openxmlformats.org/officeDocument/2006/relationships/vmlDrawing" Target="../drawings/vmlDrawing1.vml"/><Relationship Id="rId5" Type="http://schemas.openxmlformats.org/officeDocument/2006/relationships/hyperlink" Target="../filled%20in%20templates/2026%20BSCR%20-%20UKEU%20-%20HSA%20v2.xlsx" TargetMode="External"/><Relationship Id="rId4" Type="http://schemas.openxmlformats.org/officeDocument/2006/relationships/hyperlink" Target="../filled%20in%20templates/2026%20BSCR%20-%20UKEU%20-%20HIG%20v2.xlsx"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pageSetUpPr fitToPage="1"/>
  </sheetPr>
  <dimension ref="A1:C15"/>
  <sheetViews>
    <sheetView showGridLines="0" workbookViewId="0">
      <pane xSplit="1" ySplit="5" topLeftCell="B6" activePane="bottomRight" state="frozen"/>
      <selection pane="topRight"/>
      <selection pane="bottomLeft"/>
      <selection pane="bottomRight" sqref="A1:C1"/>
    </sheetView>
  </sheetViews>
  <sheetFormatPr defaultRowHeight="14.5" x14ac:dyDescent="0.35"/>
  <cols>
    <col min="1" max="1" width="27" customWidth="1"/>
    <col min="2" max="2" width="40" customWidth="1"/>
    <col min="3" max="3" width="75" customWidth="1"/>
  </cols>
  <sheetData>
    <row r="1" spans="1:3" ht="32" customHeight="1" x14ac:dyDescent="0.55000000000000004">
      <c r="A1" s="28" t="s">
        <v>0</v>
      </c>
      <c r="B1" s="29"/>
      <c r="C1" s="29"/>
    </row>
    <row r="2" spans="1:3" ht="25" customHeight="1" x14ac:dyDescent="0.35">
      <c r="A2" s="30" t="s">
        <v>1</v>
      </c>
      <c r="B2" s="29"/>
      <c r="C2" s="29"/>
    </row>
    <row r="3" spans="1:3" ht="20" customHeight="1" x14ac:dyDescent="0.35">
      <c r="A3" s="29"/>
      <c r="B3" s="29"/>
      <c r="C3" s="29"/>
    </row>
    <row r="5" spans="1:3" ht="40" customHeight="1" x14ac:dyDescent="0.35">
      <c r="A5" s="1" t="s">
        <v>2</v>
      </c>
      <c r="B5" s="1" t="s">
        <v>3</v>
      </c>
      <c r="C5" s="1" t="s">
        <v>4</v>
      </c>
    </row>
    <row r="6" spans="1:3" ht="67" customHeight="1" x14ac:dyDescent="0.35">
      <c r="A6" s="2" t="s">
        <v>5</v>
      </c>
      <c r="B6" s="2" t="s">
        <v>6</v>
      </c>
      <c r="C6" s="2" t="s">
        <v>7</v>
      </c>
    </row>
    <row r="7" spans="1:3" ht="67" customHeight="1" x14ac:dyDescent="0.35">
      <c r="A7" s="3" t="s">
        <v>8</v>
      </c>
      <c r="B7" s="3" t="s">
        <v>9</v>
      </c>
      <c r="C7" s="3" t="s">
        <v>10</v>
      </c>
    </row>
    <row r="8" spans="1:3" ht="67" customHeight="1" x14ac:dyDescent="0.35">
      <c r="A8" s="2" t="s">
        <v>11</v>
      </c>
      <c r="B8" s="2" t="s">
        <v>12</v>
      </c>
      <c r="C8" s="2" t="s">
        <v>13</v>
      </c>
    </row>
    <row r="9" spans="1:3" ht="67" customHeight="1" x14ac:dyDescent="0.35">
      <c r="A9" s="3" t="s">
        <v>14</v>
      </c>
      <c r="B9" s="3" t="s">
        <v>15</v>
      </c>
      <c r="C9" s="3" t="s">
        <v>16</v>
      </c>
    </row>
    <row r="10" spans="1:3" ht="67" customHeight="1" x14ac:dyDescent="0.35">
      <c r="A10" s="2" t="s">
        <v>17</v>
      </c>
      <c r="B10" s="2" t="s">
        <v>18</v>
      </c>
      <c r="C10" s="2" t="s">
        <v>19</v>
      </c>
    </row>
    <row r="11" spans="1:3" ht="67" customHeight="1" x14ac:dyDescent="0.35">
      <c r="A11" s="3" t="s">
        <v>20</v>
      </c>
      <c r="B11" s="3" t="s">
        <v>21</v>
      </c>
      <c r="C11" s="3" t="s">
        <v>22</v>
      </c>
    </row>
    <row r="12" spans="1:3" ht="67" customHeight="1" x14ac:dyDescent="0.35">
      <c r="A12" s="2" t="s">
        <v>23</v>
      </c>
      <c r="B12" s="2" t="s">
        <v>24</v>
      </c>
      <c r="C12" s="2" t="s">
        <v>25</v>
      </c>
    </row>
    <row r="13" spans="1:3" ht="67" customHeight="1" x14ac:dyDescent="0.35">
      <c r="A13" s="3" t="s">
        <v>26</v>
      </c>
      <c r="B13" s="3" t="s">
        <v>27</v>
      </c>
      <c r="C13" s="3" t="s">
        <v>28</v>
      </c>
    </row>
    <row r="14" spans="1:3" ht="67" customHeight="1" x14ac:dyDescent="0.35">
      <c r="A14" s="2" t="s">
        <v>29</v>
      </c>
      <c r="B14" s="2" t="s">
        <v>30</v>
      </c>
      <c r="C14" s="2" t="s">
        <v>31</v>
      </c>
    </row>
    <row r="15" spans="1:3" ht="67" customHeight="1" x14ac:dyDescent="0.35">
      <c r="A15" s="3" t="s">
        <v>32</v>
      </c>
      <c r="B15" s="3" t="s">
        <v>33</v>
      </c>
      <c r="C15" s="3" t="s">
        <v>34</v>
      </c>
    </row>
  </sheetData>
  <mergeCells count="2">
    <mergeCell ref="A1:C1"/>
    <mergeCell ref="A2:C3"/>
  </mergeCells>
  <pageMargins left="0.75" right="0.75" top="1" bottom="1" header="0.5" footer="0.5"/>
  <pageSetup paperSize="9" fitToHeight="0" orientation="landscape"/>
  <headerFooter>
    <oddFooter>&amp;CBSCR reconciliation | &amp;P of &amp;N</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I566"/>
  <sheetViews>
    <sheetView showGridLines="0" tabSelected="1" zoomScale="85" workbookViewId="0">
      <pane xSplit="1" ySplit="5" topLeftCell="B6" activePane="bottomRight" state="frozen"/>
      <selection pane="topRight"/>
      <selection pane="bottomLeft"/>
      <selection pane="bottomRight" activeCell="I6" sqref="I6"/>
    </sheetView>
  </sheetViews>
  <sheetFormatPr defaultRowHeight="14.5" outlineLevelRow="1" x14ac:dyDescent="0.35"/>
  <cols>
    <col min="1" max="1" width="13" customWidth="1"/>
    <col min="2" max="2" width="23" customWidth="1"/>
    <col min="3" max="5" width="24" customWidth="1"/>
    <col min="6" max="7" width="22" customWidth="1"/>
    <col min="8" max="8" width="32" customWidth="1"/>
    <col min="9" max="9" width="19.453125" customWidth="1"/>
  </cols>
  <sheetData>
    <row r="1" spans="1:9" ht="32" customHeight="1" x14ac:dyDescent="0.55000000000000004">
      <c r="A1" s="28" t="s">
        <v>35</v>
      </c>
      <c r="B1" s="29"/>
      <c r="C1" s="29"/>
      <c r="D1" s="29"/>
      <c r="E1" s="29"/>
      <c r="F1" s="29"/>
      <c r="G1" s="29"/>
      <c r="H1" s="29"/>
    </row>
    <row r="2" spans="1:9" ht="25" customHeight="1" x14ac:dyDescent="0.35">
      <c r="A2" s="30" t="s">
        <v>36</v>
      </c>
      <c r="B2" s="29"/>
      <c r="C2" s="29"/>
      <c r="D2" s="29"/>
      <c r="E2" s="29"/>
      <c r="F2" s="29"/>
      <c r="G2" s="29"/>
      <c r="H2" s="29"/>
    </row>
    <row r="3" spans="1:9" ht="20" customHeight="1" x14ac:dyDescent="0.35">
      <c r="A3" s="29"/>
      <c r="B3" s="29"/>
      <c r="C3" s="29"/>
      <c r="D3" s="29"/>
      <c r="E3" s="29"/>
      <c r="F3" s="29"/>
      <c r="G3" s="29"/>
      <c r="H3" s="29"/>
    </row>
    <row r="5" spans="1:9" ht="40" customHeight="1" x14ac:dyDescent="0.35">
      <c r="A5" s="1" t="s">
        <v>37</v>
      </c>
      <c r="B5" s="1" t="s">
        <v>38</v>
      </c>
      <c r="C5" s="1" t="s">
        <v>39</v>
      </c>
      <c r="D5" s="1" t="s">
        <v>40</v>
      </c>
      <c r="E5" s="1" t="s">
        <v>41</v>
      </c>
      <c r="F5" s="1" t="s">
        <v>42</v>
      </c>
      <c r="G5" s="1" t="s">
        <v>43</v>
      </c>
      <c r="H5" s="35" t="inlineStr">
        <is>
          <t>Legacy USD / count</t>
        </is>
      </c>
      <c r="I5" t="s">
        <v>623</v>
      </c>
    </row>
    <row r="6" spans="1:9" ht="43" customHeight="1" x14ac:dyDescent="0.35">
      <c r="A6" s="2" t="s">
        <v>44</v>
      </c>
      <c r="B6" s="2" t="s">
        <v>45</v>
      </c>
      <c r="C6" s="37">
        <v>5341</v>
      </c>
      <c r="D6" s="37">
        <v>5341</v>
      </c>
      <c r="E6" s="37">
        <v>5341</v>
      </c>
      <c r="F6" s="38"/>
      <c r="G6" s="40"/>
      <c r="H6" s="39">
        <f>IF($B6="Count",$E6,$E6*1.35)</f>
        <v>5341.0</v>
      </c>
      <c r="I6" s="41">
        <f>IF($B6="Count",$H6-$C6,$H6-$F6)</f>
        <v>0.0</v>
      </c>
    </row>
    <row r="7" spans="1:9" ht="43" customHeight="1" x14ac:dyDescent="0.35">
      <c r="A7" s="3" t="s">
        <v>44</v>
      </c>
      <c r="B7" s="3" t="s">
        <v>46</v>
      </c>
      <c r="C7" s="42">
        <v>29798684.509707961</v>
      </c>
      <c r="D7" s="42">
        <v>29798684.509707939</v>
      </c>
      <c r="E7" s="42">
        <v>29798684.509707939</v>
      </c>
      <c r="F7" s="43">
        <v>40228224.088105753</v>
      </c>
      <c r="G7" s="45">
        <v>40228.224088105737</v>
      </c>
      <c r="H7" s="44">
        <f>IF($B7="Count",$E7,$E7*1.35)</f>
        <v>40228224.08810572</v>
      </c>
      <c r="I7" s="41">
        <f>IF($B7="Count",$H7-$C7,$H7-$F7)</f>
        <v>-2.9802322387695312e-08</v>
      </c>
    </row>
    <row r="8" spans="1:9" ht="43" customHeight="1" x14ac:dyDescent="0.35">
      <c r="A8" s="2" t="s">
        <v>44</v>
      </c>
      <c r="B8" s="2" t="s">
        <v>47</v>
      </c>
      <c r="C8" s="46">
        <v>21558481.149128009</v>
      </c>
      <c r="D8" s="46">
        <v>21558481.14912812</v>
      </c>
      <c r="E8" s="46">
        <v>21558481.14912812</v>
      </c>
      <c r="F8" s="43">
        <v>29103949.55132281</v>
      </c>
      <c r="G8" s="45">
        <v>29103.94955132281</v>
      </c>
      <c r="H8" s="44">
        <f>IF($B8="Count",$E8,$E8*1.35)</f>
        <v>29103949.551322963</v>
      </c>
      <c r="I8" s="41">
        <f>IF($B8="Count",$H8-$C8,$H8-$F8)</f>
        <v>1.5273690223693848e-07</v>
      </c>
    </row>
    <row r="9" spans="1:9" ht="43" customHeight="1" x14ac:dyDescent="0.35">
      <c r="A9" s="3" t="s">
        <v>48</v>
      </c>
      <c r="B9" s="3" t="s">
        <v>45</v>
      </c>
      <c r="C9" s="47">
        <v>36</v>
      </c>
      <c r="D9" s="47">
        <v>36</v>
      </c>
      <c r="E9" s="47">
        <v>36</v>
      </c>
      <c r="F9" s="38"/>
      <c r="G9" s="40"/>
      <c r="H9" s="39">
        <f>IF($B9="Count",$E9,$E9*1.35)</f>
        <v>36.0</v>
      </c>
      <c r="I9" s="41">
        <f>IF($B9="Count",$H9-$C9,$H9-$F9)</f>
        <v>0.0</v>
      </c>
    </row>
    <row r="10" spans="1:9" ht="43" customHeight="1" x14ac:dyDescent="0.35">
      <c r="A10" s="2" t="s">
        <v>48</v>
      </c>
      <c r="B10" s="2" t="s">
        <v>46</v>
      </c>
      <c r="C10" s="46">
        <v>22066.496800000001</v>
      </c>
      <c r="D10" s="46">
        <v>22066.496800000001</v>
      </c>
      <c r="E10" s="46">
        <v>22066.496800000001</v>
      </c>
      <c r="F10" s="43">
        <v>29789.770680000001</v>
      </c>
      <c r="G10" s="45">
        <v>29.78977068</v>
      </c>
      <c r="H10" s="44">
        <f>IF($B10="Count",$E10,$E10*1.35)</f>
        <v>29789.77068</v>
      </c>
      <c r="I10" s="41">
        <f>IF($B10="Count",$H10-$C10,$H10-$F10)</f>
        <v>0.0</v>
      </c>
    </row>
    <row r="11" spans="1:9" ht="43" customHeight="1" x14ac:dyDescent="0.35">
      <c r="A11" s="3" t="s">
        <v>48</v>
      </c>
      <c r="B11" s="3" t="s">
        <v>47</v>
      </c>
      <c r="C11" s="42">
        <v>22066.496800000001</v>
      </c>
      <c r="D11" s="42">
        <v>22066.496800000001</v>
      </c>
      <c r="E11" s="42">
        <v>22066.496800000001</v>
      </c>
      <c r="F11" s="43">
        <v>29789.770680000001</v>
      </c>
      <c r="G11" s="45">
        <v>29.78977068</v>
      </c>
      <c r="H11" s="44">
        <f>IF($B11="Count",$E11,$E11*1.35)</f>
        <v>29789.77068</v>
      </c>
      <c r="I11" s="41">
        <f>IF($B11="Count",$H11-$C11,$H11-$F11)</f>
        <v>0.0</v>
      </c>
    </row>
    <row r="12" spans="1:9" ht="43" customHeight="1" x14ac:dyDescent="0.35">
      <c r="A12" s="2" t="s">
        <v>49</v>
      </c>
      <c r="B12" s="2" t="s">
        <v>45</v>
      </c>
      <c r="C12" s="37">
        <v>173687</v>
      </c>
      <c r="D12" s="37">
        <v>173687</v>
      </c>
      <c r="E12" s="37">
        <v>173687</v>
      </c>
      <c r="F12" s="38"/>
      <c r="G12" s="40"/>
      <c r="H12" s="39">
        <f>IF($B12="Count",$E12,$E12*1.35)</f>
        <v>173687.0</v>
      </c>
      <c r="I12" s="41">
        <f>IF($B12="Count",$H12-$C12,$H12-$F12)</f>
        <v>0.0</v>
      </c>
    </row>
    <row r="13" spans="1:9" ht="43" customHeight="1" x14ac:dyDescent="0.35">
      <c r="A13" s="3" t="s">
        <v>49</v>
      </c>
      <c r="B13" s="3" t="s">
        <v>46</v>
      </c>
      <c r="C13" s="42">
        <v>121743087.30987801</v>
      </c>
      <c r="D13" s="42">
        <v>121743087.30988</v>
      </c>
      <c r="E13" s="42">
        <v>121743087.30988041</v>
      </c>
      <c r="F13" s="43">
        <v>164353167.86833531</v>
      </c>
      <c r="G13" s="45">
        <v>164353.16786833529</v>
      </c>
      <c r="H13" s="44">
        <f>IF($B13="Count",$E13,$E13*1.35)</f>
        <v>164353167.86833856</v>
      </c>
      <c r="I13" s="41">
        <f>IF($B13="Count",$H13-$C13,$H13-$F13)</f>
        <v>3.248453140258789e-06</v>
      </c>
    </row>
    <row r="14" spans="1:9" ht="43" customHeight="1" x14ac:dyDescent="0.35">
      <c r="A14" s="2" t="s">
        <v>49</v>
      </c>
      <c r="B14" s="2" t="s">
        <v>47</v>
      </c>
      <c r="C14" s="46">
        <v>121743087.30987801</v>
      </c>
      <c r="D14" s="46">
        <v>121743087.30988</v>
      </c>
      <c r="E14" s="46">
        <v>121743087.30988041</v>
      </c>
      <c r="F14" s="43">
        <v>164353167.86833531</v>
      </c>
      <c r="G14" s="45">
        <v>164353.16786833529</v>
      </c>
      <c r="H14" s="44">
        <f>IF($B14="Count",$E14,$E14*1.35)</f>
        <v>164353167.86833856</v>
      </c>
      <c r="I14" s="41">
        <f>IF($B14="Count",$H14-$C14,$H14-$F14)</f>
        <v>3.248453140258789e-06</v>
      </c>
    </row>
    <row r="15" spans="1:9" ht="43" customHeight="1" x14ac:dyDescent="0.35">
      <c r="A15" s="3" t="s">
        <v>50</v>
      </c>
      <c r="B15" s="3" t="s">
        <v>45</v>
      </c>
      <c r="C15" s="47">
        <v>1970</v>
      </c>
      <c r="D15" s="47">
        <v>1970</v>
      </c>
      <c r="E15" s="47">
        <v>1970</v>
      </c>
      <c r="F15" s="38"/>
      <c r="G15" s="40"/>
      <c r="H15" s="39">
        <f>IF($B15="Count",$E15,$E15*1.35)</f>
        <v>1970.0</v>
      </c>
      <c r="I15" s="41">
        <f>IF($B15="Count",$H15-$C15,$H15-$F15)</f>
        <v>0.0</v>
      </c>
    </row>
    <row r="16" spans="1:9" ht="43" customHeight="1" x14ac:dyDescent="0.35">
      <c r="A16" s="2" t="s">
        <v>50</v>
      </c>
      <c r="B16" s="2" t="s">
        <v>46</v>
      </c>
      <c r="C16" s="46">
        <v>8046544.5189486863</v>
      </c>
      <c r="D16" s="46">
        <v>8046544.5189487049</v>
      </c>
      <c r="E16" s="46">
        <v>8046544.5189487059</v>
      </c>
      <c r="F16" s="43">
        <v>10862835.10058073</v>
      </c>
      <c r="G16" s="45">
        <v>10862.835100580731</v>
      </c>
      <c r="H16" s="44">
        <f>IF($B16="Count",$E16,$E16*1.35)</f>
        <v>10862835.100580754</v>
      </c>
      <c r="I16" s="41">
        <f>IF($B16="Count",$H16-$C16,$H16-$F16)</f>
        <v>2.421438694000244e-08</v>
      </c>
    </row>
    <row r="17" spans="1:9" ht="43" customHeight="1" x14ac:dyDescent="0.35">
      <c r="A17" s="3" t="s">
        <v>50</v>
      </c>
      <c r="B17" s="3" t="s">
        <v>47</v>
      </c>
      <c r="C17" s="42">
        <v>6238734.9284093389</v>
      </c>
      <c r="D17" s="42">
        <v>6238734.9284093473</v>
      </c>
      <c r="E17" s="42">
        <v>6238734.9284093482</v>
      </c>
      <c r="F17" s="43">
        <v>8422292.153352607</v>
      </c>
      <c r="G17" s="45">
        <v>8422.2921533526078</v>
      </c>
      <c r="H17" s="44">
        <f>IF($B17="Count",$E17,$E17*1.35)</f>
        <v>8422292.15335262</v>
      </c>
      <c r="I17" s="41">
        <f>IF($B17="Count",$H17-$C17,$H17-$F17)</f>
        <v>1.30385160446167e-08</v>
      </c>
    </row>
    <row r="18" spans="1:9" ht="43" customHeight="1" x14ac:dyDescent="0.35">
      <c r="A18" s="2" t="s">
        <v>51</v>
      </c>
      <c r="B18" s="2" t="s">
        <v>45</v>
      </c>
      <c r="C18" s="37">
        <v>90052</v>
      </c>
      <c r="D18" s="37">
        <v>90052</v>
      </c>
      <c r="E18" s="37">
        <v>90052</v>
      </c>
      <c r="F18" s="38"/>
      <c r="G18" s="40"/>
      <c r="H18" s="39">
        <f>IF($B18="Count",$E18,$E18*1.35)</f>
        <v>90052.0</v>
      </c>
      <c r="I18" s="41">
        <f>IF($B18="Count",$H18-$C18,$H18-$F18)</f>
        <v>0.0</v>
      </c>
    </row>
    <row r="19" spans="1:9" ht="43" customHeight="1" x14ac:dyDescent="0.35">
      <c r="A19" s="3" t="s">
        <v>51</v>
      </c>
      <c r="B19" s="3" t="s">
        <v>46</v>
      </c>
      <c r="C19" s="42">
        <v>77561198.646257892</v>
      </c>
      <c r="D19" s="42">
        <v>77561198.646255136</v>
      </c>
      <c r="E19" s="42">
        <v>77561198.64625518</v>
      </c>
      <c r="F19" s="43">
        <v>104707618.1724482</v>
      </c>
      <c r="G19" s="45">
        <v>104707.6181724482</v>
      </c>
      <c r="H19" s="44">
        <f>IF($B19="Count",$E19,$E19*1.35)</f>
        <v>104707618.17244451</v>
      </c>
      <c r="I19" s="41">
        <f>IF($B19="Count",$H19-$C19,$H19-$F19)</f>
        <v>-3.6954879760742188e-06</v>
      </c>
    </row>
    <row r="20" spans="1:9" ht="43" customHeight="1" x14ac:dyDescent="0.35">
      <c r="A20" s="2" t="s">
        <v>51</v>
      </c>
      <c r="B20" s="2" t="s">
        <v>47</v>
      </c>
      <c r="C20" s="46">
        <v>75864599.507855102</v>
      </c>
      <c r="D20" s="46">
        <v>75864599.50785242</v>
      </c>
      <c r="E20" s="46">
        <v>75864599.507852465</v>
      </c>
      <c r="F20" s="43">
        <v>102417209.3356044</v>
      </c>
      <c r="G20" s="45">
        <v>102417.20933560441</v>
      </c>
      <c r="H20" s="44">
        <f>IF($B20="Count",$E20,$E20*1.35)</f>
        <v>102417209.33560084</v>
      </c>
      <c r="I20" s="41">
        <f>IF($B20="Count",$H20-$C20,$H20-$F20)</f>
        <v>-3.56137752532959e-06</v>
      </c>
    </row>
    <row r="23" spans="1:9" ht="26" customHeight="1" x14ac:dyDescent="0.35">
      <c r="A23" s="33" t="s">
        <v>52</v>
      </c>
      <c r="B23" s="29"/>
      <c r="C23" s="29"/>
      <c r="D23" s="29"/>
      <c r="E23" s="29"/>
      <c r="F23" s="29"/>
      <c r="G23" s="29"/>
      <c r="H23" s="29"/>
    </row>
    <row r="24" spans="1:9" ht="41" customHeight="1" x14ac:dyDescent="0.35">
      <c r="A24" s="31" t="inlineStr">
        <is>
          <t>COLOUR KEY: yellow C–E = pre-FX template/output values; blue F/H = USD at the same scale; pale green G = USD millions. Reconcile: green MATCH / red CHECK. Green means agreement AFTER FX, not that the original template was already USD.</t>
        </is>
      </c>
      <c r="B24" s="29"/>
      <c r="C24" s="29"/>
      <c r="D24" s="29"/>
      <c r="E24" s="29"/>
      <c r="F24" s="29"/>
      <c r="G24" s="29"/>
      <c r="H24" s="29"/>
    </row>
    <row r="25" spans="1:9" ht="41" customHeight="1" x14ac:dyDescent="0.35">
      <c r="A25" s="31" t="s">
        <v>54</v>
      </c>
      <c r="B25" s="29"/>
      <c r="C25" s="29"/>
      <c r="D25" s="29"/>
      <c r="E25" s="29"/>
      <c r="F25" s="29"/>
      <c r="G25" s="29"/>
      <c r="H25" s="29"/>
    </row>
    <row r="26" spans="1:9" ht="41" customHeight="1" x14ac:dyDescent="0.35">
      <c r="A26" s="31" t="s">
        <v>55</v>
      </c>
      <c r="B26" s="29"/>
      <c r="C26" s="29"/>
      <c r="D26" s="29"/>
      <c r="E26" s="29"/>
      <c r="F26" s="29"/>
      <c r="G26" s="29"/>
      <c r="H26" s="29"/>
    </row>
    <row r="27" spans="1:9" ht="41" customHeight="1" x14ac:dyDescent="0.35">
      <c r="A27" s="31" t="inlineStr">
        <is>
          <t>RECONCILE: count rows compare C, D and E exactly and never apply FX. Money rows compare H against F, and D against C after FX. Tolerance = 0.00001 in USD-thousand scale ($0.01). Numeric differences remain in I; MATCH/CHECK is only the display format.</t>
        </is>
      </c>
      <c r="B27" s="29"/>
      <c r="C27" s="29"/>
      <c r="D27" s="29"/>
      <c r="E27" s="29"/>
      <c r="F27" s="29"/>
      <c r="G27" s="29"/>
      <c r="H27" s="29"/>
    </row>
    <row r="29" spans="1:9" ht="26" customHeight="1" x14ac:dyDescent="0.35">
      <c r="A29" s="33" t="s">
        <v>57</v>
      </c>
      <c r="B29" s="29"/>
      <c r="C29" s="29"/>
      <c r="D29" s="29"/>
      <c r="E29" s="29"/>
      <c r="F29" s="29"/>
      <c r="G29" s="29"/>
      <c r="H29" s="29"/>
    </row>
    <row r="30" spans="1:9" ht="22" customHeight="1" x14ac:dyDescent="0.35">
      <c r="A30" t="s">
        <v>44</v>
      </c>
      <c r="B30" s="32" t="s">
        <v>58</v>
      </c>
      <c r="C30" s="29"/>
      <c r="D30" s="29"/>
      <c r="E30" s="29"/>
      <c r="F30" s="29"/>
      <c r="G30" s="29"/>
      <c r="H30" s="29"/>
    </row>
    <row r="31" spans="1:9" ht="22" customHeight="1" x14ac:dyDescent="0.35">
      <c r="A31" t="s">
        <v>48</v>
      </c>
      <c r="B31" s="32" t="s">
        <v>59</v>
      </c>
      <c r="C31" s="29"/>
      <c r="D31" s="29"/>
      <c r="E31" s="29"/>
      <c r="F31" s="29"/>
      <c r="G31" s="29"/>
      <c r="H31" s="29"/>
    </row>
    <row r="32" spans="1:9" ht="22" customHeight="1" x14ac:dyDescent="0.35">
      <c r="A32" t="s">
        <v>49</v>
      </c>
      <c r="B32" s="32" t="s">
        <v>60</v>
      </c>
      <c r="C32" s="29"/>
      <c r="D32" s="29"/>
      <c r="E32" s="29"/>
      <c r="F32" s="29"/>
      <c r="G32" s="29"/>
      <c r="H32" s="29"/>
    </row>
    <row r="33" spans="1:8" ht="22" customHeight="1" x14ac:dyDescent="0.35">
      <c r="A33" t="s">
        <v>50</v>
      </c>
      <c r="B33" s="32" t="s">
        <v>61</v>
      </c>
      <c r="C33" s="29"/>
      <c r="D33" s="29"/>
      <c r="E33" s="29"/>
      <c r="F33" s="29"/>
      <c r="G33" s="29"/>
      <c r="H33" s="29"/>
    </row>
    <row r="34" spans="1:8" ht="22" customHeight="1" x14ac:dyDescent="0.35">
      <c r="A34" t="s">
        <v>51</v>
      </c>
      <c r="B34" s="32" t="s">
        <v>62</v>
      </c>
      <c r="C34" s="29"/>
      <c r="D34" s="29"/>
      <c r="E34" s="29"/>
      <c r="F34" s="29"/>
      <c r="G34" s="29"/>
      <c r="H34" s="29"/>
    </row>
    <row r="37" spans="1:8" ht="26" customHeight="1" x14ac:dyDescent="0.35">
      <c r="A37" s="33" t="s">
        <v>63</v>
      </c>
      <c r="B37" s="29"/>
      <c r="C37" s="29"/>
      <c r="D37" s="29"/>
      <c r="E37" s="29"/>
      <c r="F37" s="29"/>
      <c r="G37" s="29"/>
      <c r="H37" s="29"/>
    </row>
    <row r="38" spans="1:8" ht="40" customHeight="1" collapsed="1" x14ac:dyDescent="0.35">
      <c r="A38" s="1" t="s">
        <v>64</v>
      </c>
      <c r="B38" s="1" t="s">
        <v>65</v>
      </c>
      <c r="C38" s="1" t="s">
        <v>66</v>
      </c>
      <c r="D38" s="1" t="s">
        <v>67</v>
      </c>
      <c r="E38" s="1" t="s">
        <v>68</v>
      </c>
      <c r="F38" s="1" t="s">
        <v>69</v>
      </c>
      <c r="G38" s="1" t="s">
        <v>70</v>
      </c>
      <c r="H38" s="1" t="s">
        <v>71</v>
      </c>
    </row>
    <row r="39" spans="1:8" ht="28" hidden="1" customHeight="1" outlineLevel="1" x14ac:dyDescent="0.35">
      <c r="A39" s="3" t="s">
        <v>72</v>
      </c>
      <c r="B39" s="3" t="s">
        <v>73</v>
      </c>
      <c r="C39" s="18">
        <v>106</v>
      </c>
      <c r="D39" s="18">
        <v>106</v>
      </c>
      <c r="E39" s="18">
        <v>106</v>
      </c>
      <c r="F39" s="4">
        <v>0</v>
      </c>
      <c r="G39" s="4">
        <v>0</v>
      </c>
      <c r="H39" s="26" t="s">
        <v>74</v>
      </c>
    </row>
    <row r="40" spans="1:8" ht="28" hidden="1" customHeight="1" outlineLevel="1" x14ac:dyDescent="0.35">
      <c r="A40" s="2" t="s">
        <v>75</v>
      </c>
      <c r="B40" s="2" t="s">
        <v>76</v>
      </c>
      <c r="C40" s="20">
        <v>997.61411342049655</v>
      </c>
      <c r="D40" s="20">
        <v>997.61411342049723</v>
      </c>
      <c r="E40" s="20">
        <v>997.61411342049735</v>
      </c>
      <c r="F40" s="21">
        <v>-7.5600000000000001E-13</v>
      </c>
      <c r="G40" s="21">
        <v>-2.5000000000000001E-14</v>
      </c>
      <c r="H40" s="27" t="s">
        <v>74</v>
      </c>
    </row>
    <row r="41" spans="1:8" ht="28" hidden="1" customHeight="1" outlineLevel="1" x14ac:dyDescent="0.35">
      <c r="A41" s="3" t="s">
        <v>77</v>
      </c>
      <c r="B41" s="3" t="s">
        <v>78</v>
      </c>
      <c r="C41" s="19">
        <v>575.44061825384767</v>
      </c>
      <c r="D41" s="19">
        <v>575.44061825384904</v>
      </c>
      <c r="E41" s="19">
        <v>575.44061825384892</v>
      </c>
      <c r="F41" s="21">
        <v>-1.2959999999999999E-12</v>
      </c>
      <c r="G41" s="21">
        <v>1.054999999999E-13</v>
      </c>
      <c r="H41" s="26" t="s">
        <v>74</v>
      </c>
    </row>
    <row r="42" spans="1:8" ht="28" hidden="1" customHeight="1" outlineLevel="1" x14ac:dyDescent="0.35">
      <c r="A42" s="2" t="s">
        <v>79</v>
      </c>
      <c r="B42" s="2" t="s">
        <v>80</v>
      </c>
      <c r="C42" s="17">
        <v>4572</v>
      </c>
      <c r="D42" s="17">
        <v>4572</v>
      </c>
      <c r="E42" s="17">
        <v>4572</v>
      </c>
      <c r="F42" s="4">
        <v>0</v>
      </c>
      <c r="G42" s="4">
        <v>0</v>
      </c>
      <c r="H42" s="27" t="s">
        <v>74</v>
      </c>
    </row>
    <row r="43" spans="1:8" ht="28" hidden="1" customHeight="1" outlineLevel="1" x14ac:dyDescent="0.35">
      <c r="A43" s="3" t="s">
        <v>81</v>
      </c>
      <c r="B43" s="3" t="s">
        <v>82</v>
      </c>
      <c r="C43" s="19">
        <v>32958.605632864746</v>
      </c>
      <c r="D43" s="19">
        <v>32958.605632864717</v>
      </c>
      <c r="E43" s="19">
        <v>32958.605632864717</v>
      </c>
      <c r="F43" s="21">
        <v>3.0296025000000001E-11</v>
      </c>
      <c r="G43" s="21">
        <v>-3.2266949999899998E-12</v>
      </c>
      <c r="H43" s="26" t="s">
        <v>74</v>
      </c>
    </row>
    <row r="44" spans="1:8" ht="28" hidden="1" customHeight="1" outlineLevel="1" x14ac:dyDescent="0.35">
      <c r="A44" s="2" t="s">
        <v>83</v>
      </c>
      <c r="B44" s="2" t="s">
        <v>84</v>
      </c>
      <c r="C44" s="20">
        <v>24570.372853744018</v>
      </c>
      <c r="D44" s="20">
        <v>24570.372853744149</v>
      </c>
      <c r="E44" s="20">
        <v>24570.372853744149</v>
      </c>
      <c r="F44" s="21">
        <v>-1.322276535E-10</v>
      </c>
      <c r="G44" s="21">
        <v>2.1824635E-12</v>
      </c>
      <c r="H44" s="27" t="s">
        <v>74</v>
      </c>
    </row>
    <row r="45" spans="1:8" ht="28" hidden="1" customHeight="1" outlineLevel="1" x14ac:dyDescent="0.35">
      <c r="A45" s="3" t="s">
        <v>85</v>
      </c>
      <c r="B45" s="3" t="s">
        <v>86</v>
      </c>
      <c r="C45" s="18">
        <v>4678</v>
      </c>
      <c r="D45" s="18">
        <v>4678</v>
      </c>
      <c r="E45" s="18">
        <v>4678</v>
      </c>
      <c r="F45" s="4">
        <v>0</v>
      </c>
      <c r="G45" s="4">
        <v>0</v>
      </c>
      <c r="H45" s="26" t="s">
        <v>74</v>
      </c>
    </row>
    <row r="46" spans="1:8" ht="28" hidden="1" customHeight="1" outlineLevel="1" x14ac:dyDescent="0.35">
      <c r="A46" s="2" t="s">
        <v>87</v>
      </c>
      <c r="B46" s="2" t="s">
        <v>88</v>
      </c>
      <c r="C46" s="20">
        <v>33956.219746285242</v>
      </c>
      <c r="D46" s="20">
        <v>33956.219746285213</v>
      </c>
      <c r="E46" s="20">
        <v>33956.21974628522</v>
      </c>
      <c r="F46" s="21">
        <v>2.9621025000000001E-11</v>
      </c>
      <c r="G46" s="21">
        <v>-3.2516949999999999E-12</v>
      </c>
      <c r="H46" s="27" t="s">
        <v>74</v>
      </c>
    </row>
    <row r="47" spans="1:8" ht="28" hidden="1" customHeight="1" outlineLevel="1" x14ac:dyDescent="0.35">
      <c r="A47" s="3" t="s">
        <v>89</v>
      </c>
      <c r="B47" s="3" t="s">
        <v>90</v>
      </c>
      <c r="C47" s="19">
        <v>25145.81347199787</v>
      </c>
      <c r="D47" s="19">
        <v>25145.813471998001</v>
      </c>
      <c r="E47" s="19">
        <v>25145.813471998001</v>
      </c>
      <c r="F47" s="21">
        <v>-1.3483315349999999E-10</v>
      </c>
      <c r="G47" s="21">
        <v>2.2879634999999999E-12</v>
      </c>
      <c r="H47" s="26" t="s">
        <v>74</v>
      </c>
    </row>
    <row r="48" spans="1:8" ht="28" hidden="1" customHeight="1" outlineLevel="1" x14ac:dyDescent="0.35">
      <c r="A48" s="2" t="s">
        <v>91</v>
      </c>
      <c r="B48" s="2" t="s">
        <v>73</v>
      </c>
      <c r="C48" s="17">
        <v>326</v>
      </c>
      <c r="D48" s="17">
        <v>326</v>
      </c>
      <c r="E48" s="17">
        <v>326</v>
      </c>
      <c r="F48" s="4">
        <v>0</v>
      </c>
      <c r="G48" s="4">
        <v>0</v>
      </c>
      <c r="H48" s="27" t="s">
        <v>74</v>
      </c>
    </row>
    <row r="49" spans="1:8" ht="28" hidden="1" customHeight="1" outlineLevel="1" x14ac:dyDescent="0.35">
      <c r="A49" s="3" t="s">
        <v>92</v>
      </c>
      <c r="B49" s="3" t="s">
        <v>76</v>
      </c>
      <c r="C49" s="19">
        <v>3193.8455289272169</v>
      </c>
      <c r="D49" s="19">
        <v>3193.8455289272229</v>
      </c>
      <c r="E49" s="19">
        <v>3193.8455289272242</v>
      </c>
      <c r="F49" s="21">
        <v>-5.9400000000000001E-12</v>
      </c>
      <c r="G49" s="21">
        <v>-3.9500000000099998E-13</v>
      </c>
      <c r="H49" s="26" t="s">
        <v>74</v>
      </c>
    </row>
    <row r="50" spans="1:8" ht="28" hidden="1" customHeight="1" outlineLevel="1" x14ac:dyDescent="0.35">
      <c r="A50" s="2" t="s">
        <v>93</v>
      </c>
      <c r="B50" s="2" t="s">
        <v>78</v>
      </c>
      <c r="C50" s="20">
        <v>1907.9495532296819</v>
      </c>
      <c r="D50" s="20">
        <v>1907.949553229686</v>
      </c>
      <c r="E50" s="20">
        <v>1907.949553229686</v>
      </c>
      <c r="F50" s="21">
        <v>-4.1849999999999996E-12</v>
      </c>
      <c r="G50" s="21">
        <v>-4.5E-13</v>
      </c>
      <c r="H50" s="27" t="s">
        <v>74</v>
      </c>
    </row>
    <row r="51" spans="1:8" ht="28" hidden="1" customHeight="1" outlineLevel="1" x14ac:dyDescent="0.35">
      <c r="A51" s="3" t="s">
        <v>94</v>
      </c>
      <c r="B51" s="3" t="s">
        <v>80</v>
      </c>
      <c r="C51" s="18">
        <v>337</v>
      </c>
      <c r="D51" s="18">
        <v>337</v>
      </c>
      <c r="E51" s="18">
        <v>337</v>
      </c>
      <c r="F51" s="4">
        <v>0</v>
      </c>
      <c r="G51" s="4">
        <v>0</v>
      </c>
      <c r="H51" s="26" t="s">
        <v>74</v>
      </c>
    </row>
    <row r="52" spans="1:8" ht="28" hidden="1" customHeight="1" outlineLevel="1" x14ac:dyDescent="0.35">
      <c r="A52" s="2" t="s">
        <v>95</v>
      </c>
      <c r="B52" s="2" t="s">
        <v>82</v>
      </c>
      <c r="C52" s="20">
        <v>3078.158812893284</v>
      </c>
      <c r="D52" s="20">
        <v>3078.1588128932808</v>
      </c>
      <c r="E52" s="20">
        <v>3078.1588128932822</v>
      </c>
      <c r="F52" s="21">
        <v>2.2209929999999999E-12</v>
      </c>
      <c r="G52" s="21">
        <v>-2.4440500000000001E-13</v>
      </c>
      <c r="H52" s="27" t="s">
        <v>74</v>
      </c>
    </row>
    <row r="53" spans="1:8" ht="28" hidden="1" customHeight="1" outlineLevel="1" x14ac:dyDescent="0.35">
      <c r="A53" s="3" t="s">
        <v>96</v>
      </c>
      <c r="B53" s="3" t="s">
        <v>84</v>
      </c>
      <c r="C53" s="19">
        <v>2050.1865260952618</v>
      </c>
      <c r="D53" s="19">
        <v>2050.1865260952691</v>
      </c>
      <c r="E53" s="19">
        <v>2050.1865260952691</v>
      </c>
      <c r="F53" s="21">
        <v>-6.7824270000000001E-12</v>
      </c>
      <c r="G53" s="21">
        <v>-2.5741900000000001E-13</v>
      </c>
      <c r="H53" s="26" t="s">
        <v>74</v>
      </c>
    </row>
    <row r="54" spans="1:8" ht="28" hidden="1" customHeight="1" outlineLevel="1" x14ac:dyDescent="0.35">
      <c r="A54" s="2" t="s">
        <v>97</v>
      </c>
      <c r="B54" s="2" t="s">
        <v>86</v>
      </c>
      <c r="C54" s="17">
        <v>663</v>
      </c>
      <c r="D54" s="17">
        <v>663</v>
      </c>
      <c r="E54" s="17">
        <v>663</v>
      </c>
      <c r="F54" s="4">
        <v>0</v>
      </c>
      <c r="G54" s="4">
        <v>0</v>
      </c>
      <c r="H54" s="27" t="s">
        <v>74</v>
      </c>
    </row>
    <row r="55" spans="1:8" ht="28" hidden="1" customHeight="1" outlineLevel="1" x14ac:dyDescent="0.35">
      <c r="A55" s="3" t="s">
        <v>98</v>
      </c>
      <c r="B55" s="3" t="s">
        <v>88</v>
      </c>
      <c r="C55" s="19">
        <v>6272.0043418204996</v>
      </c>
      <c r="D55" s="19">
        <v>6272.004341820505</v>
      </c>
      <c r="E55" s="19">
        <v>6272.004341820505</v>
      </c>
      <c r="F55" s="21">
        <v>-3.8540070000000003E-12</v>
      </c>
      <c r="G55" s="21">
        <v>-6.3940500000000004E-13</v>
      </c>
      <c r="H55" s="26" t="s">
        <v>74</v>
      </c>
    </row>
    <row r="56" spans="1:8" ht="28" hidden="1" customHeight="1" outlineLevel="1" x14ac:dyDescent="0.35">
      <c r="A56" s="2" t="s">
        <v>99</v>
      </c>
      <c r="B56" s="2" t="s">
        <v>90</v>
      </c>
      <c r="C56" s="20">
        <v>3958.1360793249441</v>
      </c>
      <c r="D56" s="20">
        <v>3958.1360793249551</v>
      </c>
      <c r="E56" s="20">
        <v>3958.1360793249551</v>
      </c>
      <c r="F56" s="21">
        <v>-1.0967427E-11</v>
      </c>
      <c r="G56" s="21">
        <v>-7.0741899999999996E-13</v>
      </c>
      <c r="H56" s="27" t="s">
        <v>74</v>
      </c>
    </row>
    <row r="57" spans="1:8" ht="28" hidden="1" customHeight="1" outlineLevel="1" x14ac:dyDescent="0.35">
      <c r="A57" s="3" t="s">
        <v>100</v>
      </c>
      <c r="B57" s="3" t="s">
        <v>73</v>
      </c>
      <c r="C57" s="18">
        <v>432</v>
      </c>
      <c r="D57" s="18">
        <v>432</v>
      </c>
      <c r="E57" s="18">
        <v>432</v>
      </c>
      <c r="F57" s="4">
        <v>0</v>
      </c>
      <c r="G57" s="4">
        <v>0</v>
      </c>
      <c r="H57" s="26" t="s">
        <v>74</v>
      </c>
    </row>
    <row r="58" spans="1:8" ht="28" hidden="1" customHeight="1" outlineLevel="1" x14ac:dyDescent="0.35">
      <c r="A58" s="2" t="s">
        <v>101</v>
      </c>
      <c r="B58" s="2" t="s">
        <v>76</v>
      </c>
      <c r="C58" s="20">
        <v>4191.4596423477133</v>
      </c>
      <c r="D58" s="20">
        <v>4191.4596423477205</v>
      </c>
      <c r="E58" s="20">
        <v>4191.4596423477205</v>
      </c>
      <c r="F58" s="21">
        <v>-7.0200000000000004E-12</v>
      </c>
      <c r="G58" s="21">
        <v>-4.1999999999999998E-13</v>
      </c>
      <c r="H58" s="27" t="s">
        <v>74</v>
      </c>
    </row>
    <row r="59" spans="1:8" ht="28" hidden="1" customHeight="1" outlineLevel="1" x14ac:dyDescent="0.35">
      <c r="A59" s="3" t="s">
        <v>102</v>
      </c>
      <c r="B59" s="3" t="s">
        <v>78</v>
      </c>
      <c r="C59" s="19">
        <v>2483.3901714835301</v>
      </c>
      <c r="D59" s="19">
        <v>2483.3901714835351</v>
      </c>
      <c r="E59" s="19">
        <v>2483.3901714835361</v>
      </c>
      <c r="F59" s="21">
        <v>-5.4404999999999997E-12</v>
      </c>
      <c r="G59" s="21">
        <v>-3.445E-13</v>
      </c>
      <c r="H59" s="26" t="s">
        <v>74</v>
      </c>
    </row>
    <row r="60" spans="1:8" ht="28" hidden="1" customHeight="1" outlineLevel="1" x14ac:dyDescent="0.35">
      <c r="A60" s="2" t="s">
        <v>103</v>
      </c>
      <c r="B60" s="2" t="s">
        <v>80</v>
      </c>
      <c r="C60" s="17">
        <v>4909</v>
      </c>
      <c r="D60" s="17">
        <v>4909</v>
      </c>
      <c r="E60" s="17">
        <v>4909</v>
      </c>
      <c r="F60" s="4">
        <v>0</v>
      </c>
      <c r="G60" s="4">
        <v>0</v>
      </c>
      <c r="H60" s="27" t="s">
        <v>74</v>
      </c>
    </row>
    <row r="61" spans="1:8" ht="28" hidden="1" customHeight="1" outlineLevel="1" x14ac:dyDescent="0.35">
      <c r="A61" s="3" t="s">
        <v>104</v>
      </c>
      <c r="B61" s="3" t="s">
        <v>82</v>
      </c>
      <c r="C61" s="19">
        <v>36036.764445758032</v>
      </c>
      <c r="D61" s="19">
        <v>36036.764445758003</v>
      </c>
      <c r="E61" s="19">
        <v>36036.764445758003</v>
      </c>
      <c r="F61" s="21">
        <v>3.2517017999999999E-11</v>
      </c>
      <c r="G61" s="21">
        <v>-3.4711000000100001E-12</v>
      </c>
      <c r="H61" s="26" t="s">
        <v>74</v>
      </c>
    </row>
    <row r="62" spans="1:8" ht="28" hidden="1" customHeight="1" outlineLevel="1" x14ac:dyDescent="0.35">
      <c r="A62" s="2" t="s">
        <v>105</v>
      </c>
      <c r="B62" s="2" t="s">
        <v>84</v>
      </c>
      <c r="C62" s="20">
        <v>26620.55937983928</v>
      </c>
      <c r="D62" s="20">
        <v>26620.559379839418</v>
      </c>
      <c r="E62" s="20">
        <v>26620.559379839418</v>
      </c>
      <c r="F62" s="21">
        <v>-1.3779508050000001E-10</v>
      </c>
      <c r="G62" s="21">
        <v>1.9250444999999998E-12</v>
      </c>
      <c r="H62" s="27" t="s">
        <v>74</v>
      </c>
    </row>
    <row r="63" spans="1:8" ht="28" hidden="1" customHeight="1" outlineLevel="1" x14ac:dyDescent="0.35">
      <c r="A63" s="3" t="s">
        <v>106</v>
      </c>
      <c r="B63" s="3" t="s">
        <v>86</v>
      </c>
      <c r="C63" s="18">
        <v>5341</v>
      </c>
      <c r="D63" s="18">
        <v>5341</v>
      </c>
      <c r="E63" s="18">
        <v>5341</v>
      </c>
      <c r="F63" s="4">
        <v>0</v>
      </c>
      <c r="G63" s="4">
        <v>0</v>
      </c>
      <c r="H63" s="26" t="s">
        <v>74</v>
      </c>
    </row>
    <row r="64" spans="1:8" ht="28" hidden="1" customHeight="1" outlineLevel="1" x14ac:dyDescent="0.35">
      <c r="A64" s="2" t="s">
        <v>107</v>
      </c>
      <c r="B64" s="2" t="s">
        <v>88</v>
      </c>
      <c r="C64" s="20">
        <v>40228.224088105737</v>
      </c>
      <c r="D64" s="20">
        <v>40228.224088105722</v>
      </c>
      <c r="E64" s="20">
        <v>40228.224088105722</v>
      </c>
      <c r="F64" s="21">
        <v>2.4687017999999998E-11</v>
      </c>
      <c r="G64" s="21">
        <v>-3.8910999999999998E-12</v>
      </c>
      <c r="H64" s="27" t="s">
        <v>74</v>
      </c>
    </row>
    <row r="65" spans="1:8" ht="28" hidden="1" customHeight="1" outlineLevel="1" x14ac:dyDescent="0.35">
      <c r="A65" s="3" t="s">
        <v>108</v>
      </c>
      <c r="B65" s="3" t="s">
        <v>90</v>
      </c>
      <c r="C65" s="19">
        <v>29103.94955132281</v>
      </c>
      <c r="D65" s="19">
        <v>29103.949551322959</v>
      </c>
      <c r="E65" s="19">
        <v>29103.949551322959</v>
      </c>
      <c r="F65" s="21">
        <v>-1.458005805E-10</v>
      </c>
      <c r="G65" s="21">
        <v>1.5805445E-12</v>
      </c>
      <c r="H65" s="26" t="s">
        <v>74</v>
      </c>
    </row>
    <row r="66" spans="1:8" ht="28" hidden="1" customHeight="1" outlineLevel="1" x14ac:dyDescent="0.35">
      <c r="A66" s="2" t="s">
        <v>109</v>
      </c>
      <c r="B66" s="2" t="s">
        <v>73</v>
      </c>
      <c r="C66" s="17">
        <v>106</v>
      </c>
      <c r="D66" s="17">
        <v>106</v>
      </c>
      <c r="E66" s="17">
        <v>106</v>
      </c>
      <c r="F66" s="4">
        <v>0</v>
      </c>
      <c r="G66" s="4">
        <v>0</v>
      </c>
      <c r="H66" s="27" t="s">
        <v>74</v>
      </c>
    </row>
    <row r="67" spans="1:8" ht="28" hidden="1" customHeight="1" outlineLevel="1" x14ac:dyDescent="0.35">
      <c r="A67" s="3" t="s">
        <v>110</v>
      </c>
      <c r="B67" s="3" t="s">
        <v>76</v>
      </c>
      <c r="C67" s="19">
        <v>997.61411342049655</v>
      </c>
      <c r="D67" s="19">
        <v>997.61411342049723</v>
      </c>
      <c r="E67" s="19">
        <v>997.61411342049735</v>
      </c>
      <c r="F67" s="21">
        <v>-7.5600000000000001E-13</v>
      </c>
      <c r="G67" s="21">
        <v>-2.5000000000000001E-14</v>
      </c>
      <c r="H67" s="26" t="s">
        <v>74</v>
      </c>
    </row>
    <row r="68" spans="1:8" ht="28" hidden="1" customHeight="1" outlineLevel="1" x14ac:dyDescent="0.35">
      <c r="A68" s="2" t="s">
        <v>111</v>
      </c>
      <c r="B68" s="2" t="s">
        <v>78</v>
      </c>
      <c r="C68" s="20">
        <v>575.44061825384767</v>
      </c>
      <c r="D68" s="20">
        <v>575.44061825384904</v>
      </c>
      <c r="E68" s="20">
        <v>575.44061825384892</v>
      </c>
      <c r="F68" s="21">
        <v>-1.2959999999999999E-12</v>
      </c>
      <c r="G68" s="21">
        <v>1.054999999999E-13</v>
      </c>
      <c r="H68" s="27" t="s">
        <v>74</v>
      </c>
    </row>
    <row r="69" spans="1:8" ht="28" hidden="1" customHeight="1" outlineLevel="1" x14ac:dyDescent="0.35">
      <c r="A69" s="3" t="s">
        <v>112</v>
      </c>
      <c r="B69" s="3" t="s">
        <v>80</v>
      </c>
      <c r="C69" s="18">
        <v>4572</v>
      </c>
      <c r="D69" s="18">
        <v>4572</v>
      </c>
      <c r="E69" s="18">
        <v>4572</v>
      </c>
      <c r="F69" s="4">
        <v>0</v>
      </c>
      <c r="G69" s="4">
        <v>0</v>
      </c>
      <c r="H69" s="26" t="s">
        <v>74</v>
      </c>
    </row>
    <row r="70" spans="1:8" ht="28" hidden="1" customHeight="1" outlineLevel="1" x14ac:dyDescent="0.35">
      <c r="A70" s="2" t="s">
        <v>113</v>
      </c>
      <c r="B70" s="2" t="s">
        <v>82</v>
      </c>
      <c r="C70" s="20">
        <v>32958.605632864746</v>
      </c>
      <c r="D70" s="20">
        <v>32958.605632864717</v>
      </c>
      <c r="E70" s="20">
        <v>32958.605632864717</v>
      </c>
      <c r="F70" s="21">
        <v>3.0296025000000001E-11</v>
      </c>
      <c r="G70" s="21">
        <v>-3.2266949999899998E-12</v>
      </c>
      <c r="H70" s="27" t="s">
        <v>74</v>
      </c>
    </row>
    <row r="71" spans="1:8" ht="28" hidden="1" customHeight="1" outlineLevel="1" x14ac:dyDescent="0.35">
      <c r="A71" s="3" t="s">
        <v>114</v>
      </c>
      <c r="B71" s="3" t="s">
        <v>84</v>
      </c>
      <c r="C71" s="19">
        <v>24570.372853744018</v>
      </c>
      <c r="D71" s="19">
        <v>24570.372853744149</v>
      </c>
      <c r="E71" s="19">
        <v>24570.372853744149</v>
      </c>
      <c r="F71" s="21">
        <v>-1.322276535E-10</v>
      </c>
      <c r="G71" s="21">
        <v>2.1824635E-12</v>
      </c>
      <c r="H71" s="26" t="s">
        <v>74</v>
      </c>
    </row>
    <row r="72" spans="1:8" ht="28" hidden="1" customHeight="1" outlineLevel="1" x14ac:dyDescent="0.35">
      <c r="A72" s="2" t="s">
        <v>115</v>
      </c>
      <c r="B72" s="2" t="s">
        <v>86</v>
      </c>
      <c r="C72" s="17">
        <v>4678</v>
      </c>
      <c r="D72" s="17">
        <v>4678</v>
      </c>
      <c r="E72" s="17">
        <v>4678</v>
      </c>
      <c r="F72" s="4">
        <v>0</v>
      </c>
      <c r="G72" s="4">
        <v>0</v>
      </c>
      <c r="H72" s="27" t="s">
        <v>74</v>
      </c>
    </row>
    <row r="73" spans="1:8" ht="28" hidden="1" customHeight="1" outlineLevel="1" x14ac:dyDescent="0.35">
      <c r="A73" s="3" t="s">
        <v>116</v>
      </c>
      <c r="B73" s="3" t="s">
        <v>88</v>
      </c>
      <c r="C73" s="19">
        <v>33956.219746285242</v>
      </c>
      <c r="D73" s="19">
        <v>33956.219746285213</v>
      </c>
      <c r="E73" s="19">
        <v>33956.21974628522</v>
      </c>
      <c r="F73" s="21">
        <v>2.9621025000000001E-11</v>
      </c>
      <c r="G73" s="21">
        <v>-3.2516949999999999E-12</v>
      </c>
      <c r="H73" s="26" t="s">
        <v>74</v>
      </c>
    </row>
    <row r="74" spans="1:8" ht="28" hidden="1" customHeight="1" outlineLevel="1" x14ac:dyDescent="0.35">
      <c r="A74" s="2" t="s">
        <v>117</v>
      </c>
      <c r="B74" s="2" t="s">
        <v>90</v>
      </c>
      <c r="C74" s="20">
        <v>25145.81347199787</v>
      </c>
      <c r="D74" s="20">
        <v>25145.813471998001</v>
      </c>
      <c r="E74" s="20">
        <v>25145.813471998001</v>
      </c>
      <c r="F74" s="21">
        <v>-1.3483315349999999E-10</v>
      </c>
      <c r="G74" s="21">
        <v>2.2879634999999999E-12</v>
      </c>
      <c r="H74" s="27" t="s">
        <v>74</v>
      </c>
    </row>
    <row r="75" spans="1:8" ht="28" hidden="1" customHeight="1" outlineLevel="1" x14ac:dyDescent="0.35">
      <c r="A75" s="3" t="s">
        <v>118</v>
      </c>
      <c r="B75" s="3" t="s">
        <v>73</v>
      </c>
      <c r="C75" s="18">
        <v>326</v>
      </c>
      <c r="D75" s="18">
        <v>326</v>
      </c>
      <c r="E75" s="18">
        <v>326</v>
      </c>
      <c r="F75" s="4">
        <v>0</v>
      </c>
      <c r="G75" s="4">
        <v>0</v>
      </c>
      <c r="H75" s="26" t="s">
        <v>74</v>
      </c>
    </row>
    <row r="76" spans="1:8" ht="28" hidden="1" customHeight="1" outlineLevel="1" x14ac:dyDescent="0.35">
      <c r="A76" s="2" t="s">
        <v>119</v>
      </c>
      <c r="B76" s="2" t="s">
        <v>76</v>
      </c>
      <c r="C76" s="20">
        <v>3193.8455289272169</v>
      </c>
      <c r="D76" s="20">
        <v>3193.8455289272229</v>
      </c>
      <c r="E76" s="20">
        <v>3193.8455289272242</v>
      </c>
      <c r="F76" s="21">
        <v>-5.9400000000000001E-12</v>
      </c>
      <c r="G76" s="21">
        <v>-3.9500000000099998E-13</v>
      </c>
      <c r="H76" s="27" t="s">
        <v>74</v>
      </c>
    </row>
    <row r="77" spans="1:8" ht="28" hidden="1" customHeight="1" outlineLevel="1" x14ac:dyDescent="0.35">
      <c r="A77" s="3" t="s">
        <v>120</v>
      </c>
      <c r="B77" s="3" t="s">
        <v>78</v>
      </c>
      <c r="C77" s="19">
        <v>1907.9495532296819</v>
      </c>
      <c r="D77" s="19">
        <v>1907.949553229686</v>
      </c>
      <c r="E77" s="19">
        <v>1907.949553229686</v>
      </c>
      <c r="F77" s="21">
        <v>-4.1849999999999996E-12</v>
      </c>
      <c r="G77" s="21">
        <v>-4.5E-13</v>
      </c>
      <c r="H77" s="26" t="s">
        <v>74</v>
      </c>
    </row>
    <row r="78" spans="1:8" ht="28" hidden="1" customHeight="1" outlineLevel="1" x14ac:dyDescent="0.35">
      <c r="A78" s="2" t="s">
        <v>121</v>
      </c>
      <c r="B78" s="2" t="s">
        <v>80</v>
      </c>
      <c r="C78" s="17">
        <v>337</v>
      </c>
      <c r="D78" s="17">
        <v>337</v>
      </c>
      <c r="E78" s="17">
        <v>337</v>
      </c>
      <c r="F78" s="4">
        <v>0</v>
      </c>
      <c r="G78" s="4">
        <v>0</v>
      </c>
      <c r="H78" s="27" t="s">
        <v>74</v>
      </c>
    </row>
    <row r="79" spans="1:8" ht="28" hidden="1" customHeight="1" outlineLevel="1" x14ac:dyDescent="0.35">
      <c r="A79" s="3" t="s">
        <v>122</v>
      </c>
      <c r="B79" s="3" t="s">
        <v>82</v>
      </c>
      <c r="C79" s="19">
        <v>3078.158812893284</v>
      </c>
      <c r="D79" s="19">
        <v>3078.1588128932808</v>
      </c>
      <c r="E79" s="19">
        <v>3078.1588128932822</v>
      </c>
      <c r="F79" s="21">
        <v>2.2209929999999999E-12</v>
      </c>
      <c r="G79" s="21">
        <v>-2.4440500000000001E-13</v>
      </c>
      <c r="H79" s="26" t="s">
        <v>74</v>
      </c>
    </row>
    <row r="80" spans="1:8" ht="28" hidden="1" customHeight="1" outlineLevel="1" x14ac:dyDescent="0.35">
      <c r="A80" s="2" t="s">
        <v>123</v>
      </c>
      <c r="B80" s="2" t="s">
        <v>84</v>
      </c>
      <c r="C80" s="20">
        <v>2050.1865260952618</v>
      </c>
      <c r="D80" s="20">
        <v>2050.1865260952691</v>
      </c>
      <c r="E80" s="20">
        <v>2050.1865260952691</v>
      </c>
      <c r="F80" s="21">
        <v>-6.7824270000000001E-12</v>
      </c>
      <c r="G80" s="21">
        <v>-2.5741900000000001E-13</v>
      </c>
      <c r="H80" s="27" t="s">
        <v>74</v>
      </c>
    </row>
    <row r="81" spans="1:8" ht="28" hidden="1" customHeight="1" outlineLevel="1" x14ac:dyDescent="0.35">
      <c r="A81" s="3" t="s">
        <v>124</v>
      </c>
      <c r="B81" s="3" t="s">
        <v>86</v>
      </c>
      <c r="C81" s="18">
        <v>663</v>
      </c>
      <c r="D81" s="18">
        <v>663</v>
      </c>
      <c r="E81" s="18">
        <v>663</v>
      </c>
      <c r="F81" s="4">
        <v>0</v>
      </c>
      <c r="G81" s="4">
        <v>0</v>
      </c>
      <c r="H81" s="26" t="s">
        <v>74</v>
      </c>
    </row>
    <row r="82" spans="1:8" ht="28" hidden="1" customHeight="1" outlineLevel="1" x14ac:dyDescent="0.35">
      <c r="A82" s="2" t="s">
        <v>125</v>
      </c>
      <c r="B82" s="2" t="s">
        <v>88</v>
      </c>
      <c r="C82" s="20">
        <v>6272.0043418204996</v>
      </c>
      <c r="D82" s="20">
        <v>6272.004341820505</v>
      </c>
      <c r="E82" s="20">
        <v>6272.004341820505</v>
      </c>
      <c r="F82" s="21">
        <v>-3.8540070000000003E-12</v>
      </c>
      <c r="G82" s="21">
        <v>-6.3940500000000004E-13</v>
      </c>
      <c r="H82" s="27" t="s">
        <v>74</v>
      </c>
    </row>
    <row r="83" spans="1:8" ht="28" hidden="1" customHeight="1" outlineLevel="1" x14ac:dyDescent="0.35">
      <c r="A83" s="3" t="s">
        <v>126</v>
      </c>
      <c r="B83" s="3" t="s">
        <v>90</v>
      </c>
      <c r="C83" s="19">
        <v>3958.1360793249441</v>
      </c>
      <c r="D83" s="19">
        <v>3958.1360793249551</v>
      </c>
      <c r="E83" s="19">
        <v>3958.1360793249551</v>
      </c>
      <c r="F83" s="21">
        <v>-1.0967427E-11</v>
      </c>
      <c r="G83" s="21">
        <v>-7.0741899999999996E-13</v>
      </c>
      <c r="H83" s="26" t="s">
        <v>74</v>
      </c>
    </row>
    <row r="84" spans="1:8" ht="28" hidden="1" customHeight="1" outlineLevel="1" x14ac:dyDescent="0.35">
      <c r="A84" s="2" t="s">
        <v>127</v>
      </c>
      <c r="B84" s="2" t="s">
        <v>73</v>
      </c>
      <c r="C84" s="17">
        <v>432</v>
      </c>
      <c r="D84" s="17">
        <v>432</v>
      </c>
      <c r="E84" s="17">
        <v>432</v>
      </c>
      <c r="F84" s="4">
        <v>0</v>
      </c>
      <c r="G84" s="4">
        <v>0</v>
      </c>
      <c r="H84" s="27" t="s">
        <v>74</v>
      </c>
    </row>
    <row r="85" spans="1:8" ht="28" hidden="1" customHeight="1" outlineLevel="1" x14ac:dyDescent="0.35">
      <c r="A85" s="3" t="s">
        <v>128</v>
      </c>
      <c r="B85" s="3" t="s">
        <v>76</v>
      </c>
      <c r="C85" s="19">
        <v>4191.4596423477133</v>
      </c>
      <c r="D85" s="19">
        <v>4191.4596423477205</v>
      </c>
      <c r="E85" s="19">
        <v>4191.4596423477205</v>
      </c>
      <c r="F85" s="21">
        <v>-7.0200000000000004E-12</v>
      </c>
      <c r="G85" s="21">
        <v>-4.1999999999999998E-13</v>
      </c>
      <c r="H85" s="26" t="s">
        <v>74</v>
      </c>
    </row>
    <row r="86" spans="1:8" ht="28" hidden="1" customHeight="1" outlineLevel="1" x14ac:dyDescent="0.35">
      <c r="A86" s="2" t="s">
        <v>129</v>
      </c>
      <c r="B86" s="2" t="s">
        <v>78</v>
      </c>
      <c r="C86" s="20">
        <v>2483.3901714835301</v>
      </c>
      <c r="D86" s="20">
        <v>2483.3901714835351</v>
      </c>
      <c r="E86" s="20">
        <v>2483.3901714835361</v>
      </c>
      <c r="F86" s="21">
        <v>-5.4404999999999997E-12</v>
      </c>
      <c r="G86" s="21">
        <v>-3.445E-13</v>
      </c>
      <c r="H86" s="27" t="s">
        <v>74</v>
      </c>
    </row>
    <row r="87" spans="1:8" ht="28" hidden="1" customHeight="1" outlineLevel="1" x14ac:dyDescent="0.35">
      <c r="A87" s="3" t="s">
        <v>130</v>
      </c>
      <c r="B87" s="3" t="s">
        <v>80</v>
      </c>
      <c r="C87" s="18">
        <v>4909</v>
      </c>
      <c r="D87" s="18">
        <v>4909</v>
      </c>
      <c r="E87" s="18">
        <v>4909</v>
      </c>
      <c r="F87" s="4">
        <v>0</v>
      </c>
      <c r="G87" s="4">
        <v>0</v>
      </c>
      <c r="H87" s="26" t="s">
        <v>74</v>
      </c>
    </row>
    <row r="88" spans="1:8" ht="28" hidden="1" customHeight="1" outlineLevel="1" x14ac:dyDescent="0.35">
      <c r="A88" s="2" t="s">
        <v>131</v>
      </c>
      <c r="B88" s="2" t="s">
        <v>82</v>
      </c>
      <c r="C88" s="20">
        <v>36036.764445758032</v>
      </c>
      <c r="D88" s="20">
        <v>36036.764445758003</v>
      </c>
      <c r="E88" s="20">
        <v>36036.764445758003</v>
      </c>
      <c r="F88" s="21">
        <v>3.2517017999999999E-11</v>
      </c>
      <c r="G88" s="21">
        <v>-3.4711000000100001E-12</v>
      </c>
      <c r="H88" s="27" t="s">
        <v>74</v>
      </c>
    </row>
    <row r="89" spans="1:8" ht="28" hidden="1" customHeight="1" outlineLevel="1" x14ac:dyDescent="0.35">
      <c r="A89" s="3" t="s">
        <v>132</v>
      </c>
      <c r="B89" s="3" t="s">
        <v>84</v>
      </c>
      <c r="C89" s="19">
        <v>26620.55937983928</v>
      </c>
      <c r="D89" s="19">
        <v>26620.559379839418</v>
      </c>
      <c r="E89" s="19">
        <v>26620.559379839418</v>
      </c>
      <c r="F89" s="21">
        <v>-1.3779508050000001E-10</v>
      </c>
      <c r="G89" s="21">
        <v>1.9250444999999998E-12</v>
      </c>
      <c r="H89" s="26" t="s">
        <v>74</v>
      </c>
    </row>
    <row r="90" spans="1:8" ht="28" hidden="1" customHeight="1" outlineLevel="1" x14ac:dyDescent="0.35">
      <c r="A90" s="2" t="s">
        <v>133</v>
      </c>
      <c r="B90" s="2" t="s">
        <v>86</v>
      </c>
      <c r="C90" s="17">
        <v>5341</v>
      </c>
      <c r="D90" s="17">
        <v>5341</v>
      </c>
      <c r="E90" s="17">
        <v>5341</v>
      </c>
      <c r="F90" s="4">
        <v>0</v>
      </c>
      <c r="G90" s="4">
        <v>0</v>
      </c>
      <c r="H90" s="27" t="s">
        <v>74</v>
      </c>
    </row>
    <row r="91" spans="1:8" ht="28" hidden="1" customHeight="1" outlineLevel="1" x14ac:dyDescent="0.35">
      <c r="A91" s="3" t="s">
        <v>134</v>
      </c>
      <c r="B91" s="3" t="s">
        <v>88</v>
      </c>
      <c r="C91" s="19">
        <v>40228.224088105737</v>
      </c>
      <c r="D91" s="19">
        <v>40228.224088105722</v>
      </c>
      <c r="E91" s="19">
        <v>40228.224088105722</v>
      </c>
      <c r="F91" s="21">
        <v>2.4687017999999998E-11</v>
      </c>
      <c r="G91" s="21">
        <v>-3.8910999999999998E-12</v>
      </c>
      <c r="H91" s="26" t="s">
        <v>74</v>
      </c>
    </row>
    <row r="92" spans="1:8" ht="28" hidden="1" customHeight="1" outlineLevel="1" x14ac:dyDescent="0.35">
      <c r="A92" s="2" t="s">
        <v>135</v>
      </c>
      <c r="B92" s="2" t="s">
        <v>90</v>
      </c>
      <c r="C92" s="20">
        <v>29103.94955132281</v>
      </c>
      <c r="D92" s="20">
        <v>29103.949551322959</v>
      </c>
      <c r="E92" s="20">
        <v>29103.949551322959</v>
      </c>
      <c r="F92" s="21">
        <v>-1.458005805E-10</v>
      </c>
      <c r="G92" s="21">
        <v>1.5805445E-12</v>
      </c>
      <c r="H92" s="27" t="s">
        <v>74</v>
      </c>
    </row>
    <row r="93" spans="1:8" ht="28" hidden="1" customHeight="1" outlineLevel="1" x14ac:dyDescent="0.35">
      <c r="A93" s="3" t="s">
        <v>136</v>
      </c>
      <c r="B93" s="3" t="s">
        <v>73</v>
      </c>
      <c r="C93" s="18">
        <v>106</v>
      </c>
      <c r="D93" s="18">
        <v>106</v>
      </c>
      <c r="E93" s="18">
        <v>106</v>
      </c>
      <c r="F93" s="4">
        <v>0</v>
      </c>
      <c r="G93" s="4">
        <v>0</v>
      </c>
      <c r="H93" s="26" t="s">
        <v>74</v>
      </c>
    </row>
    <row r="94" spans="1:8" ht="28" hidden="1" customHeight="1" outlineLevel="1" x14ac:dyDescent="0.35">
      <c r="A94" s="2" t="s">
        <v>137</v>
      </c>
      <c r="B94" s="2" t="s">
        <v>76</v>
      </c>
      <c r="C94" s="20">
        <v>997.61411342049655</v>
      </c>
      <c r="D94" s="20">
        <v>997.61411342049723</v>
      </c>
      <c r="E94" s="20">
        <v>997.61411342049735</v>
      </c>
      <c r="F94" s="21">
        <v>-7.5600000000000001E-13</v>
      </c>
      <c r="G94" s="21">
        <v>-2.5000000000000001E-14</v>
      </c>
      <c r="H94" s="27" t="s">
        <v>74</v>
      </c>
    </row>
    <row r="95" spans="1:8" ht="28" hidden="1" customHeight="1" outlineLevel="1" x14ac:dyDescent="0.35">
      <c r="A95" s="3" t="s">
        <v>138</v>
      </c>
      <c r="B95" s="3" t="s">
        <v>78</v>
      </c>
      <c r="C95" s="19">
        <v>575.44061825384767</v>
      </c>
      <c r="D95" s="19">
        <v>575.44061825384904</v>
      </c>
      <c r="E95" s="19">
        <v>575.44061825384892</v>
      </c>
      <c r="F95" s="21">
        <v>-1.2959999999999999E-12</v>
      </c>
      <c r="G95" s="21">
        <v>1.054999999999E-13</v>
      </c>
      <c r="H95" s="26" t="s">
        <v>74</v>
      </c>
    </row>
    <row r="96" spans="1:8" ht="28" hidden="1" customHeight="1" outlineLevel="1" x14ac:dyDescent="0.35">
      <c r="A96" s="2" t="s">
        <v>139</v>
      </c>
      <c r="B96" s="2" t="s">
        <v>80</v>
      </c>
      <c r="C96" s="17">
        <v>4572</v>
      </c>
      <c r="D96" s="17">
        <v>4572</v>
      </c>
      <c r="E96" s="17">
        <v>4572</v>
      </c>
      <c r="F96" s="4">
        <v>0</v>
      </c>
      <c r="G96" s="4">
        <v>0</v>
      </c>
      <c r="H96" s="27" t="s">
        <v>74</v>
      </c>
    </row>
    <row r="97" spans="1:8" ht="28" hidden="1" customHeight="1" outlineLevel="1" x14ac:dyDescent="0.35">
      <c r="A97" s="3" t="s">
        <v>140</v>
      </c>
      <c r="B97" s="3" t="s">
        <v>82</v>
      </c>
      <c r="C97" s="19">
        <v>32958.605632864746</v>
      </c>
      <c r="D97" s="19">
        <v>32958.605632864717</v>
      </c>
      <c r="E97" s="19">
        <v>32958.605632864717</v>
      </c>
      <c r="F97" s="21">
        <v>3.0296025000000001E-11</v>
      </c>
      <c r="G97" s="21">
        <v>-3.2266949999899998E-12</v>
      </c>
      <c r="H97" s="26" t="s">
        <v>74</v>
      </c>
    </row>
    <row r="98" spans="1:8" ht="28" hidden="1" customHeight="1" outlineLevel="1" x14ac:dyDescent="0.35">
      <c r="A98" s="2" t="s">
        <v>141</v>
      </c>
      <c r="B98" s="2" t="s">
        <v>84</v>
      </c>
      <c r="C98" s="20">
        <v>24570.372853744018</v>
      </c>
      <c r="D98" s="20">
        <v>24570.372853744149</v>
      </c>
      <c r="E98" s="20">
        <v>24570.372853744149</v>
      </c>
      <c r="F98" s="21">
        <v>-1.322276535E-10</v>
      </c>
      <c r="G98" s="21">
        <v>2.1824635E-12</v>
      </c>
      <c r="H98" s="27" t="s">
        <v>74</v>
      </c>
    </row>
    <row r="99" spans="1:8" ht="28" hidden="1" customHeight="1" outlineLevel="1" x14ac:dyDescent="0.35">
      <c r="A99" s="3" t="s">
        <v>142</v>
      </c>
      <c r="B99" s="3" t="s">
        <v>86</v>
      </c>
      <c r="C99" s="18">
        <v>4678</v>
      </c>
      <c r="D99" s="18">
        <v>4678</v>
      </c>
      <c r="E99" s="18">
        <v>4678</v>
      </c>
      <c r="F99" s="4">
        <v>0</v>
      </c>
      <c r="G99" s="4">
        <v>0</v>
      </c>
      <c r="H99" s="26" t="s">
        <v>74</v>
      </c>
    </row>
    <row r="100" spans="1:8" ht="28" hidden="1" customHeight="1" outlineLevel="1" x14ac:dyDescent="0.35">
      <c r="A100" s="2" t="s">
        <v>143</v>
      </c>
      <c r="B100" s="2" t="s">
        <v>88</v>
      </c>
      <c r="C100" s="20">
        <v>33956.219746285242</v>
      </c>
      <c r="D100" s="20">
        <v>33956.219746285213</v>
      </c>
      <c r="E100" s="20">
        <v>33956.21974628522</v>
      </c>
      <c r="F100" s="21">
        <v>2.9621025000000001E-11</v>
      </c>
      <c r="G100" s="21">
        <v>-3.2516949999999999E-12</v>
      </c>
      <c r="H100" s="27" t="s">
        <v>74</v>
      </c>
    </row>
    <row r="101" spans="1:8" ht="28" hidden="1" customHeight="1" outlineLevel="1" x14ac:dyDescent="0.35">
      <c r="A101" s="3" t="s">
        <v>144</v>
      </c>
      <c r="B101" s="3" t="s">
        <v>90</v>
      </c>
      <c r="C101" s="19">
        <v>25145.81347199787</v>
      </c>
      <c r="D101" s="19">
        <v>25145.813471998001</v>
      </c>
      <c r="E101" s="19">
        <v>25145.813471998001</v>
      </c>
      <c r="F101" s="21">
        <v>-1.3483315349999999E-10</v>
      </c>
      <c r="G101" s="21">
        <v>2.2879634999999999E-12</v>
      </c>
      <c r="H101" s="26" t="s">
        <v>74</v>
      </c>
    </row>
    <row r="102" spans="1:8" ht="28" hidden="1" customHeight="1" outlineLevel="1" x14ac:dyDescent="0.35">
      <c r="A102" s="2" t="s">
        <v>145</v>
      </c>
      <c r="B102" s="2" t="s">
        <v>73</v>
      </c>
      <c r="C102" s="17">
        <v>106</v>
      </c>
      <c r="D102" s="17">
        <v>106</v>
      </c>
      <c r="E102" s="17">
        <v>106</v>
      </c>
      <c r="F102" s="4">
        <v>0</v>
      </c>
      <c r="G102" s="4">
        <v>0</v>
      </c>
      <c r="H102" s="27" t="s">
        <v>74</v>
      </c>
    </row>
    <row r="103" spans="1:8" ht="28" hidden="1" customHeight="1" outlineLevel="1" x14ac:dyDescent="0.35">
      <c r="A103" s="3" t="s">
        <v>146</v>
      </c>
      <c r="B103" s="3" t="s">
        <v>76</v>
      </c>
      <c r="C103" s="19">
        <v>997.61411342049655</v>
      </c>
      <c r="D103" s="19">
        <v>997.61411342049723</v>
      </c>
      <c r="E103" s="19">
        <v>997.61411342049735</v>
      </c>
      <c r="F103" s="21">
        <v>-7.5600000000000001E-13</v>
      </c>
      <c r="G103" s="21">
        <v>-2.5000000000000001E-14</v>
      </c>
      <c r="H103" s="26" t="s">
        <v>74</v>
      </c>
    </row>
    <row r="104" spans="1:8" ht="28" hidden="1" customHeight="1" outlineLevel="1" x14ac:dyDescent="0.35">
      <c r="A104" s="2" t="s">
        <v>147</v>
      </c>
      <c r="B104" s="2" t="s">
        <v>78</v>
      </c>
      <c r="C104" s="20">
        <v>575.44061825384767</v>
      </c>
      <c r="D104" s="20">
        <v>575.44061825384904</v>
      </c>
      <c r="E104" s="20">
        <v>575.44061825384892</v>
      </c>
      <c r="F104" s="21">
        <v>-1.2959999999999999E-12</v>
      </c>
      <c r="G104" s="21">
        <v>1.054999999999E-13</v>
      </c>
      <c r="H104" s="27" t="s">
        <v>74</v>
      </c>
    </row>
    <row r="105" spans="1:8" ht="28" hidden="1" customHeight="1" outlineLevel="1" x14ac:dyDescent="0.35">
      <c r="A105" s="3" t="s">
        <v>148</v>
      </c>
      <c r="B105" s="3" t="s">
        <v>80</v>
      </c>
      <c r="C105" s="18">
        <v>4572</v>
      </c>
      <c r="D105" s="18">
        <v>4572</v>
      </c>
      <c r="E105" s="18">
        <v>4572</v>
      </c>
      <c r="F105" s="4">
        <v>0</v>
      </c>
      <c r="G105" s="4">
        <v>0</v>
      </c>
      <c r="H105" s="26" t="s">
        <v>74</v>
      </c>
    </row>
    <row r="106" spans="1:8" ht="28" hidden="1" customHeight="1" outlineLevel="1" x14ac:dyDescent="0.35">
      <c r="A106" s="2" t="s">
        <v>149</v>
      </c>
      <c r="B106" s="2" t="s">
        <v>82</v>
      </c>
      <c r="C106" s="20">
        <v>32958.605632864746</v>
      </c>
      <c r="D106" s="20">
        <v>32958.605632864717</v>
      </c>
      <c r="E106" s="20">
        <v>32958.605632864717</v>
      </c>
      <c r="F106" s="21">
        <v>3.0296025000000001E-11</v>
      </c>
      <c r="G106" s="21">
        <v>-3.2266949999899998E-12</v>
      </c>
      <c r="H106" s="27" t="s">
        <v>74</v>
      </c>
    </row>
    <row r="107" spans="1:8" ht="28" hidden="1" customHeight="1" outlineLevel="1" x14ac:dyDescent="0.35">
      <c r="A107" s="3" t="s">
        <v>150</v>
      </c>
      <c r="B107" s="3" t="s">
        <v>84</v>
      </c>
      <c r="C107" s="19">
        <v>24570.372853744018</v>
      </c>
      <c r="D107" s="19">
        <v>24570.372853744149</v>
      </c>
      <c r="E107" s="19">
        <v>24570.372853744149</v>
      </c>
      <c r="F107" s="21">
        <v>-1.322276535E-10</v>
      </c>
      <c r="G107" s="21">
        <v>2.1824635E-12</v>
      </c>
      <c r="H107" s="26" t="s">
        <v>74</v>
      </c>
    </row>
    <row r="108" spans="1:8" ht="28" hidden="1" customHeight="1" outlineLevel="1" x14ac:dyDescent="0.35">
      <c r="A108" s="2" t="s">
        <v>151</v>
      </c>
      <c r="B108" s="2" t="s">
        <v>86</v>
      </c>
      <c r="C108" s="17">
        <v>4678</v>
      </c>
      <c r="D108" s="17">
        <v>4678</v>
      </c>
      <c r="E108" s="17">
        <v>4678</v>
      </c>
      <c r="F108" s="4">
        <v>0</v>
      </c>
      <c r="G108" s="4">
        <v>0</v>
      </c>
      <c r="H108" s="27" t="s">
        <v>74</v>
      </c>
    </row>
    <row r="109" spans="1:8" ht="28" hidden="1" customHeight="1" outlineLevel="1" x14ac:dyDescent="0.35">
      <c r="A109" s="3" t="s">
        <v>152</v>
      </c>
      <c r="B109" s="3" t="s">
        <v>88</v>
      </c>
      <c r="C109" s="19">
        <v>33956.219746285242</v>
      </c>
      <c r="D109" s="19">
        <v>33956.219746285213</v>
      </c>
      <c r="E109" s="19">
        <v>33956.21974628522</v>
      </c>
      <c r="F109" s="21">
        <v>2.9621025000000001E-11</v>
      </c>
      <c r="G109" s="21">
        <v>-3.2516949999999999E-12</v>
      </c>
      <c r="H109" s="26" t="s">
        <v>74</v>
      </c>
    </row>
    <row r="110" spans="1:8" ht="28" hidden="1" customHeight="1" outlineLevel="1" x14ac:dyDescent="0.35">
      <c r="A110" s="2" t="s">
        <v>153</v>
      </c>
      <c r="B110" s="2" t="s">
        <v>90</v>
      </c>
      <c r="C110" s="20">
        <v>25145.81347199787</v>
      </c>
      <c r="D110" s="20">
        <v>25145.813471998001</v>
      </c>
      <c r="E110" s="20">
        <v>25145.813471998001</v>
      </c>
      <c r="F110" s="21">
        <v>-1.3483315349999999E-10</v>
      </c>
      <c r="G110" s="21">
        <v>2.2879634999999999E-12</v>
      </c>
      <c r="H110" s="27" t="s">
        <v>74</v>
      </c>
    </row>
    <row r="111" spans="1:8" ht="28" hidden="1" customHeight="1" outlineLevel="1" x14ac:dyDescent="0.35">
      <c r="A111" s="3" t="s">
        <v>154</v>
      </c>
      <c r="B111" s="3" t="s">
        <v>73</v>
      </c>
      <c r="C111" s="18">
        <v>326</v>
      </c>
      <c r="D111" s="18">
        <v>326</v>
      </c>
      <c r="E111" s="18">
        <v>326</v>
      </c>
      <c r="F111" s="4">
        <v>0</v>
      </c>
      <c r="G111" s="4">
        <v>0</v>
      </c>
      <c r="H111" s="26" t="s">
        <v>74</v>
      </c>
    </row>
    <row r="112" spans="1:8" ht="28" hidden="1" customHeight="1" outlineLevel="1" x14ac:dyDescent="0.35">
      <c r="A112" s="2" t="s">
        <v>155</v>
      </c>
      <c r="B112" s="2" t="s">
        <v>76</v>
      </c>
      <c r="C112" s="20">
        <v>3193.8455289272169</v>
      </c>
      <c r="D112" s="20">
        <v>3193.8455289272229</v>
      </c>
      <c r="E112" s="20">
        <v>3193.8455289272242</v>
      </c>
      <c r="F112" s="21">
        <v>-5.9400000000000001E-12</v>
      </c>
      <c r="G112" s="21">
        <v>-3.9500000000099998E-13</v>
      </c>
      <c r="H112" s="27" t="s">
        <v>74</v>
      </c>
    </row>
    <row r="113" spans="1:8" ht="28" hidden="1" customHeight="1" outlineLevel="1" x14ac:dyDescent="0.35">
      <c r="A113" s="3" t="s">
        <v>156</v>
      </c>
      <c r="B113" s="3" t="s">
        <v>78</v>
      </c>
      <c r="C113" s="19">
        <v>1907.9495532296819</v>
      </c>
      <c r="D113" s="19">
        <v>1907.949553229686</v>
      </c>
      <c r="E113" s="19">
        <v>1907.949553229686</v>
      </c>
      <c r="F113" s="21">
        <v>-4.1849999999999996E-12</v>
      </c>
      <c r="G113" s="21">
        <v>-4.5E-13</v>
      </c>
      <c r="H113" s="26" t="s">
        <v>74</v>
      </c>
    </row>
    <row r="114" spans="1:8" ht="28" hidden="1" customHeight="1" outlineLevel="1" x14ac:dyDescent="0.35">
      <c r="A114" s="2" t="s">
        <v>157</v>
      </c>
      <c r="B114" s="2" t="s">
        <v>80</v>
      </c>
      <c r="C114" s="17">
        <v>337</v>
      </c>
      <c r="D114" s="17">
        <v>337</v>
      </c>
      <c r="E114" s="17">
        <v>337</v>
      </c>
      <c r="F114" s="4">
        <v>0</v>
      </c>
      <c r="G114" s="4">
        <v>0</v>
      </c>
      <c r="H114" s="27" t="s">
        <v>74</v>
      </c>
    </row>
    <row r="115" spans="1:8" ht="28" hidden="1" customHeight="1" outlineLevel="1" x14ac:dyDescent="0.35">
      <c r="A115" s="3" t="s">
        <v>158</v>
      </c>
      <c r="B115" s="3" t="s">
        <v>82</v>
      </c>
      <c r="C115" s="19">
        <v>3078.158812893284</v>
      </c>
      <c r="D115" s="19">
        <v>3078.1588128932808</v>
      </c>
      <c r="E115" s="19">
        <v>3078.1588128932822</v>
      </c>
      <c r="F115" s="21">
        <v>2.2209929999999999E-12</v>
      </c>
      <c r="G115" s="21">
        <v>-2.4440500000000001E-13</v>
      </c>
      <c r="H115" s="26" t="s">
        <v>74</v>
      </c>
    </row>
    <row r="116" spans="1:8" ht="28" hidden="1" customHeight="1" outlineLevel="1" x14ac:dyDescent="0.35">
      <c r="A116" s="2" t="s">
        <v>159</v>
      </c>
      <c r="B116" s="2" t="s">
        <v>84</v>
      </c>
      <c r="C116" s="20">
        <v>2050.1865260952618</v>
      </c>
      <c r="D116" s="20">
        <v>2050.1865260952691</v>
      </c>
      <c r="E116" s="20">
        <v>2050.1865260952691</v>
      </c>
      <c r="F116" s="21">
        <v>-6.7824270000000001E-12</v>
      </c>
      <c r="G116" s="21">
        <v>-2.5741900000000001E-13</v>
      </c>
      <c r="H116" s="27" t="s">
        <v>74</v>
      </c>
    </row>
    <row r="117" spans="1:8" ht="28" hidden="1" customHeight="1" outlineLevel="1" x14ac:dyDescent="0.35">
      <c r="A117" s="3" t="s">
        <v>160</v>
      </c>
      <c r="B117" s="3" t="s">
        <v>86</v>
      </c>
      <c r="C117" s="18">
        <v>663</v>
      </c>
      <c r="D117" s="18">
        <v>663</v>
      </c>
      <c r="E117" s="18">
        <v>663</v>
      </c>
      <c r="F117" s="4">
        <v>0</v>
      </c>
      <c r="G117" s="4">
        <v>0</v>
      </c>
      <c r="H117" s="26" t="s">
        <v>74</v>
      </c>
    </row>
    <row r="118" spans="1:8" ht="28" hidden="1" customHeight="1" outlineLevel="1" x14ac:dyDescent="0.35">
      <c r="A118" s="2" t="s">
        <v>161</v>
      </c>
      <c r="B118" s="2" t="s">
        <v>88</v>
      </c>
      <c r="C118" s="20">
        <v>6272.0043418204996</v>
      </c>
      <c r="D118" s="20">
        <v>6272.004341820505</v>
      </c>
      <c r="E118" s="20">
        <v>6272.004341820505</v>
      </c>
      <c r="F118" s="21">
        <v>-3.8540070000000003E-12</v>
      </c>
      <c r="G118" s="21">
        <v>-6.3940500000000004E-13</v>
      </c>
      <c r="H118" s="27" t="s">
        <v>74</v>
      </c>
    </row>
    <row r="119" spans="1:8" ht="28" hidden="1" customHeight="1" outlineLevel="1" x14ac:dyDescent="0.35">
      <c r="A119" s="3" t="s">
        <v>162</v>
      </c>
      <c r="B119" s="3" t="s">
        <v>90</v>
      </c>
      <c r="C119" s="19">
        <v>3958.1360793249441</v>
      </c>
      <c r="D119" s="19">
        <v>3958.1360793249551</v>
      </c>
      <c r="E119" s="19">
        <v>3958.1360793249551</v>
      </c>
      <c r="F119" s="21">
        <v>-1.0967427E-11</v>
      </c>
      <c r="G119" s="21">
        <v>-7.0741899999999996E-13</v>
      </c>
      <c r="H119" s="26" t="s">
        <v>74</v>
      </c>
    </row>
    <row r="120" spans="1:8" ht="28" hidden="1" customHeight="1" outlineLevel="1" x14ac:dyDescent="0.35">
      <c r="A120" s="2" t="s">
        <v>163</v>
      </c>
      <c r="B120" s="2" t="s">
        <v>73</v>
      </c>
      <c r="C120" s="17">
        <v>326</v>
      </c>
      <c r="D120" s="17">
        <v>326</v>
      </c>
      <c r="E120" s="17">
        <v>326</v>
      </c>
      <c r="F120" s="4">
        <v>0</v>
      </c>
      <c r="G120" s="4">
        <v>0</v>
      </c>
      <c r="H120" s="27" t="s">
        <v>74</v>
      </c>
    </row>
    <row r="121" spans="1:8" ht="28" hidden="1" customHeight="1" outlineLevel="1" x14ac:dyDescent="0.35">
      <c r="A121" s="3" t="s">
        <v>164</v>
      </c>
      <c r="B121" s="3" t="s">
        <v>76</v>
      </c>
      <c r="C121" s="19">
        <v>3193.8455289272169</v>
      </c>
      <c r="D121" s="19">
        <v>3193.8455289272229</v>
      </c>
      <c r="E121" s="19">
        <v>3193.8455289272242</v>
      </c>
      <c r="F121" s="21">
        <v>-5.9400000000000001E-12</v>
      </c>
      <c r="G121" s="21">
        <v>-3.9500000000099998E-13</v>
      </c>
      <c r="H121" s="26" t="s">
        <v>74</v>
      </c>
    </row>
    <row r="122" spans="1:8" ht="28" hidden="1" customHeight="1" outlineLevel="1" x14ac:dyDescent="0.35">
      <c r="A122" s="2" t="s">
        <v>165</v>
      </c>
      <c r="B122" s="2" t="s">
        <v>78</v>
      </c>
      <c r="C122" s="20">
        <v>1907.9495532296819</v>
      </c>
      <c r="D122" s="20">
        <v>1907.949553229686</v>
      </c>
      <c r="E122" s="20">
        <v>1907.949553229686</v>
      </c>
      <c r="F122" s="21">
        <v>-4.1849999999999996E-12</v>
      </c>
      <c r="G122" s="21">
        <v>-4.5E-13</v>
      </c>
      <c r="H122" s="27" t="s">
        <v>74</v>
      </c>
    </row>
    <row r="123" spans="1:8" ht="28" hidden="1" customHeight="1" outlineLevel="1" x14ac:dyDescent="0.35">
      <c r="A123" s="3" t="s">
        <v>166</v>
      </c>
      <c r="B123" s="3" t="s">
        <v>80</v>
      </c>
      <c r="C123" s="18">
        <v>337</v>
      </c>
      <c r="D123" s="18">
        <v>337</v>
      </c>
      <c r="E123" s="18">
        <v>337</v>
      </c>
      <c r="F123" s="4">
        <v>0</v>
      </c>
      <c r="G123" s="4">
        <v>0</v>
      </c>
      <c r="H123" s="26" t="s">
        <v>74</v>
      </c>
    </row>
    <row r="124" spans="1:8" ht="28" hidden="1" customHeight="1" outlineLevel="1" x14ac:dyDescent="0.35">
      <c r="A124" s="2" t="s">
        <v>167</v>
      </c>
      <c r="B124" s="2" t="s">
        <v>82</v>
      </c>
      <c r="C124" s="20">
        <v>3078.158812893284</v>
      </c>
      <c r="D124" s="20">
        <v>3078.1588128932808</v>
      </c>
      <c r="E124" s="20">
        <v>3078.1588128932822</v>
      </c>
      <c r="F124" s="21">
        <v>2.2209929999999999E-12</v>
      </c>
      <c r="G124" s="21">
        <v>-2.4440500000000001E-13</v>
      </c>
      <c r="H124" s="27" t="s">
        <v>74</v>
      </c>
    </row>
    <row r="125" spans="1:8" ht="28" hidden="1" customHeight="1" outlineLevel="1" x14ac:dyDescent="0.35">
      <c r="A125" s="3" t="s">
        <v>168</v>
      </c>
      <c r="B125" s="3" t="s">
        <v>84</v>
      </c>
      <c r="C125" s="19">
        <v>2050.1865260952618</v>
      </c>
      <c r="D125" s="19">
        <v>2050.1865260952691</v>
      </c>
      <c r="E125" s="19">
        <v>2050.1865260952691</v>
      </c>
      <c r="F125" s="21">
        <v>-6.7824270000000001E-12</v>
      </c>
      <c r="G125" s="21">
        <v>-2.5741900000000001E-13</v>
      </c>
      <c r="H125" s="26" t="s">
        <v>74</v>
      </c>
    </row>
    <row r="126" spans="1:8" ht="28" hidden="1" customHeight="1" outlineLevel="1" x14ac:dyDescent="0.35">
      <c r="A126" s="2" t="s">
        <v>169</v>
      </c>
      <c r="B126" s="2" t="s">
        <v>86</v>
      </c>
      <c r="C126" s="17">
        <v>663</v>
      </c>
      <c r="D126" s="17">
        <v>663</v>
      </c>
      <c r="E126" s="17">
        <v>663</v>
      </c>
      <c r="F126" s="4">
        <v>0</v>
      </c>
      <c r="G126" s="4">
        <v>0</v>
      </c>
      <c r="H126" s="27" t="s">
        <v>74</v>
      </c>
    </row>
    <row r="127" spans="1:8" ht="28" hidden="1" customHeight="1" outlineLevel="1" x14ac:dyDescent="0.35">
      <c r="A127" s="3" t="s">
        <v>170</v>
      </c>
      <c r="B127" s="3" t="s">
        <v>88</v>
      </c>
      <c r="C127" s="19">
        <v>6272.0043418204996</v>
      </c>
      <c r="D127" s="19">
        <v>6272.004341820505</v>
      </c>
      <c r="E127" s="19">
        <v>6272.004341820505</v>
      </c>
      <c r="F127" s="21">
        <v>-3.8540070000000003E-12</v>
      </c>
      <c r="G127" s="21">
        <v>-6.3940500000000004E-13</v>
      </c>
      <c r="H127" s="26" t="s">
        <v>74</v>
      </c>
    </row>
    <row r="128" spans="1:8" ht="28" hidden="1" customHeight="1" outlineLevel="1" x14ac:dyDescent="0.35">
      <c r="A128" s="2" t="s">
        <v>171</v>
      </c>
      <c r="B128" s="2" t="s">
        <v>90</v>
      </c>
      <c r="C128" s="20">
        <v>3958.1360793249441</v>
      </c>
      <c r="D128" s="20">
        <v>3958.1360793249551</v>
      </c>
      <c r="E128" s="20">
        <v>3958.1360793249551</v>
      </c>
      <c r="F128" s="21">
        <v>-1.0967427E-11</v>
      </c>
      <c r="G128" s="21">
        <v>-7.0741899999999996E-13</v>
      </c>
      <c r="H128" s="27" t="s">
        <v>74</v>
      </c>
    </row>
    <row r="129" spans="1:8" ht="28" hidden="1" customHeight="1" outlineLevel="1" x14ac:dyDescent="0.35">
      <c r="A129" s="3" t="s">
        <v>172</v>
      </c>
      <c r="B129" s="3" t="s">
        <v>73</v>
      </c>
      <c r="C129" s="18">
        <v>326</v>
      </c>
      <c r="D129" s="18">
        <v>326</v>
      </c>
      <c r="E129" s="18">
        <v>326</v>
      </c>
      <c r="F129" s="4">
        <v>0</v>
      </c>
      <c r="G129" s="4">
        <v>0</v>
      </c>
      <c r="H129" s="26" t="s">
        <v>74</v>
      </c>
    </row>
    <row r="130" spans="1:8" ht="28" hidden="1" customHeight="1" outlineLevel="1" x14ac:dyDescent="0.35">
      <c r="A130" s="2" t="s">
        <v>173</v>
      </c>
      <c r="B130" s="2" t="s">
        <v>76</v>
      </c>
      <c r="C130" s="20">
        <v>3193.8455289272169</v>
      </c>
      <c r="D130" s="20">
        <v>3193.8455289272229</v>
      </c>
      <c r="E130" s="20">
        <v>3193.8455289272242</v>
      </c>
      <c r="F130" s="21">
        <v>-5.9400000000000001E-12</v>
      </c>
      <c r="G130" s="21">
        <v>-3.9500000000099998E-13</v>
      </c>
      <c r="H130" s="27" t="s">
        <v>74</v>
      </c>
    </row>
    <row r="131" spans="1:8" ht="28" hidden="1" customHeight="1" outlineLevel="1" x14ac:dyDescent="0.35">
      <c r="A131" s="3" t="s">
        <v>174</v>
      </c>
      <c r="B131" s="3" t="s">
        <v>78</v>
      </c>
      <c r="C131" s="19">
        <v>1907.9495532296819</v>
      </c>
      <c r="D131" s="19">
        <v>1907.949553229686</v>
      </c>
      <c r="E131" s="19">
        <v>1907.949553229686</v>
      </c>
      <c r="F131" s="21">
        <v>-4.1849999999999996E-12</v>
      </c>
      <c r="G131" s="21">
        <v>-4.5E-13</v>
      </c>
      <c r="H131" s="26" t="s">
        <v>74</v>
      </c>
    </row>
    <row r="132" spans="1:8" ht="28" hidden="1" customHeight="1" outlineLevel="1" x14ac:dyDescent="0.35">
      <c r="A132" s="2" t="s">
        <v>175</v>
      </c>
      <c r="B132" s="2" t="s">
        <v>80</v>
      </c>
      <c r="C132" s="17">
        <v>337</v>
      </c>
      <c r="D132" s="17">
        <v>337</v>
      </c>
      <c r="E132" s="17">
        <v>337</v>
      </c>
      <c r="F132" s="4">
        <v>0</v>
      </c>
      <c r="G132" s="4">
        <v>0</v>
      </c>
      <c r="H132" s="27" t="s">
        <v>74</v>
      </c>
    </row>
    <row r="133" spans="1:8" ht="28" hidden="1" customHeight="1" outlineLevel="1" x14ac:dyDescent="0.35">
      <c r="A133" s="3" t="s">
        <v>176</v>
      </c>
      <c r="B133" s="3" t="s">
        <v>82</v>
      </c>
      <c r="C133" s="19">
        <v>3078.158812893284</v>
      </c>
      <c r="D133" s="19">
        <v>3078.1588128932808</v>
      </c>
      <c r="E133" s="19">
        <v>3078.1588128932822</v>
      </c>
      <c r="F133" s="21">
        <v>2.2209929999999999E-12</v>
      </c>
      <c r="G133" s="21">
        <v>-2.4440500000000001E-13</v>
      </c>
      <c r="H133" s="26" t="s">
        <v>74</v>
      </c>
    </row>
    <row r="134" spans="1:8" ht="28" hidden="1" customHeight="1" outlineLevel="1" x14ac:dyDescent="0.35">
      <c r="A134" s="2" t="s">
        <v>177</v>
      </c>
      <c r="B134" s="2" t="s">
        <v>84</v>
      </c>
      <c r="C134" s="20">
        <v>2050.1865260952618</v>
      </c>
      <c r="D134" s="20">
        <v>2050.1865260952691</v>
      </c>
      <c r="E134" s="20">
        <v>2050.1865260952691</v>
      </c>
      <c r="F134" s="21">
        <v>-6.7824270000000001E-12</v>
      </c>
      <c r="G134" s="21">
        <v>-2.5741900000000001E-13</v>
      </c>
      <c r="H134" s="27" t="s">
        <v>74</v>
      </c>
    </row>
    <row r="135" spans="1:8" ht="28" hidden="1" customHeight="1" outlineLevel="1" x14ac:dyDescent="0.35">
      <c r="A135" s="3" t="s">
        <v>178</v>
      </c>
      <c r="B135" s="3" t="s">
        <v>86</v>
      </c>
      <c r="C135" s="18">
        <v>663</v>
      </c>
      <c r="D135" s="18">
        <v>663</v>
      </c>
      <c r="E135" s="18">
        <v>663</v>
      </c>
      <c r="F135" s="4">
        <v>0</v>
      </c>
      <c r="G135" s="4">
        <v>0</v>
      </c>
      <c r="H135" s="26" t="s">
        <v>74</v>
      </c>
    </row>
    <row r="136" spans="1:8" ht="28" hidden="1" customHeight="1" outlineLevel="1" x14ac:dyDescent="0.35">
      <c r="A136" s="2" t="s">
        <v>179</v>
      </c>
      <c r="B136" s="2" t="s">
        <v>88</v>
      </c>
      <c r="C136" s="20">
        <v>6272.0043418204996</v>
      </c>
      <c r="D136" s="20">
        <v>6272.004341820505</v>
      </c>
      <c r="E136" s="20">
        <v>6272.004341820505</v>
      </c>
      <c r="F136" s="21">
        <v>-3.8540070000000003E-12</v>
      </c>
      <c r="G136" s="21">
        <v>-6.3940500000000004E-13</v>
      </c>
      <c r="H136" s="27" t="s">
        <v>74</v>
      </c>
    </row>
    <row r="137" spans="1:8" ht="28" hidden="1" customHeight="1" outlineLevel="1" x14ac:dyDescent="0.35">
      <c r="A137" s="3" t="s">
        <v>180</v>
      </c>
      <c r="B137" s="3" t="s">
        <v>90</v>
      </c>
      <c r="C137" s="19">
        <v>3958.1360793249441</v>
      </c>
      <c r="D137" s="19">
        <v>3958.1360793249551</v>
      </c>
      <c r="E137" s="19">
        <v>3958.1360793249551</v>
      </c>
      <c r="F137" s="21">
        <v>-1.0967427E-11</v>
      </c>
      <c r="G137" s="21">
        <v>-7.0741899999999996E-13</v>
      </c>
      <c r="H137" s="26" t="s">
        <v>74</v>
      </c>
    </row>
    <row r="138" spans="1:8" ht="28" hidden="1" customHeight="1" outlineLevel="1" x14ac:dyDescent="0.35">
      <c r="A138" s="2" t="s">
        <v>181</v>
      </c>
      <c r="B138" s="2" t="s">
        <v>73</v>
      </c>
      <c r="C138" s="17">
        <v>326</v>
      </c>
      <c r="D138" s="17">
        <v>326</v>
      </c>
      <c r="E138" s="17">
        <v>326</v>
      </c>
      <c r="F138" s="4">
        <v>0</v>
      </c>
      <c r="G138" s="4">
        <v>0</v>
      </c>
      <c r="H138" s="27" t="s">
        <v>74</v>
      </c>
    </row>
    <row r="139" spans="1:8" ht="28" hidden="1" customHeight="1" outlineLevel="1" x14ac:dyDescent="0.35">
      <c r="A139" s="3" t="s">
        <v>182</v>
      </c>
      <c r="B139" s="3" t="s">
        <v>76</v>
      </c>
      <c r="C139" s="19">
        <v>3193.8455289272169</v>
      </c>
      <c r="D139" s="19">
        <v>3193.8455289272229</v>
      </c>
      <c r="E139" s="19">
        <v>3193.8455289272242</v>
      </c>
      <c r="F139" s="21">
        <v>-5.9400000000000001E-12</v>
      </c>
      <c r="G139" s="21">
        <v>-3.9500000000099998E-13</v>
      </c>
      <c r="H139" s="26" t="s">
        <v>74</v>
      </c>
    </row>
    <row r="140" spans="1:8" ht="28" hidden="1" customHeight="1" outlineLevel="1" x14ac:dyDescent="0.35">
      <c r="A140" s="2" t="s">
        <v>183</v>
      </c>
      <c r="B140" s="2" t="s">
        <v>78</v>
      </c>
      <c r="C140" s="20">
        <v>1907.9495532296819</v>
      </c>
      <c r="D140" s="20">
        <v>1907.949553229686</v>
      </c>
      <c r="E140" s="20">
        <v>1907.949553229686</v>
      </c>
      <c r="F140" s="21">
        <v>-4.1849999999999996E-12</v>
      </c>
      <c r="G140" s="21">
        <v>-4.5E-13</v>
      </c>
      <c r="H140" s="27" t="s">
        <v>74</v>
      </c>
    </row>
    <row r="141" spans="1:8" ht="28" hidden="1" customHeight="1" outlineLevel="1" x14ac:dyDescent="0.35">
      <c r="A141" s="3" t="s">
        <v>184</v>
      </c>
      <c r="B141" s="3" t="s">
        <v>80</v>
      </c>
      <c r="C141" s="18">
        <v>337</v>
      </c>
      <c r="D141" s="18">
        <v>337</v>
      </c>
      <c r="E141" s="18">
        <v>337</v>
      </c>
      <c r="F141" s="4">
        <v>0</v>
      </c>
      <c r="G141" s="4">
        <v>0</v>
      </c>
      <c r="H141" s="26" t="s">
        <v>74</v>
      </c>
    </row>
    <row r="142" spans="1:8" ht="28" hidden="1" customHeight="1" outlineLevel="1" x14ac:dyDescent="0.35">
      <c r="A142" s="2" t="s">
        <v>185</v>
      </c>
      <c r="B142" s="2" t="s">
        <v>82</v>
      </c>
      <c r="C142" s="20">
        <v>3078.158812893284</v>
      </c>
      <c r="D142" s="20">
        <v>3078.1588128932808</v>
      </c>
      <c r="E142" s="20">
        <v>3078.1588128932822</v>
      </c>
      <c r="F142" s="21">
        <v>2.2209929999999999E-12</v>
      </c>
      <c r="G142" s="21">
        <v>-2.4440500000000001E-13</v>
      </c>
      <c r="H142" s="27" t="s">
        <v>74</v>
      </c>
    </row>
    <row r="143" spans="1:8" ht="28" hidden="1" customHeight="1" outlineLevel="1" x14ac:dyDescent="0.35">
      <c r="A143" s="3" t="s">
        <v>186</v>
      </c>
      <c r="B143" s="3" t="s">
        <v>84</v>
      </c>
      <c r="C143" s="19">
        <v>2050.1865260952618</v>
      </c>
      <c r="D143" s="19">
        <v>2050.1865260952691</v>
      </c>
      <c r="E143" s="19">
        <v>2050.1865260952691</v>
      </c>
      <c r="F143" s="21">
        <v>-6.7824270000000001E-12</v>
      </c>
      <c r="G143" s="21">
        <v>-2.5741900000000001E-13</v>
      </c>
      <c r="H143" s="26" t="s">
        <v>74</v>
      </c>
    </row>
    <row r="144" spans="1:8" ht="28" hidden="1" customHeight="1" outlineLevel="1" x14ac:dyDescent="0.35">
      <c r="A144" s="2" t="s">
        <v>187</v>
      </c>
      <c r="B144" s="2" t="s">
        <v>86</v>
      </c>
      <c r="C144" s="17">
        <v>663</v>
      </c>
      <c r="D144" s="17">
        <v>663</v>
      </c>
      <c r="E144" s="17">
        <v>663</v>
      </c>
      <c r="F144" s="4">
        <v>0</v>
      </c>
      <c r="G144" s="4">
        <v>0</v>
      </c>
      <c r="H144" s="27" t="s">
        <v>74</v>
      </c>
    </row>
    <row r="145" spans="1:8" ht="28" hidden="1" customHeight="1" outlineLevel="1" x14ac:dyDescent="0.35">
      <c r="A145" s="3" t="s">
        <v>188</v>
      </c>
      <c r="B145" s="3" t="s">
        <v>88</v>
      </c>
      <c r="C145" s="19">
        <v>6272.0043418204996</v>
      </c>
      <c r="D145" s="19">
        <v>6272.004341820505</v>
      </c>
      <c r="E145" s="19">
        <v>6272.004341820505</v>
      </c>
      <c r="F145" s="21">
        <v>-3.8540070000000003E-12</v>
      </c>
      <c r="G145" s="21">
        <v>-6.3940500000000004E-13</v>
      </c>
      <c r="H145" s="26" t="s">
        <v>74</v>
      </c>
    </row>
    <row r="146" spans="1:8" ht="28" hidden="1" customHeight="1" outlineLevel="1" x14ac:dyDescent="0.35">
      <c r="A146" s="2" t="s">
        <v>189</v>
      </c>
      <c r="B146" s="2" t="s">
        <v>90</v>
      </c>
      <c r="C146" s="20">
        <v>3958.1360793249441</v>
      </c>
      <c r="D146" s="20">
        <v>3958.1360793249551</v>
      </c>
      <c r="E146" s="20">
        <v>3958.1360793249551</v>
      </c>
      <c r="F146" s="21">
        <v>-1.0967427E-11</v>
      </c>
      <c r="G146" s="21">
        <v>-7.0741899999999996E-13</v>
      </c>
      <c r="H146" s="27" t="s">
        <v>74</v>
      </c>
    </row>
    <row r="147" spans="1:8" ht="28" hidden="1" customHeight="1" outlineLevel="1" x14ac:dyDescent="0.35">
      <c r="A147" s="3" t="s">
        <v>190</v>
      </c>
      <c r="B147" s="3" t="s">
        <v>73</v>
      </c>
      <c r="C147" s="18">
        <v>3</v>
      </c>
      <c r="D147" s="18">
        <v>3</v>
      </c>
      <c r="E147" s="18">
        <v>3</v>
      </c>
      <c r="F147" s="4">
        <v>0</v>
      </c>
      <c r="G147" s="4">
        <v>0</v>
      </c>
      <c r="H147" s="26" t="s">
        <v>74</v>
      </c>
    </row>
    <row r="148" spans="1:8" ht="28" hidden="1" customHeight="1" outlineLevel="1" x14ac:dyDescent="0.35">
      <c r="A148" s="2" t="s">
        <v>191</v>
      </c>
      <c r="B148" s="2" t="s">
        <v>76</v>
      </c>
      <c r="C148" s="20">
        <v>3.3246449999999999</v>
      </c>
      <c r="D148" s="20">
        <v>3.3246449999999999</v>
      </c>
      <c r="E148" s="20">
        <v>3.3246449999999999</v>
      </c>
      <c r="F148" s="21">
        <v>-2.7E-16</v>
      </c>
      <c r="G148" s="21">
        <v>0</v>
      </c>
      <c r="H148" s="27" t="s">
        <v>74</v>
      </c>
    </row>
    <row r="149" spans="1:8" ht="28" hidden="1" customHeight="1" outlineLevel="1" x14ac:dyDescent="0.35">
      <c r="A149" s="3" t="s">
        <v>192</v>
      </c>
      <c r="B149" s="3" t="s">
        <v>78</v>
      </c>
      <c r="C149" s="19">
        <v>3.3246449999999999</v>
      </c>
      <c r="D149" s="19">
        <v>3.3246449999999999</v>
      </c>
      <c r="E149" s="19">
        <v>3.3246449999999999</v>
      </c>
      <c r="F149" s="21">
        <v>-2.7E-16</v>
      </c>
      <c r="G149" s="21">
        <v>0</v>
      </c>
      <c r="H149" s="26" t="s">
        <v>74</v>
      </c>
    </row>
    <row r="150" spans="1:8" ht="28" hidden="1" customHeight="1" outlineLevel="1" x14ac:dyDescent="0.35">
      <c r="A150" s="2" t="s">
        <v>193</v>
      </c>
      <c r="B150" s="2" t="s">
        <v>80</v>
      </c>
      <c r="C150" s="17">
        <v>24</v>
      </c>
      <c r="D150" s="17">
        <v>24</v>
      </c>
      <c r="E150" s="17">
        <v>24</v>
      </c>
      <c r="F150" s="4">
        <v>0</v>
      </c>
      <c r="G150" s="4">
        <v>0</v>
      </c>
      <c r="H150" s="27" t="s">
        <v>74</v>
      </c>
    </row>
    <row r="151" spans="1:8" ht="28" hidden="1" customHeight="1" outlineLevel="1" x14ac:dyDescent="0.35">
      <c r="A151" s="3" t="s">
        <v>194</v>
      </c>
      <c r="B151" s="3" t="s">
        <v>82</v>
      </c>
      <c r="C151" s="19">
        <v>24.23492568</v>
      </c>
      <c r="D151" s="19">
        <v>24.23492568</v>
      </c>
      <c r="E151" s="19">
        <v>24.23492568</v>
      </c>
      <c r="F151" s="21">
        <v>0</v>
      </c>
      <c r="G151" s="21">
        <v>-3.0299999999899999E-15</v>
      </c>
      <c r="H151" s="26" t="s">
        <v>74</v>
      </c>
    </row>
    <row r="152" spans="1:8" ht="28" hidden="1" customHeight="1" outlineLevel="1" x14ac:dyDescent="0.35">
      <c r="A152" s="2" t="s">
        <v>195</v>
      </c>
      <c r="B152" s="2" t="s">
        <v>84</v>
      </c>
      <c r="C152" s="20">
        <v>24.23492568</v>
      </c>
      <c r="D152" s="20">
        <v>24.23492568</v>
      </c>
      <c r="E152" s="20">
        <v>24.23492568</v>
      </c>
      <c r="F152" s="21">
        <v>0</v>
      </c>
      <c r="G152" s="21">
        <v>-3.0299999999899999E-15</v>
      </c>
      <c r="H152" s="27" t="s">
        <v>74</v>
      </c>
    </row>
    <row r="153" spans="1:8" ht="28" hidden="1" customHeight="1" outlineLevel="1" x14ac:dyDescent="0.35">
      <c r="A153" s="3" t="s">
        <v>196</v>
      </c>
      <c r="B153" s="3" t="s">
        <v>86</v>
      </c>
      <c r="C153" s="18">
        <v>27</v>
      </c>
      <c r="D153" s="18">
        <v>27</v>
      </c>
      <c r="E153" s="18">
        <v>27</v>
      </c>
      <c r="F153" s="4">
        <v>0</v>
      </c>
      <c r="G153" s="4">
        <v>0</v>
      </c>
      <c r="H153" s="26" t="s">
        <v>74</v>
      </c>
    </row>
    <row r="154" spans="1:8" ht="28" hidden="1" customHeight="1" outlineLevel="1" x14ac:dyDescent="0.35">
      <c r="A154" s="2" t="s">
        <v>197</v>
      </c>
      <c r="B154" s="2" t="s">
        <v>88</v>
      </c>
      <c r="C154" s="20">
        <v>27.55957068</v>
      </c>
      <c r="D154" s="20">
        <v>27.55957068</v>
      </c>
      <c r="E154" s="20">
        <v>27.55957068</v>
      </c>
      <c r="F154" s="21">
        <v>1.35E-15</v>
      </c>
      <c r="G154" s="21">
        <v>-3.0299999999899999E-15</v>
      </c>
      <c r="H154" s="27" t="s">
        <v>74</v>
      </c>
    </row>
    <row r="155" spans="1:8" ht="28" hidden="1" customHeight="1" outlineLevel="1" x14ac:dyDescent="0.35">
      <c r="A155" s="3" t="s">
        <v>198</v>
      </c>
      <c r="B155" s="3" t="s">
        <v>90</v>
      </c>
      <c r="C155" s="19">
        <v>27.55957068</v>
      </c>
      <c r="D155" s="19">
        <v>27.55957068</v>
      </c>
      <c r="E155" s="19">
        <v>27.55957068</v>
      </c>
      <c r="F155" s="21">
        <v>1.35E-15</v>
      </c>
      <c r="G155" s="21">
        <v>-3.0299999999899999E-15</v>
      </c>
      <c r="H155" s="26" t="s">
        <v>74</v>
      </c>
    </row>
    <row r="156" spans="1:8" ht="28" hidden="1" customHeight="1" outlineLevel="1" x14ac:dyDescent="0.35">
      <c r="A156" s="2" t="s">
        <v>199</v>
      </c>
      <c r="B156" s="2" t="s">
        <v>73</v>
      </c>
      <c r="C156" s="17">
        <v>1</v>
      </c>
      <c r="D156" s="17">
        <v>1</v>
      </c>
      <c r="E156" s="17">
        <v>1</v>
      </c>
      <c r="F156" s="4">
        <v>0</v>
      </c>
      <c r="G156" s="4">
        <v>0</v>
      </c>
      <c r="H156" s="27" t="s">
        <v>74</v>
      </c>
    </row>
    <row r="157" spans="1:8" ht="28" hidden="1" customHeight="1" outlineLevel="1" x14ac:dyDescent="0.35">
      <c r="A157" s="3" t="s">
        <v>200</v>
      </c>
      <c r="B157" s="3" t="s">
        <v>76</v>
      </c>
      <c r="C157" s="19">
        <v>0.46575</v>
      </c>
      <c r="D157" s="19">
        <v>0.46575</v>
      </c>
      <c r="E157" s="19">
        <v>0.46575000000000011</v>
      </c>
      <c r="F157" s="21">
        <v>0</v>
      </c>
      <c r="G157" s="21">
        <v>-5.9999999999900001E-17</v>
      </c>
      <c r="H157" s="26" t="s">
        <v>74</v>
      </c>
    </row>
    <row r="158" spans="1:8" ht="28" hidden="1" customHeight="1" outlineLevel="1" x14ac:dyDescent="0.35">
      <c r="A158" s="2" t="s">
        <v>201</v>
      </c>
      <c r="B158" s="2" t="s">
        <v>78</v>
      </c>
      <c r="C158" s="20">
        <v>0.46575</v>
      </c>
      <c r="D158" s="20">
        <v>0.46575</v>
      </c>
      <c r="E158" s="20">
        <v>0.46575000000000011</v>
      </c>
      <c r="F158" s="21">
        <v>0</v>
      </c>
      <c r="G158" s="21">
        <v>-5.9999999999900001E-17</v>
      </c>
      <c r="H158" s="27" t="s">
        <v>74</v>
      </c>
    </row>
    <row r="159" spans="1:8" ht="28" hidden="1" customHeight="1" outlineLevel="1" x14ac:dyDescent="0.35">
      <c r="A159" s="3" t="s">
        <v>202</v>
      </c>
      <c r="B159" s="3" t="s">
        <v>80</v>
      </c>
      <c r="C159" s="18">
        <v>8</v>
      </c>
      <c r="D159" s="18">
        <v>8</v>
      </c>
      <c r="E159" s="18">
        <v>8</v>
      </c>
      <c r="F159" s="4">
        <v>0</v>
      </c>
      <c r="G159" s="4">
        <v>0</v>
      </c>
      <c r="H159" s="26" t="s">
        <v>74</v>
      </c>
    </row>
    <row r="160" spans="1:8" ht="28" hidden="1" customHeight="1" outlineLevel="1" x14ac:dyDescent="0.35">
      <c r="A160" s="2" t="s">
        <v>203</v>
      </c>
      <c r="B160" s="2" t="s">
        <v>82</v>
      </c>
      <c r="C160" s="20">
        <v>1.7644500000000001</v>
      </c>
      <c r="D160" s="20">
        <v>1.7644500000000001</v>
      </c>
      <c r="E160" s="20">
        <v>1.7644500000000001</v>
      </c>
      <c r="F160" s="21">
        <v>0</v>
      </c>
      <c r="G160" s="21">
        <v>-3.0000000000000001E-17</v>
      </c>
      <c r="H160" s="27" t="s">
        <v>74</v>
      </c>
    </row>
    <row r="161" spans="1:8" ht="28" hidden="1" customHeight="1" outlineLevel="1" x14ac:dyDescent="0.35">
      <c r="A161" s="3" t="s">
        <v>204</v>
      </c>
      <c r="B161" s="3" t="s">
        <v>84</v>
      </c>
      <c r="C161" s="19">
        <v>1.7644500000000001</v>
      </c>
      <c r="D161" s="19">
        <v>1.7644500000000001</v>
      </c>
      <c r="E161" s="19">
        <v>1.7644500000000001</v>
      </c>
      <c r="F161" s="21">
        <v>0</v>
      </c>
      <c r="G161" s="21">
        <v>-3.0000000000000001E-17</v>
      </c>
      <c r="H161" s="26" t="s">
        <v>74</v>
      </c>
    </row>
    <row r="162" spans="1:8" ht="28" hidden="1" customHeight="1" outlineLevel="1" x14ac:dyDescent="0.35">
      <c r="A162" s="2" t="s">
        <v>205</v>
      </c>
      <c r="B162" s="2" t="s">
        <v>86</v>
      </c>
      <c r="C162" s="17">
        <v>9</v>
      </c>
      <c r="D162" s="17">
        <v>9</v>
      </c>
      <c r="E162" s="17">
        <v>9</v>
      </c>
      <c r="F162" s="4">
        <v>0</v>
      </c>
      <c r="G162" s="4">
        <v>0</v>
      </c>
      <c r="H162" s="27" t="s">
        <v>74</v>
      </c>
    </row>
    <row r="163" spans="1:8" ht="28" hidden="1" customHeight="1" outlineLevel="1" x14ac:dyDescent="0.35">
      <c r="A163" s="3" t="s">
        <v>206</v>
      </c>
      <c r="B163" s="3" t="s">
        <v>88</v>
      </c>
      <c r="C163" s="19">
        <v>2.2302</v>
      </c>
      <c r="D163" s="19">
        <v>2.2302</v>
      </c>
      <c r="E163" s="19">
        <v>2.2302</v>
      </c>
      <c r="F163" s="21">
        <v>0</v>
      </c>
      <c r="G163" s="21">
        <v>-8.9999999999999996E-17</v>
      </c>
      <c r="H163" s="26" t="s">
        <v>74</v>
      </c>
    </row>
    <row r="164" spans="1:8" ht="28" hidden="1" customHeight="1" outlineLevel="1" x14ac:dyDescent="0.35">
      <c r="A164" s="2" t="s">
        <v>207</v>
      </c>
      <c r="B164" s="2" t="s">
        <v>90</v>
      </c>
      <c r="C164" s="20">
        <v>2.2302</v>
      </c>
      <c r="D164" s="20">
        <v>2.2302</v>
      </c>
      <c r="E164" s="20">
        <v>2.2302</v>
      </c>
      <c r="F164" s="21">
        <v>0</v>
      </c>
      <c r="G164" s="21">
        <v>-8.9999999999999996E-17</v>
      </c>
      <c r="H164" s="27" t="s">
        <v>74</v>
      </c>
    </row>
    <row r="165" spans="1:8" ht="28" hidden="1" customHeight="1" outlineLevel="1" x14ac:dyDescent="0.35">
      <c r="A165" s="3" t="s">
        <v>208</v>
      </c>
      <c r="B165" s="3" t="s">
        <v>73</v>
      </c>
      <c r="C165" s="18">
        <v>4</v>
      </c>
      <c r="D165" s="18">
        <v>4</v>
      </c>
      <c r="E165" s="18">
        <v>4</v>
      </c>
      <c r="F165" s="4">
        <v>0</v>
      </c>
      <c r="G165" s="4">
        <v>0</v>
      </c>
      <c r="H165" s="26" t="s">
        <v>74</v>
      </c>
    </row>
    <row r="166" spans="1:8" ht="28" hidden="1" customHeight="1" outlineLevel="1" x14ac:dyDescent="0.35">
      <c r="A166" s="2" t="s">
        <v>209</v>
      </c>
      <c r="B166" s="2" t="s">
        <v>76</v>
      </c>
      <c r="C166" s="20">
        <v>3.7903950000000002</v>
      </c>
      <c r="D166" s="20">
        <v>3.7903950000000002</v>
      </c>
      <c r="E166" s="20">
        <v>3.7903950000000002</v>
      </c>
      <c r="F166" s="21">
        <v>0</v>
      </c>
      <c r="G166" s="21">
        <v>-5.9999999998999997E-17</v>
      </c>
      <c r="H166" s="27" t="s">
        <v>74</v>
      </c>
    </row>
    <row r="167" spans="1:8" ht="28" hidden="1" customHeight="1" outlineLevel="1" x14ac:dyDescent="0.35">
      <c r="A167" s="3" t="s">
        <v>210</v>
      </c>
      <c r="B167" s="3" t="s">
        <v>78</v>
      </c>
      <c r="C167" s="19">
        <v>3.7903950000000002</v>
      </c>
      <c r="D167" s="19">
        <v>3.7903950000000002</v>
      </c>
      <c r="E167" s="19">
        <v>3.7903950000000002</v>
      </c>
      <c r="F167" s="21">
        <v>0</v>
      </c>
      <c r="G167" s="21">
        <v>-5.9999999998999997E-17</v>
      </c>
      <c r="H167" s="26" t="s">
        <v>74</v>
      </c>
    </row>
    <row r="168" spans="1:8" ht="28" hidden="1" customHeight="1" outlineLevel="1" x14ac:dyDescent="0.35">
      <c r="A168" s="2" t="s">
        <v>211</v>
      </c>
      <c r="B168" s="2" t="s">
        <v>80</v>
      </c>
      <c r="C168" s="17">
        <v>32</v>
      </c>
      <c r="D168" s="17">
        <v>32</v>
      </c>
      <c r="E168" s="17">
        <v>32</v>
      </c>
      <c r="F168" s="4">
        <v>0</v>
      </c>
      <c r="G168" s="4">
        <v>0</v>
      </c>
      <c r="H168" s="27" t="s">
        <v>74</v>
      </c>
    </row>
    <row r="169" spans="1:8" ht="28" hidden="1" customHeight="1" outlineLevel="1" x14ac:dyDescent="0.35">
      <c r="A169" s="3" t="s">
        <v>212</v>
      </c>
      <c r="B169" s="3" t="s">
        <v>82</v>
      </c>
      <c r="C169" s="19">
        <v>25.99937568</v>
      </c>
      <c r="D169" s="19">
        <v>25.99937568</v>
      </c>
      <c r="E169" s="19">
        <v>25.99937568</v>
      </c>
      <c r="F169" s="21">
        <v>0</v>
      </c>
      <c r="G169" s="21">
        <v>-3.06E-15</v>
      </c>
      <c r="H169" s="26" t="s">
        <v>74</v>
      </c>
    </row>
    <row r="170" spans="1:8" ht="28" hidden="1" customHeight="1" outlineLevel="1" x14ac:dyDescent="0.35">
      <c r="A170" s="2" t="s">
        <v>213</v>
      </c>
      <c r="B170" s="2" t="s">
        <v>84</v>
      </c>
      <c r="C170" s="20">
        <v>25.99937568</v>
      </c>
      <c r="D170" s="20">
        <v>25.99937568</v>
      </c>
      <c r="E170" s="20">
        <v>25.99937568</v>
      </c>
      <c r="F170" s="21">
        <v>0</v>
      </c>
      <c r="G170" s="21">
        <v>-3.06E-15</v>
      </c>
      <c r="H170" s="27" t="s">
        <v>74</v>
      </c>
    </row>
    <row r="171" spans="1:8" ht="28" hidden="1" customHeight="1" outlineLevel="1" x14ac:dyDescent="0.35">
      <c r="A171" s="3" t="s">
        <v>214</v>
      </c>
      <c r="B171" s="3" t="s">
        <v>86</v>
      </c>
      <c r="C171" s="18">
        <v>36</v>
      </c>
      <c r="D171" s="18">
        <v>36</v>
      </c>
      <c r="E171" s="18">
        <v>36</v>
      </c>
      <c r="F171" s="4">
        <v>0</v>
      </c>
      <c r="G171" s="4">
        <v>0</v>
      </c>
      <c r="H171" s="26" t="s">
        <v>74</v>
      </c>
    </row>
    <row r="172" spans="1:8" ht="28" hidden="1" customHeight="1" outlineLevel="1" x14ac:dyDescent="0.35">
      <c r="A172" s="2" t="s">
        <v>215</v>
      </c>
      <c r="B172" s="2" t="s">
        <v>88</v>
      </c>
      <c r="C172" s="20">
        <v>29.78977068</v>
      </c>
      <c r="D172" s="20">
        <v>29.78977068</v>
      </c>
      <c r="E172" s="20">
        <v>29.78977068</v>
      </c>
      <c r="F172" s="21">
        <v>1.35E-15</v>
      </c>
      <c r="G172" s="21">
        <v>-3.1199999999999998E-15</v>
      </c>
      <c r="H172" s="27" t="s">
        <v>74</v>
      </c>
    </row>
    <row r="173" spans="1:8" ht="28" hidden="1" customHeight="1" outlineLevel="1" x14ac:dyDescent="0.35">
      <c r="A173" s="3" t="s">
        <v>216</v>
      </c>
      <c r="B173" s="3" t="s">
        <v>90</v>
      </c>
      <c r="C173" s="19">
        <v>29.78977068</v>
      </c>
      <c r="D173" s="19">
        <v>29.78977068</v>
      </c>
      <c r="E173" s="19">
        <v>29.78977068</v>
      </c>
      <c r="F173" s="21">
        <v>1.35E-15</v>
      </c>
      <c r="G173" s="21">
        <v>-3.1199999999999998E-15</v>
      </c>
      <c r="H173" s="26" t="s">
        <v>74</v>
      </c>
    </row>
    <row r="174" spans="1:8" ht="28" hidden="1" customHeight="1" outlineLevel="1" x14ac:dyDescent="0.35">
      <c r="A174" s="2" t="s">
        <v>217</v>
      </c>
      <c r="B174" s="2" t="s">
        <v>73</v>
      </c>
      <c r="C174" s="17">
        <v>3</v>
      </c>
      <c r="D174" s="17">
        <v>3</v>
      </c>
      <c r="E174" s="17">
        <v>3</v>
      </c>
      <c r="F174" s="4">
        <v>0</v>
      </c>
      <c r="G174" s="4">
        <v>0</v>
      </c>
      <c r="H174" s="27" t="s">
        <v>74</v>
      </c>
    </row>
    <row r="175" spans="1:8" ht="28" hidden="1" customHeight="1" outlineLevel="1" x14ac:dyDescent="0.35">
      <c r="A175" s="3" t="s">
        <v>218</v>
      </c>
      <c r="B175" s="3" t="s">
        <v>76</v>
      </c>
      <c r="C175" s="19">
        <v>3.3246449999999999</v>
      </c>
      <c r="D175" s="19">
        <v>3.3246449999999999</v>
      </c>
      <c r="E175" s="19">
        <v>3.3246449999999999</v>
      </c>
      <c r="F175" s="21">
        <v>-2.7E-16</v>
      </c>
      <c r="G175" s="21">
        <v>0</v>
      </c>
      <c r="H175" s="26" t="s">
        <v>74</v>
      </c>
    </row>
    <row r="176" spans="1:8" ht="28" hidden="1" customHeight="1" outlineLevel="1" x14ac:dyDescent="0.35">
      <c r="A176" s="2" t="s">
        <v>219</v>
      </c>
      <c r="B176" s="2" t="s">
        <v>78</v>
      </c>
      <c r="C176" s="20">
        <v>3.3246449999999999</v>
      </c>
      <c r="D176" s="20">
        <v>3.3246449999999999</v>
      </c>
      <c r="E176" s="20">
        <v>3.3246449999999999</v>
      </c>
      <c r="F176" s="21">
        <v>-2.7E-16</v>
      </c>
      <c r="G176" s="21">
        <v>0</v>
      </c>
      <c r="H176" s="27" t="s">
        <v>74</v>
      </c>
    </row>
    <row r="177" spans="1:8" ht="28" hidden="1" customHeight="1" outlineLevel="1" x14ac:dyDescent="0.35">
      <c r="A177" s="3" t="s">
        <v>220</v>
      </c>
      <c r="B177" s="3" t="s">
        <v>80</v>
      </c>
      <c r="C177" s="18">
        <v>24</v>
      </c>
      <c r="D177" s="18">
        <v>24</v>
      </c>
      <c r="E177" s="18">
        <v>24</v>
      </c>
      <c r="F177" s="4">
        <v>0</v>
      </c>
      <c r="G177" s="4">
        <v>0</v>
      </c>
      <c r="H177" s="26" t="s">
        <v>74</v>
      </c>
    </row>
    <row r="178" spans="1:8" ht="28" hidden="1" customHeight="1" outlineLevel="1" x14ac:dyDescent="0.35">
      <c r="A178" s="2" t="s">
        <v>221</v>
      </c>
      <c r="B178" s="2" t="s">
        <v>82</v>
      </c>
      <c r="C178" s="20">
        <v>24.23492568</v>
      </c>
      <c r="D178" s="20">
        <v>24.23492568</v>
      </c>
      <c r="E178" s="20">
        <v>24.23492568</v>
      </c>
      <c r="F178" s="21">
        <v>0</v>
      </c>
      <c r="G178" s="21">
        <v>-3.0299999999899999E-15</v>
      </c>
      <c r="H178" s="27" t="s">
        <v>74</v>
      </c>
    </row>
    <row r="179" spans="1:8" ht="28" hidden="1" customHeight="1" outlineLevel="1" x14ac:dyDescent="0.35">
      <c r="A179" s="3" t="s">
        <v>222</v>
      </c>
      <c r="B179" s="3" t="s">
        <v>84</v>
      </c>
      <c r="C179" s="19">
        <v>24.23492568</v>
      </c>
      <c r="D179" s="19">
        <v>24.23492568</v>
      </c>
      <c r="E179" s="19">
        <v>24.23492568</v>
      </c>
      <c r="F179" s="21">
        <v>0</v>
      </c>
      <c r="G179" s="21">
        <v>-3.0299999999899999E-15</v>
      </c>
      <c r="H179" s="26" t="s">
        <v>74</v>
      </c>
    </row>
    <row r="180" spans="1:8" ht="28" hidden="1" customHeight="1" outlineLevel="1" x14ac:dyDescent="0.35">
      <c r="A180" s="2" t="s">
        <v>223</v>
      </c>
      <c r="B180" s="2" t="s">
        <v>86</v>
      </c>
      <c r="C180" s="17">
        <v>27</v>
      </c>
      <c r="D180" s="17">
        <v>27</v>
      </c>
      <c r="E180" s="17">
        <v>27</v>
      </c>
      <c r="F180" s="4">
        <v>0</v>
      </c>
      <c r="G180" s="4">
        <v>0</v>
      </c>
      <c r="H180" s="27" t="s">
        <v>74</v>
      </c>
    </row>
    <row r="181" spans="1:8" ht="28" hidden="1" customHeight="1" outlineLevel="1" x14ac:dyDescent="0.35">
      <c r="A181" s="3" t="s">
        <v>224</v>
      </c>
      <c r="B181" s="3" t="s">
        <v>88</v>
      </c>
      <c r="C181" s="19">
        <v>27.55957068</v>
      </c>
      <c r="D181" s="19">
        <v>27.55957068</v>
      </c>
      <c r="E181" s="19">
        <v>27.55957068</v>
      </c>
      <c r="F181" s="21">
        <v>1.35E-15</v>
      </c>
      <c r="G181" s="21">
        <v>-3.0299999999899999E-15</v>
      </c>
      <c r="H181" s="26" t="s">
        <v>74</v>
      </c>
    </row>
    <row r="182" spans="1:8" ht="28" hidden="1" customHeight="1" outlineLevel="1" x14ac:dyDescent="0.35">
      <c r="A182" s="2" t="s">
        <v>225</v>
      </c>
      <c r="B182" s="2" t="s">
        <v>90</v>
      </c>
      <c r="C182" s="20">
        <v>27.55957068</v>
      </c>
      <c r="D182" s="20">
        <v>27.55957068</v>
      </c>
      <c r="E182" s="20">
        <v>27.55957068</v>
      </c>
      <c r="F182" s="21">
        <v>1.35E-15</v>
      </c>
      <c r="G182" s="21">
        <v>-3.0299999999899999E-15</v>
      </c>
      <c r="H182" s="27" t="s">
        <v>74</v>
      </c>
    </row>
    <row r="183" spans="1:8" ht="28" hidden="1" customHeight="1" outlineLevel="1" x14ac:dyDescent="0.35">
      <c r="A183" s="3" t="s">
        <v>226</v>
      </c>
      <c r="B183" s="3" t="s">
        <v>73</v>
      </c>
      <c r="C183" s="18">
        <v>1</v>
      </c>
      <c r="D183" s="18">
        <v>1</v>
      </c>
      <c r="E183" s="18">
        <v>1</v>
      </c>
      <c r="F183" s="4">
        <v>0</v>
      </c>
      <c r="G183" s="4">
        <v>0</v>
      </c>
      <c r="H183" s="26" t="s">
        <v>74</v>
      </c>
    </row>
    <row r="184" spans="1:8" ht="28" hidden="1" customHeight="1" outlineLevel="1" x14ac:dyDescent="0.35">
      <c r="A184" s="2" t="s">
        <v>227</v>
      </c>
      <c r="B184" s="2" t="s">
        <v>76</v>
      </c>
      <c r="C184" s="20">
        <v>0.46575</v>
      </c>
      <c r="D184" s="20">
        <v>0.46575</v>
      </c>
      <c r="E184" s="20">
        <v>0.46575000000000011</v>
      </c>
      <c r="F184" s="21">
        <v>0</v>
      </c>
      <c r="G184" s="21">
        <v>-5.9999999999900001E-17</v>
      </c>
      <c r="H184" s="27" t="s">
        <v>74</v>
      </c>
    </row>
    <row r="185" spans="1:8" ht="28" hidden="1" customHeight="1" outlineLevel="1" x14ac:dyDescent="0.35">
      <c r="A185" s="3" t="s">
        <v>228</v>
      </c>
      <c r="B185" s="3" t="s">
        <v>78</v>
      </c>
      <c r="C185" s="19">
        <v>0.46575</v>
      </c>
      <c r="D185" s="19">
        <v>0.46575</v>
      </c>
      <c r="E185" s="19">
        <v>0.46575000000000011</v>
      </c>
      <c r="F185" s="21">
        <v>0</v>
      </c>
      <c r="G185" s="21">
        <v>-5.9999999999900001E-17</v>
      </c>
      <c r="H185" s="26" t="s">
        <v>74</v>
      </c>
    </row>
    <row r="186" spans="1:8" ht="28" hidden="1" customHeight="1" outlineLevel="1" x14ac:dyDescent="0.35">
      <c r="A186" s="2" t="s">
        <v>229</v>
      </c>
      <c r="B186" s="2" t="s">
        <v>80</v>
      </c>
      <c r="C186" s="17">
        <v>8</v>
      </c>
      <c r="D186" s="17">
        <v>8</v>
      </c>
      <c r="E186" s="17">
        <v>8</v>
      </c>
      <c r="F186" s="4">
        <v>0</v>
      </c>
      <c r="G186" s="4">
        <v>0</v>
      </c>
      <c r="H186" s="27" t="s">
        <v>74</v>
      </c>
    </row>
    <row r="187" spans="1:8" ht="28" hidden="1" customHeight="1" outlineLevel="1" x14ac:dyDescent="0.35">
      <c r="A187" s="3" t="s">
        <v>230</v>
      </c>
      <c r="B187" s="3" t="s">
        <v>82</v>
      </c>
      <c r="C187" s="19">
        <v>1.7644500000000001</v>
      </c>
      <c r="D187" s="19">
        <v>1.7644500000000001</v>
      </c>
      <c r="E187" s="19">
        <v>1.7644500000000001</v>
      </c>
      <c r="F187" s="21">
        <v>0</v>
      </c>
      <c r="G187" s="21">
        <v>-3.0000000000000001E-17</v>
      </c>
      <c r="H187" s="26" t="s">
        <v>74</v>
      </c>
    </row>
    <row r="188" spans="1:8" ht="28" hidden="1" customHeight="1" outlineLevel="1" x14ac:dyDescent="0.35">
      <c r="A188" s="2" t="s">
        <v>231</v>
      </c>
      <c r="B188" s="2" t="s">
        <v>84</v>
      </c>
      <c r="C188" s="20">
        <v>1.7644500000000001</v>
      </c>
      <c r="D188" s="20">
        <v>1.7644500000000001</v>
      </c>
      <c r="E188" s="20">
        <v>1.7644500000000001</v>
      </c>
      <c r="F188" s="21">
        <v>0</v>
      </c>
      <c r="G188" s="21">
        <v>-3.0000000000000001E-17</v>
      </c>
      <c r="H188" s="27" t="s">
        <v>74</v>
      </c>
    </row>
    <row r="189" spans="1:8" ht="28" hidden="1" customHeight="1" outlineLevel="1" x14ac:dyDescent="0.35">
      <c r="A189" s="3" t="s">
        <v>232</v>
      </c>
      <c r="B189" s="3" t="s">
        <v>86</v>
      </c>
      <c r="C189" s="18">
        <v>9</v>
      </c>
      <c r="D189" s="18">
        <v>9</v>
      </c>
      <c r="E189" s="18">
        <v>9</v>
      </c>
      <c r="F189" s="4">
        <v>0</v>
      </c>
      <c r="G189" s="4">
        <v>0</v>
      </c>
      <c r="H189" s="26" t="s">
        <v>74</v>
      </c>
    </row>
    <row r="190" spans="1:8" ht="28" hidden="1" customHeight="1" outlineLevel="1" x14ac:dyDescent="0.35">
      <c r="A190" s="2" t="s">
        <v>233</v>
      </c>
      <c r="B190" s="2" t="s">
        <v>88</v>
      </c>
      <c r="C190" s="20">
        <v>2.2302</v>
      </c>
      <c r="D190" s="20">
        <v>2.2302</v>
      </c>
      <c r="E190" s="20">
        <v>2.2302</v>
      </c>
      <c r="F190" s="21">
        <v>0</v>
      </c>
      <c r="G190" s="21">
        <v>-8.9999999999999996E-17</v>
      </c>
      <c r="H190" s="27" t="s">
        <v>74</v>
      </c>
    </row>
    <row r="191" spans="1:8" ht="28" hidden="1" customHeight="1" outlineLevel="1" x14ac:dyDescent="0.35">
      <c r="A191" s="3" t="s">
        <v>234</v>
      </c>
      <c r="B191" s="3" t="s">
        <v>90</v>
      </c>
      <c r="C191" s="19">
        <v>2.2302</v>
      </c>
      <c r="D191" s="19">
        <v>2.2302</v>
      </c>
      <c r="E191" s="19">
        <v>2.2302</v>
      </c>
      <c r="F191" s="21">
        <v>0</v>
      </c>
      <c r="G191" s="21">
        <v>-8.9999999999999996E-17</v>
      </c>
      <c r="H191" s="26" t="s">
        <v>74</v>
      </c>
    </row>
    <row r="192" spans="1:8" ht="28" hidden="1" customHeight="1" outlineLevel="1" x14ac:dyDescent="0.35">
      <c r="A192" s="2" t="s">
        <v>235</v>
      </c>
      <c r="B192" s="2" t="s">
        <v>73</v>
      </c>
      <c r="C192" s="17">
        <v>4</v>
      </c>
      <c r="D192" s="17">
        <v>4</v>
      </c>
      <c r="E192" s="17">
        <v>4</v>
      </c>
      <c r="F192" s="4">
        <v>0</v>
      </c>
      <c r="G192" s="4">
        <v>0</v>
      </c>
      <c r="H192" s="27" t="s">
        <v>74</v>
      </c>
    </row>
    <row r="193" spans="1:8" ht="28" hidden="1" customHeight="1" outlineLevel="1" x14ac:dyDescent="0.35">
      <c r="A193" s="3" t="s">
        <v>236</v>
      </c>
      <c r="B193" s="3" t="s">
        <v>76</v>
      </c>
      <c r="C193" s="19">
        <v>3.7903950000000002</v>
      </c>
      <c r="D193" s="19">
        <v>3.7903950000000002</v>
      </c>
      <c r="E193" s="19">
        <v>3.7903950000000002</v>
      </c>
      <c r="F193" s="21">
        <v>0</v>
      </c>
      <c r="G193" s="21">
        <v>-5.9999999998999997E-17</v>
      </c>
      <c r="H193" s="26" t="s">
        <v>74</v>
      </c>
    </row>
    <row r="194" spans="1:8" ht="28" hidden="1" customHeight="1" outlineLevel="1" x14ac:dyDescent="0.35">
      <c r="A194" s="2" t="s">
        <v>237</v>
      </c>
      <c r="B194" s="2" t="s">
        <v>78</v>
      </c>
      <c r="C194" s="20">
        <v>3.7903950000000002</v>
      </c>
      <c r="D194" s="20">
        <v>3.7903950000000002</v>
      </c>
      <c r="E194" s="20">
        <v>3.7903950000000002</v>
      </c>
      <c r="F194" s="21">
        <v>0</v>
      </c>
      <c r="G194" s="21">
        <v>-5.9999999998999997E-17</v>
      </c>
      <c r="H194" s="27" t="s">
        <v>74</v>
      </c>
    </row>
    <row r="195" spans="1:8" ht="28" hidden="1" customHeight="1" outlineLevel="1" x14ac:dyDescent="0.35">
      <c r="A195" s="3" t="s">
        <v>238</v>
      </c>
      <c r="B195" s="3" t="s">
        <v>80</v>
      </c>
      <c r="C195" s="18">
        <v>32</v>
      </c>
      <c r="D195" s="18">
        <v>32</v>
      </c>
      <c r="E195" s="18">
        <v>32</v>
      </c>
      <c r="F195" s="4">
        <v>0</v>
      </c>
      <c r="G195" s="4">
        <v>0</v>
      </c>
      <c r="H195" s="26" t="s">
        <v>74</v>
      </c>
    </row>
    <row r="196" spans="1:8" ht="28" hidden="1" customHeight="1" outlineLevel="1" x14ac:dyDescent="0.35">
      <c r="A196" s="2" t="s">
        <v>239</v>
      </c>
      <c r="B196" s="2" t="s">
        <v>82</v>
      </c>
      <c r="C196" s="20">
        <v>25.99937568</v>
      </c>
      <c r="D196" s="20">
        <v>25.99937568</v>
      </c>
      <c r="E196" s="20">
        <v>25.99937568</v>
      </c>
      <c r="F196" s="21">
        <v>0</v>
      </c>
      <c r="G196" s="21">
        <v>-3.06E-15</v>
      </c>
      <c r="H196" s="27" t="s">
        <v>74</v>
      </c>
    </row>
    <row r="197" spans="1:8" ht="28" hidden="1" customHeight="1" outlineLevel="1" x14ac:dyDescent="0.35">
      <c r="A197" s="3" t="s">
        <v>240</v>
      </c>
      <c r="B197" s="3" t="s">
        <v>84</v>
      </c>
      <c r="C197" s="19">
        <v>25.99937568</v>
      </c>
      <c r="D197" s="19">
        <v>25.99937568</v>
      </c>
      <c r="E197" s="19">
        <v>25.99937568</v>
      </c>
      <c r="F197" s="21">
        <v>0</v>
      </c>
      <c r="G197" s="21">
        <v>-3.06E-15</v>
      </c>
      <c r="H197" s="26" t="s">
        <v>74</v>
      </c>
    </row>
    <row r="198" spans="1:8" ht="28" hidden="1" customHeight="1" outlineLevel="1" x14ac:dyDescent="0.35">
      <c r="A198" s="2" t="s">
        <v>241</v>
      </c>
      <c r="B198" s="2" t="s">
        <v>86</v>
      </c>
      <c r="C198" s="17">
        <v>36</v>
      </c>
      <c r="D198" s="17">
        <v>36</v>
      </c>
      <c r="E198" s="17">
        <v>36</v>
      </c>
      <c r="F198" s="4">
        <v>0</v>
      </c>
      <c r="G198" s="4">
        <v>0</v>
      </c>
      <c r="H198" s="27" t="s">
        <v>74</v>
      </c>
    </row>
    <row r="199" spans="1:8" ht="28" hidden="1" customHeight="1" outlineLevel="1" x14ac:dyDescent="0.35">
      <c r="A199" s="3" t="s">
        <v>242</v>
      </c>
      <c r="B199" s="3" t="s">
        <v>88</v>
      </c>
      <c r="C199" s="19">
        <v>29.78977068</v>
      </c>
      <c r="D199" s="19">
        <v>29.78977068</v>
      </c>
      <c r="E199" s="19">
        <v>29.78977068</v>
      </c>
      <c r="F199" s="21">
        <v>1.35E-15</v>
      </c>
      <c r="G199" s="21">
        <v>-3.1199999999999998E-15</v>
      </c>
      <c r="H199" s="26" t="s">
        <v>74</v>
      </c>
    </row>
    <row r="200" spans="1:8" ht="28" hidden="1" customHeight="1" outlineLevel="1" x14ac:dyDescent="0.35">
      <c r="A200" s="2" t="s">
        <v>243</v>
      </c>
      <c r="B200" s="2" t="s">
        <v>90</v>
      </c>
      <c r="C200" s="20">
        <v>29.78977068</v>
      </c>
      <c r="D200" s="20">
        <v>29.78977068</v>
      </c>
      <c r="E200" s="20">
        <v>29.78977068</v>
      </c>
      <c r="F200" s="21">
        <v>1.35E-15</v>
      </c>
      <c r="G200" s="21">
        <v>-3.1199999999999998E-15</v>
      </c>
      <c r="H200" s="27" t="s">
        <v>74</v>
      </c>
    </row>
    <row r="201" spans="1:8" ht="28" hidden="1" customHeight="1" outlineLevel="1" x14ac:dyDescent="0.35">
      <c r="A201" s="3" t="s">
        <v>244</v>
      </c>
      <c r="B201" s="3" t="s">
        <v>73</v>
      </c>
      <c r="C201" s="18">
        <v>3</v>
      </c>
      <c r="D201" s="18">
        <v>3</v>
      </c>
      <c r="E201" s="18">
        <v>3</v>
      </c>
      <c r="F201" s="4">
        <v>0</v>
      </c>
      <c r="G201" s="4">
        <v>0</v>
      </c>
      <c r="H201" s="26" t="s">
        <v>74</v>
      </c>
    </row>
    <row r="202" spans="1:8" ht="28" hidden="1" customHeight="1" outlineLevel="1" x14ac:dyDescent="0.35">
      <c r="A202" s="2" t="s">
        <v>245</v>
      </c>
      <c r="B202" s="2" t="s">
        <v>76</v>
      </c>
      <c r="C202" s="20">
        <v>3.3246449999999999</v>
      </c>
      <c r="D202" s="20">
        <v>3.3246449999999999</v>
      </c>
      <c r="E202" s="20">
        <v>3.3246449999999999</v>
      </c>
      <c r="F202" s="21">
        <v>-2.7E-16</v>
      </c>
      <c r="G202" s="21">
        <v>0</v>
      </c>
      <c r="H202" s="27" t="s">
        <v>74</v>
      </c>
    </row>
    <row r="203" spans="1:8" ht="28" hidden="1" customHeight="1" outlineLevel="1" x14ac:dyDescent="0.35">
      <c r="A203" s="3" t="s">
        <v>246</v>
      </c>
      <c r="B203" s="3" t="s">
        <v>78</v>
      </c>
      <c r="C203" s="19">
        <v>3.3246449999999999</v>
      </c>
      <c r="D203" s="19">
        <v>3.3246449999999999</v>
      </c>
      <c r="E203" s="19">
        <v>3.3246449999999999</v>
      </c>
      <c r="F203" s="21">
        <v>-2.7E-16</v>
      </c>
      <c r="G203" s="21">
        <v>0</v>
      </c>
      <c r="H203" s="26" t="s">
        <v>74</v>
      </c>
    </row>
    <row r="204" spans="1:8" ht="28" hidden="1" customHeight="1" outlineLevel="1" x14ac:dyDescent="0.35">
      <c r="A204" s="2" t="s">
        <v>247</v>
      </c>
      <c r="B204" s="2" t="s">
        <v>80</v>
      </c>
      <c r="C204" s="17">
        <v>24</v>
      </c>
      <c r="D204" s="17">
        <v>24</v>
      </c>
      <c r="E204" s="17">
        <v>24</v>
      </c>
      <c r="F204" s="4">
        <v>0</v>
      </c>
      <c r="G204" s="4">
        <v>0</v>
      </c>
      <c r="H204" s="27" t="s">
        <v>74</v>
      </c>
    </row>
    <row r="205" spans="1:8" ht="28" hidden="1" customHeight="1" outlineLevel="1" x14ac:dyDescent="0.35">
      <c r="A205" s="3" t="s">
        <v>248</v>
      </c>
      <c r="B205" s="3" t="s">
        <v>82</v>
      </c>
      <c r="C205" s="19">
        <v>24.23492568</v>
      </c>
      <c r="D205" s="19">
        <v>24.23492568</v>
      </c>
      <c r="E205" s="19">
        <v>24.23492568</v>
      </c>
      <c r="F205" s="21">
        <v>0</v>
      </c>
      <c r="G205" s="21">
        <v>-3.0299999999899999E-15</v>
      </c>
      <c r="H205" s="26" t="s">
        <v>74</v>
      </c>
    </row>
    <row r="206" spans="1:8" ht="28" hidden="1" customHeight="1" outlineLevel="1" x14ac:dyDescent="0.35">
      <c r="A206" s="2" t="s">
        <v>249</v>
      </c>
      <c r="B206" s="2" t="s">
        <v>84</v>
      </c>
      <c r="C206" s="20">
        <v>24.23492568</v>
      </c>
      <c r="D206" s="20">
        <v>24.23492568</v>
      </c>
      <c r="E206" s="20">
        <v>24.23492568</v>
      </c>
      <c r="F206" s="21">
        <v>0</v>
      </c>
      <c r="G206" s="21">
        <v>-3.0299999999899999E-15</v>
      </c>
      <c r="H206" s="27" t="s">
        <v>74</v>
      </c>
    </row>
    <row r="207" spans="1:8" ht="28" hidden="1" customHeight="1" outlineLevel="1" x14ac:dyDescent="0.35">
      <c r="A207" s="3" t="s">
        <v>250</v>
      </c>
      <c r="B207" s="3" t="s">
        <v>86</v>
      </c>
      <c r="C207" s="18">
        <v>27</v>
      </c>
      <c r="D207" s="18">
        <v>27</v>
      </c>
      <c r="E207" s="18">
        <v>27</v>
      </c>
      <c r="F207" s="4">
        <v>0</v>
      </c>
      <c r="G207" s="4">
        <v>0</v>
      </c>
      <c r="H207" s="26" t="s">
        <v>74</v>
      </c>
    </row>
    <row r="208" spans="1:8" ht="28" hidden="1" customHeight="1" outlineLevel="1" x14ac:dyDescent="0.35">
      <c r="A208" s="2" t="s">
        <v>251</v>
      </c>
      <c r="B208" s="2" t="s">
        <v>88</v>
      </c>
      <c r="C208" s="20">
        <v>27.55957068</v>
      </c>
      <c r="D208" s="20">
        <v>27.55957068</v>
      </c>
      <c r="E208" s="20">
        <v>27.55957068</v>
      </c>
      <c r="F208" s="21">
        <v>1.35E-15</v>
      </c>
      <c r="G208" s="21">
        <v>-3.0299999999899999E-15</v>
      </c>
      <c r="H208" s="27" t="s">
        <v>74</v>
      </c>
    </row>
    <row r="209" spans="1:8" ht="28" hidden="1" customHeight="1" outlineLevel="1" x14ac:dyDescent="0.35">
      <c r="A209" s="3" t="s">
        <v>252</v>
      </c>
      <c r="B209" s="3" t="s">
        <v>90</v>
      </c>
      <c r="C209" s="19">
        <v>27.55957068</v>
      </c>
      <c r="D209" s="19">
        <v>27.55957068</v>
      </c>
      <c r="E209" s="19">
        <v>27.55957068</v>
      </c>
      <c r="F209" s="21">
        <v>1.35E-15</v>
      </c>
      <c r="G209" s="21">
        <v>-3.0299999999899999E-15</v>
      </c>
      <c r="H209" s="26" t="s">
        <v>74</v>
      </c>
    </row>
    <row r="210" spans="1:8" ht="28" hidden="1" customHeight="1" outlineLevel="1" x14ac:dyDescent="0.35">
      <c r="A210" s="2" t="s">
        <v>253</v>
      </c>
      <c r="B210" s="2" t="s">
        <v>73</v>
      </c>
      <c r="C210" s="17">
        <v>3</v>
      </c>
      <c r="D210" s="17">
        <v>3</v>
      </c>
      <c r="E210" s="17">
        <v>3</v>
      </c>
      <c r="F210" s="4">
        <v>0</v>
      </c>
      <c r="G210" s="4">
        <v>0</v>
      </c>
      <c r="H210" s="27" t="s">
        <v>74</v>
      </c>
    </row>
    <row r="211" spans="1:8" ht="28" hidden="1" customHeight="1" outlineLevel="1" x14ac:dyDescent="0.35">
      <c r="A211" s="3" t="s">
        <v>254</v>
      </c>
      <c r="B211" s="3" t="s">
        <v>76</v>
      </c>
      <c r="C211" s="19">
        <v>3.3246449999999999</v>
      </c>
      <c r="D211" s="19">
        <v>3.3246449999999999</v>
      </c>
      <c r="E211" s="19">
        <v>3.3246449999999999</v>
      </c>
      <c r="F211" s="21">
        <v>-2.7E-16</v>
      </c>
      <c r="G211" s="21">
        <v>0</v>
      </c>
      <c r="H211" s="26" t="s">
        <v>74</v>
      </c>
    </row>
    <row r="212" spans="1:8" ht="28" hidden="1" customHeight="1" outlineLevel="1" x14ac:dyDescent="0.35">
      <c r="A212" s="2" t="s">
        <v>255</v>
      </c>
      <c r="B212" s="2" t="s">
        <v>78</v>
      </c>
      <c r="C212" s="20">
        <v>3.3246449999999999</v>
      </c>
      <c r="D212" s="20">
        <v>3.3246449999999999</v>
      </c>
      <c r="E212" s="20">
        <v>3.3246449999999999</v>
      </c>
      <c r="F212" s="21">
        <v>-2.7E-16</v>
      </c>
      <c r="G212" s="21">
        <v>0</v>
      </c>
      <c r="H212" s="27" t="s">
        <v>74</v>
      </c>
    </row>
    <row r="213" spans="1:8" ht="28" hidden="1" customHeight="1" outlineLevel="1" x14ac:dyDescent="0.35">
      <c r="A213" s="3" t="s">
        <v>256</v>
      </c>
      <c r="B213" s="3" t="s">
        <v>80</v>
      </c>
      <c r="C213" s="18">
        <v>24</v>
      </c>
      <c r="D213" s="18">
        <v>24</v>
      </c>
      <c r="E213" s="18">
        <v>24</v>
      </c>
      <c r="F213" s="4">
        <v>0</v>
      </c>
      <c r="G213" s="4">
        <v>0</v>
      </c>
      <c r="H213" s="26" t="s">
        <v>74</v>
      </c>
    </row>
    <row r="214" spans="1:8" ht="28" hidden="1" customHeight="1" outlineLevel="1" x14ac:dyDescent="0.35">
      <c r="A214" s="2" t="s">
        <v>257</v>
      </c>
      <c r="B214" s="2" t="s">
        <v>82</v>
      </c>
      <c r="C214" s="20">
        <v>24.23492568</v>
      </c>
      <c r="D214" s="20">
        <v>24.23492568</v>
      </c>
      <c r="E214" s="20">
        <v>24.23492568</v>
      </c>
      <c r="F214" s="21">
        <v>0</v>
      </c>
      <c r="G214" s="21">
        <v>-3.0299999999899999E-15</v>
      </c>
      <c r="H214" s="27" t="s">
        <v>74</v>
      </c>
    </row>
    <row r="215" spans="1:8" ht="28" hidden="1" customHeight="1" outlineLevel="1" x14ac:dyDescent="0.35">
      <c r="A215" s="3" t="s">
        <v>258</v>
      </c>
      <c r="B215" s="3" t="s">
        <v>84</v>
      </c>
      <c r="C215" s="19">
        <v>24.23492568</v>
      </c>
      <c r="D215" s="19">
        <v>24.23492568</v>
      </c>
      <c r="E215" s="19">
        <v>24.23492568</v>
      </c>
      <c r="F215" s="21">
        <v>0</v>
      </c>
      <c r="G215" s="21">
        <v>-3.0299999999899999E-15</v>
      </c>
      <c r="H215" s="26" t="s">
        <v>74</v>
      </c>
    </row>
    <row r="216" spans="1:8" ht="28" hidden="1" customHeight="1" outlineLevel="1" x14ac:dyDescent="0.35">
      <c r="A216" s="2" t="s">
        <v>259</v>
      </c>
      <c r="B216" s="2" t="s">
        <v>86</v>
      </c>
      <c r="C216" s="17">
        <v>27</v>
      </c>
      <c r="D216" s="17">
        <v>27</v>
      </c>
      <c r="E216" s="17">
        <v>27</v>
      </c>
      <c r="F216" s="4">
        <v>0</v>
      </c>
      <c r="G216" s="4">
        <v>0</v>
      </c>
      <c r="H216" s="27" t="s">
        <v>74</v>
      </c>
    </row>
    <row r="217" spans="1:8" ht="28" hidden="1" customHeight="1" outlineLevel="1" x14ac:dyDescent="0.35">
      <c r="A217" s="3" t="s">
        <v>260</v>
      </c>
      <c r="B217" s="3" t="s">
        <v>88</v>
      </c>
      <c r="C217" s="19">
        <v>27.55957068</v>
      </c>
      <c r="D217" s="19">
        <v>27.55957068</v>
      </c>
      <c r="E217" s="19">
        <v>27.55957068</v>
      </c>
      <c r="F217" s="21">
        <v>1.35E-15</v>
      </c>
      <c r="G217" s="21">
        <v>-3.0299999999899999E-15</v>
      </c>
      <c r="H217" s="26" t="s">
        <v>74</v>
      </c>
    </row>
    <row r="218" spans="1:8" ht="28" hidden="1" customHeight="1" outlineLevel="1" x14ac:dyDescent="0.35">
      <c r="A218" s="2" t="s">
        <v>261</v>
      </c>
      <c r="B218" s="2" t="s">
        <v>90</v>
      </c>
      <c r="C218" s="20">
        <v>27.55957068</v>
      </c>
      <c r="D218" s="20">
        <v>27.55957068</v>
      </c>
      <c r="E218" s="20">
        <v>27.55957068</v>
      </c>
      <c r="F218" s="21">
        <v>1.35E-15</v>
      </c>
      <c r="G218" s="21">
        <v>-3.0299999999899999E-15</v>
      </c>
      <c r="H218" s="27" t="s">
        <v>74</v>
      </c>
    </row>
    <row r="219" spans="1:8" ht="28" hidden="1" customHeight="1" outlineLevel="1" x14ac:dyDescent="0.35">
      <c r="A219" s="3" t="s">
        <v>262</v>
      </c>
      <c r="B219" s="3" t="s">
        <v>73</v>
      </c>
      <c r="C219" s="18">
        <v>1</v>
      </c>
      <c r="D219" s="18">
        <v>1</v>
      </c>
      <c r="E219" s="18">
        <v>1</v>
      </c>
      <c r="F219" s="4">
        <v>0</v>
      </c>
      <c r="G219" s="4">
        <v>0</v>
      </c>
      <c r="H219" s="26" t="s">
        <v>74</v>
      </c>
    </row>
    <row r="220" spans="1:8" ht="28" hidden="1" customHeight="1" outlineLevel="1" x14ac:dyDescent="0.35">
      <c r="A220" s="2" t="s">
        <v>263</v>
      </c>
      <c r="B220" s="2" t="s">
        <v>76</v>
      </c>
      <c r="C220" s="20">
        <v>0.46575</v>
      </c>
      <c r="D220" s="20">
        <v>0.46575</v>
      </c>
      <c r="E220" s="20">
        <v>0.46575000000000011</v>
      </c>
      <c r="F220" s="21">
        <v>0</v>
      </c>
      <c r="G220" s="21">
        <v>-5.9999999999900001E-17</v>
      </c>
      <c r="H220" s="27" t="s">
        <v>74</v>
      </c>
    </row>
    <row r="221" spans="1:8" ht="28" hidden="1" customHeight="1" outlineLevel="1" x14ac:dyDescent="0.35">
      <c r="A221" s="3" t="s">
        <v>264</v>
      </c>
      <c r="B221" s="3" t="s">
        <v>78</v>
      </c>
      <c r="C221" s="19">
        <v>0.46575</v>
      </c>
      <c r="D221" s="19">
        <v>0.46575</v>
      </c>
      <c r="E221" s="19">
        <v>0.46575000000000011</v>
      </c>
      <c r="F221" s="21">
        <v>0</v>
      </c>
      <c r="G221" s="21">
        <v>-5.9999999999900001E-17</v>
      </c>
      <c r="H221" s="26" t="s">
        <v>74</v>
      </c>
    </row>
    <row r="222" spans="1:8" ht="28" hidden="1" customHeight="1" outlineLevel="1" x14ac:dyDescent="0.35">
      <c r="A222" s="2" t="s">
        <v>265</v>
      </c>
      <c r="B222" s="2" t="s">
        <v>80</v>
      </c>
      <c r="C222" s="17">
        <v>8</v>
      </c>
      <c r="D222" s="17">
        <v>8</v>
      </c>
      <c r="E222" s="17">
        <v>8</v>
      </c>
      <c r="F222" s="4">
        <v>0</v>
      </c>
      <c r="G222" s="4">
        <v>0</v>
      </c>
      <c r="H222" s="27" t="s">
        <v>74</v>
      </c>
    </row>
    <row r="223" spans="1:8" ht="28" hidden="1" customHeight="1" outlineLevel="1" x14ac:dyDescent="0.35">
      <c r="A223" s="3" t="s">
        <v>266</v>
      </c>
      <c r="B223" s="3" t="s">
        <v>82</v>
      </c>
      <c r="C223" s="19">
        <v>1.7644500000000001</v>
      </c>
      <c r="D223" s="19">
        <v>1.7644500000000001</v>
      </c>
      <c r="E223" s="19">
        <v>1.7644500000000001</v>
      </c>
      <c r="F223" s="21">
        <v>0</v>
      </c>
      <c r="G223" s="21">
        <v>-3.0000000000000001E-17</v>
      </c>
      <c r="H223" s="26" t="s">
        <v>74</v>
      </c>
    </row>
    <row r="224" spans="1:8" ht="28" hidden="1" customHeight="1" outlineLevel="1" x14ac:dyDescent="0.35">
      <c r="A224" s="2" t="s">
        <v>267</v>
      </c>
      <c r="B224" s="2" t="s">
        <v>84</v>
      </c>
      <c r="C224" s="20">
        <v>1.7644500000000001</v>
      </c>
      <c r="D224" s="20">
        <v>1.7644500000000001</v>
      </c>
      <c r="E224" s="20">
        <v>1.7644500000000001</v>
      </c>
      <c r="F224" s="21">
        <v>0</v>
      </c>
      <c r="G224" s="21">
        <v>-3.0000000000000001E-17</v>
      </c>
      <c r="H224" s="27" t="s">
        <v>74</v>
      </c>
    </row>
    <row r="225" spans="1:8" ht="28" hidden="1" customHeight="1" outlineLevel="1" x14ac:dyDescent="0.35">
      <c r="A225" s="3" t="s">
        <v>268</v>
      </c>
      <c r="B225" s="3" t="s">
        <v>86</v>
      </c>
      <c r="C225" s="18">
        <v>9</v>
      </c>
      <c r="D225" s="18">
        <v>9</v>
      </c>
      <c r="E225" s="18">
        <v>9</v>
      </c>
      <c r="F225" s="4">
        <v>0</v>
      </c>
      <c r="G225" s="4">
        <v>0</v>
      </c>
      <c r="H225" s="26" t="s">
        <v>74</v>
      </c>
    </row>
    <row r="226" spans="1:8" ht="28" hidden="1" customHeight="1" outlineLevel="1" x14ac:dyDescent="0.35">
      <c r="A226" s="2" t="s">
        <v>269</v>
      </c>
      <c r="B226" s="2" t="s">
        <v>88</v>
      </c>
      <c r="C226" s="20">
        <v>2.2302</v>
      </c>
      <c r="D226" s="20">
        <v>2.2302</v>
      </c>
      <c r="E226" s="20">
        <v>2.2302</v>
      </c>
      <c r="F226" s="21">
        <v>0</v>
      </c>
      <c r="G226" s="21">
        <v>-8.9999999999999996E-17</v>
      </c>
      <c r="H226" s="27" t="s">
        <v>74</v>
      </c>
    </row>
    <row r="227" spans="1:8" ht="28" hidden="1" customHeight="1" outlineLevel="1" x14ac:dyDescent="0.35">
      <c r="A227" s="3" t="s">
        <v>270</v>
      </c>
      <c r="B227" s="3" t="s">
        <v>90</v>
      </c>
      <c r="C227" s="19">
        <v>2.2302</v>
      </c>
      <c r="D227" s="19">
        <v>2.2302</v>
      </c>
      <c r="E227" s="19">
        <v>2.2302</v>
      </c>
      <c r="F227" s="21">
        <v>0</v>
      </c>
      <c r="G227" s="21">
        <v>-8.9999999999999996E-17</v>
      </c>
      <c r="H227" s="26" t="s">
        <v>74</v>
      </c>
    </row>
    <row r="228" spans="1:8" ht="28" hidden="1" customHeight="1" outlineLevel="1" x14ac:dyDescent="0.35">
      <c r="A228" s="2" t="s">
        <v>271</v>
      </c>
      <c r="B228" s="2" t="s">
        <v>73</v>
      </c>
      <c r="C228" s="17">
        <v>1</v>
      </c>
      <c r="D228" s="17">
        <v>1</v>
      </c>
      <c r="E228" s="17">
        <v>1</v>
      </c>
      <c r="F228" s="4">
        <v>0</v>
      </c>
      <c r="G228" s="4">
        <v>0</v>
      </c>
      <c r="H228" s="27" t="s">
        <v>74</v>
      </c>
    </row>
    <row r="229" spans="1:8" ht="28" hidden="1" customHeight="1" outlineLevel="1" x14ac:dyDescent="0.35">
      <c r="A229" s="3" t="s">
        <v>272</v>
      </c>
      <c r="B229" s="3" t="s">
        <v>76</v>
      </c>
      <c r="C229" s="19">
        <v>0.46575</v>
      </c>
      <c r="D229" s="19">
        <v>0.46575</v>
      </c>
      <c r="E229" s="19">
        <v>0.46575000000000011</v>
      </c>
      <c r="F229" s="21">
        <v>0</v>
      </c>
      <c r="G229" s="21">
        <v>-5.9999999999900001E-17</v>
      </c>
      <c r="H229" s="26" t="s">
        <v>74</v>
      </c>
    </row>
    <row r="230" spans="1:8" ht="28" hidden="1" customHeight="1" outlineLevel="1" x14ac:dyDescent="0.35">
      <c r="A230" s="2" t="s">
        <v>273</v>
      </c>
      <c r="B230" s="2" t="s">
        <v>78</v>
      </c>
      <c r="C230" s="20">
        <v>0.46575</v>
      </c>
      <c r="D230" s="20">
        <v>0.46575</v>
      </c>
      <c r="E230" s="20">
        <v>0.46575000000000011</v>
      </c>
      <c r="F230" s="21">
        <v>0</v>
      </c>
      <c r="G230" s="21">
        <v>-5.9999999999900001E-17</v>
      </c>
      <c r="H230" s="27" t="s">
        <v>74</v>
      </c>
    </row>
    <row r="231" spans="1:8" ht="28" hidden="1" customHeight="1" outlineLevel="1" x14ac:dyDescent="0.35">
      <c r="A231" s="3" t="s">
        <v>274</v>
      </c>
      <c r="B231" s="3" t="s">
        <v>80</v>
      </c>
      <c r="C231" s="18">
        <v>8</v>
      </c>
      <c r="D231" s="18">
        <v>8</v>
      </c>
      <c r="E231" s="18">
        <v>8</v>
      </c>
      <c r="F231" s="4">
        <v>0</v>
      </c>
      <c r="G231" s="4">
        <v>0</v>
      </c>
      <c r="H231" s="26" t="s">
        <v>74</v>
      </c>
    </row>
    <row r="232" spans="1:8" ht="28" hidden="1" customHeight="1" outlineLevel="1" x14ac:dyDescent="0.35">
      <c r="A232" s="2" t="s">
        <v>275</v>
      </c>
      <c r="B232" s="2" t="s">
        <v>82</v>
      </c>
      <c r="C232" s="20">
        <v>1.7644500000000001</v>
      </c>
      <c r="D232" s="20">
        <v>1.7644500000000001</v>
      </c>
      <c r="E232" s="20">
        <v>1.7644500000000001</v>
      </c>
      <c r="F232" s="21">
        <v>0</v>
      </c>
      <c r="G232" s="21">
        <v>-3.0000000000000001E-17</v>
      </c>
      <c r="H232" s="27" t="s">
        <v>74</v>
      </c>
    </row>
    <row r="233" spans="1:8" ht="28" hidden="1" customHeight="1" outlineLevel="1" x14ac:dyDescent="0.35">
      <c r="A233" s="3" t="s">
        <v>276</v>
      </c>
      <c r="B233" s="3" t="s">
        <v>84</v>
      </c>
      <c r="C233" s="19">
        <v>1.7644500000000001</v>
      </c>
      <c r="D233" s="19">
        <v>1.7644500000000001</v>
      </c>
      <c r="E233" s="19">
        <v>1.7644500000000001</v>
      </c>
      <c r="F233" s="21">
        <v>0</v>
      </c>
      <c r="G233" s="21">
        <v>-3.0000000000000001E-17</v>
      </c>
      <c r="H233" s="26" t="s">
        <v>74</v>
      </c>
    </row>
    <row r="234" spans="1:8" ht="28" hidden="1" customHeight="1" outlineLevel="1" x14ac:dyDescent="0.35">
      <c r="A234" s="2" t="s">
        <v>277</v>
      </c>
      <c r="B234" s="2" t="s">
        <v>86</v>
      </c>
      <c r="C234" s="17">
        <v>9</v>
      </c>
      <c r="D234" s="17">
        <v>9</v>
      </c>
      <c r="E234" s="17">
        <v>9</v>
      </c>
      <c r="F234" s="4">
        <v>0</v>
      </c>
      <c r="G234" s="4">
        <v>0</v>
      </c>
      <c r="H234" s="27" t="s">
        <v>74</v>
      </c>
    </row>
    <row r="235" spans="1:8" ht="28" hidden="1" customHeight="1" outlineLevel="1" x14ac:dyDescent="0.35">
      <c r="A235" s="3" t="s">
        <v>278</v>
      </c>
      <c r="B235" s="3" t="s">
        <v>88</v>
      </c>
      <c r="C235" s="19">
        <v>2.2302</v>
      </c>
      <c r="D235" s="19">
        <v>2.2302</v>
      </c>
      <c r="E235" s="19">
        <v>2.2302</v>
      </c>
      <c r="F235" s="21">
        <v>0</v>
      </c>
      <c r="G235" s="21">
        <v>-8.9999999999999996E-17</v>
      </c>
      <c r="H235" s="26" t="s">
        <v>74</v>
      </c>
    </row>
    <row r="236" spans="1:8" ht="28" hidden="1" customHeight="1" outlineLevel="1" x14ac:dyDescent="0.35">
      <c r="A236" s="2" t="s">
        <v>279</v>
      </c>
      <c r="B236" s="2" t="s">
        <v>90</v>
      </c>
      <c r="C236" s="20">
        <v>2.2302</v>
      </c>
      <c r="D236" s="20">
        <v>2.2302</v>
      </c>
      <c r="E236" s="20">
        <v>2.2302</v>
      </c>
      <c r="F236" s="21">
        <v>0</v>
      </c>
      <c r="G236" s="21">
        <v>-8.9999999999999996E-17</v>
      </c>
      <c r="H236" s="27" t="s">
        <v>74</v>
      </c>
    </row>
    <row r="237" spans="1:8" ht="28" hidden="1" customHeight="1" outlineLevel="1" x14ac:dyDescent="0.35">
      <c r="A237" s="3" t="s">
        <v>280</v>
      </c>
      <c r="B237" s="3" t="s">
        <v>73</v>
      </c>
      <c r="C237" s="18">
        <v>1</v>
      </c>
      <c r="D237" s="18">
        <v>1</v>
      </c>
      <c r="E237" s="18">
        <v>1</v>
      </c>
      <c r="F237" s="4">
        <v>0</v>
      </c>
      <c r="G237" s="4">
        <v>0</v>
      </c>
      <c r="H237" s="26" t="s">
        <v>74</v>
      </c>
    </row>
    <row r="238" spans="1:8" ht="28" hidden="1" customHeight="1" outlineLevel="1" x14ac:dyDescent="0.35">
      <c r="A238" s="2" t="s">
        <v>281</v>
      </c>
      <c r="B238" s="2" t="s">
        <v>76</v>
      </c>
      <c r="C238" s="20">
        <v>0.46575</v>
      </c>
      <c r="D238" s="20">
        <v>0.46575</v>
      </c>
      <c r="E238" s="20">
        <v>0.46575000000000011</v>
      </c>
      <c r="F238" s="21">
        <v>0</v>
      </c>
      <c r="G238" s="21">
        <v>-5.9999999999900001E-17</v>
      </c>
      <c r="H238" s="27" t="s">
        <v>74</v>
      </c>
    </row>
    <row r="239" spans="1:8" ht="28" hidden="1" customHeight="1" outlineLevel="1" x14ac:dyDescent="0.35">
      <c r="A239" s="3" t="s">
        <v>282</v>
      </c>
      <c r="B239" s="3" t="s">
        <v>78</v>
      </c>
      <c r="C239" s="19">
        <v>0.46575</v>
      </c>
      <c r="D239" s="19">
        <v>0.46575</v>
      </c>
      <c r="E239" s="19">
        <v>0.46575000000000011</v>
      </c>
      <c r="F239" s="21">
        <v>0</v>
      </c>
      <c r="G239" s="21">
        <v>-5.9999999999900001E-17</v>
      </c>
      <c r="H239" s="26" t="s">
        <v>74</v>
      </c>
    </row>
    <row r="240" spans="1:8" ht="28" hidden="1" customHeight="1" outlineLevel="1" x14ac:dyDescent="0.35">
      <c r="A240" s="2" t="s">
        <v>283</v>
      </c>
      <c r="B240" s="2" t="s">
        <v>80</v>
      </c>
      <c r="C240" s="17">
        <v>8</v>
      </c>
      <c r="D240" s="17">
        <v>8</v>
      </c>
      <c r="E240" s="17">
        <v>8</v>
      </c>
      <c r="F240" s="4">
        <v>0</v>
      </c>
      <c r="G240" s="4">
        <v>0</v>
      </c>
      <c r="H240" s="27" t="s">
        <v>74</v>
      </c>
    </row>
    <row r="241" spans="1:8" ht="28" hidden="1" customHeight="1" outlineLevel="1" x14ac:dyDescent="0.35">
      <c r="A241" s="3" t="s">
        <v>284</v>
      </c>
      <c r="B241" s="3" t="s">
        <v>82</v>
      </c>
      <c r="C241" s="19">
        <v>1.7644500000000001</v>
      </c>
      <c r="D241" s="19">
        <v>1.7644500000000001</v>
      </c>
      <c r="E241" s="19">
        <v>1.7644500000000001</v>
      </c>
      <c r="F241" s="21">
        <v>0</v>
      </c>
      <c r="G241" s="21">
        <v>-3.0000000000000001E-17</v>
      </c>
      <c r="H241" s="26" t="s">
        <v>74</v>
      </c>
    </row>
    <row r="242" spans="1:8" ht="28" hidden="1" customHeight="1" outlineLevel="1" x14ac:dyDescent="0.35">
      <c r="A242" s="2" t="s">
        <v>285</v>
      </c>
      <c r="B242" s="2" t="s">
        <v>84</v>
      </c>
      <c r="C242" s="20">
        <v>1.7644500000000001</v>
      </c>
      <c r="D242" s="20">
        <v>1.7644500000000001</v>
      </c>
      <c r="E242" s="20">
        <v>1.7644500000000001</v>
      </c>
      <c r="F242" s="21">
        <v>0</v>
      </c>
      <c r="G242" s="21">
        <v>-3.0000000000000001E-17</v>
      </c>
      <c r="H242" s="27" t="s">
        <v>74</v>
      </c>
    </row>
    <row r="243" spans="1:8" ht="28" hidden="1" customHeight="1" outlineLevel="1" x14ac:dyDescent="0.35">
      <c r="A243" s="3" t="s">
        <v>286</v>
      </c>
      <c r="B243" s="3" t="s">
        <v>86</v>
      </c>
      <c r="C243" s="18">
        <v>9</v>
      </c>
      <c r="D243" s="18">
        <v>9</v>
      </c>
      <c r="E243" s="18">
        <v>9</v>
      </c>
      <c r="F243" s="4">
        <v>0</v>
      </c>
      <c r="G243" s="4">
        <v>0</v>
      </c>
      <c r="H243" s="26" t="s">
        <v>74</v>
      </c>
    </row>
    <row r="244" spans="1:8" ht="28" hidden="1" customHeight="1" outlineLevel="1" x14ac:dyDescent="0.35">
      <c r="A244" s="2" t="s">
        <v>287</v>
      </c>
      <c r="B244" s="2" t="s">
        <v>88</v>
      </c>
      <c r="C244" s="20">
        <v>2.2302</v>
      </c>
      <c r="D244" s="20">
        <v>2.2302</v>
      </c>
      <c r="E244" s="20">
        <v>2.2302</v>
      </c>
      <c r="F244" s="21">
        <v>0</v>
      </c>
      <c r="G244" s="21">
        <v>-8.9999999999999996E-17</v>
      </c>
      <c r="H244" s="27" t="s">
        <v>74</v>
      </c>
    </row>
    <row r="245" spans="1:8" ht="28" hidden="1" customHeight="1" outlineLevel="1" x14ac:dyDescent="0.35">
      <c r="A245" s="3" t="s">
        <v>288</v>
      </c>
      <c r="B245" s="3" t="s">
        <v>90</v>
      </c>
      <c r="C245" s="19">
        <v>2.2302</v>
      </c>
      <c r="D245" s="19">
        <v>2.2302</v>
      </c>
      <c r="E245" s="19">
        <v>2.2302</v>
      </c>
      <c r="F245" s="21">
        <v>0</v>
      </c>
      <c r="G245" s="21">
        <v>-8.9999999999999996E-17</v>
      </c>
      <c r="H245" s="26" t="s">
        <v>74</v>
      </c>
    </row>
    <row r="246" spans="1:8" ht="28" hidden="1" customHeight="1" outlineLevel="1" x14ac:dyDescent="0.35">
      <c r="A246" s="2" t="s">
        <v>289</v>
      </c>
      <c r="B246" s="2" t="s">
        <v>73</v>
      </c>
      <c r="C246" s="17">
        <v>1</v>
      </c>
      <c r="D246" s="17">
        <v>1</v>
      </c>
      <c r="E246" s="17">
        <v>1</v>
      </c>
      <c r="F246" s="4">
        <v>0</v>
      </c>
      <c r="G246" s="4">
        <v>0</v>
      </c>
      <c r="H246" s="27" t="s">
        <v>74</v>
      </c>
    </row>
    <row r="247" spans="1:8" ht="28" hidden="1" customHeight="1" outlineLevel="1" x14ac:dyDescent="0.35">
      <c r="A247" s="3" t="s">
        <v>290</v>
      </c>
      <c r="B247" s="3" t="s">
        <v>76</v>
      </c>
      <c r="C247" s="19">
        <v>0.46575</v>
      </c>
      <c r="D247" s="19">
        <v>0.46575</v>
      </c>
      <c r="E247" s="19">
        <v>0.46575000000000011</v>
      </c>
      <c r="F247" s="21">
        <v>0</v>
      </c>
      <c r="G247" s="21">
        <v>-5.9999999999900001E-17</v>
      </c>
      <c r="H247" s="26" t="s">
        <v>74</v>
      </c>
    </row>
    <row r="248" spans="1:8" ht="28" hidden="1" customHeight="1" outlineLevel="1" x14ac:dyDescent="0.35">
      <c r="A248" s="2" t="s">
        <v>291</v>
      </c>
      <c r="B248" s="2" t="s">
        <v>78</v>
      </c>
      <c r="C248" s="20">
        <v>0.46575</v>
      </c>
      <c r="D248" s="20">
        <v>0.46575</v>
      </c>
      <c r="E248" s="20">
        <v>0.46575000000000011</v>
      </c>
      <c r="F248" s="21">
        <v>0</v>
      </c>
      <c r="G248" s="21">
        <v>-5.9999999999900001E-17</v>
      </c>
      <c r="H248" s="27" t="s">
        <v>74</v>
      </c>
    </row>
    <row r="249" spans="1:8" ht="28" hidden="1" customHeight="1" outlineLevel="1" x14ac:dyDescent="0.35">
      <c r="A249" s="3" t="s">
        <v>292</v>
      </c>
      <c r="B249" s="3" t="s">
        <v>80</v>
      </c>
      <c r="C249" s="18">
        <v>8</v>
      </c>
      <c r="D249" s="18">
        <v>8</v>
      </c>
      <c r="E249" s="18">
        <v>8</v>
      </c>
      <c r="F249" s="4">
        <v>0</v>
      </c>
      <c r="G249" s="4">
        <v>0</v>
      </c>
      <c r="H249" s="26" t="s">
        <v>74</v>
      </c>
    </row>
    <row r="250" spans="1:8" ht="28" hidden="1" customHeight="1" outlineLevel="1" x14ac:dyDescent="0.35">
      <c r="A250" s="2" t="s">
        <v>293</v>
      </c>
      <c r="B250" s="2" t="s">
        <v>82</v>
      </c>
      <c r="C250" s="20">
        <v>1.7644500000000001</v>
      </c>
      <c r="D250" s="20">
        <v>1.7644500000000001</v>
      </c>
      <c r="E250" s="20">
        <v>1.7644500000000001</v>
      </c>
      <c r="F250" s="21">
        <v>0</v>
      </c>
      <c r="G250" s="21">
        <v>-3.0000000000000001E-17</v>
      </c>
      <c r="H250" s="27" t="s">
        <v>74</v>
      </c>
    </row>
    <row r="251" spans="1:8" ht="28" hidden="1" customHeight="1" outlineLevel="1" x14ac:dyDescent="0.35">
      <c r="A251" s="3" t="s">
        <v>294</v>
      </c>
      <c r="B251" s="3" t="s">
        <v>84</v>
      </c>
      <c r="C251" s="19">
        <v>1.7644500000000001</v>
      </c>
      <c r="D251" s="19">
        <v>1.7644500000000001</v>
      </c>
      <c r="E251" s="19">
        <v>1.7644500000000001</v>
      </c>
      <c r="F251" s="21">
        <v>0</v>
      </c>
      <c r="G251" s="21">
        <v>-3.0000000000000001E-17</v>
      </c>
      <c r="H251" s="26" t="s">
        <v>74</v>
      </c>
    </row>
    <row r="252" spans="1:8" ht="28" hidden="1" customHeight="1" outlineLevel="1" x14ac:dyDescent="0.35">
      <c r="A252" s="2" t="s">
        <v>295</v>
      </c>
      <c r="B252" s="2" t="s">
        <v>86</v>
      </c>
      <c r="C252" s="17">
        <v>9</v>
      </c>
      <c r="D252" s="17">
        <v>9</v>
      </c>
      <c r="E252" s="17">
        <v>9</v>
      </c>
      <c r="F252" s="4">
        <v>0</v>
      </c>
      <c r="G252" s="4">
        <v>0</v>
      </c>
      <c r="H252" s="27" t="s">
        <v>74</v>
      </c>
    </row>
    <row r="253" spans="1:8" ht="28" hidden="1" customHeight="1" outlineLevel="1" x14ac:dyDescent="0.35">
      <c r="A253" s="3" t="s">
        <v>296</v>
      </c>
      <c r="B253" s="3" t="s">
        <v>88</v>
      </c>
      <c r="C253" s="19">
        <v>2.2302</v>
      </c>
      <c r="D253" s="19">
        <v>2.2302</v>
      </c>
      <c r="E253" s="19">
        <v>2.2302</v>
      </c>
      <c r="F253" s="21">
        <v>0</v>
      </c>
      <c r="G253" s="21">
        <v>-8.9999999999999996E-17</v>
      </c>
      <c r="H253" s="26" t="s">
        <v>74</v>
      </c>
    </row>
    <row r="254" spans="1:8" ht="28" hidden="1" customHeight="1" outlineLevel="1" x14ac:dyDescent="0.35">
      <c r="A254" s="2" t="s">
        <v>297</v>
      </c>
      <c r="B254" s="2" t="s">
        <v>90</v>
      </c>
      <c r="C254" s="20">
        <v>2.2302</v>
      </c>
      <c r="D254" s="20">
        <v>2.2302</v>
      </c>
      <c r="E254" s="20">
        <v>2.2302</v>
      </c>
      <c r="F254" s="21">
        <v>0</v>
      </c>
      <c r="G254" s="21">
        <v>-8.9999999999999996E-17</v>
      </c>
      <c r="H254" s="27" t="s">
        <v>74</v>
      </c>
    </row>
    <row r="255" spans="1:8" ht="28" hidden="1" customHeight="1" outlineLevel="1" x14ac:dyDescent="0.35">
      <c r="A255" s="3" t="s">
        <v>298</v>
      </c>
      <c r="B255" s="3" t="s">
        <v>73</v>
      </c>
      <c r="C255" s="18">
        <v>32</v>
      </c>
      <c r="D255" s="18">
        <v>32</v>
      </c>
      <c r="E255" s="18">
        <v>32</v>
      </c>
      <c r="F255" s="4">
        <v>0</v>
      </c>
      <c r="G255" s="4">
        <v>0</v>
      </c>
      <c r="H255" s="26" t="s">
        <v>74</v>
      </c>
    </row>
    <row r="256" spans="1:8" ht="28" hidden="1" customHeight="1" outlineLevel="1" x14ac:dyDescent="0.35">
      <c r="A256" s="2" t="s">
        <v>299</v>
      </c>
      <c r="B256" s="2" t="s">
        <v>76</v>
      </c>
      <c r="C256" s="20">
        <v>30.7071459</v>
      </c>
      <c r="D256" s="20">
        <v>30.7071459</v>
      </c>
      <c r="E256" s="20">
        <v>30.7071459</v>
      </c>
      <c r="F256" s="21">
        <v>0</v>
      </c>
      <c r="G256" s="21">
        <v>-2.0000000000000002E-15</v>
      </c>
      <c r="H256" s="27" t="s">
        <v>74</v>
      </c>
    </row>
    <row r="257" spans="1:8" ht="28" hidden="1" customHeight="1" outlineLevel="1" x14ac:dyDescent="0.35">
      <c r="A257" s="3" t="s">
        <v>300</v>
      </c>
      <c r="B257" s="3" t="s">
        <v>78</v>
      </c>
      <c r="C257" s="19">
        <v>30.7071459</v>
      </c>
      <c r="D257" s="19">
        <v>30.7071459</v>
      </c>
      <c r="E257" s="19">
        <v>30.7071459</v>
      </c>
      <c r="F257" s="21">
        <v>0</v>
      </c>
      <c r="G257" s="21">
        <v>-2.0000000000000002E-15</v>
      </c>
      <c r="H257" s="26" t="s">
        <v>74</v>
      </c>
    </row>
    <row r="258" spans="1:8" ht="28" hidden="1" customHeight="1" outlineLevel="1" x14ac:dyDescent="0.35">
      <c r="A258" s="2" t="s">
        <v>301</v>
      </c>
      <c r="B258" s="2" t="s">
        <v>80</v>
      </c>
      <c r="C258" s="17">
        <v>173626</v>
      </c>
      <c r="D258" s="17">
        <v>173626</v>
      </c>
      <c r="E258" s="17">
        <v>173626</v>
      </c>
      <c r="F258" s="4">
        <v>0</v>
      </c>
      <c r="G258" s="4">
        <v>0</v>
      </c>
      <c r="H258" s="27" t="s">
        <v>74</v>
      </c>
    </row>
    <row r="259" spans="1:8" ht="28" hidden="1" customHeight="1" outlineLevel="1" x14ac:dyDescent="0.35">
      <c r="A259" s="3" t="s">
        <v>302</v>
      </c>
      <c r="B259" s="3" t="s">
        <v>82</v>
      </c>
      <c r="C259" s="19">
        <v>164301.62508379531</v>
      </c>
      <c r="D259" s="19">
        <v>164301.62508379799</v>
      </c>
      <c r="E259" s="19">
        <v>164301.62508379851</v>
      </c>
      <c r="F259" s="21">
        <v>-2.7000000000000002E-9</v>
      </c>
      <c r="G259" s="21">
        <v>-5.0000012000010003E-10</v>
      </c>
      <c r="H259" s="26" t="s">
        <v>74</v>
      </c>
    </row>
    <row r="260" spans="1:8" ht="28" hidden="1" customHeight="1" outlineLevel="1" x14ac:dyDescent="0.35">
      <c r="A260" s="2" t="s">
        <v>303</v>
      </c>
      <c r="B260" s="2" t="s">
        <v>84</v>
      </c>
      <c r="C260" s="20">
        <v>164301.62508379531</v>
      </c>
      <c r="D260" s="20">
        <v>164301.62508379799</v>
      </c>
      <c r="E260" s="20">
        <v>164301.62508379851</v>
      </c>
      <c r="F260" s="21">
        <v>-2.7000000000000002E-9</v>
      </c>
      <c r="G260" s="21">
        <v>-5.0000012000010003E-10</v>
      </c>
      <c r="H260" s="27" t="s">
        <v>74</v>
      </c>
    </row>
    <row r="261" spans="1:8" ht="28" hidden="1" customHeight="1" outlineLevel="1" x14ac:dyDescent="0.35">
      <c r="A261" s="3" t="s">
        <v>304</v>
      </c>
      <c r="B261" s="3" t="s">
        <v>86</v>
      </c>
      <c r="C261" s="18">
        <v>173658</v>
      </c>
      <c r="D261" s="18">
        <v>173658</v>
      </c>
      <c r="E261" s="18">
        <v>173658</v>
      </c>
      <c r="F261" s="4">
        <v>0</v>
      </c>
      <c r="G261" s="4">
        <v>0</v>
      </c>
      <c r="H261" s="26" t="s">
        <v>74</v>
      </c>
    </row>
    <row r="262" spans="1:8" ht="28" hidden="1" customHeight="1" outlineLevel="1" x14ac:dyDescent="0.35">
      <c r="A262" s="2" t="s">
        <v>305</v>
      </c>
      <c r="B262" s="2" t="s">
        <v>88</v>
      </c>
      <c r="C262" s="20">
        <v>164332.33222969531</v>
      </c>
      <c r="D262" s="20">
        <v>164332.33222969799</v>
      </c>
      <c r="E262" s="20">
        <v>164332.33222969851</v>
      </c>
      <c r="F262" s="21">
        <v>-2.7135000000000002E-9</v>
      </c>
      <c r="G262" s="21">
        <v>-5.0000211999989998E-10</v>
      </c>
      <c r="H262" s="27" t="s">
        <v>74</v>
      </c>
    </row>
    <row r="263" spans="1:8" ht="28" hidden="1" customHeight="1" outlineLevel="1" x14ac:dyDescent="0.35">
      <c r="A263" s="3" t="s">
        <v>306</v>
      </c>
      <c r="B263" s="3" t="s">
        <v>90</v>
      </c>
      <c r="C263" s="19">
        <v>164332.33222969531</v>
      </c>
      <c r="D263" s="19">
        <v>164332.33222969799</v>
      </c>
      <c r="E263" s="19">
        <v>164332.33222969851</v>
      </c>
      <c r="F263" s="21">
        <v>-2.7135000000000002E-9</v>
      </c>
      <c r="G263" s="21">
        <v>-5.0000211999989998E-10</v>
      </c>
      <c r="H263" s="26" t="s">
        <v>74</v>
      </c>
    </row>
    <row r="264" spans="1:8" ht="28" hidden="1" customHeight="1" outlineLevel="1" x14ac:dyDescent="0.35">
      <c r="A264" s="2" t="s">
        <v>307</v>
      </c>
      <c r="B264" s="2" t="s">
        <v>73</v>
      </c>
      <c r="C264" s="17">
        <v>1</v>
      </c>
      <c r="D264" s="17">
        <v>1</v>
      </c>
      <c r="E264" s="17">
        <v>1</v>
      </c>
      <c r="F264" s="4">
        <v>0</v>
      </c>
      <c r="G264" s="4">
        <v>0</v>
      </c>
      <c r="H264" s="27" t="s">
        <v>74</v>
      </c>
    </row>
    <row r="265" spans="1:8" ht="28" hidden="1" customHeight="1" outlineLevel="1" x14ac:dyDescent="0.35">
      <c r="A265" s="3" t="s">
        <v>308</v>
      </c>
      <c r="B265" s="3" t="s">
        <v>76</v>
      </c>
      <c r="C265" s="19">
        <v>0.13635</v>
      </c>
      <c r="D265" s="19">
        <v>0.13635</v>
      </c>
      <c r="E265" s="19">
        <v>0.13635</v>
      </c>
      <c r="F265" s="21">
        <v>0</v>
      </c>
      <c r="G265" s="21">
        <v>0</v>
      </c>
      <c r="H265" s="26" t="s">
        <v>74</v>
      </c>
    </row>
    <row r="266" spans="1:8" ht="28" hidden="1" customHeight="1" outlineLevel="1" x14ac:dyDescent="0.35">
      <c r="A266" s="2" t="s">
        <v>309</v>
      </c>
      <c r="B266" s="2" t="s">
        <v>78</v>
      </c>
      <c r="C266" s="20">
        <v>0.13635</v>
      </c>
      <c r="D266" s="20">
        <v>0.13635</v>
      </c>
      <c r="E266" s="20">
        <v>0.13635</v>
      </c>
      <c r="F266" s="21">
        <v>0</v>
      </c>
      <c r="G266" s="21">
        <v>0</v>
      </c>
      <c r="H266" s="27" t="s">
        <v>74</v>
      </c>
    </row>
    <row r="267" spans="1:8" ht="28" hidden="1" customHeight="1" outlineLevel="1" x14ac:dyDescent="0.35">
      <c r="A267" s="3" t="s">
        <v>310</v>
      </c>
      <c r="B267" s="3" t="s">
        <v>80</v>
      </c>
      <c r="C267" s="18">
        <v>28</v>
      </c>
      <c r="D267" s="18">
        <v>28</v>
      </c>
      <c r="E267" s="18">
        <v>28</v>
      </c>
      <c r="F267" s="4">
        <v>0</v>
      </c>
      <c r="G267" s="4">
        <v>0</v>
      </c>
      <c r="H267" s="26" t="s">
        <v>74</v>
      </c>
    </row>
    <row r="268" spans="1:8" ht="28" hidden="1" customHeight="1" outlineLevel="1" x14ac:dyDescent="0.35">
      <c r="A268" s="2" t="s">
        <v>311</v>
      </c>
      <c r="B268" s="2" t="s">
        <v>82</v>
      </c>
      <c r="C268" s="20">
        <v>20.69928863999986</v>
      </c>
      <c r="D268" s="20">
        <v>20.699288639999999</v>
      </c>
      <c r="E268" s="20">
        <v>20.699288639999999</v>
      </c>
      <c r="F268" s="21">
        <v>-1.3634999999999999E-13</v>
      </c>
      <c r="G268" s="21">
        <v>-1.3030000000100001E-15</v>
      </c>
      <c r="H268" s="27" t="s">
        <v>74</v>
      </c>
    </row>
    <row r="269" spans="1:8" ht="28" hidden="1" customHeight="1" outlineLevel="1" x14ac:dyDescent="0.35">
      <c r="A269" s="3" t="s">
        <v>312</v>
      </c>
      <c r="B269" s="3" t="s">
        <v>84</v>
      </c>
      <c r="C269" s="19">
        <v>20.69928863999986</v>
      </c>
      <c r="D269" s="19">
        <v>20.699288639999999</v>
      </c>
      <c r="E269" s="19">
        <v>20.699288639999999</v>
      </c>
      <c r="F269" s="21">
        <v>-1.3634999999999999E-13</v>
      </c>
      <c r="G269" s="21">
        <v>-1.3030000000100001E-15</v>
      </c>
      <c r="H269" s="26" t="s">
        <v>74</v>
      </c>
    </row>
    <row r="270" spans="1:8" ht="28" hidden="1" customHeight="1" outlineLevel="1" x14ac:dyDescent="0.35">
      <c r="A270" s="2" t="s">
        <v>313</v>
      </c>
      <c r="B270" s="2" t="s">
        <v>86</v>
      </c>
      <c r="C270" s="17">
        <v>29</v>
      </c>
      <c r="D270" s="17">
        <v>29</v>
      </c>
      <c r="E270" s="17">
        <v>29</v>
      </c>
      <c r="F270" s="4">
        <v>0</v>
      </c>
      <c r="G270" s="4">
        <v>0</v>
      </c>
      <c r="H270" s="27" t="s">
        <v>74</v>
      </c>
    </row>
    <row r="271" spans="1:8" ht="28" hidden="1" customHeight="1" outlineLevel="1" x14ac:dyDescent="0.35">
      <c r="A271" s="3" t="s">
        <v>314</v>
      </c>
      <c r="B271" s="3" t="s">
        <v>88</v>
      </c>
      <c r="C271" s="19">
        <v>20.835638639999861</v>
      </c>
      <c r="D271" s="19">
        <v>20.835638639999999</v>
      </c>
      <c r="E271" s="19">
        <v>20.835638639999999</v>
      </c>
      <c r="F271" s="21">
        <v>-1.3634999999999999E-13</v>
      </c>
      <c r="G271" s="21">
        <v>-1.3030000000100001E-15</v>
      </c>
      <c r="H271" s="26" t="s">
        <v>74</v>
      </c>
    </row>
    <row r="272" spans="1:8" ht="28" hidden="1" customHeight="1" outlineLevel="1" x14ac:dyDescent="0.35">
      <c r="A272" s="2" t="s">
        <v>315</v>
      </c>
      <c r="B272" s="2" t="s">
        <v>90</v>
      </c>
      <c r="C272" s="20">
        <v>20.835638639999861</v>
      </c>
      <c r="D272" s="20">
        <v>20.835638639999999</v>
      </c>
      <c r="E272" s="20">
        <v>20.835638639999999</v>
      </c>
      <c r="F272" s="21">
        <v>-1.3634999999999999E-13</v>
      </c>
      <c r="G272" s="21">
        <v>-1.3030000000100001E-15</v>
      </c>
      <c r="H272" s="27" t="s">
        <v>74</v>
      </c>
    </row>
    <row r="273" spans="1:8" ht="28" hidden="1" customHeight="1" outlineLevel="1" x14ac:dyDescent="0.35">
      <c r="A273" s="3" t="s">
        <v>316</v>
      </c>
      <c r="B273" s="3" t="s">
        <v>73</v>
      </c>
      <c r="C273" s="18">
        <v>33</v>
      </c>
      <c r="D273" s="18">
        <v>33</v>
      </c>
      <c r="E273" s="18">
        <v>33</v>
      </c>
      <c r="F273" s="4">
        <v>0</v>
      </c>
      <c r="G273" s="4">
        <v>0</v>
      </c>
      <c r="H273" s="26" t="s">
        <v>74</v>
      </c>
    </row>
    <row r="274" spans="1:8" ht="28" hidden="1" customHeight="1" outlineLevel="1" x14ac:dyDescent="0.35">
      <c r="A274" s="2" t="s">
        <v>317</v>
      </c>
      <c r="B274" s="2" t="s">
        <v>76</v>
      </c>
      <c r="C274" s="20">
        <v>30.843495900000001</v>
      </c>
      <c r="D274" s="20">
        <v>30.843495900000001</v>
      </c>
      <c r="E274" s="20">
        <v>30.843495900000001</v>
      </c>
      <c r="F274" s="21">
        <v>0</v>
      </c>
      <c r="G274" s="21">
        <v>-2.0000000000000002E-15</v>
      </c>
      <c r="H274" s="27" t="s">
        <v>74</v>
      </c>
    </row>
    <row r="275" spans="1:8" ht="28" hidden="1" customHeight="1" outlineLevel="1" x14ac:dyDescent="0.35">
      <c r="A275" s="3" t="s">
        <v>318</v>
      </c>
      <c r="B275" s="3" t="s">
        <v>78</v>
      </c>
      <c r="C275" s="19">
        <v>30.843495900000001</v>
      </c>
      <c r="D275" s="19">
        <v>30.843495900000001</v>
      </c>
      <c r="E275" s="19">
        <v>30.843495900000001</v>
      </c>
      <c r="F275" s="21">
        <v>0</v>
      </c>
      <c r="G275" s="21">
        <v>-2.0000000000000002E-15</v>
      </c>
      <c r="H275" s="26" t="s">
        <v>74</v>
      </c>
    </row>
    <row r="276" spans="1:8" ht="28" hidden="1" customHeight="1" outlineLevel="1" x14ac:dyDescent="0.35">
      <c r="A276" s="2" t="s">
        <v>319</v>
      </c>
      <c r="B276" s="2" t="s">
        <v>80</v>
      </c>
      <c r="C276" s="17">
        <v>173654</v>
      </c>
      <c r="D276" s="17">
        <v>173654</v>
      </c>
      <c r="E276" s="17">
        <v>173654</v>
      </c>
      <c r="F276" s="4">
        <v>0</v>
      </c>
      <c r="G276" s="4">
        <v>0</v>
      </c>
      <c r="H276" s="27" t="s">
        <v>74</v>
      </c>
    </row>
    <row r="277" spans="1:8" ht="28" hidden="1" customHeight="1" outlineLevel="1" x14ac:dyDescent="0.35">
      <c r="A277" s="3" t="s">
        <v>320</v>
      </c>
      <c r="B277" s="3" t="s">
        <v>82</v>
      </c>
      <c r="C277" s="19">
        <v>164322.32437243531</v>
      </c>
      <c r="D277" s="19">
        <v>164322.32437243799</v>
      </c>
      <c r="E277" s="19">
        <v>164322.32437243851</v>
      </c>
      <c r="F277" s="21">
        <v>-2.7000000000000002E-9</v>
      </c>
      <c r="G277" s="21">
        <v>-5.0000142299989999E-10</v>
      </c>
      <c r="H277" s="26" t="s">
        <v>74</v>
      </c>
    </row>
    <row r="278" spans="1:8" ht="28" hidden="1" customHeight="1" outlineLevel="1" x14ac:dyDescent="0.35">
      <c r="A278" s="2" t="s">
        <v>321</v>
      </c>
      <c r="B278" s="2" t="s">
        <v>84</v>
      </c>
      <c r="C278" s="20">
        <v>164322.32437243531</v>
      </c>
      <c r="D278" s="20">
        <v>164322.32437243799</v>
      </c>
      <c r="E278" s="20">
        <v>164322.32437243851</v>
      </c>
      <c r="F278" s="21">
        <v>-2.7000000000000002E-9</v>
      </c>
      <c r="G278" s="21">
        <v>-5.0000142299989999E-10</v>
      </c>
      <c r="H278" s="27" t="s">
        <v>74</v>
      </c>
    </row>
    <row r="279" spans="1:8" ht="28" hidden="1" customHeight="1" outlineLevel="1" x14ac:dyDescent="0.35">
      <c r="A279" s="3" t="s">
        <v>322</v>
      </c>
      <c r="B279" s="3" t="s">
        <v>86</v>
      </c>
      <c r="C279" s="18">
        <v>173687</v>
      </c>
      <c r="D279" s="18">
        <v>173687</v>
      </c>
      <c r="E279" s="18">
        <v>173687</v>
      </c>
      <c r="F279" s="4">
        <v>0</v>
      </c>
      <c r="G279" s="4">
        <v>0</v>
      </c>
      <c r="H279" s="26" t="s">
        <v>74</v>
      </c>
    </row>
    <row r="280" spans="1:8" ht="28" hidden="1" customHeight="1" outlineLevel="1" x14ac:dyDescent="0.35">
      <c r="A280" s="2" t="s">
        <v>323</v>
      </c>
      <c r="B280" s="2" t="s">
        <v>88</v>
      </c>
      <c r="C280" s="20">
        <v>164353.16786833529</v>
      </c>
      <c r="D280" s="20">
        <v>164353.167868338</v>
      </c>
      <c r="E280" s="20">
        <v>164353.1678683385</v>
      </c>
      <c r="F280" s="21">
        <v>-2.7135000000000002E-9</v>
      </c>
      <c r="G280" s="21">
        <v>-5.00003423E-10</v>
      </c>
      <c r="H280" s="27" t="s">
        <v>74</v>
      </c>
    </row>
    <row r="281" spans="1:8" ht="28" hidden="1" customHeight="1" outlineLevel="1" x14ac:dyDescent="0.35">
      <c r="A281" s="3" t="s">
        <v>324</v>
      </c>
      <c r="B281" s="3" t="s">
        <v>90</v>
      </c>
      <c r="C281" s="19">
        <v>164353.16786833529</v>
      </c>
      <c r="D281" s="19">
        <v>164353.167868338</v>
      </c>
      <c r="E281" s="19">
        <v>164353.1678683385</v>
      </c>
      <c r="F281" s="21">
        <v>-2.7135000000000002E-9</v>
      </c>
      <c r="G281" s="21">
        <v>-5.00003423E-10</v>
      </c>
      <c r="H281" s="26" t="s">
        <v>74</v>
      </c>
    </row>
    <row r="282" spans="1:8" ht="28" hidden="1" customHeight="1" outlineLevel="1" x14ac:dyDescent="0.35">
      <c r="A282" s="2" t="s">
        <v>325</v>
      </c>
      <c r="B282" s="2" t="s">
        <v>73</v>
      </c>
      <c r="C282" s="17">
        <v>32</v>
      </c>
      <c r="D282" s="17">
        <v>32</v>
      </c>
      <c r="E282" s="17">
        <v>32</v>
      </c>
      <c r="F282" s="4">
        <v>0</v>
      </c>
      <c r="G282" s="4">
        <v>0</v>
      </c>
      <c r="H282" s="27" t="s">
        <v>74</v>
      </c>
    </row>
    <row r="283" spans="1:8" ht="28" hidden="1" customHeight="1" outlineLevel="1" x14ac:dyDescent="0.35">
      <c r="A283" s="3" t="s">
        <v>326</v>
      </c>
      <c r="B283" s="3" t="s">
        <v>76</v>
      </c>
      <c r="C283" s="19">
        <v>30.7071459</v>
      </c>
      <c r="D283" s="19">
        <v>30.7071459</v>
      </c>
      <c r="E283" s="19">
        <v>30.7071459</v>
      </c>
      <c r="F283" s="21">
        <v>0</v>
      </c>
      <c r="G283" s="21">
        <v>-2.0000000000000002E-15</v>
      </c>
      <c r="H283" s="26" t="s">
        <v>74</v>
      </c>
    </row>
    <row r="284" spans="1:8" ht="28" hidden="1" customHeight="1" outlineLevel="1" x14ac:dyDescent="0.35">
      <c r="A284" s="2" t="s">
        <v>327</v>
      </c>
      <c r="B284" s="2" t="s">
        <v>78</v>
      </c>
      <c r="C284" s="20">
        <v>30.7071459</v>
      </c>
      <c r="D284" s="20">
        <v>30.7071459</v>
      </c>
      <c r="E284" s="20">
        <v>30.7071459</v>
      </c>
      <c r="F284" s="21">
        <v>0</v>
      </c>
      <c r="G284" s="21">
        <v>-2.0000000000000002E-15</v>
      </c>
      <c r="H284" s="27" t="s">
        <v>74</v>
      </c>
    </row>
    <row r="285" spans="1:8" ht="28" hidden="1" customHeight="1" outlineLevel="1" x14ac:dyDescent="0.35">
      <c r="A285" s="3" t="s">
        <v>328</v>
      </c>
      <c r="B285" s="3" t="s">
        <v>80</v>
      </c>
      <c r="C285" s="18">
        <v>173626</v>
      </c>
      <c r="D285" s="18">
        <v>173626</v>
      </c>
      <c r="E285" s="18">
        <v>173626</v>
      </c>
      <c r="F285" s="4">
        <v>0</v>
      </c>
      <c r="G285" s="4">
        <v>0</v>
      </c>
      <c r="H285" s="26" t="s">
        <v>74</v>
      </c>
    </row>
    <row r="286" spans="1:8" ht="28" hidden="1" customHeight="1" outlineLevel="1" x14ac:dyDescent="0.35">
      <c r="A286" s="2" t="s">
        <v>329</v>
      </c>
      <c r="B286" s="2" t="s">
        <v>82</v>
      </c>
      <c r="C286" s="20">
        <v>164301.62508379531</v>
      </c>
      <c r="D286" s="20">
        <v>164301.62508379799</v>
      </c>
      <c r="E286" s="20">
        <v>164301.62508379851</v>
      </c>
      <c r="F286" s="21">
        <v>-2.7000000000000002E-9</v>
      </c>
      <c r="G286" s="21">
        <v>-5.0000012000010003E-10</v>
      </c>
      <c r="H286" s="27" t="s">
        <v>74</v>
      </c>
    </row>
    <row r="287" spans="1:8" ht="28" hidden="1" customHeight="1" outlineLevel="1" x14ac:dyDescent="0.35">
      <c r="A287" s="3" t="s">
        <v>330</v>
      </c>
      <c r="B287" s="3" t="s">
        <v>84</v>
      </c>
      <c r="C287" s="19">
        <v>164301.62508379531</v>
      </c>
      <c r="D287" s="19">
        <v>164301.62508379799</v>
      </c>
      <c r="E287" s="19">
        <v>164301.62508379851</v>
      </c>
      <c r="F287" s="21">
        <v>-2.7000000000000002E-9</v>
      </c>
      <c r="G287" s="21">
        <v>-5.0000012000010003E-10</v>
      </c>
      <c r="H287" s="26" t="s">
        <v>74</v>
      </c>
    </row>
    <row r="288" spans="1:8" ht="28" hidden="1" customHeight="1" outlineLevel="1" x14ac:dyDescent="0.35">
      <c r="A288" s="2" t="s">
        <v>331</v>
      </c>
      <c r="B288" s="2" t="s">
        <v>86</v>
      </c>
      <c r="C288" s="17">
        <v>173658</v>
      </c>
      <c r="D288" s="17">
        <v>173658</v>
      </c>
      <c r="E288" s="17">
        <v>173658</v>
      </c>
      <c r="F288" s="4">
        <v>0</v>
      </c>
      <c r="G288" s="4">
        <v>0</v>
      </c>
      <c r="H288" s="27" t="s">
        <v>74</v>
      </c>
    </row>
    <row r="289" spans="1:8" ht="28" hidden="1" customHeight="1" outlineLevel="1" x14ac:dyDescent="0.35">
      <c r="A289" s="3" t="s">
        <v>332</v>
      </c>
      <c r="B289" s="3" t="s">
        <v>88</v>
      </c>
      <c r="C289" s="19">
        <v>164332.33222969531</v>
      </c>
      <c r="D289" s="19">
        <v>164332.33222969799</v>
      </c>
      <c r="E289" s="19">
        <v>164332.33222969851</v>
      </c>
      <c r="F289" s="21">
        <v>-2.7135000000000002E-9</v>
      </c>
      <c r="G289" s="21">
        <v>-5.0000211999989998E-10</v>
      </c>
      <c r="H289" s="26" t="s">
        <v>74</v>
      </c>
    </row>
    <row r="290" spans="1:8" ht="28" hidden="1" customHeight="1" outlineLevel="1" x14ac:dyDescent="0.35">
      <c r="A290" s="2" t="s">
        <v>333</v>
      </c>
      <c r="B290" s="2" t="s">
        <v>90</v>
      </c>
      <c r="C290" s="20">
        <v>164332.33222969531</v>
      </c>
      <c r="D290" s="20">
        <v>164332.33222969799</v>
      </c>
      <c r="E290" s="20">
        <v>164332.33222969851</v>
      </c>
      <c r="F290" s="21">
        <v>-2.7135000000000002E-9</v>
      </c>
      <c r="G290" s="21">
        <v>-5.0000211999989998E-10</v>
      </c>
      <c r="H290" s="27" t="s">
        <v>74</v>
      </c>
    </row>
    <row r="291" spans="1:8" ht="28" hidden="1" customHeight="1" outlineLevel="1" x14ac:dyDescent="0.35">
      <c r="A291" s="3" t="s">
        <v>334</v>
      </c>
      <c r="B291" s="3" t="s">
        <v>73</v>
      </c>
      <c r="C291" s="18">
        <v>1</v>
      </c>
      <c r="D291" s="18">
        <v>1</v>
      </c>
      <c r="E291" s="18">
        <v>1</v>
      </c>
      <c r="F291" s="4">
        <v>0</v>
      </c>
      <c r="G291" s="4">
        <v>0</v>
      </c>
      <c r="H291" s="26" t="s">
        <v>74</v>
      </c>
    </row>
    <row r="292" spans="1:8" ht="28" hidden="1" customHeight="1" outlineLevel="1" x14ac:dyDescent="0.35">
      <c r="A292" s="2" t="s">
        <v>335</v>
      </c>
      <c r="B292" s="2" t="s">
        <v>76</v>
      </c>
      <c r="C292" s="20">
        <v>0.13635</v>
      </c>
      <c r="D292" s="20">
        <v>0.13635</v>
      </c>
      <c r="E292" s="20">
        <v>0.13635</v>
      </c>
      <c r="F292" s="21">
        <v>0</v>
      </c>
      <c r="G292" s="21">
        <v>0</v>
      </c>
      <c r="H292" s="27" t="s">
        <v>74</v>
      </c>
    </row>
    <row r="293" spans="1:8" ht="28" hidden="1" customHeight="1" outlineLevel="1" x14ac:dyDescent="0.35">
      <c r="A293" s="3" t="s">
        <v>336</v>
      </c>
      <c r="B293" s="3" t="s">
        <v>78</v>
      </c>
      <c r="C293" s="19">
        <v>0.13635</v>
      </c>
      <c r="D293" s="19">
        <v>0.13635</v>
      </c>
      <c r="E293" s="19">
        <v>0.13635</v>
      </c>
      <c r="F293" s="21">
        <v>0</v>
      </c>
      <c r="G293" s="21">
        <v>0</v>
      </c>
      <c r="H293" s="26" t="s">
        <v>74</v>
      </c>
    </row>
    <row r="294" spans="1:8" ht="28" hidden="1" customHeight="1" outlineLevel="1" x14ac:dyDescent="0.35">
      <c r="A294" s="2" t="s">
        <v>337</v>
      </c>
      <c r="B294" s="2" t="s">
        <v>80</v>
      </c>
      <c r="C294" s="17">
        <v>28</v>
      </c>
      <c r="D294" s="17">
        <v>28</v>
      </c>
      <c r="E294" s="17">
        <v>28</v>
      </c>
      <c r="F294" s="4">
        <v>0</v>
      </c>
      <c r="G294" s="4">
        <v>0</v>
      </c>
      <c r="H294" s="27" t="s">
        <v>74</v>
      </c>
    </row>
    <row r="295" spans="1:8" ht="28" hidden="1" customHeight="1" outlineLevel="1" x14ac:dyDescent="0.35">
      <c r="A295" s="3" t="s">
        <v>338</v>
      </c>
      <c r="B295" s="3" t="s">
        <v>82</v>
      </c>
      <c r="C295" s="19">
        <v>20.69928863999986</v>
      </c>
      <c r="D295" s="19">
        <v>20.699288639999999</v>
      </c>
      <c r="E295" s="19">
        <v>20.699288639999999</v>
      </c>
      <c r="F295" s="21">
        <v>-1.3634999999999999E-13</v>
      </c>
      <c r="G295" s="21">
        <v>-1.3030000000100001E-15</v>
      </c>
      <c r="H295" s="26" t="s">
        <v>74</v>
      </c>
    </row>
    <row r="296" spans="1:8" ht="28" hidden="1" customHeight="1" outlineLevel="1" x14ac:dyDescent="0.35">
      <c r="A296" s="2" t="s">
        <v>339</v>
      </c>
      <c r="B296" s="2" t="s">
        <v>84</v>
      </c>
      <c r="C296" s="20">
        <v>20.69928863999986</v>
      </c>
      <c r="D296" s="20">
        <v>20.699288639999999</v>
      </c>
      <c r="E296" s="20">
        <v>20.699288639999999</v>
      </c>
      <c r="F296" s="21">
        <v>-1.3634999999999999E-13</v>
      </c>
      <c r="G296" s="21">
        <v>-1.3030000000100001E-15</v>
      </c>
      <c r="H296" s="27" t="s">
        <v>74</v>
      </c>
    </row>
    <row r="297" spans="1:8" ht="28" hidden="1" customHeight="1" outlineLevel="1" x14ac:dyDescent="0.35">
      <c r="A297" s="3" t="s">
        <v>340</v>
      </c>
      <c r="B297" s="3" t="s">
        <v>86</v>
      </c>
      <c r="C297" s="18">
        <v>29</v>
      </c>
      <c r="D297" s="18">
        <v>29</v>
      </c>
      <c r="E297" s="18">
        <v>29</v>
      </c>
      <c r="F297" s="4">
        <v>0</v>
      </c>
      <c r="G297" s="4">
        <v>0</v>
      </c>
      <c r="H297" s="26" t="s">
        <v>74</v>
      </c>
    </row>
    <row r="298" spans="1:8" ht="28" hidden="1" customHeight="1" outlineLevel="1" x14ac:dyDescent="0.35">
      <c r="A298" s="2" t="s">
        <v>341</v>
      </c>
      <c r="B298" s="2" t="s">
        <v>88</v>
      </c>
      <c r="C298" s="20">
        <v>20.835638639999861</v>
      </c>
      <c r="D298" s="20">
        <v>20.835638639999999</v>
      </c>
      <c r="E298" s="20">
        <v>20.835638639999999</v>
      </c>
      <c r="F298" s="21">
        <v>-1.3634999999999999E-13</v>
      </c>
      <c r="G298" s="21">
        <v>-1.3030000000100001E-15</v>
      </c>
      <c r="H298" s="27" t="s">
        <v>74</v>
      </c>
    </row>
    <row r="299" spans="1:8" ht="28" hidden="1" customHeight="1" outlineLevel="1" x14ac:dyDescent="0.35">
      <c r="A299" s="3" t="s">
        <v>342</v>
      </c>
      <c r="B299" s="3" t="s">
        <v>90</v>
      </c>
      <c r="C299" s="19">
        <v>20.835638639999861</v>
      </c>
      <c r="D299" s="19">
        <v>20.835638639999999</v>
      </c>
      <c r="E299" s="19">
        <v>20.835638639999999</v>
      </c>
      <c r="F299" s="21">
        <v>-1.3634999999999999E-13</v>
      </c>
      <c r="G299" s="21">
        <v>-1.3030000000100001E-15</v>
      </c>
      <c r="H299" s="26" t="s">
        <v>74</v>
      </c>
    </row>
    <row r="300" spans="1:8" ht="28" hidden="1" customHeight="1" outlineLevel="1" x14ac:dyDescent="0.35">
      <c r="A300" s="2" t="s">
        <v>343</v>
      </c>
      <c r="B300" s="2" t="s">
        <v>73</v>
      </c>
      <c r="C300" s="17">
        <v>33</v>
      </c>
      <c r="D300" s="17">
        <v>33</v>
      </c>
      <c r="E300" s="17">
        <v>33</v>
      </c>
      <c r="F300" s="4">
        <v>0</v>
      </c>
      <c r="G300" s="4">
        <v>0</v>
      </c>
      <c r="H300" s="27" t="s">
        <v>74</v>
      </c>
    </row>
    <row r="301" spans="1:8" ht="28" hidden="1" customHeight="1" outlineLevel="1" x14ac:dyDescent="0.35">
      <c r="A301" s="3" t="s">
        <v>344</v>
      </c>
      <c r="B301" s="3" t="s">
        <v>76</v>
      </c>
      <c r="C301" s="19">
        <v>30.843495900000001</v>
      </c>
      <c r="D301" s="19">
        <v>30.843495900000001</v>
      </c>
      <c r="E301" s="19">
        <v>30.843495900000001</v>
      </c>
      <c r="F301" s="21">
        <v>0</v>
      </c>
      <c r="G301" s="21">
        <v>-2.0000000000000002E-15</v>
      </c>
      <c r="H301" s="26" t="s">
        <v>74</v>
      </c>
    </row>
    <row r="302" spans="1:8" ht="28" hidden="1" customHeight="1" outlineLevel="1" x14ac:dyDescent="0.35">
      <c r="A302" s="2" t="s">
        <v>345</v>
      </c>
      <c r="B302" s="2" t="s">
        <v>78</v>
      </c>
      <c r="C302" s="20">
        <v>30.843495900000001</v>
      </c>
      <c r="D302" s="20">
        <v>30.843495900000001</v>
      </c>
      <c r="E302" s="20">
        <v>30.843495900000001</v>
      </c>
      <c r="F302" s="21">
        <v>0</v>
      </c>
      <c r="G302" s="21">
        <v>-2.0000000000000002E-15</v>
      </c>
      <c r="H302" s="27" t="s">
        <v>74</v>
      </c>
    </row>
    <row r="303" spans="1:8" ht="28" hidden="1" customHeight="1" outlineLevel="1" x14ac:dyDescent="0.35">
      <c r="A303" s="3" t="s">
        <v>346</v>
      </c>
      <c r="B303" s="3" t="s">
        <v>80</v>
      </c>
      <c r="C303" s="18">
        <v>173654</v>
      </c>
      <c r="D303" s="18">
        <v>173654</v>
      </c>
      <c r="E303" s="18">
        <v>173654</v>
      </c>
      <c r="F303" s="4">
        <v>0</v>
      </c>
      <c r="G303" s="4">
        <v>0</v>
      </c>
      <c r="H303" s="26" t="s">
        <v>74</v>
      </c>
    </row>
    <row r="304" spans="1:8" ht="28" hidden="1" customHeight="1" outlineLevel="1" x14ac:dyDescent="0.35">
      <c r="A304" s="2" t="s">
        <v>347</v>
      </c>
      <c r="B304" s="2" t="s">
        <v>82</v>
      </c>
      <c r="C304" s="20">
        <v>164322.32437243531</v>
      </c>
      <c r="D304" s="20">
        <v>164322.32437243799</v>
      </c>
      <c r="E304" s="20">
        <v>164322.32437243851</v>
      </c>
      <c r="F304" s="21">
        <v>-2.7000000000000002E-9</v>
      </c>
      <c r="G304" s="21">
        <v>-5.0000142299989999E-10</v>
      </c>
      <c r="H304" s="27" t="s">
        <v>74</v>
      </c>
    </row>
    <row r="305" spans="1:8" ht="28" hidden="1" customHeight="1" outlineLevel="1" x14ac:dyDescent="0.35">
      <c r="A305" s="3" t="s">
        <v>348</v>
      </c>
      <c r="B305" s="3" t="s">
        <v>84</v>
      </c>
      <c r="C305" s="19">
        <v>164322.32437243531</v>
      </c>
      <c r="D305" s="19">
        <v>164322.32437243799</v>
      </c>
      <c r="E305" s="19">
        <v>164322.32437243851</v>
      </c>
      <c r="F305" s="21">
        <v>-2.7000000000000002E-9</v>
      </c>
      <c r="G305" s="21">
        <v>-5.0000142299989999E-10</v>
      </c>
      <c r="H305" s="26" t="s">
        <v>74</v>
      </c>
    </row>
    <row r="306" spans="1:8" ht="28" hidden="1" customHeight="1" outlineLevel="1" x14ac:dyDescent="0.35">
      <c r="A306" s="2" t="s">
        <v>349</v>
      </c>
      <c r="B306" s="2" t="s">
        <v>86</v>
      </c>
      <c r="C306" s="17">
        <v>173687</v>
      </c>
      <c r="D306" s="17">
        <v>173687</v>
      </c>
      <c r="E306" s="17">
        <v>173687</v>
      </c>
      <c r="F306" s="4">
        <v>0</v>
      </c>
      <c r="G306" s="4">
        <v>0</v>
      </c>
      <c r="H306" s="27" t="s">
        <v>74</v>
      </c>
    </row>
    <row r="307" spans="1:8" ht="28" hidden="1" customHeight="1" outlineLevel="1" x14ac:dyDescent="0.35">
      <c r="A307" s="3" t="s">
        <v>350</v>
      </c>
      <c r="B307" s="3" t="s">
        <v>88</v>
      </c>
      <c r="C307" s="19">
        <v>164353.16786833529</v>
      </c>
      <c r="D307" s="19">
        <v>164353.167868338</v>
      </c>
      <c r="E307" s="19">
        <v>164353.1678683385</v>
      </c>
      <c r="F307" s="21">
        <v>-2.7135000000000002E-9</v>
      </c>
      <c r="G307" s="21">
        <v>-5.00003423E-10</v>
      </c>
      <c r="H307" s="26" t="s">
        <v>74</v>
      </c>
    </row>
    <row r="308" spans="1:8" ht="28" hidden="1" customHeight="1" outlineLevel="1" x14ac:dyDescent="0.35">
      <c r="A308" s="2" t="s">
        <v>351</v>
      </c>
      <c r="B308" s="2" t="s">
        <v>90</v>
      </c>
      <c r="C308" s="20">
        <v>164353.16786833529</v>
      </c>
      <c r="D308" s="20">
        <v>164353.167868338</v>
      </c>
      <c r="E308" s="20">
        <v>164353.1678683385</v>
      </c>
      <c r="F308" s="21">
        <v>-2.7135000000000002E-9</v>
      </c>
      <c r="G308" s="21">
        <v>-5.00003423E-10</v>
      </c>
      <c r="H308" s="27" t="s">
        <v>74</v>
      </c>
    </row>
    <row r="309" spans="1:8" ht="28" hidden="1" customHeight="1" outlineLevel="1" x14ac:dyDescent="0.35">
      <c r="A309" s="3" t="s">
        <v>352</v>
      </c>
      <c r="B309" s="3" t="s">
        <v>73</v>
      </c>
      <c r="C309" s="18">
        <v>32</v>
      </c>
      <c r="D309" s="18">
        <v>32</v>
      </c>
      <c r="E309" s="18">
        <v>32</v>
      </c>
      <c r="F309" s="4">
        <v>0</v>
      </c>
      <c r="G309" s="4">
        <v>0</v>
      </c>
      <c r="H309" s="26" t="s">
        <v>74</v>
      </c>
    </row>
    <row r="310" spans="1:8" ht="28" hidden="1" customHeight="1" outlineLevel="1" x14ac:dyDescent="0.35">
      <c r="A310" s="2" t="s">
        <v>353</v>
      </c>
      <c r="B310" s="2" t="s">
        <v>76</v>
      </c>
      <c r="C310" s="20">
        <v>30.7071459</v>
      </c>
      <c r="D310" s="20">
        <v>30.7071459</v>
      </c>
      <c r="E310" s="20">
        <v>30.7071459</v>
      </c>
      <c r="F310" s="21">
        <v>0</v>
      </c>
      <c r="G310" s="21">
        <v>-2.0000000000000002E-15</v>
      </c>
      <c r="H310" s="27" t="s">
        <v>74</v>
      </c>
    </row>
    <row r="311" spans="1:8" ht="28" hidden="1" customHeight="1" outlineLevel="1" x14ac:dyDescent="0.35">
      <c r="A311" s="3" t="s">
        <v>354</v>
      </c>
      <c r="B311" s="3" t="s">
        <v>78</v>
      </c>
      <c r="C311" s="19">
        <v>30.7071459</v>
      </c>
      <c r="D311" s="19">
        <v>30.7071459</v>
      </c>
      <c r="E311" s="19">
        <v>30.7071459</v>
      </c>
      <c r="F311" s="21">
        <v>0</v>
      </c>
      <c r="G311" s="21">
        <v>-2.0000000000000002E-15</v>
      </c>
      <c r="H311" s="26" t="s">
        <v>74</v>
      </c>
    </row>
    <row r="312" spans="1:8" ht="28" hidden="1" customHeight="1" outlineLevel="1" x14ac:dyDescent="0.35">
      <c r="A312" s="2" t="s">
        <v>355</v>
      </c>
      <c r="B312" s="2" t="s">
        <v>80</v>
      </c>
      <c r="C312" s="17">
        <v>173626</v>
      </c>
      <c r="D312" s="17">
        <v>173626</v>
      </c>
      <c r="E312" s="17">
        <v>173626</v>
      </c>
      <c r="F312" s="4">
        <v>0</v>
      </c>
      <c r="G312" s="4">
        <v>0</v>
      </c>
      <c r="H312" s="27" t="s">
        <v>74</v>
      </c>
    </row>
    <row r="313" spans="1:8" ht="28" hidden="1" customHeight="1" outlineLevel="1" x14ac:dyDescent="0.35">
      <c r="A313" s="3" t="s">
        <v>356</v>
      </c>
      <c r="B313" s="3" t="s">
        <v>82</v>
      </c>
      <c r="C313" s="19">
        <v>164301.62508379531</v>
      </c>
      <c r="D313" s="19">
        <v>164301.62508379799</v>
      </c>
      <c r="E313" s="19">
        <v>164301.62508379851</v>
      </c>
      <c r="F313" s="21">
        <v>-2.7000000000000002E-9</v>
      </c>
      <c r="G313" s="21">
        <v>-5.0000012000010003E-10</v>
      </c>
      <c r="H313" s="26" t="s">
        <v>74</v>
      </c>
    </row>
    <row r="314" spans="1:8" ht="28" hidden="1" customHeight="1" outlineLevel="1" x14ac:dyDescent="0.35">
      <c r="A314" s="2" t="s">
        <v>357</v>
      </c>
      <c r="B314" s="2" t="s">
        <v>84</v>
      </c>
      <c r="C314" s="20">
        <v>164301.62508379531</v>
      </c>
      <c r="D314" s="20">
        <v>164301.62508379799</v>
      </c>
      <c r="E314" s="20">
        <v>164301.62508379851</v>
      </c>
      <c r="F314" s="21">
        <v>-2.7000000000000002E-9</v>
      </c>
      <c r="G314" s="21">
        <v>-5.0000012000010003E-10</v>
      </c>
      <c r="H314" s="27" t="s">
        <v>74</v>
      </c>
    </row>
    <row r="315" spans="1:8" ht="28" hidden="1" customHeight="1" outlineLevel="1" x14ac:dyDescent="0.35">
      <c r="A315" s="3" t="s">
        <v>358</v>
      </c>
      <c r="B315" s="3" t="s">
        <v>86</v>
      </c>
      <c r="C315" s="18">
        <v>173658</v>
      </c>
      <c r="D315" s="18">
        <v>173658</v>
      </c>
      <c r="E315" s="18">
        <v>173658</v>
      </c>
      <c r="F315" s="4">
        <v>0</v>
      </c>
      <c r="G315" s="4">
        <v>0</v>
      </c>
      <c r="H315" s="26" t="s">
        <v>74</v>
      </c>
    </row>
    <row r="316" spans="1:8" ht="28" hidden="1" customHeight="1" outlineLevel="1" x14ac:dyDescent="0.35">
      <c r="A316" s="2" t="s">
        <v>359</v>
      </c>
      <c r="B316" s="2" t="s">
        <v>88</v>
      </c>
      <c r="C316" s="20">
        <v>164332.33222969531</v>
      </c>
      <c r="D316" s="20">
        <v>164332.33222969799</v>
      </c>
      <c r="E316" s="20">
        <v>164332.33222969851</v>
      </c>
      <c r="F316" s="21">
        <v>-2.7135000000000002E-9</v>
      </c>
      <c r="G316" s="21">
        <v>-5.0000211999989998E-10</v>
      </c>
      <c r="H316" s="27" t="s">
        <v>74</v>
      </c>
    </row>
    <row r="317" spans="1:8" ht="28" hidden="1" customHeight="1" outlineLevel="1" x14ac:dyDescent="0.35">
      <c r="A317" s="3" t="s">
        <v>360</v>
      </c>
      <c r="B317" s="3" t="s">
        <v>90</v>
      </c>
      <c r="C317" s="19">
        <v>164332.33222969531</v>
      </c>
      <c r="D317" s="19">
        <v>164332.33222969799</v>
      </c>
      <c r="E317" s="19">
        <v>164332.33222969851</v>
      </c>
      <c r="F317" s="21">
        <v>-2.7135000000000002E-9</v>
      </c>
      <c r="G317" s="21">
        <v>-5.0000211999989998E-10</v>
      </c>
      <c r="H317" s="26" t="s">
        <v>74</v>
      </c>
    </row>
    <row r="318" spans="1:8" ht="28" hidden="1" customHeight="1" outlineLevel="1" x14ac:dyDescent="0.35">
      <c r="A318" s="2" t="s">
        <v>361</v>
      </c>
      <c r="B318" s="2" t="s">
        <v>73</v>
      </c>
      <c r="C318" s="17">
        <v>32</v>
      </c>
      <c r="D318" s="17">
        <v>32</v>
      </c>
      <c r="E318" s="17">
        <v>32</v>
      </c>
      <c r="F318" s="4">
        <v>0</v>
      </c>
      <c r="G318" s="4">
        <v>0</v>
      </c>
      <c r="H318" s="27" t="s">
        <v>74</v>
      </c>
    </row>
    <row r="319" spans="1:8" ht="28" hidden="1" customHeight="1" outlineLevel="1" x14ac:dyDescent="0.35">
      <c r="A319" s="3" t="s">
        <v>362</v>
      </c>
      <c r="B319" s="3" t="s">
        <v>76</v>
      </c>
      <c r="C319" s="19">
        <v>30.7071459</v>
      </c>
      <c r="D319" s="19">
        <v>30.7071459</v>
      </c>
      <c r="E319" s="19">
        <v>30.7071459</v>
      </c>
      <c r="F319" s="21">
        <v>0</v>
      </c>
      <c r="G319" s="21">
        <v>-2.0000000000000002E-15</v>
      </c>
      <c r="H319" s="26" t="s">
        <v>74</v>
      </c>
    </row>
    <row r="320" spans="1:8" ht="28" hidden="1" customHeight="1" outlineLevel="1" x14ac:dyDescent="0.35">
      <c r="A320" s="2" t="s">
        <v>363</v>
      </c>
      <c r="B320" s="2" t="s">
        <v>78</v>
      </c>
      <c r="C320" s="20">
        <v>30.7071459</v>
      </c>
      <c r="D320" s="20">
        <v>30.7071459</v>
      </c>
      <c r="E320" s="20">
        <v>30.7071459</v>
      </c>
      <c r="F320" s="21">
        <v>0</v>
      </c>
      <c r="G320" s="21">
        <v>-2.0000000000000002E-15</v>
      </c>
      <c r="H320" s="27" t="s">
        <v>74</v>
      </c>
    </row>
    <row r="321" spans="1:8" ht="28" hidden="1" customHeight="1" outlineLevel="1" x14ac:dyDescent="0.35">
      <c r="A321" s="3" t="s">
        <v>364</v>
      </c>
      <c r="B321" s="3" t="s">
        <v>80</v>
      </c>
      <c r="C321" s="18">
        <v>173626</v>
      </c>
      <c r="D321" s="18">
        <v>173626</v>
      </c>
      <c r="E321" s="18">
        <v>173626</v>
      </c>
      <c r="F321" s="4">
        <v>0</v>
      </c>
      <c r="G321" s="4">
        <v>0</v>
      </c>
      <c r="H321" s="26" t="s">
        <v>74</v>
      </c>
    </row>
    <row r="322" spans="1:8" ht="28" hidden="1" customHeight="1" outlineLevel="1" x14ac:dyDescent="0.35">
      <c r="A322" s="2" t="s">
        <v>365</v>
      </c>
      <c r="B322" s="2" t="s">
        <v>82</v>
      </c>
      <c r="C322" s="20">
        <v>164301.62508379531</v>
      </c>
      <c r="D322" s="20">
        <v>164301.62508379799</v>
      </c>
      <c r="E322" s="20">
        <v>164301.62508379851</v>
      </c>
      <c r="F322" s="21">
        <v>-2.7000000000000002E-9</v>
      </c>
      <c r="G322" s="21">
        <v>-5.0000012000010003E-10</v>
      </c>
      <c r="H322" s="27" t="s">
        <v>74</v>
      </c>
    </row>
    <row r="323" spans="1:8" ht="28" hidden="1" customHeight="1" outlineLevel="1" x14ac:dyDescent="0.35">
      <c r="A323" s="3" t="s">
        <v>366</v>
      </c>
      <c r="B323" s="3" t="s">
        <v>84</v>
      </c>
      <c r="C323" s="19">
        <v>164301.62508379531</v>
      </c>
      <c r="D323" s="19">
        <v>164301.62508379799</v>
      </c>
      <c r="E323" s="19">
        <v>164301.62508379851</v>
      </c>
      <c r="F323" s="21">
        <v>-2.7000000000000002E-9</v>
      </c>
      <c r="G323" s="21">
        <v>-5.0000012000010003E-10</v>
      </c>
      <c r="H323" s="26" t="s">
        <v>74</v>
      </c>
    </row>
    <row r="324" spans="1:8" ht="28" hidden="1" customHeight="1" outlineLevel="1" x14ac:dyDescent="0.35">
      <c r="A324" s="2" t="s">
        <v>367</v>
      </c>
      <c r="B324" s="2" t="s">
        <v>86</v>
      </c>
      <c r="C324" s="17">
        <v>173658</v>
      </c>
      <c r="D324" s="17">
        <v>173658</v>
      </c>
      <c r="E324" s="17">
        <v>173658</v>
      </c>
      <c r="F324" s="4">
        <v>0</v>
      </c>
      <c r="G324" s="4">
        <v>0</v>
      </c>
      <c r="H324" s="27" t="s">
        <v>74</v>
      </c>
    </row>
    <row r="325" spans="1:8" ht="28" hidden="1" customHeight="1" outlineLevel="1" x14ac:dyDescent="0.35">
      <c r="A325" s="3" t="s">
        <v>368</v>
      </c>
      <c r="B325" s="3" t="s">
        <v>88</v>
      </c>
      <c r="C325" s="19">
        <v>164332.33222969531</v>
      </c>
      <c r="D325" s="19">
        <v>164332.33222969799</v>
      </c>
      <c r="E325" s="19">
        <v>164332.33222969851</v>
      </c>
      <c r="F325" s="21">
        <v>-2.7135000000000002E-9</v>
      </c>
      <c r="G325" s="21">
        <v>-5.0000211999989998E-10</v>
      </c>
      <c r="H325" s="26" t="s">
        <v>74</v>
      </c>
    </row>
    <row r="326" spans="1:8" ht="28" hidden="1" customHeight="1" outlineLevel="1" x14ac:dyDescent="0.35">
      <c r="A326" s="2" t="s">
        <v>369</v>
      </c>
      <c r="B326" s="2" t="s">
        <v>90</v>
      </c>
      <c r="C326" s="20">
        <v>164332.33222969531</v>
      </c>
      <c r="D326" s="20">
        <v>164332.33222969799</v>
      </c>
      <c r="E326" s="20">
        <v>164332.33222969851</v>
      </c>
      <c r="F326" s="21">
        <v>-2.7135000000000002E-9</v>
      </c>
      <c r="G326" s="21">
        <v>-5.0000211999989998E-10</v>
      </c>
      <c r="H326" s="27" t="s">
        <v>74</v>
      </c>
    </row>
    <row r="327" spans="1:8" ht="28" hidden="1" customHeight="1" outlineLevel="1" x14ac:dyDescent="0.35">
      <c r="A327" s="3" t="s">
        <v>370</v>
      </c>
      <c r="B327" s="3" t="s">
        <v>73</v>
      </c>
      <c r="C327" s="18">
        <v>1</v>
      </c>
      <c r="D327" s="18">
        <v>1</v>
      </c>
      <c r="E327" s="18">
        <v>1</v>
      </c>
      <c r="F327" s="4">
        <v>0</v>
      </c>
      <c r="G327" s="4">
        <v>0</v>
      </c>
      <c r="H327" s="26" t="s">
        <v>74</v>
      </c>
    </row>
    <row r="328" spans="1:8" ht="28" hidden="1" customHeight="1" outlineLevel="1" x14ac:dyDescent="0.35">
      <c r="A328" s="2" t="s">
        <v>371</v>
      </c>
      <c r="B328" s="2" t="s">
        <v>76</v>
      </c>
      <c r="C328" s="20">
        <v>0.13635</v>
      </c>
      <c r="D328" s="20">
        <v>0.13635</v>
      </c>
      <c r="E328" s="20">
        <v>0.13635</v>
      </c>
      <c r="F328" s="21">
        <v>0</v>
      </c>
      <c r="G328" s="21">
        <v>0</v>
      </c>
      <c r="H328" s="27" t="s">
        <v>74</v>
      </c>
    </row>
    <row r="329" spans="1:8" ht="28" hidden="1" customHeight="1" outlineLevel="1" x14ac:dyDescent="0.35">
      <c r="A329" s="3" t="s">
        <v>372</v>
      </c>
      <c r="B329" s="3" t="s">
        <v>78</v>
      </c>
      <c r="C329" s="19">
        <v>0.13635</v>
      </c>
      <c r="D329" s="19">
        <v>0.13635</v>
      </c>
      <c r="E329" s="19">
        <v>0.13635</v>
      </c>
      <c r="F329" s="21">
        <v>0</v>
      </c>
      <c r="G329" s="21">
        <v>0</v>
      </c>
      <c r="H329" s="26" t="s">
        <v>74</v>
      </c>
    </row>
    <row r="330" spans="1:8" ht="28" hidden="1" customHeight="1" outlineLevel="1" x14ac:dyDescent="0.35">
      <c r="A330" s="2" t="s">
        <v>373</v>
      </c>
      <c r="B330" s="2" t="s">
        <v>80</v>
      </c>
      <c r="C330" s="17">
        <v>28</v>
      </c>
      <c r="D330" s="17">
        <v>28</v>
      </c>
      <c r="E330" s="17">
        <v>28</v>
      </c>
      <c r="F330" s="4">
        <v>0</v>
      </c>
      <c r="G330" s="4">
        <v>0</v>
      </c>
      <c r="H330" s="27" t="s">
        <v>74</v>
      </c>
    </row>
    <row r="331" spans="1:8" ht="28" hidden="1" customHeight="1" outlineLevel="1" x14ac:dyDescent="0.35">
      <c r="A331" s="3" t="s">
        <v>374</v>
      </c>
      <c r="B331" s="3" t="s">
        <v>82</v>
      </c>
      <c r="C331" s="19">
        <v>20.69928863999986</v>
      </c>
      <c r="D331" s="19">
        <v>20.699288639999999</v>
      </c>
      <c r="E331" s="19">
        <v>20.699288639999999</v>
      </c>
      <c r="F331" s="21">
        <v>-1.3634999999999999E-13</v>
      </c>
      <c r="G331" s="21">
        <v>-1.3030000000100001E-15</v>
      </c>
      <c r="H331" s="26" t="s">
        <v>74</v>
      </c>
    </row>
    <row r="332" spans="1:8" ht="28" hidden="1" customHeight="1" outlineLevel="1" x14ac:dyDescent="0.35">
      <c r="A332" s="2" t="s">
        <v>375</v>
      </c>
      <c r="B332" s="2" t="s">
        <v>84</v>
      </c>
      <c r="C332" s="20">
        <v>20.69928863999986</v>
      </c>
      <c r="D332" s="20">
        <v>20.699288639999999</v>
      </c>
      <c r="E332" s="20">
        <v>20.699288639999999</v>
      </c>
      <c r="F332" s="21">
        <v>-1.3634999999999999E-13</v>
      </c>
      <c r="G332" s="21">
        <v>-1.3030000000100001E-15</v>
      </c>
      <c r="H332" s="27" t="s">
        <v>74</v>
      </c>
    </row>
    <row r="333" spans="1:8" ht="28" hidden="1" customHeight="1" outlineLevel="1" x14ac:dyDescent="0.35">
      <c r="A333" s="3" t="s">
        <v>376</v>
      </c>
      <c r="B333" s="3" t="s">
        <v>86</v>
      </c>
      <c r="C333" s="18">
        <v>29</v>
      </c>
      <c r="D333" s="18">
        <v>29</v>
      </c>
      <c r="E333" s="18">
        <v>29</v>
      </c>
      <c r="F333" s="4">
        <v>0</v>
      </c>
      <c r="G333" s="4">
        <v>0</v>
      </c>
      <c r="H333" s="26" t="s">
        <v>74</v>
      </c>
    </row>
    <row r="334" spans="1:8" ht="28" hidden="1" customHeight="1" outlineLevel="1" x14ac:dyDescent="0.35">
      <c r="A334" s="2" t="s">
        <v>377</v>
      </c>
      <c r="B334" s="2" t="s">
        <v>88</v>
      </c>
      <c r="C334" s="20">
        <v>20.835638639999861</v>
      </c>
      <c r="D334" s="20">
        <v>20.835638639999999</v>
      </c>
      <c r="E334" s="20">
        <v>20.835638639999999</v>
      </c>
      <c r="F334" s="21">
        <v>-1.3634999999999999E-13</v>
      </c>
      <c r="G334" s="21">
        <v>-1.3030000000100001E-15</v>
      </c>
      <c r="H334" s="27" t="s">
        <v>74</v>
      </c>
    </row>
    <row r="335" spans="1:8" ht="28" hidden="1" customHeight="1" outlineLevel="1" x14ac:dyDescent="0.35">
      <c r="A335" s="3" t="s">
        <v>378</v>
      </c>
      <c r="B335" s="3" t="s">
        <v>90</v>
      </c>
      <c r="C335" s="19">
        <v>20.835638639999861</v>
      </c>
      <c r="D335" s="19">
        <v>20.835638639999999</v>
      </c>
      <c r="E335" s="19">
        <v>20.835638639999999</v>
      </c>
      <c r="F335" s="21">
        <v>-1.3634999999999999E-13</v>
      </c>
      <c r="G335" s="21">
        <v>-1.3030000000100001E-15</v>
      </c>
      <c r="H335" s="26" t="s">
        <v>74</v>
      </c>
    </row>
    <row r="336" spans="1:8" ht="28" hidden="1" customHeight="1" outlineLevel="1" x14ac:dyDescent="0.35">
      <c r="A336" s="2" t="s">
        <v>379</v>
      </c>
      <c r="B336" s="2" t="s">
        <v>73</v>
      </c>
      <c r="C336" s="17">
        <v>1</v>
      </c>
      <c r="D336" s="17">
        <v>1</v>
      </c>
      <c r="E336" s="17">
        <v>1</v>
      </c>
      <c r="F336" s="4">
        <v>0</v>
      </c>
      <c r="G336" s="4">
        <v>0</v>
      </c>
      <c r="H336" s="27" t="s">
        <v>74</v>
      </c>
    </row>
    <row r="337" spans="1:8" ht="28" hidden="1" customHeight="1" outlineLevel="1" x14ac:dyDescent="0.35">
      <c r="A337" s="3" t="s">
        <v>380</v>
      </c>
      <c r="B337" s="3" t="s">
        <v>76</v>
      </c>
      <c r="C337" s="19">
        <v>0.13635</v>
      </c>
      <c r="D337" s="19">
        <v>0.13635</v>
      </c>
      <c r="E337" s="19">
        <v>0.13635</v>
      </c>
      <c r="F337" s="21">
        <v>0</v>
      </c>
      <c r="G337" s="21">
        <v>0</v>
      </c>
      <c r="H337" s="26" t="s">
        <v>74</v>
      </c>
    </row>
    <row r="338" spans="1:8" ht="28" hidden="1" customHeight="1" outlineLevel="1" x14ac:dyDescent="0.35">
      <c r="A338" s="2" t="s">
        <v>381</v>
      </c>
      <c r="B338" s="2" t="s">
        <v>78</v>
      </c>
      <c r="C338" s="20">
        <v>0.13635</v>
      </c>
      <c r="D338" s="20">
        <v>0.13635</v>
      </c>
      <c r="E338" s="20">
        <v>0.13635</v>
      </c>
      <c r="F338" s="21">
        <v>0</v>
      </c>
      <c r="G338" s="21">
        <v>0</v>
      </c>
      <c r="H338" s="27" t="s">
        <v>74</v>
      </c>
    </row>
    <row r="339" spans="1:8" ht="28" hidden="1" customHeight="1" outlineLevel="1" x14ac:dyDescent="0.35">
      <c r="A339" s="3" t="s">
        <v>382</v>
      </c>
      <c r="B339" s="3" t="s">
        <v>80</v>
      </c>
      <c r="C339" s="18">
        <v>28</v>
      </c>
      <c r="D339" s="18">
        <v>28</v>
      </c>
      <c r="E339" s="18">
        <v>28</v>
      </c>
      <c r="F339" s="4">
        <v>0</v>
      </c>
      <c r="G339" s="4">
        <v>0</v>
      </c>
      <c r="H339" s="26" t="s">
        <v>74</v>
      </c>
    </row>
    <row r="340" spans="1:8" ht="28" hidden="1" customHeight="1" outlineLevel="1" x14ac:dyDescent="0.35">
      <c r="A340" s="2" t="s">
        <v>383</v>
      </c>
      <c r="B340" s="2" t="s">
        <v>82</v>
      </c>
      <c r="C340" s="20">
        <v>20.69928863999986</v>
      </c>
      <c r="D340" s="20">
        <v>20.699288639999999</v>
      </c>
      <c r="E340" s="20">
        <v>20.699288639999999</v>
      </c>
      <c r="F340" s="21">
        <v>-1.3634999999999999E-13</v>
      </c>
      <c r="G340" s="21">
        <v>-1.3030000000100001E-15</v>
      </c>
      <c r="H340" s="27" t="s">
        <v>74</v>
      </c>
    </row>
    <row r="341" spans="1:8" ht="28" hidden="1" customHeight="1" outlineLevel="1" x14ac:dyDescent="0.35">
      <c r="A341" s="3" t="s">
        <v>384</v>
      </c>
      <c r="B341" s="3" t="s">
        <v>84</v>
      </c>
      <c r="C341" s="19">
        <v>20.69928863999986</v>
      </c>
      <c r="D341" s="19">
        <v>20.699288639999999</v>
      </c>
      <c r="E341" s="19">
        <v>20.699288639999999</v>
      </c>
      <c r="F341" s="21">
        <v>-1.3634999999999999E-13</v>
      </c>
      <c r="G341" s="21">
        <v>-1.3030000000100001E-15</v>
      </c>
      <c r="H341" s="26" t="s">
        <v>74</v>
      </c>
    </row>
    <row r="342" spans="1:8" ht="28" hidden="1" customHeight="1" outlineLevel="1" x14ac:dyDescent="0.35">
      <c r="A342" s="2" t="s">
        <v>385</v>
      </c>
      <c r="B342" s="2" t="s">
        <v>86</v>
      </c>
      <c r="C342" s="17">
        <v>29</v>
      </c>
      <c r="D342" s="17">
        <v>29</v>
      </c>
      <c r="E342" s="17">
        <v>29</v>
      </c>
      <c r="F342" s="4">
        <v>0</v>
      </c>
      <c r="G342" s="4">
        <v>0</v>
      </c>
      <c r="H342" s="27" t="s">
        <v>74</v>
      </c>
    </row>
    <row r="343" spans="1:8" ht="28" hidden="1" customHeight="1" outlineLevel="1" x14ac:dyDescent="0.35">
      <c r="A343" s="3" t="s">
        <v>386</v>
      </c>
      <c r="B343" s="3" t="s">
        <v>88</v>
      </c>
      <c r="C343" s="19">
        <v>20.835638639999861</v>
      </c>
      <c r="D343" s="19">
        <v>20.835638639999999</v>
      </c>
      <c r="E343" s="19">
        <v>20.835638639999999</v>
      </c>
      <c r="F343" s="21">
        <v>-1.3634999999999999E-13</v>
      </c>
      <c r="G343" s="21">
        <v>-1.3030000000100001E-15</v>
      </c>
      <c r="H343" s="26" t="s">
        <v>74</v>
      </c>
    </row>
    <row r="344" spans="1:8" ht="28" hidden="1" customHeight="1" outlineLevel="1" x14ac:dyDescent="0.35">
      <c r="A344" s="2" t="s">
        <v>387</v>
      </c>
      <c r="B344" s="2" t="s">
        <v>90</v>
      </c>
      <c r="C344" s="20">
        <v>20.835638639999861</v>
      </c>
      <c r="D344" s="20">
        <v>20.835638639999999</v>
      </c>
      <c r="E344" s="20">
        <v>20.835638639999999</v>
      </c>
      <c r="F344" s="21">
        <v>-1.3634999999999999E-13</v>
      </c>
      <c r="G344" s="21">
        <v>-1.3030000000100001E-15</v>
      </c>
      <c r="H344" s="27" t="s">
        <v>74</v>
      </c>
    </row>
    <row r="345" spans="1:8" ht="28" hidden="1" customHeight="1" outlineLevel="1" x14ac:dyDescent="0.35">
      <c r="A345" s="3" t="s">
        <v>388</v>
      </c>
      <c r="B345" s="3" t="s">
        <v>73</v>
      </c>
      <c r="C345" s="18">
        <v>1</v>
      </c>
      <c r="D345" s="18">
        <v>1</v>
      </c>
      <c r="E345" s="18">
        <v>1</v>
      </c>
      <c r="F345" s="4">
        <v>0</v>
      </c>
      <c r="G345" s="4">
        <v>0</v>
      </c>
      <c r="H345" s="26" t="s">
        <v>74</v>
      </c>
    </row>
    <row r="346" spans="1:8" ht="28" hidden="1" customHeight="1" outlineLevel="1" x14ac:dyDescent="0.35">
      <c r="A346" s="2" t="s">
        <v>389</v>
      </c>
      <c r="B346" s="2" t="s">
        <v>76</v>
      </c>
      <c r="C346" s="20">
        <v>0.13635</v>
      </c>
      <c r="D346" s="20">
        <v>0.13635</v>
      </c>
      <c r="E346" s="20">
        <v>0.13635</v>
      </c>
      <c r="F346" s="21">
        <v>0</v>
      </c>
      <c r="G346" s="21">
        <v>0</v>
      </c>
      <c r="H346" s="27" t="s">
        <v>74</v>
      </c>
    </row>
    <row r="347" spans="1:8" ht="28" hidden="1" customHeight="1" outlineLevel="1" x14ac:dyDescent="0.35">
      <c r="A347" s="3" t="s">
        <v>390</v>
      </c>
      <c r="B347" s="3" t="s">
        <v>78</v>
      </c>
      <c r="C347" s="19">
        <v>0.13635</v>
      </c>
      <c r="D347" s="19">
        <v>0.13635</v>
      </c>
      <c r="E347" s="19">
        <v>0.13635</v>
      </c>
      <c r="F347" s="21">
        <v>0</v>
      </c>
      <c r="G347" s="21">
        <v>0</v>
      </c>
      <c r="H347" s="26" t="s">
        <v>74</v>
      </c>
    </row>
    <row r="348" spans="1:8" ht="28" hidden="1" customHeight="1" outlineLevel="1" x14ac:dyDescent="0.35">
      <c r="A348" s="2" t="s">
        <v>391</v>
      </c>
      <c r="B348" s="2" t="s">
        <v>80</v>
      </c>
      <c r="C348" s="17">
        <v>28</v>
      </c>
      <c r="D348" s="17">
        <v>28</v>
      </c>
      <c r="E348" s="17">
        <v>28</v>
      </c>
      <c r="F348" s="4">
        <v>0</v>
      </c>
      <c r="G348" s="4">
        <v>0</v>
      </c>
      <c r="H348" s="27" t="s">
        <v>74</v>
      </c>
    </row>
    <row r="349" spans="1:8" ht="28" hidden="1" customHeight="1" outlineLevel="1" x14ac:dyDescent="0.35">
      <c r="A349" s="3" t="s">
        <v>392</v>
      </c>
      <c r="B349" s="3" t="s">
        <v>82</v>
      </c>
      <c r="C349" s="19">
        <v>20.69928863999986</v>
      </c>
      <c r="D349" s="19">
        <v>20.699288639999999</v>
      </c>
      <c r="E349" s="19">
        <v>20.699288639999999</v>
      </c>
      <c r="F349" s="21">
        <v>-1.3634999999999999E-13</v>
      </c>
      <c r="G349" s="21">
        <v>-1.3030000000100001E-15</v>
      </c>
      <c r="H349" s="26" t="s">
        <v>74</v>
      </c>
    </row>
    <row r="350" spans="1:8" ht="28" hidden="1" customHeight="1" outlineLevel="1" x14ac:dyDescent="0.35">
      <c r="A350" s="2" t="s">
        <v>393</v>
      </c>
      <c r="B350" s="2" t="s">
        <v>84</v>
      </c>
      <c r="C350" s="20">
        <v>20.69928863999986</v>
      </c>
      <c r="D350" s="20">
        <v>20.699288639999999</v>
      </c>
      <c r="E350" s="20">
        <v>20.699288639999999</v>
      </c>
      <c r="F350" s="21">
        <v>-1.3634999999999999E-13</v>
      </c>
      <c r="G350" s="21">
        <v>-1.3030000000100001E-15</v>
      </c>
      <c r="H350" s="27" t="s">
        <v>74</v>
      </c>
    </row>
    <row r="351" spans="1:8" ht="28" hidden="1" customHeight="1" outlineLevel="1" x14ac:dyDescent="0.35">
      <c r="A351" s="3" t="s">
        <v>394</v>
      </c>
      <c r="B351" s="3" t="s">
        <v>86</v>
      </c>
      <c r="C351" s="18">
        <v>29</v>
      </c>
      <c r="D351" s="18">
        <v>29</v>
      </c>
      <c r="E351" s="18">
        <v>29</v>
      </c>
      <c r="F351" s="4">
        <v>0</v>
      </c>
      <c r="G351" s="4">
        <v>0</v>
      </c>
      <c r="H351" s="26" t="s">
        <v>74</v>
      </c>
    </row>
    <row r="352" spans="1:8" ht="28" hidden="1" customHeight="1" outlineLevel="1" x14ac:dyDescent="0.35">
      <c r="A352" s="2" t="s">
        <v>395</v>
      </c>
      <c r="B352" s="2" t="s">
        <v>88</v>
      </c>
      <c r="C352" s="20">
        <v>20.835638639999861</v>
      </c>
      <c r="D352" s="20">
        <v>20.835638639999999</v>
      </c>
      <c r="E352" s="20">
        <v>20.835638639999999</v>
      </c>
      <c r="F352" s="21">
        <v>-1.3634999999999999E-13</v>
      </c>
      <c r="G352" s="21">
        <v>-1.3030000000100001E-15</v>
      </c>
      <c r="H352" s="27" t="s">
        <v>74</v>
      </c>
    </row>
    <row r="353" spans="1:8" ht="28" hidden="1" customHeight="1" outlineLevel="1" x14ac:dyDescent="0.35">
      <c r="A353" s="3" t="s">
        <v>396</v>
      </c>
      <c r="B353" s="3" t="s">
        <v>90</v>
      </c>
      <c r="C353" s="19">
        <v>20.835638639999861</v>
      </c>
      <c r="D353" s="19">
        <v>20.835638639999999</v>
      </c>
      <c r="E353" s="19">
        <v>20.835638639999999</v>
      </c>
      <c r="F353" s="21">
        <v>-1.3634999999999999E-13</v>
      </c>
      <c r="G353" s="21">
        <v>-1.3030000000100001E-15</v>
      </c>
      <c r="H353" s="26" t="s">
        <v>74</v>
      </c>
    </row>
    <row r="354" spans="1:8" ht="28" hidden="1" customHeight="1" outlineLevel="1" x14ac:dyDescent="0.35">
      <c r="A354" s="2" t="s">
        <v>397</v>
      </c>
      <c r="B354" s="2" t="s">
        <v>73</v>
      </c>
      <c r="C354" s="17">
        <v>1</v>
      </c>
      <c r="D354" s="17">
        <v>1</v>
      </c>
      <c r="E354" s="17">
        <v>1</v>
      </c>
      <c r="F354" s="4">
        <v>0</v>
      </c>
      <c r="G354" s="4">
        <v>0</v>
      </c>
      <c r="H354" s="27" t="s">
        <v>74</v>
      </c>
    </row>
    <row r="355" spans="1:8" ht="28" hidden="1" customHeight="1" outlineLevel="1" x14ac:dyDescent="0.35">
      <c r="A355" s="3" t="s">
        <v>398</v>
      </c>
      <c r="B355" s="3" t="s">
        <v>76</v>
      </c>
      <c r="C355" s="19">
        <v>0.13635</v>
      </c>
      <c r="D355" s="19">
        <v>0.13635</v>
      </c>
      <c r="E355" s="19">
        <v>0.13635</v>
      </c>
      <c r="F355" s="21">
        <v>0</v>
      </c>
      <c r="G355" s="21">
        <v>0</v>
      </c>
      <c r="H355" s="26" t="s">
        <v>74</v>
      </c>
    </row>
    <row r="356" spans="1:8" ht="28" hidden="1" customHeight="1" outlineLevel="1" x14ac:dyDescent="0.35">
      <c r="A356" s="2" t="s">
        <v>399</v>
      </c>
      <c r="B356" s="2" t="s">
        <v>78</v>
      </c>
      <c r="C356" s="20">
        <v>0.13635</v>
      </c>
      <c r="D356" s="20">
        <v>0.13635</v>
      </c>
      <c r="E356" s="20">
        <v>0.13635</v>
      </c>
      <c r="F356" s="21">
        <v>0</v>
      </c>
      <c r="G356" s="21">
        <v>0</v>
      </c>
      <c r="H356" s="27" t="s">
        <v>74</v>
      </c>
    </row>
    <row r="357" spans="1:8" ht="28" hidden="1" customHeight="1" outlineLevel="1" x14ac:dyDescent="0.35">
      <c r="A357" s="3" t="s">
        <v>400</v>
      </c>
      <c r="B357" s="3" t="s">
        <v>80</v>
      </c>
      <c r="C357" s="18">
        <v>28</v>
      </c>
      <c r="D357" s="18">
        <v>28</v>
      </c>
      <c r="E357" s="18">
        <v>28</v>
      </c>
      <c r="F357" s="4">
        <v>0</v>
      </c>
      <c r="G357" s="4">
        <v>0</v>
      </c>
      <c r="H357" s="26" t="s">
        <v>74</v>
      </c>
    </row>
    <row r="358" spans="1:8" ht="28" hidden="1" customHeight="1" outlineLevel="1" x14ac:dyDescent="0.35">
      <c r="A358" s="2" t="s">
        <v>401</v>
      </c>
      <c r="B358" s="2" t="s">
        <v>82</v>
      </c>
      <c r="C358" s="20">
        <v>20.69928863999986</v>
      </c>
      <c r="D358" s="20">
        <v>20.699288639999999</v>
      </c>
      <c r="E358" s="20">
        <v>20.699288639999999</v>
      </c>
      <c r="F358" s="21">
        <v>-1.3634999999999999E-13</v>
      </c>
      <c r="G358" s="21">
        <v>-1.3030000000100001E-15</v>
      </c>
      <c r="H358" s="27" t="s">
        <v>74</v>
      </c>
    </row>
    <row r="359" spans="1:8" ht="28" hidden="1" customHeight="1" outlineLevel="1" x14ac:dyDescent="0.35">
      <c r="A359" s="3" t="s">
        <v>402</v>
      </c>
      <c r="B359" s="3" t="s">
        <v>84</v>
      </c>
      <c r="C359" s="19">
        <v>20.69928863999986</v>
      </c>
      <c r="D359" s="19">
        <v>20.699288639999999</v>
      </c>
      <c r="E359" s="19">
        <v>20.699288639999999</v>
      </c>
      <c r="F359" s="21">
        <v>-1.3634999999999999E-13</v>
      </c>
      <c r="G359" s="21">
        <v>-1.3030000000100001E-15</v>
      </c>
      <c r="H359" s="26" t="s">
        <v>74</v>
      </c>
    </row>
    <row r="360" spans="1:8" ht="28" hidden="1" customHeight="1" outlineLevel="1" x14ac:dyDescent="0.35">
      <c r="A360" s="2" t="s">
        <v>403</v>
      </c>
      <c r="B360" s="2" t="s">
        <v>86</v>
      </c>
      <c r="C360" s="17">
        <v>29</v>
      </c>
      <c r="D360" s="17">
        <v>29</v>
      </c>
      <c r="E360" s="17">
        <v>29</v>
      </c>
      <c r="F360" s="4">
        <v>0</v>
      </c>
      <c r="G360" s="4">
        <v>0</v>
      </c>
      <c r="H360" s="27" t="s">
        <v>74</v>
      </c>
    </row>
    <row r="361" spans="1:8" ht="28" hidden="1" customHeight="1" outlineLevel="1" x14ac:dyDescent="0.35">
      <c r="A361" s="3" t="s">
        <v>404</v>
      </c>
      <c r="B361" s="3" t="s">
        <v>88</v>
      </c>
      <c r="C361" s="19">
        <v>20.835638639999861</v>
      </c>
      <c r="D361" s="19">
        <v>20.835638639999999</v>
      </c>
      <c r="E361" s="19">
        <v>20.835638639999999</v>
      </c>
      <c r="F361" s="21">
        <v>-1.3634999999999999E-13</v>
      </c>
      <c r="G361" s="21">
        <v>-1.3030000000100001E-15</v>
      </c>
      <c r="H361" s="26" t="s">
        <v>74</v>
      </c>
    </row>
    <row r="362" spans="1:8" ht="28" hidden="1" customHeight="1" outlineLevel="1" x14ac:dyDescent="0.35">
      <c r="A362" s="2" t="s">
        <v>405</v>
      </c>
      <c r="B362" s="2" t="s">
        <v>90</v>
      </c>
      <c r="C362" s="20">
        <v>20.835638639999861</v>
      </c>
      <c r="D362" s="20">
        <v>20.835638639999999</v>
      </c>
      <c r="E362" s="20">
        <v>20.835638639999999</v>
      </c>
      <c r="F362" s="21">
        <v>-1.3634999999999999E-13</v>
      </c>
      <c r="G362" s="21">
        <v>-1.3030000000100001E-15</v>
      </c>
      <c r="H362" s="27" t="s">
        <v>74</v>
      </c>
    </row>
    <row r="363" spans="1:8" ht="28" hidden="1" customHeight="1" outlineLevel="1" x14ac:dyDescent="0.35">
      <c r="A363" s="3" t="s">
        <v>406</v>
      </c>
      <c r="B363" s="3" t="s">
        <v>73</v>
      </c>
      <c r="C363" s="18">
        <v>227</v>
      </c>
      <c r="D363" s="18">
        <v>227</v>
      </c>
      <c r="E363" s="18">
        <v>227</v>
      </c>
      <c r="F363" s="4">
        <v>0</v>
      </c>
      <c r="G363" s="4">
        <v>0</v>
      </c>
      <c r="H363" s="26" t="s">
        <v>74</v>
      </c>
    </row>
    <row r="364" spans="1:8" ht="28" hidden="1" customHeight="1" outlineLevel="1" x14ac:dyDescent="0.35">
      <c r="A364" s="2" t="s">
        <v>407</v>
      </c>
      <c r="B364" s="2" t="s">
        <v>76</v>
      </c>
      <c r="C364" s="20">
        <v>1223.7851987241861</v>
      </c>
      <c r="D364" s="20">
        <v>1223.785198724187</v>
      </c>
      <c r="E364" s="20">
        <v>1223.785198724187</v>
      </c>
      <c r="F364" s="21">
        <v>-1.2015000000000001E-12</v>
      </c>
      <c r="G364" s="21">
        <v>-1.1999999999999999E-13</v>
      </c>
      <c r="H364" s="27" t="s">
        <v>74</v>
      </c>
    </row>
    <row r="365" spans="1:8" ht="28" hidden="1" customHeight="1" outlineLevel="1" x14ac:dyDescent="0.35">
      <c r="A365" s="3" t="s">
        <v>408</v>
      </c>
      <c r="B365" s="3" t="s">
        <v>78</v>
      </c>
      <c r="C365" s="19">
        <v>899.82807173966796</v>
      </c>
      <c r="D365" s="19">
        <v>899.8280717396683</v>
      </c>
      <c r="E365" s="19">
        <v>899.82807173966864</v>
      </c>
      <c r="F365" s="21">
        <v>-3.1049999999999999E-13</v>
      </c>
      <c r="G365" s="21">
        <v>-2.9500000000000001E-13</v>
      </c>
      <c r="H365" s="26" t="s">
        <v>74</v>
      </c>
    </row>
    <row r="366" spans="1:8" ht="28" hidden="1" customHeight="1" outlineLevel="1" x14ac:dyDescent="0.35">
      <c r="A366" s="2" t="s">
        <v>409</v>
      </c>
      <c r="B366" s="2" t="s">
        <v>80</v>
      </c>
      <c r="C366" s="17">
        <v>1688</v>
      </c>
      <c r="D366" s="17">
        <v>1688</v>
      </c>
      <c r="E366" s="17">
        <v>1688</v>
      </c>
      <c r="F366" s="4">
        <v>0</v>
      </c>
      <c r="G366" s="4">
        <v>0</v>
      </c>
      <c r="H366" s="27" t="s">
        <v>74</v>
      </c>
    </row>
    <row r="367" spans="1:8" ht="28" hidden="1" customHeight="1" outlineLevel="1" x14ac:dyDescent="0.35">
      <c r="A367" s="3" t="s">
        <v>410</v>
      </c>
      <c r="B367" s="3" t="s">
        <v>82</v>
      </c>
      <c r="C367" s="19">
        <v>8695.3630404570886</v>
      </c>
      <c r="D367" s="19">
        <v>8695.3630404571104</v>
      </c>
      <c r="E367" s="19">
        <v>8695.3630404571104</v>
      </c>
      <c r="F367" s="21">
        <v>-2.1688546499999999E-11</v>
      </c>
      <c r="G367" s="21">
        <v>-8.780035E-13</v>
      </c>
      <c r="H367" s="26" t="s">
        <v>74</v>
      </c>
    </row>
    <row r="368" spans="1:8" ht="28" hidden="1" customHeight="1" outlineLevel="1" x14ac:dyDescent="0.35">
      <c r="A368" s="2" t="s">
        <v>411</v>
      </c>
      <c r="B368" s="2" t="s">
        <v>84</v>
      </c>
      <c r="C368" s="20">
        <v>6973.0651777285693</v>
      </c>
      <c r="D368" s="20">
        <v>6973.0651777285802</v>
      </c>
      <c r="E368" s="20">
        <v>6973.0651777285811</v>
      </c>
      <c r="F368" s="21">
        <v>-1.09803465E-11</v>
      </c>
      <c r="G368" s="21">
        <v>-5.7220349999899998E-13</v>
      </c>
      <c r="H368" s="27" t="s">
        <v>74</v>
      </c>
    </row>
    <row r="369" spans="1:8" ht="28" hidden="1" customHeight="1" outlineLevel="1" x14ac:dyDescent="0.35">
      <c r="A369" s="3" t="s">
        <v>412</v>
      </c>
      <c r="B369" s="3" t="s">
        <v>86</v>
      </c>
      <c r="C369" s="18">
        <v>1915</v>
      </c>
      <c r="D369" s="18">
        <v>1915</v>
      </c>
      <c r="E369" s="18">
        <v>1915</v>
      </c>
      <c r="F369" s="4">
        <v>0</v>
      </c>
      <c r="G369" s="4">
        <v>0</v>
      </c>
      <c r="H369" s="26" t="s">
        <v>74</v>
      </c>
    </row>
    <row r="370" spans="1:8" ht="28" hidden="1" customHeight="1" outlineLevel="1" x14ac:dyDescent="0.35">
      <c r="A370" s="2" t="s">
        <v>413</v>
      </c>
      <c r="B370" s="2" t="s">
        <v>88</v>
      </c>
      <c r="C370" s="20">
        <v>9919.1482391812733</v>
      </c>
      <c r="D370" s="20">
        <v>9919.148239181297</v>
      </c>
      <c r="E370" s="20">
        <v>9919.148239181297</v>
      </c>
      <c r="F370" s="21">
        <v>-2.3443546500000001E-11</v>
      </c>
      <c r="G370" s="21">
        <v>-9.9800349999999999E-13</v>
      </c>
      <c r="H370" s="27" t="s">
        <v>74</v>
      </c>
    </row>
    <row r="371" spans="1:8" ht="28" hidden="1" customHeight="1" outlineLevel="1" x14ac:dyDescent="0.35">
      <c r="A371" s="3" t="s">
        <v>414</v>
      </c>
      <c r="B371" s="3" t="s">
        <v>90</v>
      </c>
      <c r="C371" s="19">
        <v>7872.8932494682376</v>
      </c>
      <c r="D371" s="19">
        <v>7872.8932494682495</v>
      </c>
      <c r="E371" s="19">
        <v>7872.8932494682495</v>
      </c>
      <c r="F371" s="21">
        <v>-1.09803465E-11</v>
      </c>
      <c r="G371" s="21">
        <v>-8.6720349999999998E-13</v>
      </c>
      <c r="H371" s="26" t="s">
        <v>74</v>
      </c>
    </row>
    <row r="372" spans="1:8" ht="28" hidden="1" customHeight="1" outlineLevel="1" x14ac:dyDescent="0.35">
      <c r="A372" s="2" t="s">
        <v>415</v>
      </c>
      <c r="B372" s="2" t="s">
        <v>73</v>
      </c>
      <c r="C372" s="17">
        <v>20</v>
      </c>
      <c r="D372" s="17">
        <v>20</v>
      </c>
      <c r="E372" s="17">
        <v>20</v>
      </c>
      <c r="F372" s="4">
        <v>0</v>
      </c>
      <c r="G372" s="4">
        <v>0</v>
      </c>
      <c r="H372" s="27" t="s">
        <v>74</v>
      </c>
    </row>
    <row r="373" spans="1:8" ht="28" hidden="1" customHeight="1" outlineLevel="1" x14ac:dyDescent="0.35">
      <c r="A373" s="3" t="s">
        <v>416</v>
      </c>
      <c r="B373" s="3" t="s">
        <v>76</v>
      </c>
      <c r="C373" s="19">
        <v>236.64500833640579</v>
      </c>
      <c r="D373" s="19">
        <v>236.64500833640599</v>
      </c>
      <c r="E373" s="19">
        <v>236.64500833640599</v>
      </c>
      <c r="F373" s="21">
        <v>-2.025E-13</v>
      </c>
      <c r="G373" s="21">
        <v>2.5000000000999999E-15</v>
      </c>
      <c r="H373" s="26" t="s">
        <v>74</v>
      </c>
    </row>
    <row r="374" spans="1:8" ht="28" hidden="1" customHeight="1" outlineLevel="1" x14ac:dyDescent="0.35">
      <c r="A374" s="2" t="s">
        <v>417</v>
      </c>
      <c r="B374" s="2" t="s">
        <v>78</v>
      </c>
      <c r="C374" s="20">
        <v>117.81985081837681</v>
      </c>
      <c r="D374" s="20">
        <v>117.81985081837681</v>
      </c>
      <c r="E374" s="20">
        <v>117.81985081837681</v>
      </c>
      <c r="F374" s="21">
        <v>-3.9150000000000002E-14</v>
      </c>
      <c r="G374" s="21">
        <v>-9.5000000000000005E-15</v>
      </c>
      <c r="H374" s="27" t="s">
        <v>74</v>
      </c>
    </row>
    <row r="375" spans="1:8" ht="28" hidden="1" customHeight="1" outlineLevel="1" x14ac:dyDescent="0.35">
      <c r="A375" s="3" t="s">
        <v>418</v>
      </c>
      <c r="B375" s="3" t="s">
        <v>80</v>
      </c>
      <c r="C375" s="18">
        <v>35</v>
      </c>
      <c r="D375" s="18">
        <v>35</v>
      </c>
      <c r="E375" s="18">
        <v>35</v>
      </c>
      <c r="F375" s="4">
        <v>0</v>
      </c>
      <c r="G375" s="4">
        <v>0</v>
      </c>
      <c r="H375" s="26" t="s">
        <v>74</v>
      </c>
    </row>
    <row r="376" spans="1:8" ht="28" hidden="1" customHeight="1" outlineLevel="1" x14ac:dyDescent="0.35">
      <c r="A376" s="2" t="s">
        <v>419</v>
      </c>
      <c r="B376" s="2" t="s">
        <v>82</v>
      </c>
      <c r="C376" s="20">
        <v>707.04185306304771</v>
      </c>
      <c r="D376" s="20">
        <v>707.04185306304896</v>
      </c>
      <c r="E376" s="20">
        <v>707.04185306304907</v>
      </c>
      <c r="F376" s="21">
        <v>-1.32489E-12</v>
      </c>
      <c r="G376" s="21">
        <v>-5.8833999999899997E-14</v>
      </c>
      <c r="H376" s="27" t="s">
        <v>74</v>
      </c>
    </row>
    <row r="377" spans="1:8" ht="28" hidden="1" customHeight="1" outlineLevel="1" x14ac:dyDescent="0.35">
      <c r="A377" s="3" t="s">
        <v>420</v>
      </c>
      <c r="B377" s="3" t="s">
        <v>84</v>
      </c>
      <c r="C377" s="19">
        <v>431.57905306599281</v>
      </c>
      <c r="D377" s="19">
        <v>431.57905306599389</v>
      </c>
      <c r="E377" s="19">
        <v>431.57905306599389</v>
      </c>
      <c r="F377" s="21">
        <v>-1.0872899999999999E-12</v>
      </c>
      <c r="G377" s="21">
        <v>-3.1433999999900002E-14</v>
      </c>
      <c r="H377" s="26" t="s">
        <v>74</v>
      </c>
    </row>
    <row r="378" spans="1:8" ht="28" hidden="1" customHeight="1" outlineLevel="1" x14ac:dyDescent="0.35">
      <c r="A378" s="2" t="s">
        <v>421</v>
      </c>
      <c r="B378" s="2" t="s">
        <v>86</v>
      </c>
      <c r="C378" s="17">
        <v>55</v>
      </c>
      <c r="D378" s="17">
        <v>55</v>
      </c>
      <c r="E378" s="17">
        <v>55</v>
      </c>
      <c r="F378" s="4">
        <v>0</v>
      </c>
      <c r="G378" s="4">
        <v>0</v>
      </c>
      <c r="H378" s="27" t="s">
        <v>74</v>
      </c>
    </row>
    <row r="379" spans="1:8" ht="28" hidden="1" customHeight="1" outlineLevel="1" x14ac:dyDescent="0.35">
      <c r="A379" s="3" t="s">
        <v>422</v>
      </c>
      <c r="B379" s="3" t="s">
        <v>88</v>
      </c>
      <c r="C379" s="19">
        <v>943.68686139945351</v>
      </c>
      <c r="D379" s="19">
        <v>943.68686139945498</v>
      </c>
      <c r="E379" s="19">
        <v>943.6868613994551</v>
      </c>
      <c r="F379" s="21">
        <v>-1.52739E-12</v>
      </c>
      <c r="G379" s="21">
        <v>-5.6333999999999998E-14</v>
      </c>
      <c r="H379" s="26" t="s">
        <v>74</v>
      </c>
    </row>
    <row r="380" spans="1:8" ht="28" hidden="1" customHeight="1" outlineLevel="1" x14ac:dyDescent="0.35">
      <c r="A380" s="2" t="s">
        <v>423</v>
      </c>
      <c r="B380" s="2" t="s">
        <v>90</v>
      </c>
      <c r="C380" s="20">
        <v>549.3989038843697</v>
      </c>
      <c r="D380" s="20">
        <v>549.39890388437072</v>
      </c>
      <c r="E380" s="20">
        <v>549.39890388437084</v>
      </c>
      <c r="F380" s="21">
        <v>-1.1142900000000001E-12</v>
      </c>
      <c r="G380" s="21">
        <v>-4.0934000000000001E-14</v>
      </c>
      <c r="H380" s="27" t="s">
        <v>74</v>
      </c>
    </row>
    <row r="381" spans="1:8" ht="28" hidden="1" customHeight="1" outlineLevel="1" x14ac:dyDescent="0.35">
      <c r="A381" s="3" t="s">
        <v>424</v>
      </c>
      <c r="B381" s="3" t="s">
        <v>73</v>
      </c>
      <c r="C381" s="18">
        <v>247</v>
      </c>
      <c r="D381" s="18">
        <v>247</v>
      </c>
      <c r="E381" s="18">
        <v>247</v>
      </c>
      <c r="F381" s="4">
        <v>0</v>
      </c>
      <c r="G381" s="4">
        <v>0</v>
      </c>
      <c r="H381" s="26" t="s">
        <v>74</v>
      </c>
    </row>
    <row r="382" spans="1:8" ht="28" hidden="1" customHeight="1" outlineLevel="1" x14ac:dyDescent="0.35">
      <c r="A382" s="2" t="s">
        <v>425</v>
      </c>
      <c r="B382" s="2" t="s">
        <v>76</v>
      </c>
      <c r="C382" s="20">
        <v>1460.430207060592</v>
      </c>
      <c r="D382" s="20">
        <v>1460.4302070605929</v>
      </c>
      <c r="E382" s="20">
        <v>1460.4302070605929</v>
      </c>
      <c r="F382" s="21">
        <v>-1.4175E-12</v>
      </c>
      <c r="G382" s="21">
        <v>-1.175E-13</v>
      </c>
      <c r="H382" s="27" t="s">
        <v>74</v>
      </c>
    </row>
    <row r="383" spans="1:8" ht="28" hidden="1" customHeight="1" outlineLevel="1" x14ac:dyDescent="0.35">
      <c r="A383" s="3" t="s">
        <v>426</v>
      </c>
      <c r="B383" s="3" t="s">
        <v>78</v>
      </c>
      <c r="C383" s="19">
        <v>1017.647922558045</v>
      </c>
      <c r="D383" s="19">
        <v>1017.647922558045</v>
      </c>
      <c r="E383" s="19">
        <v>1017.647922558045</v>
      </c>
      <c r="F383" s="21">
        <v>-3.5100000000000002E-13</v>
      </c>
      <c r="G383" s="21">
        <v>-3.0450000000000002E-13</v>
      </c>
      <c r="H383" s="26" t="s">
        <v>74</v>
      </c>
    </row>
    <row r="384" spans="1:8" ht="28" hidden="1" customHeight="1" outlineLevel="1" x14ac:dyDescent="0.35">
      <c r="A384" s="2" t="s">
        <v>427</v>
      </c>
      <c r="B384" s="2" t="s">
        <v>80</v>
      </c>
      <c r="C384" s="17">
        <v>1723</v>
      </c>
      <c r="D384" s="17">
        <v>1723</v>
      </c>
      <c r="E384" s="17">
        <v>1723</v>
      </c>
      <c r="F384" s="4">
        <v>0</v>
      </c>
      <c r="G384" s="4">
        <v>0</v>
      </c>
      <c r="H384" s="27" t="s">
        <v>74</v>
      </c>
    </row>
    <row r="385" spans="1:8" ht="28" hidden="1" customHeight="1" outlineLevel="1" x14ac:dyDescent="0.35">
      <c r="A385" s="3" t="s">
        <v>428</v>
      </c>
      <c r="B385" s="3" t="s">
        <v>82</v>
      </c>
      <c r="C385" s="19">
        <v>9402.4048935201354</v>
      </c>
      <c r="D385" s="19">
        <v>9402.404893520159</v>
      </c>
      <c r="E385" s="19">
        <v>9402.404893520159</v>
      </c>
      <c r="F385" s="21">
        <v>-2.3296936499999999E-11</v>
      </c>
      <c r="G385" s="21">
        <v>-9.3683750000000005E-13</v>
      </c>
      <c r="H385" s="26" t="s">
        <v>74</v>
      </c>
    </row>
    <row r="386" spans="1:8" ht="28" hidden="1" customHeight="1" outlineLevel="1" x14ac:dyDescent="0.35">
      <c r="A386" s="2" t="s">
        <v>429</v>
      </c>
      <c r="B386" s="2" t="s">
        <v>84</v>
      </c>
      <c r="C386" s="20">
        <v>7404.6442307945626</v>
      </c>
      <c r="D386" s="20">
        <v>7404.6442307945736</v>
      </c>
      <c r="E386" s="20">
        <v>7404.6442307945754</v>
      </c>
      <c r="F386" s="21">
        <v>-1.19191365E-11</v>
      </c>
      <c r="G386" s="21">
        <v>-6.0363750000000001E-13</v>
      </c>
      <c r="H386" s="27" t="s">
        <v>74</v>
      </c>
    </row>
    <row r="387" spans="1:8" ht="28" hidden="1" customHeight="1" outlineLevel="1" x14ac:dyDescent="0.35">
      <c r="A387" s="3" t="s">
        <v>430</v>
      </c>
      <c r="B387" s="3" t="s">
        <v>86</v>
      </c>
      <c r="C387" s="18">
        <v>1970</v>
      </c>
      <c r="D387" s="18">
        <v>1970</v>
      </c>
      <c r="E387" s="18">
        <v>1970</v>
      </c>
      <c r="F387" s="4">
        <v>0</v>
      </c>
      <c r="G387" s="4">
        <v>0</v>
      </c>
      <c r="H387" s="26" t="s">
        <v>74</v>
      </c>
    </row>
    <row r="388" spans="1:8" ht="28" hidden="1" customHeight="1" outlineLevel="1" x14ac:dyDescent="0.35">
      <c r="A388" s="2" t="s">
        <v>431</v>
      </c>
      <c r="B388" s="2" t="s">
        <v>88</v>
      </c>
      <c r="C388" s="20">
        <v>10862.835100580731</v>
      </c>
      <c r="D388" s="20">
        <v>10862.835100580751</v>
      </c>
      <c r="E388" s="20">
        <v>10862.835100580751</v>
      </c>
      <c r="F388" s="21">
        <v>-2.5119436500000001E-11</v>
      </c>
      <c r="G388" s="21">
        <v>-1.0543375000000001E-12</v>
      </c>
      <c r="H388" s="27" t="s">
        <v>74</v>
      </c>
    </row>
    <row r="389" spans="1:8" ht="28" hidden="1" customHeight="1" outlineLevel="1" x14ac:dyDescent="0.35">
      <c r="A389" s="3" t="s">
        <v>432</v>
      </c>
      <c r="B389" s="3" t="s">
        <v>90</v>
      </c>
      <c r="C389" s="19">
        <v>8422.2921533526078</v>
      </c>
      <c r="D389" s="19">
        <v>8422.2921533526187</v>
      </c>
      <c r="E389" s="19">
        <v>8422.2921533526205</v>
      </c>
      <c r="F389" s="21">
        <v>-1.19596365E-11</v>
      </c>
      <c r="G389" s="21">
        <v>-9.0813749999900003E-13</v>
      </c>
      <c r="H389" s="26" t="s">
        <v>74</v>
      </c>
    </row>
    <row r="390" spans="1:8" ht="28" hidden="1" customHeight="1" outlineLevel="1" x14ac:dyDescent="0.35">
      <c r="A390" s="2" t="s">
        <v>433</v>
      </c>
      <c r="B390" s="2" t="s">
        <v>73</v>
      </c>
      <c r="C390" s="17">
        <v>227</v>
      </c>
      <c r="D390" s="17">
        <v>227</v>
      </c>
      <c r="E390" s="17">
        <v>227</v>
      </c>
      <c r="F390" s="4">
        <v>0</v>
      </c>
      <c r="G390" s="4">
        <v>0</v>
      </c>
      <c r="H390" s="27" t="s">
        <v>74</v>
      </c>
    </row>
    <row r="391" spans="1:8" ht="28" hidden="1" customHeight="1" outlineLevel="1" x14ac:dyDescent="0.35">
      <c r="A391" s="3" t="s">
        <v>434</v>
      </c>
      <c r="B391" s="3" t="s">
        <v>76</v>
      </c>
      <c r="C391" s="19">
        <v>1223.7851987241861</v>
      </c>
      <c r="D391" s="19">
        <v>1223.785198724187</v>
      </c>
      <c r="E391" s="19">
        <v>1223.785198724187</v>
      </c>
      <c r="F391" s="21">
        <v>-1.2015000000000001E-12</v>
      </c>
      <c r="G391" s="21">
        <v>-1.1999999999999999E-13</v>
      </c>
      <c r="H391" s="26" t="s">
        <v>74</v>
      </c>
    </row>
    <row r="392" spans="1:8" ht="28" hidden="1" customHeight="1" outlineLevel="1" x14ac:dyDescent="0.35">
      <c r="A392" s="2" t="s">
        <v>435</v>
      </c>
      <c r="B392" s="2" t="s">
        <v>78</v>
      </c>
      <c r="C392" s="20">
        <v>899.82807173966796</v>
      </c>
      <c r="D392" s="20">
        <v>899.8280717396683</v>
      </c>
      <c r="E392" s="20">
        <v>899.82807173966864</v>
      </c>
      <c r="F392" s="21">
        <v>-3.1049999999999999E-13</v>
      </c>
      <c r="G392" s="21">
        <v>-2.9500000000000001E-13</v>
      </c>
      <c r="H392" s="27" t="s">
        <v>74</v>
      </c>
    </row>
    <row r="393" spans="1:8" ht="28" hidden="1" customHeight="1" outlineLevel="1" x14ac:dyDescent="0.35">
      <c r="A393" s="3" t="s">
        <v>436</v>
      </c>
      <c r="B393" s="3" t="s">
        <v>80</v>
      </c>
      <c r="C393" s="18">
        <v>1688</v>
      </c>
      <c r="D393" s="18">
        <v>1688</v>
      </c>
      <c r="E393" s="18">
        <v>1688</v>
      </c>
      <c r="F393" s="4">
        <v>0</v>
      </c>
      <c r="G393" s="4">
        <v>0</v>
      </c>
      <c r="H393" s="26" t="s">
        <v>74</v>
      </c>
    </row>
    <row r="394" spans="1:8" ht="28" hidden="1" customHeight="1" outlineLevel="1" x14ac:dyDescent="0.35">
      <c r="A394" s="2" t="s">
        <v>437</v>
      </c>
      <c r="B394" s="2" t="s">
        <v>82</v>
      </c>
      <c r="C394" s="20">
        <v>8695.3630404570886</v>
      </c>
      <c r="D394" s="20">
        <v>8695.3630404571104</v>
      </c>
      <c r="E394" s="20">
        <v>8695.3630404571104</v>
      </c>
      <c r="F394" s="21">
        <v>-2.1688546499999999E-11</v>
      </c>
      <c r="G394" s="21">
        <v>-8.780035E-13</v>
      </c>
      <c r="H394" s="27" t="s">
        <v>74</v>
      </c>
    </row>
    <row r="395" spans="1:8" ht="28" hidden="1" customHeight="1" outlineLevel="1" x14ac:dyDescent="0.35">
      <c r="A395" s="3" t="s">
        <v>438</v>
      </c>
      <c r="B395" s="3" t="s">
        <v>84</v>
      </c>
      <c r="C395" s="19">
        <v>6973.0651777285693</v>
      </c>
      <c r="D395" s="19">
        <v>6973.0651777285802</v>
      </c>
      <c r="E395" s="19">
        <v>6973.0651777285811</v>
      </c>
      <c r="F395" s="21">
        <v>-1.09803465E-11</v>
      </c>
      <c r="G395" s="21">
        <v>-5.7220349999899998E-13</v>
      </c>
      <c r="H395" s="26" t="s">
        <v>74</v>
      </c>
    </row>
    <row r="396" spans="1:8" ht="28" hidden="1" customHeight="1" outlineLevel="1" x14ac:dyDescent="0.35">
      <c r="A396" s="2" t="s">
        <v>439</v>
      </c>
      <c r="B396" s="2" t="s">
        <v>86</v>
      </c>
      <c r="C396" s="17">
        <v>1915</v>
      </c>
      <c r="D396" s="17">
        <v>1915</v>
      </c>
      <c r="E396" s="17">
        <v>1915</v>
      </c>
      <c r="F396" s="4">
        <v>0</v>
      </c>
      <c r="G396" s="4">
        <v>0</v>
      </c>
      <c r="H396" s="27" t="s">
        <v>74</v>
      </c>
    </row>
    <row r="397" spans="1:8" ht="28" hidden="1" customHeight="1" outlineLevel="1" x14ac:dyDescent="0.35">
      <c r="A397" s="3" t="s">
        <v>440</v>
      </c>
      <c r="B397" s="3" t="s">
        <v>88</v>
      </c>
      <c r="C397" s="19">
        <v>9919.1482391812733</v>
      </c>
      <c r="D397" s="19">
        <v>9919.148239181297</v>
      </c>
      <c r="E397" s="19">
        <v>9919.148239181297</v>
      </c>
      <c r="F397" s="21">
        <v>-2.3443546500000001E-11</v>
      </c>
      <c r="G397" s="21">
        <v>-9.9800349999999999E-13</v>
      </c>
      <c r="H397" s="26" t="s">
        <v>74</v>
      </c>
    </row>
    <row r="398" spans="1:8" ht="28" hidden="1" customHeight="1" outlineLevel="1" x14ac:dyDescent="0.35">
      <c r="A398" s="2" t="s">
        <v>441</v>
      </c>
      <c r="B398" s="2" t="s">
        <v>90</v>
      </c>
      <c r="C398" s="20">
        <v>7872.8932494682376</v>
      </c>
      <c r="D398" s="20">
        <v>7872.8932494682495</v>
      </c>
      <c r="E398" s="20">
        <v>7872.8932494682495</v>
      </c>
      <c r="F398" s="21">
        <v>-1.09803465E-11</v>
      </c>
      <c r="G398" s="21">
        <v>-8.6720349999999998E-13</v>
      </c>
      <c r="H398" s="27" t="s">
        <v>74</v>
      </c>
    </row>
    <row r="399" spans="1:8" ht="28" hidden="1" customHeight="1" outlineLevel="1" x14ac:dyDescent="0.35">
      <c r="A399" s="3" t="s">
        <v>442</v>
      </c>
      <c r="B399" s="3" t="s">
        <v>73</v>
      </c>
      <c r="C399" s="18">
        <v>20</v>
      </c>
      <c r="D399" s="18">
        <v>20</v>
      </c>
      <c r="E399" s="18">
        <v>20</v>
      </c>
      <c r="F399" s="4">
        <v>0</v>
      </c>
      <c r="G399" s="4">
        <v>0</v>
      </c>
      <c r="H399" s="26" t="s">
        <v>74</v>
      </c>
    </row>
    <row r="400" spans="1:8" ht="28" hidden="1" customHeight="1" outlineLevel="1" x14ac:dyDescent="0.35">
      <c r="A400" s="2" t="s">
        <v>443</v>
      </c>
      <c r="B400" s="2" t="s">
        <v>76</v>
      </c>
      <c r="C400" s="20">
        <v>236.64500833640579</v>
      </c>
      <c r="D400" s="20">
        <v>236.64500833640599</v>
      </c>
      <c r="E400" s="20">
        <v>236.64500833640599</v>
      </c>
      <c r="F400" s="21">
        <v>-2.025E-13</v>
      </c>
      <c r="G400" s="21">
        <v>2.5000000000999999E-15</v>
      </c>
      <c r="H400" s="27" t="s">
        <v>74</v>
      </c>
    </row>
    <row r="401" spans="1:8" ht="28" hidden="1" customHeight="1" outlineLevel="1" x14ac:dyDescent="0.35">
      <c r="A401" s="3" t="s">
        <v>444</v>
      </c>
      <c r="B401" s="3" t="s">
        <v>78</v>
      </c>
      <c r="C401" s="19">
        <v>117.81985081837681</v>
      </c>
      <c r="D401" s="19">
        <v>117.81985081837681</v>
      </c>
      <c r="E401" s="19">
        <v>117.81985081837681</v>
      </c>
      <c r="F401" s="21">
        <v>-3.9150000000000002E-14</v>
      </c>
      <c r="G401" s="21">
        <v>-9.5000000000000005E-15</v>
      </c>
      <c r="H401" s="26" t="s">
        <v>74</v>
      </c>
    </row>
    <row r="402" spans="1:8" ht="28" hidden="1" customHeight="1" outlineLevel="1" x14ac:dyDescent="0.35">
      <c r="A402" s="2" t="s">
        <v>445</v>
      </c>
      <c r="B402" s="2" t="s">
        <v>80</v>
      </c>
      <c r="C402" s="17">
        <v>35</v>
      </c>
      <c r="D402" s="17">
        <v>35</v>
      </c>
      <c r="E402" s="17">
        <v>35</v>
      </c>
      <c r="F402" s="4">
        <v>0</v>
      </c>
      <c r="G402" s="4">
        <v>0</v>
      </c>
      <c r="H402" s="27" t="s">
        <v>74</v>
      </c>
    </row>
    <row r="403" spans="1:8" ht="28" hidden="1" customHeight="1" outlineLevel="1" x14ac:dyDescent="0.35">
      <c r="A403" s="3" t="s">
        <v>446</v>
      </c>
      <c r="B403" s="3" t="s">
        <v>82</v>
      </c>
      <c r="C403" s="19">
        <v>707.04185306304771</v>
      </c>
      <c r="D403" s="19">
        <v>707.04185306304896</v>
      </c>
      <c r="E403" s="19">
        <v>707.04185306304907</v>
      </c>
      <c r="F403" s="21">
        <v>-1.32489E-12</v>
      </c>
      <c r="G403" s="21">
        <v>-5.8833999999899997E-14</v>
      </c>
      <c r="H403" s="26" t="s">
        <v>74</v>
      </c>
    </row>
    <row r="404" spans="1:8" ht="28" hidden="1" customHeight="1" outlineLevel="1" x14ac:dyDescent="0.35">
      <c r="A404" s="2" t="s">
        <v>447</v>
      </c>
      <c r="B404" s="2" t="s">
        <v>84</v>
      </c>
      <c r="C404" s="20">
        <v>431.57905306599281</v>
      </c>
      <c r="D404" s="20">
        <v>431.57905306599389</v>
      </c>
      <c r="E404" s="20">
        <v>431.57905306599389</v>
      </c>
      <c r="F404" s="21">
        <v>-1.0872899999999999E-12</v>
      </c>
      <c r="G404" s="21">
        <v>-3.1433999999900002E-14</v>
      </c>
      <c r="H404" s="27" t="s">
        <v>74</v>
      </c>
    </row>
    <row r="405" spans="1:8" ht="28" hidden="1" customHeight="1" outlineLevel="1" x14ac:dyDescent="0.35">
      <c r="A405" s="3" t="s">
        <v>448</v>
      </c>
      <c r="B405" s="3" t="s">
        <v>86</v>
      </c>
      <c r="C405" s="18">
        <v>55</v>
      </c>
      <c r="D405" s="18">
        <v>55</v>
      </c>
      <c r="E405" s="18">
        <v>55</v>
      </c>
      <c r="F405" s="4">
        <v>0</v>
      </c>
      <c r="G405" s="4">
        <v>0</v>
      </c>
      <c r="H405" s="26" t="s">
        <v>74</v>
      </c>
    </row>
    <row r="406" spans="1:8" ht="28" hidden="1" customHeight="1" outlineLevel="1" x14ac:dyDescent="0.35">
      <c r="A406" s="2" t="s">
        <v>449</v>
      </c>
      <c r="B406" s="2" t="s">
        <v>88</v>
      </c>
      <c r="C406" s="20">
        <v>943.68686139945351</v>
      </c>
      <c r="D406" s="20">
        <v>943.68686139945498</v>
      </c>
      <c r="E406" s="20">
        <v>943.6868613994551</v>
      </c>
      <c r="F406" s="21">
        <v>-1.52739E-12</v>
      </c>
      <c r="G406" s="21">
        <v>-5.6333999999999998E-14</v>
      </c>
      <c r="H406" s="27" t="s">
        <v>74</v>
      </c>
    </row>
    <row r="407" spans="1:8" ht="28" hidden="1" customHeight="1" outlineLevel="1" x14ac:dyDescent="0.35">
      <c r="A407" s="3" t="s">
        <v>450</v>
      </c>
      <c r="B407" s="3" t="s">
        <v>90</v>
      </c>
      <c r="C407" s="19">
        <v>549.3989038843697</v>
      </c>
      <c r="D407" s="19">
        <v>549.39890388437072</v>
      </c>
      <c r="E407" s="19">
        <v>549.39890388437084</v>
      </c>
      <c r="F407" s="21">
        <v>-1.1142900000000001E-12</v>
      </c>
      <c r="G407" s="21">
        <v>-4.0934000000000001E-14</v>
      </c>
      <c r="H407" s="26" t="s">
        <v>74</v>
      </c>
    </row>
    <row r="408" spans="1:8" ht="28" hidden="1" customHeight="1" outlineLevel="1" x14ac:dyDescent="0.35">
      <c r="A408" s="2" t="s">
        <v>451</v>
      </c>
      <c r="B408" s="2" t="s">
        <v>73</v>
      </c>
      <c r="C408" s="17">
        <v>247</v>
      </c>
      <c r="D408" s="17">
        <v>247</v>
      </c>
      <c r="E408" s="17">
        <v>247</v>
      </c>
      <c r="F408" s="4">
        <v>0</v>
      </c>
      <c r="G408" s="4">
        <v>0</v>
      </c>
      <c r="H408" s="27" t="s">
        <v>74</v>
      </c>
    </row>
    <row r="409" spans="1:8" ht="28" hidden="1" customHeight="1" outlineLevel="1" x14ac:dyDescent="0.35">
      <c r="A409" s="3" t="s">
        <v>452</v>
      </c>
      <c r="B409" s="3" t="s">
        <v>76</v>
      </c>
      <c r="C409" s="19">
        <v>1460.430207060592</v>
      </c>
      <c r="D409" s="19">
        <v>1460.4302070605929</v>
      </c>
      <c r="E409" s="19">
        <v>1460.4302070605929</v>
      </c>
      <c r="F409" s="21">
        <v>-1.4175E-12</v>
      </c>
      <c r="G409" s="21">
        <v>-1.175E-13</v>
      </c>
      <c r="H409" s="26" t="s">
        <v>74</v>
      </c>
    </row>
    <row r="410" spans="1:8" ht="28" hidden="1" customHeight="1" outlineLevel="1" x14ac:dyDescent="0.35">
      <c r="A410" s="2" t="s">
        <v>453</v>
      </c>
      <c r="B410" s="2" t="s">
        <v>78</v>
      </c>
      <c r="C410" s="20">
        <v>1017.647922558045</v>
      </c>
      <c r="D410" s="20">
        <v>1017.647922558045</v>
      </c>
      <c r="E410" s="20">
        <v>1017.647922558045</v>
      </c>
      <c r="F410" s="21">
        <v>-3.5100000000000002E-13</v>
      </c>
      <c r="G410" s="21">
        <v>-3.0450000000000002E-13</v>
      </c>
      <c r="H410" s="27" t="s">
        <v>74</v>
      </c>
    </row>
    <row r="411" spans="1:8" ht="28" hidden="1" customHeight="1" outlineLevel="1" x14ac:dyDescent="0.35">
      <c r="A411" s="3" t="s">
        <v>454</v>
      </c>
      <c r="B411" s="3" t="s">
        <v>80</v>
      </c>
      <c r="C411" s="18">
        <v>1723</v>
      </c>
      <c r="D411" s="18">
        <v>1723</v>
      </c>
      <c r="E411" s="18">
        <v>1723</v>
      </c>
      <c r="F411" s="4">
        <v>0</v>
      </c>
      <c r="G411" s="4">
        <v>0</v>
      </c>
      <c r="H411" s="26" t="s">
        <v>74</v>
      </c>
    </row>
    <row r="412" spans="1:8" ht="28" hidden="1" customHeight="1" outlineLevel="1" x14ac:dyDescent="0.35">
      <c r="A412" s="2" t="s">
        <v>455</v>
      </c>
      <c r="B412" s="2" t="s">
        <v>82</v>
      </c>
      <c r="C412" s="20">
        <v>9402.4048935201354</v>
      </c>
      <c r="D412" s="20">
        <v>9402.404893520159</v>
      </c>
      <c r="E412" s="20">
        <v>9402.404893520159</v>
      </c>
      <c r="F412" s="21">
        <v>-2.3296936499999999E-11</v>
      </c>
      <c r="G412" s="21">
        <v>-9.3683750000000005E-13</v>
      </c>
      <c r="H412" s="27" t="s">
        <v>74</v>
      </c>
    </row>
    <row r="413" spans="1:8" ht="28" hidden="1" customHeight="1" outlineLevel="1" x14ac:dyDescent="0.35">
      <c r="A413" s="3" t="s">
        <v>456</v>
      </c>
      <c r="B413" s="3" t="s">
        <v>84</v>
      </c>
      <c r="C413" s="19">
        <v>7404.6442307945626</v>
      </c>
      <c r="D413" s="19">
        <v>7404.6442307945736</v>
      </c>
      <c r="E413" s="19">
        <v>7404.6442307945754</v>
      </c>
      <c r="F413" s="21">
        <v>-1.19191365E-11</v>
      </c>
      <c r="G413" s="21">
        <v>-6.0363750000000001E-13</v>
      </c>
      <c r="H413" s="26" t="s">
        <v>74</v>
      </c>
    </row>
    <row r="414" spans="1:8" ht="28" hidden="1" customHeight="1" outlineLevel="1" x14ac:dyDescent="0.35">
      <c r="A414" s="2" t="s">
        <v>457</v>
      </c>
      <c r="B414" s="2" t="s">
        <v>86</v>
      </c>
      <c r="C414" s="17">
        <v>1970</v>
      </c>
      <c r="D414" s="17">
        <v>1970</v>
      </c>
      <c r="E414" s="17">
        <v>1970</v>
      </c>
      <c r="F414" s="4">
        <v>0</v>
      </c>
      <c r="G414" s="4">
        <v>0</v>
      </c>
      <c r="H414" s="27" t="s">
        <v>74</v>
      </c>
    </row>
    <row r="415" spans="1:8" ht="28" hidden="1" customHeight="1" outlineLevel="1" x14ac:dyDescent="0.35">
      <c r="A415" s="3" t="s">
        <v>458</v>
      </c>
      <c r="B415" s="3" t="s">
        <v>88</v>
      </c>
      <c r="C415" s="19">
        <v>10862.835100580731</v>
      </c>
      <c r="D415" s="19">
        <v>10862.835100580751</v>
      </c>
      <c r="E415" s="19">
        <v>10862.835100580751</v>
      </c>
      <c r="F415" s="21">
        <v>-2.5119436500000001E-11</v>
      </c>
      <c r="G415" s="21">
        <v>-1.0543375000000001E-12</v>
      </c>
      <c r="H415" s="26" t="s">
        <v>74</v>
      </c>
    </row>
    <row r="416" spans="1:8" ht="28" hidden="1" customHeight="1" outlineLevel="1" x14ac:dyDescent="0.35">
      <c r="A416" s="2" t="s">
        <v>459</v>
      </c>
      <c r="B416" s="2" t="s">
        <v>90</v>
      </c>
      <c r="C416" s="20">
        <v>8422.2921533526078</v>
      </c>
      <c r="D416" s="20">
        <v>8422.2921533526187</v>
      </c>
      <c r="E416" s="20">
        <v>8422.2921533526205</v>
      </c>
      <c r="F416" s="21">
        <v>-1.19596365E-11</v>
      </c>
      <c r="G416" s="21">
        <v>-9.0813749999900003E-13</v>
      </c>
      <c r="H416" s="27" t="s">
        <v>74</v>
      </c>
    </row>
    <row r="417" spans="1:8" ht="28" hidden="1" customHeight="1" outlineLevel="1" x14ac:dyDescent="0.35">
      <c r="A417" s="3" t="s">
        <v>460</v>
      </c>
      <c r="B417" s="3" t="s">
        <v>73</v>
      </c>
      <c r="C417" s="18">
        <v>227</v>
      </c>
      <c r="D417" s="18">
        <v>227</v>
      </c>
      <c r="E417" s="18">
        <v>227</v>
      </c>
      <c r="F417" s="4">
        <v>0</v>
      </c>
      <c r="G417" s="4">
        <v>0</v>
      </c>
      <c r="H417" s="26" t="s">
        <v>74</v>
      </c>
    </row>
    <row r="418" spans="1:8" ht="28" hidden="1" customHeight="1" outlineLevel="1" x14ac:dyDescent="0.35">
      <c r="A418" s="2" t="s">
        <v>461</v>
      </c>
      <c r="B418" s="2" t="s">
        <v>76</v>
      </c>
      <c r="C418" s="20">
        <v>1223.7851987241861</v>
      </c>
      <c r="D418" s="20">
        <v>1223.785198724187</v>
      </c>
      <c r="E418" s="20">
        <v>1223.785198724187</v>
      </c>
      <c r="F418" s="21">
        <v>-1.2015000000000001E-12</v>
      </c>
      <c r="G418" s="21">
        <v>-1.1999999999999999E-13</v>
      </c>
      <c r="H418" s="27" t="s">
        <v>74</v>
      </c>
    </row>
    <row r="419" spans="1:8" ht="28" hidden="1" customHeight="1" outlineLevel="1" x14ac:dyDescent="0.35">
      <c r="A419" s="3" t="s">
        <v>462</v>
      </c>
      <c r="B419" s="3" t="s">
        <v>78</v>
      </c>
      <c r="C419" s="19">
        <v>899.82807173966796</v>
      </c>
      <c r="D419" s="19">
        <v>899.8280717396683</v>
      </c>
      <c r="E419" s="19">
        <v>899.82807173966864</v>
      </c>
      <c r="F419" s="21">
        <v>-3.1049999999999999E-13</v>
      </c>
      <c r="G419" s="21">
        <v>-2.9500000000000001E-13</v>
      </c>
      <c r="H419" s="26" t="s">
        <v>74</v>
      </c>
    </row>
    <row r="420" spans="1:8" ht="28" hidden="1" customHeight="1" outlineLevel="1" x14ac:dyDescent="0.35">
      <c r="A420" s="2" t="s">
        <v>463</v>
      </c>
      <c r="B420" s="2" t="s">
        <v>80</v>
      </c>
      <c r="C420" s="17">
        <v>1688</v>
      </c>
      <c r="D420" s="17">
        <v>1688</v>
      </c>
      <c r="E420" s="17">
        <v>1688</v>
      </c>
      <c r="F420" s="4">
        <v>0</v>
      </c>
      <c r="G420" s="4">
        <v>0</v>
      </c>
      <c r="H420" s="27" t="s">
        <v>74</v>
      </c>
    </row>
    <row r="421" spans="1:8" ht="28" hidden="1" customHeight="1" outlineLevel="1" x14ac:dyDescent="0.35">
      <c r="A421" s="3" t="s">
        <v>464</v>
      </c>
      <c r="B421" s="3" t="s">
        <v>82</v>
      </c>
      <c r="C421" s="19">
        <v>8695.3630404570886</v>
      </c>
      <c r="D421" s="19">
        <v>8695.3630404571104</v>
      </c>
      <c r="E421" s="19">
        <v>8695.3630404571104</v>
      </c>
      <c r="F421" s="21">
        <v>-2.1688546499999999E-11</v>
      </c>
      <c r="G421" s="21">
        <v>-8.780035E-13</v>
      </c>
      <c r="H421" s="26" t="s">
        <v>74</v>
      </c>
    </row>
    <row r="422" spans="1:8" ht="28" hidden="1" customHeight="1" outlineLevel="1" x14ac:dyDescent="0.35">
      <c r="A422" s="2" t="s">
        <v>465</v>
      </c>
      <c r="B422" s="2" t="s">
        <v>84</v>
      </c>
      <c r="C422" s="20">
        <v>6973.0651777285693</v>
      </c>
      <c r="D422" s="20">
        <v>6973.0651777285802</v>
      </c>
      <c r="E422" s="20">
        <v>6973.0651777285811</v>
      </c>
      <c r="F422" s="21">
        <v>-1.09803465E-11</v>
      </c>
      <c r="G422" s="21">
        <v>-5.7220349999899998E-13</v>
      </c>
      <c r="H422" s="27" t="s">
        <v>74</v>
      </c>
    </row>
    <row r="423" spans="1:8" ht="28" hidden="1" customHeight="1" outlineLevel="1" x14ac:dyDescent="0.35">
      <c r="A423" s="3" t="s">
        <v>466</v>
      </c>
      <c r="B423" s="3" t="s">
        <v>86</v>
      </c>
      <c r="C423" s="18">
        <v>1915</v>
      </c>
      <c r="D423" s="18">
        <v>1915</v>
      </c>
      <c r="E423" s="18">
        <v>1915</v>
      </c>
      <c r="F423" s="4">
        <v>0</v>
      </c>
      <c r="G423" s="4">
        <v>0</v>
      </c>
      <c r="H423" s="26" t="s">
        <v>74</v>
      </c>
    </row>
    <row r="424" spans="1:8" ht="28" hidden="1" customHeight="1" outlineLevel="1" x14ac:dyDescent="0.35">
      <c r="A424" s="2" t="s">
        <v>467</v>
      </c>
      <c r="B424" s="2" t="s">
        <v>88</v>
      </c>
      <c r="C424" s="20">
        <v>9919.1482391812733</v>
      </c>
      <c r="D424" s="20">
        <v>9919.148239181297</v>
      </c>
      <c r="E424" s="20">
        <v>9919.148239181297</v>
      </c>
      <c r="F424" s="21">
        <v>-2.3443546500000001E-11</v>
      </c>
      <c r="G424" s="21">
        <v>-9.9800349999999999E-13</v>
      </c>
      <c r="H424" s="27" t="s">
        <v>74</v>
      </c>
    </row>
    <row r="425" spans="1:8" ht="28" hidden="1" customHeight="1" outlineLevel="1" x14ac:dyDescent="0.35">
      <c r="A425" s="3" t="s">
        <v>468</v>
      </c>
      <c r="B425" s="3" t="s">
        <v>90</v>
      </c>
      <c r="C425" s="19">
        <v>7872.8932494682376</v>
      </c>
      <c r="D425" s="19">
        <v>7872.8932494682495</v>
      </c>
      <c r="E425" s="19">
        <v>7872.8932494682495</v>
      </c>
      <c r="F425" s="21">
        <v>-1.09803465E-11</v>
      </c>
      <c r="G425" s="21">
        <v>-8.6720349999999998E-13</v>
      </c>
      <c r="H425" s="26" t="s">
        <v>74</v>
      </c>
    </row>
    <row r="426" spans="1:8" ht="28" hidden="1" customHeight="1" outlineLevel="1" x14ac:dyDescent="0.35">
      <c r="A426" s="2" t="s">
        <v>469</v>
      </c>
      <c r="B426" s="2" t="s">
        <v>73</v>
      </c>
      <c r="C426" s="17">
        <v>227</v>
      </c>
      <c r="D426" s="17">
        <v>227</v>
      </c>
      <c r="E426" s="17">
        <v>227</v>
      </c>
      <c r="F426" s="4">
        <v>0</v>
      </c>
      <c r="G426" s="4">
        <v>0</v>
      </c>
      <c r="H426" s="27" t="s">
        <v>74</v>
      </c>
    </row>
    <row r="427" spans="1:8" ht="28" hidden="1" customHeight="1" outlineLevel="1" x14ac:dyDescent="0.35">
      <c r="A427" s="3" t="s">
        <v>470</v>
      </c>
      <c r="B427" s="3" t="s">
        <v>76</v>
      </c>
      <c r="C427" s="19">
        <v>1223.7851987241861</v>
      </c>
      <c r="D427" s="19">
        <v>1223.785198724187</v>
      </c>
      <c r="E427" s="19">
        <v>1223.785198724187</v>
      </c>
      <c r="F427" s="21">
        <v>-1.2015000000000001E-12</v>
      </c>
      <c r="G427" s="21">
        <v>-1.1999999999999999E-13</v>
      </c>
      <c r="H427" s="26" t="s">
        <v>74</v>
      </c>
    </row>
    <row r="428" spans="1:8" ht="28" hidden="1" customHeight="1" outlineLevel="1" x14ac:dyDescent="0.35">
      <c r="A428" s="2" t="s">
        <v>471</v>
      </c>
      <c r="B428" s="2" t="s">
        <v>78</v>
      </c>
      <c r="C428" s="20">
        <v>899.82807173966796</v>
      </c>
      <c r="D428" s="20">
        <v>899.8280717396683</v>
      </c>
      <c r="E428" s="20">
        <v>899.82807173966864</v>
      </c>
      <c r="F428" s="21">
        <v>-3.1049999999999999E-13</v>
      </c>
      <c r="G428" s="21">
        <v>-2.9500000000000001E-13</v>
      </c>
      <c r="H428" s="27" t="s">
        <v>74</v>
      </c>
    </row>
    <row r="429" spans="1:8" ht="28" hidden="1" customHeight="1" outlineLevel="1" x14ac:dyDescent="0.35">
      <c r="A429" s="3" t="s">
        <v>472</v>
      </c>
      <c r="B429" s="3" t="s">
        <v>80</v>
      </c>
      <c r="C429" s="18">
        <v>1688</v>
      </c>
      <c r="D429" s="18">
        <v>1688</v>
      </c>
      <c r="E429" s="18">
        <v>1688</v>
      </c>
      <c r="F429" s="4">
        <v>0</v>
      </c>
      <c r="G429" s="4">
        <v>0</v>
      </c>
      <c r="H429" s="26" t="s">
        <v>74</v>
      </c>
    </row>
    <row r="430" spans="1:8" ht="28" hidden="1" customHeight="1" outlineLevel="1" x14ac:dyDescent="0.35">
      <c r="A430" s="2" t="s">
        <v>473</v>
      </c>
      <c r="B430" s="2" t="s">
        <v>82</v>
      </c>
      <c r="C430" s="20">
        <v>8695.3630404570886</v>
      </c>
      <c r="D430" s="20">
        <v>8695.3630404571104</v>
      </c>
      <c r="E430" s="20">
        <v>8695.3630404571104</v>
      </c>
      <c r="F430" s="21">
        <v>-2.1688546499999999E-11</v>
      </c>
      <c r="G430" s="21">
        <v>-8.780035E-13</v>
      </c>
      <c r="H430" s="27" t="s">
        <v>74</v>
      </c>
    </row>
    <row r="431" spans="1:8" ht="28" hidden="1" customHeight="1" outlineLevel="1" x14ac:dyDescent="0.35">
      <c r="A431" s="3" t="s">
        <v>474</v>
      </c>
      <c r="B431" s="3" t="s">
        <v>84</v>
      </c>
      <c r="C431" s="19">
        <v>6973.0651777285693</v>
      </c>
      <c r="D431" s="19">
        <v>6973.0651777285802</v>
      </c>
      <c r="E431" s="19">
        <v>6973.0651777285811</v>
      </c>
      <c r="F431" s="21">
        <v>-1.09803465E-11</v>
      </c>
      <c r="G431" s="21">
        <v>-5.7220349999899998E-13</v>
      </c>
      <c r="H431" s="26" t="s">
        <v>74</v>
      </c>
    </row>
    <row r="432" spans="1:8" ht="28" hidden="1" customHeight="1" outlineLevel="1" x14ac:dyDescent="0.35">
      <c r="A432" s="2" t="s">
        <v>475</v>
      </c>
      <c r="B432" s="2" t="s">
        <v>86</v>
      </c>
      <c r="C432" s="17">
        <v>1915</v>
      </c>
      <c r="D432" s="17">
        <v>1915</v>
      </c>
      <c r="E432" s="17">
        <v>1915</v>
      </c>
      <c r="F432" s="4">
        <v>0</v>
      </c>
      <c r="G432" s="4">
        <v>0</v>
      </c>
      <c r="H432" s="27" t="s">
        <v>74</v>
      </c>
    </row>
    <row r="433" spans="1:8" ht="28" hidden="1" customHeight="1" outlineLevel="1" x14ac:dyDescent="0.35">
      <c r="A433" s="3" t="s">
        <v>476</v>
      </c>
      <c r="B433" s="3" t="s">
        <v>88</v>
      </c>
      <c r="C433" s="19">
        <v>9919.1482391812733</v>
      </c>
      <c r="D433" s="19">
        <v>9919.148239181297</v>
      </c>
      <c r="E433" s="19">
        <v>9919.148239181297</v>
      </c>
      <c r="F433" s="21">
        <v>-2.3443546500000001E-11</v>
      </c>
      <c r="G433" s="21">
        <v>-9.9800349999999999E-13</v>
      </c>
      <c r="H433" s="26" t="s">
        <v>74</v>
      </c>
    </row>
    <row r="434" spans="1:8" ht="28" hidden="1" customHeight="1" outlineLevel="1" x14ac:dyDescent="0.35">
      <c r="A434" s="2" t="s">
        <v>477</v>
      </c>
      <c r="B434" s="2" t="s">
        <v>90</v>
      </c>
      <c r="C434" s="20">
        <v>7872.8932494682376</v>
      </c>
      <c r="D434" s="20">
        <v>7872.8932494682495</v>
      </c>
      <c r="E434" s="20">
        <v>7872.8932494682495</v>
      </c>
      <c r="F434" s="21">
        <v>-1.09803465E-11</v>
      </c>
      <c r="G434" s="21">
        <v>-8.6720349999999998E-13</v>
      </c>
      <c r="H434" s="27" t="s">
        <v>74</v>
      </c>
    </row>
    <row r="435" spans="1:8" ht="28" hidden="1" customHeight="1" outlineLevel="1" x14ac:dyDescent="0.35">
      <c r="A435" s="3" t="s">
        <v>478</v>
      </c>
      <c r="B435" s="3" t="s">
        <v>73</v>
      </c>
      <c r="C435" s="18">
        <v>20</v>
      </c>
      <c r="D435" s="18">
        <v>20</v>
      </c>
      <c r="E435" s="18">
        <v>20</v>
      </c>
      <c r="F435" s="4">
        <v>0</v>
      </c>
      <c r="G435" s="4">
        <v>0</v>
      </c>
      <c r="H435" s="26" t="s">
        <v>74</v>
      </c>
    </row>
    <row r="436" spans="1:8" ht="28" hidden="1" customHeight="1" outlineLevel="1" x14ac:dyDescent="0.35">
      <c r="A436" s="2" t="s">
        <v>479</v>
      </c>
      <c r="B436" s="2" t="s">
        <v>76</v>
      </c>
      <c r="C436" s="20">
        <v>236.64500833640579</v>
      </c>
      <c r="D436" s="20">
        <v>236.64500833640599</v>
      </c>
      <c r="E436" s="20">
        <v>236.64500833640599</v>
      </c>
      <c r="F436" s="21">
        <v>-2.025E-13</v>
      </c>
      <c r="G436" s="21">
        <v>2.5000000000999999E-15</v>
      </c>
      <c r="H436" s="27" t="s">
        <v>74</v>
      </c>
    </row>
    <row r="437" spans="1:8" ht="28" hidden="1" customHeight="1" outlineLevel="1" x14ac:dyDescent="0.35">
      <c r="A437" s="3" t="s">
        <v>480</v>
      </c>
      <c r="B437" s="3" t="s">
        <v>78</v>
      </c>
      <c r="C437" s="19">
        <v>117.81985081837681</v>
      </c>
      <c r="D437" s="19">
        <v>117.81985081837681</v>
      </c>
      <c r="E437" s="19">
        <v>117.81985081837681</v>
      </c>
      <c r="F437" s="21">
        <v>-3.9150000000000002E-14</v>
      </c>
      <c r="G437" s="21">
        <v>-9.5000000000000005E-15</v>
      </c>
      <c r="H437" s="26" t="s">
        <v>74</v>
      </c>
    </row>
    <row r="438" spans="1:8" ht="28" hidden="1" customHeight="1" outlineLevel="1" x14ac:dyDescent="0.35">
      <c r="A438" s="2" t="s">
        <v>481</v>
      </c>
      <c r="B438" s="2" t="s">
        <v>80</v>
      </c>
      <c r="C438" s="17">
        <v>35</v>
      </c>
      <c r="D438" s="17">
        <v>35</v>
      </c>
      <c r="E438" s="17">
        <v>35</v>
      </c>
      <c r="F438" s="4">
        <v>0</v>
      </c>
      <c r="G438" s="4">
        <v>0</v>
      </c>
      <c r="H438" s="27" t="s">
        <v>74</v>
      </c>
    </row>
    <row r="439" spans="1:8" ht="28" hidden="1" customHeight="1" outlineLevel="1" x14ac:dyDescent="0.35">
      <c r="A439" s="3" t="s">
        <v>482</v>
      </c>
      <c r="B439" s="3" t="s">
        <v>82</v>
      </c>
      <c r="C439" s="19">
        <v>707.04185306304771</v>
      </c>
      <c r="D439" s="19">
        <v>707.04185306304896</v>
      </c>
      <c r="E439" s="19">
        <v>707.04185306304907</v>
      </c>
      <c r="F439" s="21">
        <v>-1.32489E-12</v>
      </c>
      <c r="G439" s="21">
        <v>-5.8833999999899997E-14</v>
      </c>
      <c r="H439" s="26" t="s">
        <v>74</v>
      </c>
    </row>
    <row r="440" spans="1:8" ht="28" hidden="1" customHeight="1" outlineLevel="1" x14ac:dyDescent="0.35">
      <c r="A440" s="2" t="s">
        <v>483</v>
      </c>
      <c r="B440" s="2" t="s">
        <v>84</v>
      </c>
      <c r="C440" s="20">
        <v>431.57905306599281</v>
      </c>
      <c r="D440" s="20">
        <v>431.57905306599389</v>
      </c>
      <c r="E440" s="20">
        <v>431.57905306599389</v>
      </c>
      <c r="F440" s="21">
        <v>-1.0872899999999999E-12</v>
      </c>
      <c r="G440" s="21">
        <v>-3.1433999999900002E-14</v>
      </c>
      <c r="H440" s="27" t="s">
        <v>74</v>
      </c>
    </row>
    <row r="441" spans="1:8" ht="28" hidden="1" customHeight="1" outlineLevel="1" x14ac:dyDescent="0.35">
      <c r="A441" s="3" t="s">
        <v>484</v>
      </c>
      <c r="B441" s="3" t="s">
        <v>86</v>
      </c>
      <c r="C441" s="18">
        <v>55</v>
      </c>
      <c r="D441" s="18">
        <v>55</v>
      </c>
      <c r="E441" s="18">
        <v>55</v>
      </c>
      <c r="F441" s="4">
        <v>0</v>
      </c>
      <c r="G441" s="4">
        <v>0</v>
      </c>
      <c r="H441" s="26" t="s">
        <v>74</v>
      </c>
    </row>
    <row r="442" spans="1:8" ht="28" hidden="1" customHeight="1" outlineLevel="1" x14ac:dyDescent="0.35">
      <c r="A442" s="2" t="s">
        <v>485</v>
      </c>
      <c r="B442" s="2" t="s">
        <v>88</v>
      </c>
      <c r="C442" s="20">
        <v>943.68686139945351</v>
      </c>
      <c r="D442" s="20">
        <v>943.68686139945498</v>
      </c>
      <c r="E442" s="20">
        <v>943.6868613994551</v>
      </c>
      <c r="F442" s="21">
        <v>-1.52739E-12</v>
      </c>
      <c r="G442" s="21">
        <v>-5.6333999999999998E-14</v>
      </c>
      <c r="H442" s="27" t="s">
        <v>74</v>
      </c>
    </row>
    <row r="443" spans="1:8" ht="28" hidden="1" customHeight="1" outlineLevel="1" x14ac:dyDescent="0.35">
      <c r="A443" s="3" t="s">
        <v>486</v>
      </c>
      <c r="B443" s="3" t="s">
        <v>90</v>
      </c>
      <c r="C443" s="19">
        <v>549.3989038843697</v>
      </c>
      <c r="D443" s="19">
        <v>549.39890388437072</v>
      </c>
      <c r="E443" s="19">
        <v>549.39890388437084</v>
      </c>
      <c r="F443" s="21">
        <v>-1.1142900000000001E-12</v>
      </c>
      <c r="G443" s="21">
        <v>-4.0934000000000001E-14</v>
      </c>
      <c r="H443" s="26" t="s">
        <v>74</v>
      </c>
    </row>
    <row r="444" spans="1:8" ht="28" hidden="1" customHeight="1" outlineLevel="1" x14ac:dyDescent="0.35">
      <c r="A444" s="2" t="s">
        <v>487</v>
      </c>
      <c r="B444" s="2" t="s">
        <v>73</v>
      </c>
      <c r="C444" s="17">
        <v>20</v>
      </c>
      <c r="D444" s="17">
        <v>20</v>
      </c>
      <c r="E444" s="17">
        <v>20</v>
      </c>
      <c r="F444" s="4">
        <v>0</v>
      </c>
      <c r="G444" s="4">
        <v>0</v>
      </c>
      <c r="H444" s="27" t="s">
        <v>74</v>
      </c>
    </row>
    <row r="445" spans="1:8" ht="28" hidden="1" customHeight="1" outlineLevel="1" x14ac:dyDescent="0.35">
      <c r="A445" s="3" t="s">
        <v>488</v>
      </c>
      <c r="B445" s="3" t="s">
        <v>76</v>
      </c>
      <c r="C445" s="19">
        <v>236.64500833640579</v>
      </c>
      <c r="D445" s="19">
        <v>236.64500833640599</v>
      </c>
      <c r="E445" s="19">
        <v>236.64500833640599</v>
      </c>
      <c r="F445" s="21">
        <v>-2.025E-13</v>
      </c>
      <c r="G445" s="21">
        <v>2.5000000000999999E-15</v>
      </c>
      <c r="H445" s="26" t="s">
        <v>74</v>
      </c>
    </row>
    <row r="446" spans="1:8" ht="28" hidden="1" customHeight="1" outlineLevel="1" x14ac:dyDescent="0.35">
      <c r="A446" s="2" t="s">
        <v>489</v>
      </c>
      <c r="B446" s="2" t="s">
        <v>78</v>
      </c>
      <c r="C446" s="20">
        <v>117.81985081837681</v>
      </c>
      <c r="D446" s="20">
        <v>117.81985081837681</v>
      </c>
      <c r="E446" s="20">
        <v>117.81985081837681</v>
      </c>
      <c r="F446" s="21">
        <v>-3.9150000000000002E-14</v>
      </c>
      <c r="G446" s="21">
        <v>-9.5000000000000005E-15</v>
      </c>
      <c r="H446" s="27" t="s">
        <v>74</v>
      </c>
    </row>
    <row r="447" spans="1:8" ht="28" hidden="1" customHeight="1" outlineLevel="1" x14ac:dyDescent="0.35">
      <c r="A447" s="3" t="s">
        <v>490</v>
      </c>
      <c r="B447" s="3" t="s">
        <v>80</v>
      </c>
      <c r="C447" s="18">
        <v>35</v>
      </c>
      <c r="D447" s="18">
        <v>35</v>
      </c>
      <c r="E447" s="18">
        <v>35</v>
      </c>
      <c r="F447" s="4">
        <v>0</v>
      </c>
      <c r="G447" s="4">
        <v>0</v>
      </c>
      <c r="H447" s="26" t="s">
        <v>74</v>
      </c>
    </row>
    <row r="448" spans="1:8" ht="28" hidden="1" customHeight="1" outlineLevel="1" x14ac:dyDescent="0.35">
      <c r="A448" s="2" t="s">
        <v>491</v>
      </c>
      <c r="B448" s="2" t="s">
        <v>82</v>
      </c>
      <c r="C448" s="20">
        <v>707.04185306304771</v>
      </c>
      <c r="D448" s="20">
        <v>707.04185306304896</v>
      </c>
      <c r="E448" s="20">
        <v>707.04185306304907</v>
      </c>
      <c r="F448" s="21">
        <v>-1.32489E-12</v>
      </c>
      <c r="G448" s="21">
        <v>-5.8833999999899997E-14</v>
      </c>
      <c r="H448" s="27" t="s">
        <v>74</v>
      </c>
    </row>
    <row r="449" spans="1:8" ht="28" hidden="1" customHeight="1" outlineLevel="1" x14ac:dyDescent="0.35">
      <c r="A449" s="3" t="s">
        <v>492</v>
      </c>
      <c r="B449" s="3" t="s">
        <v>84</v>
      </c>
      <c r="C449" s="19">
        <v>431.57905306599281</v>
      </c>
      <c r="D449" s="19">
        <v>431.57905306599389</v>
      </c>
      <c r="E449" s="19">
        <v>431.57905306599389</v>
      </c>
      <c r="F449" s="21">
        <v>-1.0872899999999999E-12</v>
      </c>
      <c r="G449" s="21">
        <v>-3.1433999999900002E-14</v>
      </c>
      <c r="H449" s="26" t="s">
        <v>74</v>
      </c>
    </row>
    <row r="450" spans="1:8" ht="28" hidden="1" customHeight="1" outlineLevel="1" x14ac:dyDescent="0.35">
      <c r="A450" s="2" t="s">
        <v>493</v>
      </c>
      <c r="B450" s="2" t="s">
        <v>86</v>
      </c>
      <c r="C450" s="17">
        <v>55</v>
      </c>
      <c r="D450" s="17">
        <v>55</v>
      </c>
      <c r="E450" s="17">
        <v>55</v>
      </c>
      <c r="F450" s="4">
        <v>0</v>
      </c>
      <c r="G450" s="4">
        <v>0</v>
      </c>
      <c r="H450" s="27" t="s">
        <v>74</v>
      </c>
    </row>
    <row r="451" spans="1:8" ht="28" hidden="1" customHeight="1" outlineLevel="1" x14ac:dyDescent="0.35">
      <c r="A451" s="3" t="s">
        <v>494</v>
      </c>
      <c r="B451" s="3" t="s">
        <v>88</v>
      </c>
      <c r="C451" s="19">
        <v>943.68686139945351</v>
      </c>
      <c r="D451" s="19">
        <v>943.68686139945498</v>
      </c>
      <c r="E451" s="19">
        <v>943.6868613994551</v>
      </c>
      <c r="F451" s="21">
        <v>-1.52739E-12</v>
      </c>
      <c r="G451" s="21">
        <v>-5.6333999999999998E-14</v>
      </c>
      <c r="H451" s="26" t="s">
        <v>74</v>
      </c>
    </row>
    <row r="452" spans="1:8" ht="28" hidden="1" customHeight="1" outlineLevel="1" x14ac:dyDescent="0.35">
      <c r="A452" s="2" t="s">
        <v>495</v>
      </c>
      <c r="B452" s="2" t="s">
        <v>90</v>
      </c>
      <c r="C452" s="20">
        <v>549.3989038843697</v>
      </c>
      <c r="D452" s="20">
        <v>549.39890388437072</v>
      </c>
      <c r="E452" s="20">
        <v>549.39890388437084</v>
      </c>
      <c r="F452" s="21">
        <v>-1.1142900000000001E-12</v>
      </c>
      <c r="G452" s="21">
        <v>-4.0934000000000001E-14</v>
      </c>
      <c r="H452" s="27" t="s">
        <v>74</v>
      </c>
    </row>
    <row r="453" spans="1:8" ht="28" hidden="1" customHeight="1" outlineLevel="1" x14ac:dyDescent="0.35">
      <c r="A453" s="3" t="s">
        <v>496</v>
      </c>
      <c r="B453" s="3" t="s">
        <v>73</v>
      </c>
      <c r="C453" s="18">
        <v>20</v>
      </c>
      <c r="D453" s="18">
        <v>20</v>
      </c>
      <c r="E453" s="18">
        <v>20</v>
      </c>
      <c r="F453" s="4">
        <v>0</v>
      </c>
      <c r="G453" s="4">
        <v>0</v>
      </c>
      <c r="H453" s="26" t="s">
        <v>74</v>
      </c>
    </row>
    <row r="454" spans="1:8" ht="28" hidden="1" customHeight="1" outlineLevel="1" x14ac:dyDescent="0.35">
      <c r="A454" s="2" t="s">
        <v>497</v>
      </c>
      <c r="B454" s="2" t="s">
        <v>76</v>
      </c>
      <c r="C454" s="20">
        <v>236.64500833640579</v>
      </c>
      <c r="D454" s="20">
        <v>236.64500833640599</v>
      </c>
      <c r="E454" s="20">
        <v>236.64500833640599</v>
      </c>
      <c r="F454" s="21">
        <v>-2.025E-13</v>
      </c>
      <c r="G454" s="21">
        <v>2.5000000000999999E-15</v>
      </c>
      <c r="H454" s="27" t="s">
        <v>74</v>
      </c>
    </row>
    <row r="455" spans="1:8" ht="28" hidden="1" customHeight="1" outlineLevel="1" x14ac:dyDescent="0.35">
      <c r="A455" s="3" t="s">
        <v>498</v>
      </c>
      <c r="B455" s="3" t="s">
        <v>78</v>
      </c>
      <c r="C455" s="19">
        <v>117.81985081837681</v>
      </c>
      <c r="D455" s="19">
        <v>117.81985081837681</v>
      </c>
      <c r="E455" s="19">
        <v>117.81985081837681</v>
      </c>
      <c r="F455" s="21">
        <v>-3.9150000000000002E-14</v>
      </c>
      <c r="G455" s="21">
        <v>-9.5000000000000005E-15</v>
      </c>
      <c r="H455" s="26" t="s">
        <v>74</v>
      </c>
    </row>
    <row r="456" spans="1:8" ht="28" hidden="1" customHeight="1" outlineLevel="1" x14ac:dyDescent="0.35">
      <c r="A456" s="2" t="s">
        <v>499</v>
      </c>
      <c r="B456" s="2" t="s">
        <v>80</v>
      </c>
      <c r="C456" s="17">
        <v>35</v>
      </c>
      <c r="D456" s="17">
        <v>35</v>
      </c>
      <c r="E456" s="17">
        <v>35</v>
      </c>
      <c r="F456" s="4">
        <v>0</v>
      </c>
      <c r="G456" s="4">
        <v>0</v>
      </c>
      <c r="H456" s="27" t="s">
        <v>74</v>
      </c>
    </row>
    <row r="457" spans="1:8" ht="28" hidden="1" customHeight="1" outlineLevel="1" x14ac:dyDescent="0.35">
      <c r="A457" s="3" t="s">
        <v>500</v>
      </c>
      <c r="B457" s="3" t="s">
        <v>82</v>
      </c>
      <c r="C457" s="19">
        <v>707.04185306304771</v>
      </c>
      <c r="D457" s="19">
        <v>707.04185306304896</v>
      </c>
      <c r="E457" s="19">
        <v>707.04185306304907</v>
      </c>
      <c r="F457" s="21">
        <v>-1.32489E-12</v>
      </c>
      <c r="G457" s="21">
        <v>-5.8833999999899997E-14</v>
      </c>
      <c r="H457" s="26" t="s">
        <v>74</v>
      </c>
    </row>
    <row r="458" spans="1:8" ht="28" hidden="1" customHeight="1" outlineLevel="1" x14ac:dyDescent="0.35">
      <c r="A458" s="2" t="s">
        <v>501</v>
      </c>
      <c r="B458" s="2" t="s">
        <v>84</v>
      </c>
      <c r="C458" s="20">
        <v>431.57905306599281</v>
      </c>
      <c r="D458" s="20">
        <v>431.57905306599389</v>
      </c>
      <c r="E458" s="20">
        <v>431.57905306599389</v>
      </c>
      <c r="F458" s="21">
        <v>-1.0872899999999999E-12</v>
      </c>
      <c r="G458" s="21">
        <v>-3.1433999999900002E-14</v>
      </c>
      <c r="H458" s="27" t="s">
        <v>74</v>
      </c>
    </row>
    <row r="459" spans="1:8" ht="28" hidden="1" customHeight="1" outlineLevel="1" x14ac:dyDescent="0.35">
      <c r="A459" s="3" t="s">
        <v>502</v>
      </c>
      <c r="B459" s="3" t="s">
        <v>86</v>
      </c>
      <c r="C459" s="18">
        <v>55</v>
      </c>
      <c r="D459" s="18">
        <v>55</v>
      </c>
      <c r="E459" s="18">
        <v>55</v>
      </c>
      <c r="F459" s="4">
        <v>0</v>
      </c>
      <c r="G459" s="4">
        <v>0</v>
      </c>
      <c r="H459" s="26" t="s">
        <v>74</v>
      </c>
    </row>
    <row r="460" spans="1:8" ht="28" hidden="1" customHeight="1" outlineLevel="1" x14ac:dyDescent="0.35">
      <c r="A460" s="2" t="s">
        <v>503</v>
      </c>
      <c r="B460" s="2" t="s">
        <v>88</v>
      </c>
      <c r="C460" s="20">
        <v>943.68686139945351</v>
      </c>
      <c r="D460" s="20">
        <v>943.68686139945498</v>
      </c>
      <c r="E460" s="20">
        <v>943.6868613994551</v>
      </c>
      <c r="F460" s="21">
        <v>-1.52739E-12</v>
      </c>
      <c r="G460" s="21">
        <v>-5.6333999999999998E-14</v>
      </c>
      <c r="H460" s="27" t="s">
        <v>74</v>
      </c>
    </row>
    <row r="461" spans="1:8" ht="28" hidden="1" customHeight="1" outlineLevel="1" x14ac:dyDescent="0.35">
      <c r="A461" s="3" t="s">
        <v>504</v>
      </c>
      <c r="B461" s="3" t="s">
        <v>90</v>
      </c>
      <c r="C461" s="19">
        <v>549.3989038843697</v>
      </c>
      <c r="D461" s="19">
        <v>549.39890388437072</v>
      </c>
      <c r="E461" s="19">
        <v>549.39890388437084</v>
      </c>
      <c r="F461" s="21">
        <v>-1.1142900000000001E-12</v>
      </c>
      <c r="G461" s="21">
        <v>-4.0934000000000001E-14</v>
      </c>
      <c r="H461" s="26" t="s">
        <v>74</v>
      </c>
    </row>
    <row r="462" spans="1:8" ht="28" hidden="1" customHeight="1" outlineLevel="1" x14ac:dyDescent="0.35">
      <c r="A462" s="2" t="s">
        <v>505</v>
      </c>
      <c r="B462" s="2" t="s">
        <v>73</v>
      </c>
      <c r="C462" s="17">
        <v>20</v>
      </c>
      <c r="D462" s="17">
        <v>20</v>
      </c>
      <c r="E462" s="17">
        <v>20</v>
      </c>
      <c r="F462" s="4">
        <v>0</v>
      </c>
      <c r="G462" s="4">
        <v>0</v>
      </c>
      <c r="H462" s="27" t="s">
        <v>74</v>
      </c>
    </row>
    <row r="463" spans="1:8" ht="28" hidden="1" customHeight="1" outlineLevel="1" x14ac:dyDescent="0.35">
      <c r="A463" s="3" t="s">
        <v>506</v>
      </c>
      <c r="B463" s="3" t="s">
        <v>76</v>
      </c>
      <c r="C463" s="19">
        <v>236.64500833640579</v>
      </c>
      <c r="D463" s="19">
        <v>236.64500833640599</v>
      </c>
      <c r="E463" s="19">
        <v>236.64500833640599</v>
      </c>
      <c r="F463" s="21">
        <v>-2.025E-13</v>
      </c>
      <c r="G463" s="21">
        <v>2.5000000000999999E-15</v>
      </c>
      <c r="H463" s="26" t="s">
        <v>74</v>
      </c>
    </row>
    <row r="464" spans="1:8" ht="28" hidden="1" customHeight="1" outlineLevel="1" x14ac:dyDescent="0.35">
      <c r="A464" s="2" t="s">
        <v>507</v>
      </c>
      <c r="B464" s="2" t="s">
        <v>78</v>
      </c>
      <c r="C464" s="20">
        <v>117.81985081837681</v>
      </c>
      <c r="D464" s="20">
        <v>117.81985081837681</v>
      </c>
      <c r="E464" s="20">
        <v>117.81985081837681</v>
      </c>
      <c r="F464" s="21">
        <v>-3.9150000000000002E-14</v>
      </c>
      <c r="G464" s="21">
        <v>-9.5000000000000005E-15</v>
      </c>
      <c r="H464" s="27" t="s">
        <v>74</v>
      </c>
    </row>
    <row r="465" spans="1:8" ht="28" hidden="1" customHeight="1" outlineLevel="1" x14ac:dyDescent="0.35">
      <c r="A465" s="3" t="s">
        <v>508</v>
      </c>
      <c r="B465" s="3" t="s">
        <v>80</v>
      </c>
      <c r="C465" s="18">
        <v>35</v>
      </c>
      <c r="D465" s="18">
        <v>35</v>
      </c>
      <c r="E465" s="18">
        <v>35</v>
      </c>
      <c r="F465" s="4">
        <v>0</v>
      </c>
      <c r="G465" s="4">
        <v>0</v>
      </c>
      <c r="H465" s="26" t="s">
        <v>74</v>
      </c>
    </row>
    <row r="466" spans="1:8" ht="28" hidden="1" customHeight="1" outlineLevel="1" x14ac:dyDescent="0.35">
      <c r="A466" s="2" t="s">
        <v>509</v>
      </c>
      <c r="B466" s="2" t="s">
        <v>82</v>
      </c>
      <c r="C466" s="20">
        <v>707.04185306304771</v>
      </c>
      <c r="D466" s="20">
        <v>707.04185306304896</v>
      </c>
      <c r="E466" s="20">
        <v>707.04185306304907</v>
      </c>
      <c r="F466" s="21">
        <v>-1.32489E-12</v>
      </c>
      <c r="G466" s="21">
        <v>-5.8833999999899997E-14</v>
      </c>
      <c r="H466" s="27" t="s">
        <v>74</v>
      </c>
    </row>
    <row r="467" spans="1:8" ht="28" hidden="1" customHeight="1" outlineLevel="1" x14ac:dyDescent="0.35">
      <c r="A467" s="3" t="s">
        <v>510</v>
      </c>
      <c r="B467" s="3" t="s">
        <v>84</v>
      </c>
      <c r="C467" s="19">
        <v>431.57905306599281</v>
      </c>
      <c r="D467" s="19">
        <v>431.57905306599389</v>
      </c>
      <c r="E467" s="19">
        <v>431.57905306599389</v>
      </c>
      <c r="F467" s="21">
        <v>-1.0872899999999999E-12</v>
      </c>
      <c r="G467" s="21">
        <v>-3.1433999999900002E-14</v>
      </c>
      <c r="H467" s="26" t="s">
        <v>74</v>
      </c>
    </row>
    <row r="468" spans="1:8" ht="28" hidden="1" customHeight="1" outlineLevel="1" x14ac:dyDescent="0.35">
      <c r="A468" s="2" t="s">
        <v>511</v>
      </c>
      <c r="B468" s="2" t="s">
        <v>86</v>
      </c>
      <c r="C468" s="17">
        <v>55</v>
      </c>
      <c r="D468" s="17">
        <v>55</v>
      </c>
      <c r="E468" s="17">
        <v>55</v>
      </c>
      <c r="F468" s="4">
        <v>0</v>
      </c>
      <c r="G468" s="4">
        <v>0</v>
      </c>
      <c r="H468" s="27" t="s">
        <v>74</v>
      </c>
    </row>
    <row r="469" spans="1:8" ht="28" hidden="1" customHeight="1" outlineLevel="1" x14ac:dyDescent="0.35">
      <c r="A469" s="3" t="s">
        <v>512</v>
      </c>
      <c r="B469" s="3" t="s">
        <v>88</v>
      </c>
      <c r="C469" s="19">
        <v>943.68686139945351</v>
      </c>
      <c r="D469" s="19">
        <v>943.68686139945498</v>
      </c>
      <c r="E469" s="19">
        <v>943.6868613994551</v>
      </c>
      <c r="F469" s="21">
        <v>-1.52739E-12</v>
      </c>
      <c r="G469" s="21">
        <v>-5.6333999999999998E-14</v>
      </c>
      <c r="H469" s="26" t="s">
        <v>74</v>
      </c>
    </row>
    <row r="470" spans="1:8" ht="28" hidden="1" customHeight="1" outlineLevel="1" x14ac:dyDescent="0.35">
      <c r="A470" s="2" t="s">
        <v>513</v>
      </c>
      <c r="B470" s="2" t="s">
        <v>90</v>
      </c>
      <c r="C470" s="20">
        <v>549.3989038843697</v>
      </c>
      <c r="D470" s="20">
        <v>549.39890388437072</v>
      </c>
      <c r="E470" s="20">
        <v>549.39890388437084</v>
      </c>
      <c r="F470" s="21">
        <v>-1.1142900000000001E-12</v>
      </c>
      <c r="G470" s="21">
        <v>-4.0934000000000001E-14</v>
      </c>
      <c r="H470" s="27" t="s">
        <v>74</v>
      </c>
    </row>
    <row r="471" spans="1:8" ht="28" hidden="1" customHeight="1" outlineLevel="1" x14ac:dyDescent="0.35">
      <c r="A471" s="3" t="s">
        <v>514</v>
      </c>
      <c r="B471" s="3" t="s">
        <v>73</v>
      </c>
      <c r="C471" s="18">
        <v>76</v>
      </c>
      <c r="D471" s="18">
        <v>76</v>
      </c>
      <c r="E471" s="18">
        <v>76</v>
      </c>
      <c r="F471" s="4">
        <v>0</v>
      </c>
      <c r="G471" s="4">
        <v>0</v>
      </c>
      <c r="H471" s="26" t="s">
        <v>74</v>
      </c>
    </row>
    <row r="472" spans="1:8" ht="28" hidden="1" customHeight="1" outlineLevel="1" x14ac:dyDescent="0.35">
      <c r="A472" s="2" t="s">
        <v>515</v>
      </c>
      <c r="B472" s="2" t="s">
        <v>76</v>
      </c>
      <c r="C472" s="20">
        <v>137.39538440153521</v>
      </c>
      <c r="D472" s="20">
        <v>137.39538440153569</v>
      </c>
      <c r="E472" s="20">
        <v>137.39538440153581</v>
      </c>
      <c r="F472" s="21">
        <v>-5.2650000000000003E-13</v>
      </c>
      <c r="G472" s="21">
        <v>-2.3500000000000001E-14</v>
      </c>
      <c r="H472" s="27" t="s">
        <v>74</v>
      </c>
    </row>
    <row r="473" spans="1:8" ht="28" hidden="1" customHeight="1" outlineLevel="1" x14ac:dyDescent="0.35">
      <c r="A473" s="3" t="s">
        <v>516</v>
      </c>
      <c r="B473" s="3" t="s">
        <v>78</v>
      </c>
      <c r="C473" s="19">
        <v>136.30599380153521</v>
      </c>
      <c r="D473" s="19">
        <v>136.30599380153569</v>
      </c>
      <c r="E473" s="19">
        <v>136.30599380153569</v>
      </c>
      <c r="F473" s="21">
        <v>-5.1300000000000004E-13</v>
      </c>
      <c r="G473" s="21">
        <v>-3.5000000000000001E-15</v>
      </c>
      <c r="H473" s="26" t="s">
        <v>74</v>
      </c>
    </row>
    <row r="474" spans="1:8" ht="28" hidden="1" customHeight="1" outlineLevel="1" x14ac:dyDescent="0.35">
      <c r="A474" s="2" t="s">
        <v>517</v>
      </c>
      <c r="B474" s="2" t="s">
        <v>80</v>
      </c>
      <c r="C474" s="17">
        <v>89775</v>
      </c>
      <c r="D474" s="17">
        <v>89775</v>
      </c>
      <c r="E474" s="17">
        <v>89775</v>
      </c>
      <c r="F474" s="4">
        <v>0</v>
      </c>
      <c r="G474" s="4">
        <v>0</v>
      </c>
      <c r="H474" s="27" t="s">
        <v>74</v>
      </c>
    </row>
    <row r="475" spans="1:8" ht="28" hidden="1" customHeight="1" outlineLevel="1" x14ac:dyDescent="0.35">
      <c r="A475" s="3" t="s">
        <v>518</v>
      </c>
      <c r="B475" s="3" t="s">
        <v>82</v>
      </c>
      <c r="C475" s="19">
        <v>104098.6797643014</v>
      </c>
      <c r="D475" s="19">
        <v>104098.6797642976</v>
      </c>
      <c r="E475" s="19">
        <v>104098.6797642977</v>
      </c>
      <c r="F475" s="21">
        <v>3.7210724999999998E-9</v>
      </c>
      <c r="G475" s="21">
        <v>-6.1323749999999995E-11</v>
      </c>
      <c r="H475" s="26" t="s">
        <v>74</v>
      </c>
    </row>
    <row r="476" spans="1:8" ht="28" hidden="1" customHeight="1" outlineLevel="1" x14ac:dyDescent="0.35">
      <c r="A476" s="2" t="s">
        <v>519</v>
      </c>
      <c r="B476" s="2" t="s">
        <v>84</v>
      </c>
      <c r="C476" s="20">
        <v>101809.3603180576</v>
      </c>
      <c r="D476" s="20">
        <v>101809.36031805399</v>
      </c>
      <c r="E476" s="20">
        <v>101809.36031805399</v>
      </c>
      <c r="F476" s="21">
        <v>3.60733473E-9</v>
      </c>
      <c r="G476" s="21">
        <v>-5.8314974000000005E-11</v>
      </c>
      <c r="H476" s="27" t="s">
        <v>74</v>
      </c>
    </row>
    <row r="477" spans="1:8" ht="28" hidden="1" customHeight="1" outlineLevel="1" x14ac:dyDescent="0.35">
      <c r="A477" s="3" t="s">
        <v>520</v>
      </c>
      <c r="B477" s="3" t="s">
        <v>86</v>
      </c>
      <c r="C477" s="18">
        <v>89851</v>
      </c>
      <c r="D477" s="18">
        <v>89851</v>
      </c>
      <c r="E477" s="18">
        <v>89851</v>
      </c>
      <c r="F477" s="4">
        <v>0</v>
      </c>
      <c r="G477" s="4">
        <v>0</v>
      </c>
      <c r="H477" s="26" t="s">
        <v>74</v>
      </c>
    </row>
    <row r="478" spans="1:8" ht="28" hidden="1" customHeight="1" outlineLevel="1" x14ac:dyDescent="0.35">
      <c r="A478" s="2" t="s">
        <v>521</v>
      </c>
      <c r="B478" s="2" t="s">
        <v>88</v>
      </c>
      <c r="C478" s="20">
        <v>104236.0751487029</v>
      </c>
      <c r="D478" s="20">
        <v>104236.07514869919</v>
      </c>
      <c r="E478" s="20">
        <v>104236.07514869919</v>
      </c>
      <c r="F478" s="21">
        <v>3.7232459999999999E-9</v>
      </c>
      <c r="G478" s="21">
        <v>-6.1347250000000002E-11</v>
      </c>
      <c r="H478" s="27" t="s">
        <v>74</v>
      </c>
    </row>
    <row r="479" spans="1:8" ht="28" hidden="1" customHeight="1" outlineLevel="1" x14ac:dyDescent="0.35">
      <c r="A479" s="3" t="s">
        <v>522</v>
      </c>
      <c r="B479" s="3" t="s">
        <v>90</v>
      </c>
      <c r="C479" s="19">
        <v>101945.6663118591</v>
      </c>
      <c r="D479" s="19">
        <v>101945.6663118555</v>
      </c>
      <c r="E479" s="19">
        <v>101945.6663118556</v>
      </c>
      <c r="F479" s="21">
        <v>3.6081582299999998E-9</v>
      </c>
      <c r="G479" s="21">
        <v>-5.8318473999999997E-11</v>
      </c>
      <c r="H479" s="26" t="s">
        <v>74</v>
      </c>
    </row>
    <row r="480" spans="1:8" ht="28" hidden="1" customHeight="1" outlineLevel="1" x14ac:dyDescent="0.35">
      <c r="A480" s="2" t="s">
        <v>523</v>
      </c>
      <c r="B480" s="2" t="s">
        <v>80</v>
      </c>
      <c r="C480" s="17">
        <v>201</v>
      </c>
      <c r="D480" s="17">
        <v>201</v>
      </c>
      <c r="E480" s="17">
        <v>201</v>
      </c>
      <c r="F480" s="4">
        <v>0</v>
      </c>
      <c r="G480" s="4">
        <v>0</v>
      </c>
      <c r="H480" s="27" t="s">
        <v>74</v>
      </c>
    </row>
    <row r="481" spans="1:8" ht="28" hidden="1" customHeight="1" outlineLevel="1" x14ac:dyDescent="0.35">
      <c r="A481" s="3" t="s">
        <v>524</v>
      </c>
      <c r="B481" s="3" t="s">
        <v>82</v>
      </c>
      <c r="C481" s="19">
        <v>471.54302374525651</v>
      </c>
      <c r="D481" s="19">
        <v>471.54302374525702</v>
      </c>
      <c r="E481" s="19">
        <v>471.54302374525707</v>
      </c>
      <c r="F481" s="21">
        <v>-5.5350000000000001E-13</v>
      </c>
      <c r="G481" s="21">
        <v>-1.5399999999999999E-14</v>
      </c>
      <c r="H481" s="26" t="s">
        <v>74</v>
      </c>
    </row>
    <row r="482" spans="1:8" ht="28" hidden="1" customHeight="1" outlineLevel="1" x14ac:dyDescent="0.35">
      <c r="A482" s="2" t="s">
        <v>525</v>
      </c>
      <c r="B482" s="2" t="s">
        <v>84</v>
      </c>
      <c r="C482" s="20">
        <v>471.54302374525651</v>
      </c>
      <c r="D482" s="20">
        <v>471.54302374525702</v>
      </c>
      <c r="E482" s="20">
        <v>471.54302374525707</v>
      </c>
      <c r="F482" s="21">
        <v>-5.5350000000000001E-13</v>
      </c>
      <c r="G482" s="21">
        <v>-1.5399999999999999E-14</v>
      </c>
      <c r="H482" s="27" t="s">
        <v>74</v>
      </c>
    </row>
    <row r="483" spans="1:8" ht="28" hidden="1" customHeight="1" outlineLevel="1" x14ac:dyDescent="0.35">
      <c r="A483" s="3" t="s">
        <v>526</v>
      </c>
      <c r="B483" s="3" t="s">
        <v>86</v>
      </c>
      <c r="C483" s="18">
        <v>201</v>
      </c>
      <c r="D483" s="18">
        <v>201</v>
      </c>
      <c r="E483" s="18">
        <v>201</v>
      </c>
      <c r="F483" s="4">
        <v>0</v>
      </c>
      <c r="G483" s="4">
        <v>0</v>
      </c>
      <c r="H483" s="26" t="s">
        <v>74</v>
      </c>
    </row>
    <row r="484" spans="1:8" ht="28" hidden="1" customHeight="1" outlineLevel="1" x14ac:dyDescent="0.35">
      <c r="A484" s="2" t="s">
        <v>527</v>
      </c>
      <c r="B484" s="2" t="s">
        <v>88</v>
      </c>
      <c r="C484" s="20">
        <v>471.54302374525651</v>
      </c>
      <c r="D484" s="20">
        <v>471.54302374525702</v>
      </c>
      <c r="E484" s="20">
        <v>471.54302374525707</v>
      </c>
      <c r="F484" s="21">
        <v>-5.5350000000000001E-13</v>
      </c>
      <c r="G484" s="21">
        <v>-1.5399999999999999E-14</v>
      </c>
      <c r="H484" s="27" t="s">
        <v>74</v>
      </c>
    </row>
    <row r="485" spans="1:8" ht="28" hidden="1" customHeight="1" outlineLevel="1" x14ac:dyDescent="0.35">
      <c r="A485" s="3" t="s">
        <v>528</v>
      </c>
      <c r="B485" s="3" t="s">
        <v>90</v>
      </c>
      <c r="C485" s="19">
        <v>471.54302374525651</v>
      </c>
      <c r="D485" s="19">
        <v>471.54302374525702</v>
      </c>
      <c r="E485" s="19">
        <v>471.54302374525707</v>
      </c>
      <c r="F485" s="21">
        <v>-5.5350000000000001E-13</v>
      </c>
      <c r="G485" s="21">
        <v>-1.5399999999999999E-14</v>
      </c>
      <c r="H485" s="26" t="s">
        <v>74</v>
      </c>
    </row>
    <row r="486" spans="1:8" ht="28" hidden="1" customHeight="1" outlineLevel="1" x14ac:dyDescent="0.35">
      <c r="A486" s="2" t="s">
        <v>529</v>
      </c>
      <c r="B486" s="2" t="s">
        <v>73</v>
      </c>
      <c r="C486" s="17">
        <v>76</v>
      </c>
      <c r="D486" s="17">
        <v>76</v>
      </c>
      <c r="E486" s="17">
        <v>76</v>
      </c>
      <c r="F486" s="4">
        <v>0</v>
      </c>
      <c r="G486" s="4">
        <v>0</v>
      </c>
      <c r="H486" s="27" t="s">
        <v>74</v>
      </c>
    </row>
    <row r="487" spans="1:8" ht="28" hidden="1" customHeight="1" outlineLevel="1" x14ac:dyDescent="0.35">
      <c r="A487" s="3" t="s">
        <v>530</v>
      </c>
      <c r="B487" s="3" t="s">
        <v>76</v>
      </c>
      <c r="C487" s="19">
        <v>137.39538440153521</v>
      </c>
      <c r="D487" s="19">
        <v>137.39538440153569</v>
      </c>
      <c r="E487" s="19">
        <v>137.39538440153581</v>
      </c>
      <c r="F487" s="21">
        <v>-5.2650000000000003E-13</v>
      </c>
      <c r="G487" s="21">
        <v>-2.3500000000000001E-14</v>
      </c>
      <c r="H487" s="26" t="s">
        <v>74</v>
      </c>
    </row>
    <row r="488" spans="1:8" ht="28" hidden="1" customHeight="1" outlineLevel="1" x14ac:dyDescent="0.35">
      <c r="A488" s="2" t="s">
        <v>531</v>
      </c>
      <c r="B488" s="2" t="s">
        <v>78</v>
      </c>
      <c r="C488" s="20">
        <v>136.30599380153521</v>
      </c>
      <c r="D488" s="20">
        <v>136.30599380153569</v>
      </c>
      <c r="E488" s="20">
        <v>136.30599380153569</v>
      </c>
      <c r="F488" s="21">
        <v>-5.1300000000000004E-13</v>
      </c>
      <c r="G488" s="21">
        <v>-3.5000000000000001E-15</v>
      </c>
      <c r="H488" s="27" t="s">
        <v>74</v>
      </c>
    </row>
    <row r="489" spans="1:8" ht="28" hidden="1" customHeight="1" outlineLevel="1" x14ac:dyDescent="0.35">
      <c r="A489" s="3" t="s">
        <v>532</v>
      </c>
      <c r="B489" s="3" t="s">
        <v>80</v>
      </c>
      <c r="C489" s="18">
        <v>89976</v>
      </c>
      <c r="D489" s="18">
        <v>89976</v>
      </c>
      <c r="E489" s="18">
        <v>89976</v>
      </c>
      <c r="F489" s="4">
        <v>0</v>
      </c>
      <c r="G489" s="4">
        <v>0</v>
      </c>
      <c r="H489" s="26" t="s">
        <v>74</v>
      </c>
    </row>
    <row r="490" spans="1:8" ht="28" hidden="1" customHeight="1" outlineLevel="1" x14ac:dyDescent="0.35">
      <c r="A490" s="2" t="s">
        <v>533</v>
      </c>
      <c r="B490" s="2" t="s">
        <v>82</v>
      </c>
      <c r="C490" s="20">
        <v>104570.22278804659</v>
      </c>
      <c r="D490" s="20">
        <v>104570.2227880429</v>
      </c>
      <c r="E490" s="20">
        <v>104570.2227880429</v>
      </c>
      <c r="F490" s="21">
        <v>3.7299825000000004E-9</v>
      </c>
      <c r="G490" s="21">
        <v>-6.1339150000000005E-11</v>
      </c>
      <c r="H490" s="27" t="s">
        <v>74</v>
      </c>
    </row>
    <row r="491" spans="1:8" ht="28" hidden="1" customHeight="1" outlineLevel="1" x14ac:dyDescent="0.35">
      <c r="A491" s="3" t="s">
        <v>534</v>
      </c>
      <c r="B491" s="3" t="s">
        <v>84</v>
      </c>
      <c r="C491" s="19">
        <v>102280.9033418029</v>
      </c>
      <c r="D491" s="19">
        <v>102280.9033417992</v>
      </c>
      <c r="E491" s="19">
        <v>102280.90334179931</v>
      </c>
      <c r="F491" s="21">
        <v>3.6162447300000001E-9</v>
      </c>
      <c r="G491" s="21">
        <v>-5.8330374000000003E-11</v>
      </c>
      <c r="H491" s="26" t="s">
        <v>74</v>
      </c>
    </row>
    <row r="492" spans="1:8" ht="28" hidden="1" customHeight="1" outlineLevel="1" x14ac:dyDescent="0.35">
      <c r="A492" s="2" t="s">
        <v>535</v>
      </c>
      <c r="B492" s="2" t="s">
        <v>86</v>
      </c>
      <c r="C492" s="17">
        <v>90052</v>
      </c>
      <c r="D492" s="17">
        <v>90052</v>
      </c>
      <c r="E492" s="17">
        <v>90052</v>
      </c>
      <c r="F492" s="4">
        <v>0</v>
      </c>
      <c r="G492" s="4">
        <v>0</v>
      </c>
      <c r="H492" s="27" t="s">
        <v>74</v>
      </c>
    </row>
    <row r="493" spans="1:8" ht="28" hidden="1" customHeight="1" outlineLevel="1" x14ac:dyDescent="0.35">
      <c r="A493" s="3" t="s">
        <v>536</v>
      </c>
      <c r="B493" s="3" t="s">
        <v>88</v>
      </c>
      <c r="C493" s="19">
        <v>104707.6181724482</v>
      </c>
      <c r="D493" s="19">
        <v>104707.6181724444</v>
      </c>
      <c r="E493" s="19">
        <v>104707.61817244451</v>
      </c>
      <c r="F493" s="21">
        <v>3.7308059999999998E-9</v>
      </c>
      <c r="G493" s="21">
        <v>-6.136265E-11</v>
      </c>
      <c r="H493" s="26" t="s">
        <v>74</v>
      </c>
    </row>
    <row r="494" spans="1:8" ht="28" hidden="1" customHeight="1" outlineLevel="1" x14ac:dyDescent="0.35">
      <c r="A494" s="2" t="s">
        <v>537</v>
      </c>
      <c r="B494" s="2" t="s">
        <v>90</v>
      </c>
      <c r="C494" s="20">
        <v>102417.20933560441</v>
      </c>
      <c r="D494" s="20">
        <v>102417.2093356008</v>
      </c>
      <c r="E494" s="20">
        <v>102417.2093356008</v>
      </c>
      <c r="F494" s="21">
        <v>3.6157182300000002E-9</v>
      </c>
      <c r="G494" s="21">
        <v>-5.8333873999999994E-11</v>
      </c>
      <c r="H494" s="27" t="s">
        <v>74</v>
      </c>
    </row>
    <row r="495" spans="1:8" ht="28" hidden="1" customHeight="1" outlineLevel="1" x14ac:dyDescent="0.35">
      <c r="A495" s="3" t="s">
        <v>538</v>
      </c>
      <c r="B495" s="3" t="s">
        <v>73</v>
      </c>
      <c r="C495" s="18">
        <v>76</v>
      </c>
      <c r="D495" s="18">
        <v>76</v>
      </c>
      <c r="E495" s="18">
        <v>76</v>
      </c>
      <c r="F495" s="4">
        <v>0</v>
      </c>
      <c r="G495" s="4">
        <v>0</v>
      </c>
      <c r="H495" s="26" t="s">
        <v>74</v>
      </c>
    </row>
    <row r="496" spans="1:8" ht="28" hidden="1" customHeight="1" outlineLevel="1" x14ac:dyDescent="0.35">
      <c r="A496" s="2" t="s">
        <v>539</v>
      </c>
      <c r="B496" s="2" t="s">
        <v>76</v>
      </c>
      <c r="C496" s="20">
        <v>137.39538440153521</v>
      </c>
      <c r="D496" s="20">
        <v>137.39538440153569</v>
      </c>
      <c r="E496" s="20">
        <v>137.39538440153581</v>
      </c>
      <c r="F496" s="21">
        <v>-5.2650000000000003E-13</v>
      </c>
      <c r="G496" s="21">
        <v>-2.3500000000000001E-14</v>
      </c>
      <c r="H496" s="27" t="s">
        <v>74</v>
      </c>
    </row>
    <row r="497" spans="1:8" ht="28" hidden="1" customHeight="1" outlineLevel="1" x14ac:dyDescent="0.35">
      <c r="A497" s="3" t="s">
        <v>540</v>
      </c>
      <c r="B497" s="3" t="s">
        <v>78</v>
      </c>
      <c r="C497" s="19">
        <v>136.30599380153521</v>
      </c>
      <c r="D497" s="19">
        <v>136.30599380153569</v>
      </c>
      <c r="E497" s="19">
        <v>136.30599380153569</v>
      </c>
      <c r="F497" s="21">
        <v>-5.1300000000000004E-13</v>
      </c>
      <c r="G497" s="21">
        <v>-3.5000000000000001E-15</v>
      </c>
      <c r="H497" s="26" t="s">
        <v>74</v>
      </c>
    </row>
    <row r="498" spans="1:8" ht="28" hidden="1" customHeight="1" outlineLevel="1" x14ac:dyDescent="0.35">
      <c r="A498" s="2" t="s">
        <v>541</v>
      </c>
      <c r="B498" s="2" t="s">
        <v>80</v>
      </c>
      <c r="C498" s="17">
        <v>89775</v>
      </c>
      <c r="D498" s="17">
        <v>89775</v>
      </c>
      <c r="E498" s="17">
        <v>89775</v>
      </c>
      <c r="F498" s="4">
        <v>0</v>
      </c>
      <c r="G498" s="4">
        <v>0</v>
      </c>
      <c r="H498" s="27" t="s">
        <v>74</v>
      </c>
    </row>
    <row r="499" spans="1:8" ht="28" hidden="1" customHeight="1" outlineLevel="1" x14ac:dyDescent="0.35">
      <c r="A499" s="3" t="s">
        <v>542</v>
      </c>
      <c r="B499" s="3" t="s">
        <v>82</v>
      </c>
      <c r="C499" s="19">
        <v>104098.6797643014</v>
      </c>
      <c r="D499" s="19">
        <v>104098.6797642976</v>
      </c>
      <c r="E499" s="19">
        <v>104098.6797642977</v>
      </c>
      <c r="F499" s="21">
        <v>3.7210724999999998E-9</v>
      </c>
      <c r="G499" s="21">
        <v>-6.1323749999999995E-11</v>
      </c>
      <c r="H499" s="26" t="s">
        <v>74</v>
      </c>
    </row>
    <row r="500" spans="1:8" ht="28" hidden="1" customHeight="1" outlineLevel="1" x14ac:dyDescent="0.35">
      <c r="A500" s="2" t="s">
        <v>543</v>
      </c>
      <c r="B500" s="2" t="s">
        <v>84</v>
      </c>
      <c r="C500" s="20">
        <v>101809.3603180576</v>
      </c>
      <c r="D500" s="20">
        <v>101809.36031805399</v>
      </c>
      <c r="E500" s="20">
        <v>101809.36031805399</v>
      </c>
      <c r="F500" s="21">
        <v>3.60733473E-9</v>
      </c>
      <c r="G500" s="21">
        <v>-5.8314974000000005E-11</v>
      </c>
      <c r="H500" s="27" t="s">
        <v>74</v>
      </c>
    </row>
    <row r="501" spans="1:8" ht="28" hidden="1" customHeight="1" outlineLevel="1" x14ac:dyDescent="0.35">
      <c r="A501" s="3" t="s">
        <v>544</v>
      </c>
      <c r="B501" s="3" t="s">
        <v>86</v>
      </c>
      <c r="C501" s="18">
        <v>89851</v>
      </c>
      <c r="D501" s="18">
        <v>89851</v>
      </c>
      <c r="E501" s="18">
        <v>89851</v>
      </c>
      <c r="F501" s="4">
        <v>0</v>
      </c>
      <c r="G501" s="4">
        <v>0</v>
      </c>
      <c r="H501" s="26" t="s">
        <v>74</v>
      </c>
    </row>
    <row r="502" spans="1:8" ht="28" hidden="1" customHeight="1" outlineLevel="1" x14ac:dyDescent="0.35">
      <c r="A502" s="2" t="s">
        <v>545</v>
      </c>
      <c r="B502" s="2" t="s">
        <v>88</v>
      </c>
      <c r="C502" s="20">
        <v>104236.0751487029</v>
      </c>
      <c r="D502" s="20">
        <v>104236.07514869919</v>
      </c>
      <c r="E502" s="20">
        <v>104236.07514869919</v>
      </c>
      <c r="F502" s="21">
        <v>3.7232459999999999E-9</v>
      </c>
      <c r="G502" s="21">
        <v>-6.1347250000000002E-11</v>
      </c>
      <c r="H502" s="27" t="s">
        <v>74</v>
      </c>
    </row>
    <row r="503" spans="1:8" ht="28" hidden="1" customHeight="1" outlineLevel="1" x14ac:dyDescent="0.35">
      <c r="A503" s="3" t="s">
        <v>546</v>
      </c>
      <c r="B503" s="3" t="s">
        <v>90</v>
      </c>
      <c r="C503" s="19">
        <v>101945.6663118591</v>
      </c>
      <c r="D503" s="19">
        <v>101945.6663118555</v>
      </c>
      <c r="E503" s="19">
        <v>101945.6663118556</v>
      </c>
      <c r="F503" s="21">
        <v>3.6081582299999998E-9</v>
      </c>
      <c r="G503" s="21">
        <v>-5.8318473999999997E-11</v>
      </c>
      <c r="H503" s="26" t="s">
        <v>74</v>
      </c>
    </row>
    <row r="504" spans="1:8" ht="28" hidden="1" customHeight="1" outlineLevel="1" x14ac:dyDescent="0.35">
      <c r="A504" s="2" t="s">
        <v>547</v>
      </c>
      <c r="B504" s="2" t="s">
        <v>80</v>
      </c>
      <c r="C504" s="17">
        <v>201</v>
      </c>
      <c r="D504" s="17">
        <v>201</v>
      </c>
      <c r="E504" s="17">
        <v>201</v>
      </c>
      <c r="F504" s="4">
        <v>0</v>
      </c>
      <c r="G504" s="4">
        <v>0</v>
      </c>
      <c r="H504" s="27" t="s">
        <v>74</v>
      </c>
    </row>
    <row r="505" spans="1:8" ht="28" hidden="1" customHeight="1" outlineLevel="1" x14ac:dyDescent="0.35">
      <c r="A505" s="3" t="s">
        <v>548</v>
      </c>
      <c r="B505" s="3" t="s">
        <v>82</v>
      </c>
      <c r="C505" s="19">
        <v>471.54302374525651</v>
      </c>
      <c r="D505" s="19">
        <v>471.54302374525702</v>
      </c>
      <c r="E505" s="19">
        <v>471.54302374525707</v>
      </c>
      <c r="F505" s="21">
        <v>-5.5350000000000001E-13</v>
      </c>
      <c r="G505" s="21">
        <v>-1.5399999999999999E-14</v>
      </c>
      <c r="H505" s="26" t="s">
        <v>74</v>
      </c>
    </row>
    <row r="506" spans="1:8" ht="28" hidden="1" customHeight="1" outlineLevel="1" x14ac:dyDescent="0.35">
      <c r="A506" s="2" t="s">
        <v>549</v>
      </c>
      <c r="B506" s="2" t="s">
        <v>84</v>
      </c>
      <c r="C506" s="20">
        <v>471.54302374525651</v>
      </c>
      <c r="D506" s="20">
        <v>471.54302374525702</v>
      </c>
      <c r="E506" s="20">
        <v>471.54302374525707</v>
      </c>
      <c r="F506" s="21">
        <v>-5.5350000000000001E-13</v>
      </c>
      <c r="G506" s="21">
        <v>-1.5399999999999999E-14</v>
      </c>
      <c r="H506" s="27" t="s">
        <v>74</v>
      </c>
    </row>
    <row r="507" spans="1:8" ht="28" hidden="1" customHeight="1" outlineLevel="1" x14ac:dyDescent="0.35">
      <c r="A507" s="3" t="s">
        <v>550</v>
      </c>
      <c r="B507" s="3" t="s">
        <v>86</v>
      </c>
      <c r="C507" s="18">
        <v>201</v>
      </c>
      <c r="D507" s="18">
        <v>201</v>
      </c>
      <c r="E507" s="18">
        <v>201</v>
      </c>
      <c r="F507" s="4">
        <v>0</v>
      </c>
      <c r="G507" s="4">
        <v>0</v>
      </c>
      <c r="H507" s="26" t="s">
        <v>74</v>
      </c>
    </row>
    <row r="508" spans="1:8" ht="28" hidden="1" customHeight="1" outlineLevel="1" x14ac:dyDescent="0.35">
      <c r="A508" s="2" t="s">
        <v>551</v>
      </c>
      <c r="B508" s="2" t="s">
        <v>88</v>
      </c>
      <c r="C508" s="20">
        <v>471.54302374525651</v>
      </c>
      <c r="D508" s="20">
        <v>471.54302374525702</v>
      </c>
      <c r="E508" s="20">
        <v>471.54302374525707</v>
      </c>
      <c r="F508" s="21">
        <v>-5.5350000000000001E-13</v>
      </c>
      <c r="G508" s="21">
        <v>-1.5399999999999999E-14</v>
      </c>
      <c r="H508" s="27" t="s">
        <v>74</v>
      </c>
    </row>
    <row r="509" spans="1:8" ht="28" hidden="1" customHeight="1" outlineLevel="1" x14ac:dyDescent="0.35">
      <c r="A509" s="3" t="s">
        <v>552</v>
      </c>
      <c r="B509" s="3" t="s">
        <v>90</v>
      </c>
      <c r="C509" s="19">
        <v>471.54302374525651</v>
      </c>
      <c r="D509" s="19">
        <v>471.54302374525702</v>
      </c>
      <c r="E509" s="19">
        <v>471.54302374525707</v>
      </c>
      <c r="F509" s="21">
        <v>-5.5350000000000001E-13</v>
      </c>
      <c r="G509" s="21">
        <v>-1.5399999999999999E-14</v>
      </c>
      <c r="H509" s="26" t="s">
        <v>74</v>
      </c>
    </row>
    <row r="510" spans="1:8" ht="28" hidden="1" customHeight="1" outlineLevel="1" x14ac:dyDescent="0.35">
      <c r="A510" s="2" t="s">
        <v>553</v>
      </c>
      <c r="B510" s="2" t="s">
        <v>73</v>
      </c>
      <c r="C510" s="17">
        <v>76</v>
      </c>
      <c r="D510" s="17">
        <v>76</v>
      </c>
      <c r="E510" s="17">
        <v>76</v>
      </c>
      <c r="F510" s="4">
        <v>0</v>
      </c>
      <c r="G510" s="4">
        <v>0</v>
      </c>
      <c r="H510" s="27" t="s">
        <v>74</v>
      </c>
    </row>
    <row r="511" spans="1:8" ht="28" hidden="1" customHeight="1" outlineLevel="1" x14ac:dyDescent="0.35">
      <c r="A511" s="3" t="s">
        <v>554</v>
      </c>
      <c r="B511" s="3" t="s">
        <v>76</v>
      </c>
      <c r="C511" s="19">
        <v>137.39538440153521</v>
      </c>
      <c r="D511" s="19">
        <v>137.39538440153569</v>
      </c>
      <c r="E511" s="19">
        <v>137.39538440153581</v>
      </c>
      <c r="F511" s="21">
        <v>-5.2650000000000003E-13</v>
      </c>
      <c r="G511" s="21">
        <v>-2.3500000000000001E-14</v>
      </c>
      <c r="H511" s="26" t="s">
        <v>74</v>
      </c>
    </row>
    <row r="512" spans="1:8" ht="28" hidden="1" customHeight="1" outlineLevel="1" x14ac:dyDescent="0.35">
      <c r="A512" s="2" t="s">
        <v>555</v>
      </c>
      <c r="B512" s="2" t="s">
        <v>78</v>
      </c>
      <c r="C512" s="20">
        <v>136.30599380153521</v>
      </c>
      <c r="D512" s="20">
        <v>136.30599380153569</v>
      </c>
      <c r="E512" s="20">
        <v>136.30599380153569</v>
      </c>
      <c r="F512" s="21">
        <v>-5.1300000000000004E-13</v>
      </c>
      <c r="G512" s="21">
        <v>-3.5000000000000001E-15</v>
      </c>
      <c r="H512" s="27" t="s">
        <v>74</v>
      </c>
    </row>
    <row r="513" spans="1:8" ht="28" hidden="1" customHeight="1" outlineLevel="1" x14ac:dyDescent="0.35">
      <c r="A513" s="3" t="s">
        <v>556</v>
      </c>
      <c r="B513" s="3" t="s">
        <v>80</v>
      </c>
      <c r="C513" s="18">
        <v>89976</v>
      </c>
      <c r="D513" s="18">
        <v>89976</v>
      </c>
      <c r="E513" s="18">
        <v>89976</v>
      </c>
      <c r="F513" s="4">
        <v>0</v>
      </c>
      <c r="G513" s="4">
        <v>0</v>
      </c>
      <c r="H513" s="26" t="s">
        <v>74</v>
      </c>
    </row>
    <row r="514" spans="1:8" ht="28" hidden="1" customHeight="1" outlineLevel="1" x14ac:dyDescent="0.35">
      <c r="A514" s="2" t="s">
        <v>557</v>
      </c>
      <c r="B514" s="2" t="s">
        <v>82</v>
      </c>
      <c r="C514" s="20">
        <v>104570.22278804659</v>
      </c>
      <c r="D514" s="20">
        <v>104570.2227880429</v>
      </c>
      <c r="E514" s="20">
        <v>104570.2227880429</v>
      </c>
      <c r="F514" s="21">
        <v>3.7299825000000004E-9</v>
      </c>
      <c r="G514" s="21">
        <v>-6.1339150000000005E-11</v>
      </c>
      <c r="H514" s="27" t="s">
        <v>74</v>
      </c>
    </row>
    <row r="515" spans="1:8" ht="28" hidden="1" customHeight="1" outlineLevel="1" x14ac:dyDescent="0.35">
      <c r="A515" s="3" t="s">
        <v>558</v>
      </c>
      <c r="B515" s="3" t="s">
        <v>84</v>
      </c>
      <c r="C515" s="19">
        <v>102280.9033418029</v>
      </c>
      <c r="D515" s="19">
        <v>102280.9033417992</v>
      </c>
      <c r="E515" s="19">
        <v>102280.90334179931</v>
      </c>
      <c r="F515" s="21">
        <v>3.6162447300000001E-9</v>
      </c>
      <c r="G515" s="21">
        <v>-5.8330374000000003E-11</v>
      </c>
      <c r="H515" s="26" t="s">
        <v>74</v>
      </c>
    </row>
    <row r="516" spans="1:8" ht="28" hidden="1" customHeight="1" outlineLevel="1" x14ac:dyDescent="0.35">
      <c r="A516" s="2" t="s">
        <v>559</v>
      </c>
      <c r="B516" s="2" t="s">
        <v>86</v>
      </c>
      <c r="C516" s="17">
        <v>90052</v>
      </c>
      <c r="D516" s="17">
        <v>90052</v>
      </c>
      <c r="E516" s="17">
        <v>90052</v>
      </c>
      <c r="F516" s="4">
        <v>0</v>
      </c>
      <c r="G516" s="4">
        <v>0</v>
      </c>
      <c r="H516" s="27" t="s">
        <v>74</v>
      </c>
    </row>
    <row r="517" spans="1:8" ht="28" hidden="1" customHeight="1" outlineLevel="1" x14ac:dyDescent="0.35">
      <c r="A517" s="3" t="s">
        <v>560</v>
      </c>
      <c r="B517" s="3" t="s">
        <v>88</v>
      </c>
      <c r="C517" s="19">
        <v>104707.6181724482</v>
      </c>
      <c r="D517" s="19">
        <v>104707.6181724444</v>
      </c>
      <c r="E517" s="19">
        <v>104707.61817244451</v>
      </c>
      <c r="F517" s="21">
        <v>3.7308059999999998E-9</v>
      </c>
      <c r="G517" s="21">
        <v>-6.136265E-11</v>
      </c>
      <c r="H517" s="26" t="s">
        <v>74</v>
      </c>
    </row>
    <row r="518" spans="1:8" ht="28" hidden="1" customHeight="1" outlineLevel="1" x14ac:dyDescent="0.35">
      <c r="A518" s="2" t="s">
        <v>561</v>
      </c>
      <c r="B518" s="2" t="s">
        <v>90</v>
      </c>
      <c r="C518" s="20">
        <v>102417.20933560441</v>
      </c>
      <c r="D518" s="20">
        <v>102417.2093356008</v>
      </c>
      <c r="E518" s="20">
        <v>102417.2093356008</v>
      </c>
      <c r="F518" s="21">
        <v>3.6157182300000002E-9</v>
      </c>
      <c r="G518" s="21">
        <v>-5.8333873999999994E-11</v>
      </c>
      <c r="H518" s="27" t="s">
        <v>74</v>
      </c>
    </row>
    <row r="519" spans="1:8" ht="28" hidden="1" customHeight="1" outlineLevel="1" x14ac:dyDescent="0.35">
      <c r="A519" s="3" t="s">
        <v>562</v>
      </c>
      <c r="B519" s="3" t="s">
        <v>73</v>
      </c>
      <c r="C519" s="18">
        <v>76</v>
      </c>
      <c r="D519" s="18">
        <v>76</v>
      </c>
      <c r="E519" s="18">
        <v>76</v>
      </c>
      <c r="F519" s="4">
        <v>0</v>
      </c>
      <c r="G519" s="4">
        <v>0</v>
      </c>
      <c r="H519" s="26" t="s">
        <v>74</v>
      </c>
    </row>
    <row r="520" spans="1:8" ht="28" hidden="1" customHeight="1" outlineLevel="1" x14ac:dyDescent="0.35">
      <c r="A520" s="2" t="s">
        <v>563</v>
      </c>
      <c r="B520" s="2" t="s">
        <v>76</v>
      </c>
      <c r="C520" s="20">
        <v>137.39538440153521</v>
      </c>
      <c r="D520" s="20">
        <v>137.39538440153569</v>
      </c>
      <c r="E520" s="20">
        <v>137.39538440153581</v>
      </c>
      <c r="F520" s="21">
        <v>-5.2650000000000003E-13</v>
      </c>
      <c r="G520" s="21">
        <v>-2.3500000000000001E-14</v>
      </c>
      <c r="H520" s="27" t="s">
        <v>74</v>
      </c>
    </row>
    <row r="521" spans="1:8" ht="28" hidden="1" customHeight="1" outlineLevel="1" x14ac:dyDescent="0.35">
      <c r="A521" s="3" t="s">
        <v>564</v>
      </c>
      <c r="B521" s="3" t="s">
        <v>78</v>
      </c>
      <c r="C521" s="19">
        <v>136.30599380153521</v>
      </c>
      <c r="D521" s="19">
        <v>136.30599380153569</v>
      </c>
      <c r="E521" s="19">
        <v>136.30599380153569</v>
      </c>
      <c r="F521" s="21">
        <v>-5.1300000000000004E-13</v>
      </c>
      <c r="G521" s="21">
        <v>-3.5000000000000001E-15</v>
      </c>
      <c r="H521" s="26" t="s">
        <v>74</v>
      </c>
    </row>
    <row r="522" spans="1:8" ht="28" hidden="1" customHeight="1" outlineLevel="1" x14ac:dyDescent="0.35">
      <c r="A522" s="2" t="s">
        <v>565</v>
      </c>
      <c r="B522" s="2" t="s">
        <v>80</v>
      </c>
      <c r="C522" s="17">
        <v>89775</v>
      </c>
      <c r="D522" s="17">
        <v>89775</v>
      </c>
      <c r="E522" s="17">
        <v>89775</v>
      </c>
      <c r="F522" s="4">
        <v>0</v>
      </c>
      <c r="G522" s="4">
        <v>0</v>
      </c>
      <c r="H522" s="27" t="s">
        <v>74</v>
      </c>
    </row>
    <row r="523" spans="1:8" ht="28" hidden="1" customHeight="1" outlineLevel="1" x14ac:dyDescent="0.35">
      <c r="A523" s="3" t="s">
        <v>566</v>
      </c>
      <c r="B523" s="3" t="s">
        <v>82</v>
      </c>
      <c r="C523" s="19">
        <v>104098.6797643014</v>
      </c>
      <c r="D523" s="19">
        <v>104098.6797642976</v>
      </c>
      <c r="E523" s="19">
        <v>104098.6797642977</v>
      </c>
      <c r="F523" s="21">
        <v>3.7210724999999998E-9</v>
      </c>
      <c r="G523" s="21">
        <v>-6.1323749999999995E-11</v>
      </c>
      <c r="H523" s="26" t="s">
        <v>74</v>
      </c>
    </row>
    <row r="524" spans="1:8" ht="28" hidden="1" customHeight="1" outlineLevel="1" x14ac:dyDescent="0.35">
      <c r="A524" s="2" t="s">
        <v>567</v>
      </c>
      <c r="B524" s="2" t="s">
        <v>84</v>
      </c>
      <c r="C524" s="20">
        <v>101809.3603180576</v>
      </c>
      <c r="D524" s="20">
        <v>101809.36031805399</v>
      </c>
      <c r="E524" s="20">
        <v>101809.36031805399</v>
      </c>
      <c r="F524" s="21">
        <v>3.60733473E-9</v>
      </c>
      <c r="G524" s="21">
        <v>-5.8314974000000005E-11</v>
      </c>
      <c r="H524" s="27" t="s">
        <v>74</v>
      </c>
    </row>
    <row r="525" spans="1:8" ht="28" hidden="1" customHeight="1" outlineLevel="1" x14ac:dyDescent="0.35">
      <c r="A525" s="3" t="s">
        <v>568</v>
      </c>
      <c r="B525" s="3" t="s">
        <v>86</v>
      </c>
      <c r="C525" s="18">
        <v>89851</v>
      </c>
      <c r="D525" s="18">
        <v>89851</v>
      </c>
      <c r="E525" s="18">
        <v>89851</v>
      </c>
      <c r="F525" s="4">
        <v>0</v>
      </c>
      <c r="G525" s="4">
        <v>0</v>
      </c>
      <c r="H525" s="26" t="s">
        <v>74</v>
      </c>
    </row>
    <row r="526" spans="1:8" ht="28" hidden="1" customHeight="1" outlineLevel="1" x14ac:dyDescent="0.35">
      <c r="A526" s="2" t="s">
        <v>569</v>
      </c>
      <c r="B526" s="2" t="s">
        <v>88</v>
      </c>
      <c r="C526" s="20">
        <v>104236.0751487029</v>
      </c>
      <c r="D526" s="20">
        <v>104236.07514869919</v>
      </c>
      <c r="E526" s="20">
        <v>104236.07514869919</v>
      </c>
      <c r="F526" s="21">
        <v>3.7232459999999999E-9</v>
      </c>
      <c r="G526" s="21">
        <v>-6.1347250000000002E-11</v>
      </c>
      <c r="H526" s="27" t="s">
        <v>74</v>
      </c>
    </row>
    <row r="527" spans="1:8" ht="28" hidden="1" customHeight="1" outlineLevel="1" x14ac:dyDescent="0.35">
      <c r="A527" s="3" t="s">
        <v>570</v>
      </c>
      <c r="B527" s="3" t="s">
        <v>90</v>
      </c>
      <c r="C527" s="19">
        <v>101945.6663118591</v>
      </c>
      <c r="D527" s="19">
        <v>101945.6663118555</v>
      </c>
      <c r="E527" s="19">
        <v>101945.6663118556</v>
      </c>
      <c r="F527" s="21">
        <v>3.6081582299999998E-9</v>
      </c>
      <c r="G527" s="21">
        <v>-5.8318473999999997E-11</v>
      </c>
      <c r="H527" s="26" t="s">
        <v>74</v>
      </c>
    </row>
    <row r="528" spans="1:8" ht="28" hidden="1" customHeight="1" outlineLevel="1" x14ac:dyDescent="0.35">
      <c r="A528" s="2" t="s">
        <v>571</v>
      </c>
      <c r="B528" s="2" t="s">
        <v>73</v>
      </c>
      <c r="C528" s="17">
        <v>76</v>
      </c>
      <c r="D528" s="17">
        <v>76</v>
      </c>
      <c r="E528" s="17">
        <v>76</v>
      </c>
      <c r="F528" s="4">
        <v>0</v>
      </c>
      <c r="G528" s="4">
        <v>0</v>
      </c>
      <c r="H528" s="27" t="s">
        <v>74</v>
      </c>
    </row>
    <row r="529" spans="1:8" ht="28" hidden="1" customHeight="1" outlineLevel="1" x14ac:dyDescent="0.35">
      <c r="A529" s="3" t="s">
        <v>572</v>
      </c>
      <c r="B529" s="3" t="s">
        <v>76</v>
      </c>
      <c r="C529" s="19">
        <v>137.39538440153521</v>
      </c>
      <c r="D529" s="19">
        <v>137.39538440153569</v>
      </c>
      <c r="E529" s="19">
        <v>137.39538440153581</v>
      </c>
      <c r="F529" s="21">
        <v>-5.2650000000000003E-13</v>
      </c>
      <c r="G529" s="21">
        <v>-2.3500000000000001E-14</v>
      </c>
      <c r="H529" s="26" t="s">
        <v>74</v>
      </c>
    </row>
    <row r="530" spans="1:8" ht="28" hidden="1" customHeight="1" outlineLevel="1" x14ac:dyDescent="0.35">
      <c r="A530" s="2" t="s">
        <v>573</v>
      </c>
      <c r="B530" s="2" t="s">
        <v>78</v>
      </c>
      <c r="C530" s="20">
        <v>136.30599380153521</v>
      </c>
      <c r="D530" s="20">
        <v>136.30599380153569</v>
      </c>
      <c r="E530" s="20">
        <v>136.30599380153569</v>
      </c>
      <c r="F530" s="21">
        <v>-5.1300000000000004E-13</v>
      </c>
      <c r="G530" s="21">
        <v>-3.5000000000000001E-15</v>
      </c>
      <c r="H530" s="27" t="s">
        <v>74</v>
      </c>
    </row>
    <row r="531" spans="1:8" ht="28" hidden="1" customHeight="1" outlineLevel="1" x14ac:dyDescent="0.35">
      <c r="A531" s="3" t="s">
        <v>574</v>
      </c>
      <c r="B531" s="3" t="s">
        <v>80</v>
      </c>
      <c r="C531" s="18">
        <v>89775</v>
      </c>
      <c r="D531" s="18">
        <v>89775</v>
      </c>
      <c r="E531" s="18">
        <v>89775</v>
      </c>
      <c r="F531" s="4">
        <v>0</v>
      </c>
      <c r="G531" s="4">
        <v>0</v>
      </c>
      <c r="H531" s="26" t="s">
        <v>74</v>
      </c>
    </row>
    <row r="532" spans="1:8" ht="28" hidden="1" customHeight="1" outlineLevel="1" x14ac:dyDescent="0.35">
      <c r="A532" s="2" t="s">
        <v>575</v>
      </c>
      <c r="B532" s="2" t="s">
        <v>82</v>
      </c>
      <c r="C532" s="20">
        <v>104098.6797643014</v>
      </c>
      <c r="D532" s="20">
        <v>104098.6797642976</v>
      </c>
      <c r="E532" s="20">
        <v>104098.6797642977</v>
      </c>
      <c r="F532" s="21">
        <v>3.7210724999999998E-9</v>
      </c>
      <c r="G532" s="21">
        <v>-6.1323749999999995E-11</v>
      </c>
      <c r="H532" s="27" t="s">
        <v>74</v>
      </c>
    </row>
    <row r="533" spans="1:8" ht="28" hidden="1" customHeight="1" outlineLevel="1" x14ac:dyDescent="0.35">
      <c r="A533" s="3" t="s">
        <v>576</v>
      </c>
      <c r="B533" s="3" t="s">
        <v>84</v>
      </c>
      <c r="C533" s="19">
        <v>101809.3603180576</v>
      </c>
      <c r="D533" s="19">
        <v>101809.36031805399</v>
      </c>
      <c r="E533" s="19">
        <v>101809.36031805399</v>
      </c>
      <c r="F533" s="21">
        <v>3.60733473E-9</v>
      </c>
      <c r="G533" s="21">
        <v>-5.8314974000000005E-11</v>
      </c>
      <c r="H533" s="26" t="s">
        <v>74</v>
      </c>
    </row>
    <row r="534" spans="1:8" ht="28" hidden="1" customHeight="1" outlineLevel="1" x14ac:dyDescent="0.35">
      <c r="A534" s="2" t="s">
        <v>577</v>
      </c>
      <c r="B534" s="2" t="s">
        <v>86</v>
      </c>
      <c r="C534" s="17">
        <v>89851</v>
      </c>
      <c r="D534" s="17">
        <v>89851</v>
      </c>
      <c r="E534" s="17">
        <v>89851</v>
      </c>
      <c r="F534" s="4">
        <v>0</v>
      </c>
      <c r="G534" s="4">
        <v>0</v>
      </c>
      <c r="H534" s="27" t="s">
        <v>74</v>
      </c>
    </row>
    <row r="535" spans="1:8" ht="28" hidden="1" customHeight="1" outlineLevel="1" x14ac:dyDescent="0.35">
      <c r="A535" s="3" t="s">
        <v>578</v>
      </c>
      <c r="B535" s="3" t="s">
        <v>88</v>
      </c>
      <c r="C535" s="19">
        <v>104236.0751487029</v>
      </c>
      <c r="D535" s="19">
        <v>104236.07514869919</v>
      </c>
      <c r="E535" s="19">
        <v>104236.07514869919</v>
      </c>
      <c r="F535" s="21">
        <v>3.7232459999999999E-9</v>
      </c>
      <c r="G535" s="21">
        <v>-6.1347250000000002E-11</v>
      </c>
      <c r="H535" s="26" t="s">
        <v>74</v>
      </c>
    </row>
    <row r="536" spans="1:8" ht="28" hidden="1" customHeight="1" outlineLevel="1" x14ac:dyDescent="0.35">
      <c r="A536" s="2" t="s">
        <v>579</v>
      </c>
      <c r="B536" s="2" t="s">
        <v>90</v>
      </c>
      <c r="C536" s="20">
        <v>101945.6663118591</v>
      </c>
      <c r="D536" s="20">
        <v>101945.6663118555</v>
      </c>
      <c r="E536" s="20">
        <v>101945.6663118556</v>
      </c>
      <c r="F536" s="21">
        <v>3.6081582299999998E-9</v>
      </c>
      <c r="G536" s="21">
        <v>-5.8318473999999997E-11</v>
      </c>
      <c r="H536" s="27" t="s">
        <v>74</v>
      </c>
    </row>
    <row r="537" spans="1:8" ht="28" hidden="1" customHeight="1" outlineLevel="1" x14ac:dyDescent="0.35">
      <c r="A537" s="3" t="s">
        <v>580</v>
      </c>
      <c r="B537" s="3" t="s">
        <v>80</v>
      </c>
      <c r="C537" s="18">
        <v>201</v>
      </c>
      <c r="D537" s="18">
        <v>201</v>
      </c>
      <c r="E537" s="18">
        <v>201</v>
      </c>
      <c r="F537" s="4">
        <v>0</v>
      </c>
      <c r="G537" s="4">
        <v>0</v>
      </c>
      <c r="H537" s="26" t="s">
        <v>74</v>
      </c>
    </row>
    <row r="538" spans="1:8" ht="28" hidden="1" customHeight="1" outlineLevel="1" x14ac:dyDescent="0.35">
      <c r="A538" s="2" t="s">
        <v>581</v>
      </c>
      <c r="B538" s="2" t="s">
        <v>82</v>
      </c>
      <c r="C538" s="20">
        <v>471.54302374525651</v>
      </c>
      <c r="D538" s="20">
        <v>471.54302374525702</v>
      </c>
      <c r="E538" s="20">
        <v>471.54302374525707</v>
      </c>
      <c r="F538" s="21">
        <v>-5.5350000000000001E-13</v>
      </c>
      <c r="G538" s="21">
        <v>-1.5399999999999999E-14</v>
      </c>
      <c r="H538" s="27" t="s">
        <v>74</v>
      </c>
    </row>
    <row r="539" spans="1:8" ht="28" hidden="1" customHeight="1" outlineLevel="1" x14ac:dyDescent="0.35">
      <c r="A539" s="3" t="s">
        <v>582</v>
      </c>
      <c r="B539" s="3" t="s">
        <v>84</v>
      </c>
      <c r="C539" s="19">
        <v>471.54302374525651</v>
      </c>
      <c r="D539" s="19">
        <v>471.54302374525702</v>
      </c>
      <c r="E539" s="19">
        <v>471.54302374525707</v>
      </c>
      <c r="F539" s="21">
        <v>-5.5350000000000001E-13</v>
      </c>
      <c r="G539" s="21">
        <v>-1.5399999999999999E-14</v>
      </c>
      <c r="H539" s="26" t="s">
        <v>74</v>
      </c>
    </row>
    <row r="540" spans="1:8" ht="28" hidden="1" customHeight="1" outlineLevel="1" x14ac:dyDescent="0.35">
      <c r="A540" s="2" t="s">
        <v>583</v>
      </c>
      <c r="B540" s="2" t="s">
        <v>86</v>
      </c>
      <c r="C540" s="17">
        <v>201</v>
      </c>
      <c r="D540" s="17">
        <v>201</v>
      </c>
      <c r="E540" s="17">
        <v>201</v>
      </c>
      <c r="F540" s="4">
        <v>0</v>
      </c>
      <c r="G540" s="4">
        <v>0</v>
      </c>
      <c r="H540" s="27" t="s">
        <v>74</v>
      </c>
    </row>
    <row r="541" spans="1:8" ht="28" hidden="1" customHeight="1" outlineLevel="1" x14ac:dyDescent="0.35">
      <c r="A541" s="3" t="s">
        <v>584</v>
      </c>
      <c r="B541" s="3" t="s">
        <v>88</v>
      </c>
      <c r="C541" s="19">
        <v>471.54302374525651</v>
      </c>
      <c r="D541" s="19">
        <v>471.54302374525702</v>
      </c>
      <c r="E541" s="19">
        <v>471.54302374525707</v>
      </c>
      <c r="F541" s="21">
        <v>-5.5350000000000001E-13</v>
      </c>
      <c r="G541" s="21">
        <v>-1.5399999999999999E-14</v>
      </c>
      <c r="H541" s="26" t="s">
        <v>74</v>
      </c>
    </row>
    <row r="542" spans="1:8" ht="28" hidden="1" customHeight="1" outlineLevel="1" x14ac:dyDescent="0.35">
      <c r="A542" s="2" t="s">
        <v>585</v>
      </c>
      <c r="B542" s="2" t="s">
        <v>90</v>
      </c>
      <c r="C542" s="20">
        <v>471.54302374525651</v>
      </c>
      <c r="D542" s="20">
        <v>471.54302374525702</v>
      </c>
      <c r="E542" s="20">
        <v>471.54302374525707</v>
      </c>
      <c r="F542" s="21">
        <v>-5.5350000000000001E-13</v>
      </c>
      <c r="G542" s="21">
        <v>-1.5399999999999999E-14</v>
      </c>
      <c r="H542" s="27" t="s">
        <v>74</v>
      </c>
    </row>
    <row r="543" spans="1:8" ht="28" hidden="1" customHeight="1" outlineLevel="1" x14ac:dyDescent="0.35">
      <c r="A543" s="3" t="s">
        <v>586</v>
      </c>
      <c r="B543" s="3" t="s">
        <v>73</v>
      </c>
      <c r="C543" s="18">
        <v>0</v>
      </c>
      <c r="D543" s="18">
        <v>0</v>
      </c>
      <c r="E543" s="18">
        <v>0</v>
      </c>
      <c r="F543" s="4">
        <v>0</v>
      </c>
      <c r="G543" s="4">
        <v>0</v>
      </c>
      <c r="H543" s="26" t="s">
        <v>74</v>
      </c>
    </row>
    <row r="544" spans="1:8" ht="28" hidden="1" customHeight="1" outlineLevel="1" x14ac:dyDescent="0.35">
      <c r="A544" s="2" t="s">
        <v>587</v>
      </c>
      <c r="B544" s="2" t="s">
        <v>76</v>
      </c>
      <c r="C544" s="20">
        <v>0</v>
      </c>
      <c r="D544" s="20">
        <v>0</v>
      </c>
      <c r="E544" s="20">
        <v>0</v>
      </c>
      <c r="F544" s="21">
        <v>0</v>
      </c>
      <c r="G544" s="21">
        <v>0</v>
      </c>
      <c r="H544" s="27" t="s">
        <v>74</v>
      </c>
    </row>
    <row r="545" spans="1:8" ht="28" hidden="1" customHeight="1" outlineLevel="1" x14ac:dyDescent="0.35">
      <c r="A545" s="3" t="s">
        <v>588</v>
      </c>
      <c r="B545" s="3" t="s">
        <v>78</v>
      </c>
      <c r="C545" s="19">
        <v>0</v>
      </c>
      <c r="D545" s="19">
        <v>0</v>
      </c>
      <c r="E545" s="19">
        <v>0</v>
      </c>
      <c r="F545" s="21">
        <v>0</v>
      </c>
      <c r="G545" s="21">
        <v>0</v>
      </c>
      <c r="H545" s="26" t="s">
        <v>74</v>
      </c>
    </row>
    <row r="546" spans="1:8" ht="28" hidden="1" customHeight="1" outlineLevel="1" x14ac:dyDescent="0.35">
      <c r="A546" s="2" t="s">
        <v>589</v>
      </c>
      <c r="B546" s="2" t="s">
        <v>80</v>
      </c>
      <c r="C546" s="17">
        <v>201</v>
      </c>
      <c r="D546" s="17">
        <v>201</v>
      </c>
      <c r="E546" s="17">
        <v>201</v>
      </c>
      <c r="F546" s="4">
        <v>0</v>
      </c>
      <c r="G546" s="4">
        <v>0</v>
      </c>
      <c r="H546" s="27" t="s">
        <v>74</v>
      </c>
    </row>
    <row r="547" spans="1:8" ht="28" hidden="1" customHeight="1" outlineLevel="1" x14ac:dyDescent="0.35">
      <c r="A547" s="3" t="s">
        <v>590</v>
      </c>
      <c r="B547" s="3" t="s">
        <v>82</v>
      </c>
      <c r="C547" s="19">
        <v>471.54302374525651</v>
      </c>
      <c r="D547" s="19">
        <v>471.54302374525702</v>
      </c>
      <c r="E547" s="19">
        <v>471.54302374525707</v>
      </c>
      <c r="F547" s="21">
        <v>-5.5350000000000001E-13</v>
      </c>
      <c r="G547" s="21">
        <v>-1.5399999999999999E-14</v>
      </c>
      <c r="H547" s="26" t="s">
        <v>74</v>
      </c>
    </row>
    <row r="548" spans="1:8" ht="28" hidden="1" customHeight="1" outlineLevel="1" x14ac:dyDescent="0.35">
      <c r="A548" s="2" t="s">
        <v>591</v>
      </c>
      <c r="B548" s="2" t="s">
        <v>84</v>
      </c>
      <c r="C548" s="20">
        <v>471.54302374525651</v>
      </c>
      <c r="D548" s="20">
        <v>471.54302374525702</v>
      </c>
      <c r="E548" s="20">
        <v>471.54302374525707</v>
      </c>
      <c r="F548" s="21">
        <v>-5.5350000000000001E-13</v>
      </c>
      <c r="G548" s="21">
        <v>-1.5399999999999999E-14</v>
      </c>
      <c r="H548" s="27" t="s">
        <v>74</v>
      </c>
    </row>
    <row r="549" spans="1:8" ht="28" hidden="1" customHeight="1" outlineLevel="1" x14ac:dyDescent="0.35">
      <c r="A549" s="3" t="s">
        <v>592</v>
      </c>
      <c r="B549" s="3" t="s">
        <v>86</v>
      </c>
      <c r="C549" s="18">
        <v>201</v>
      </c>
      <c r="D549" s="18">
        <v>201</v>
      </c>
      <c r="E549" s="18">
        <v>201</v>
      </c>
      <c r="F549" s="4">
        <v>0</v>
      </c>
      <c r="G549" s="4">
        <v>0</v>
      </c>
      <c r="H549" s="26" t="s">
        <v>74</v>
      </c>
    </row>
    <row r="550" spans="1:8" ht="28" hidden="1" customHeight="1" outlineLevel="1" x14ac:dyDescent="0.35">
      <c r="A550" s="2" t="s">
        <v>593</v>
      </c>
      <c r="B550" s="2" t="s">
        <v>88</v>
      </c>
      <c r="C550" s="20">
        <v>471.54302374525651</v>
      </c>
      <c r="D550" s="20">
        <v>471.54302374525702</v>
      </c>
      <c r="E550" s="20">
        <v>471.54302374525707</v>
      </c>
      <c r="F550" s="21">
        <v>-5.5350000000000001E-13</v>
      </c>
      <c r="G550" s="21">
        <v>-1.5399999999999999E-14</v>
      </c>
      <c r="H550" s="27" t="s">
        <v>74</v>
      </c>
    </row>
    <row r="551" spans="1:8" ht="28" hidden="1" customHeight="1" outlineLevel="1" x14ac:dyDescent="0.35">
      <c r="A551" s="3" t="s">
        <v>594</v>
      </c>
      <c r="B551" s="3" t="s">
        <v>90</v>
      </c>
      <c r="C551" s="19">
        <v>471.54302374525651</v>
      </c>
      <c r="D551" s="19">
        <v>471.54302374525702</v>
      </c>
      <c r="E551" s="19">
        <v>471.54302374525707</v>
      </c>
      <c r="F551" s="21">
        <v>-5.5350000000000001E-13</v>
      </c>
      <c r="G551" s="21">
        <v>-1.5399999999999999E-14</v>
      </c>
      <c r="H551" s="26" t="s">
        <v>74</v>
      </c>
    </row>
    <row r="552" spans="1:8" ht="28" hidden="1" customHeight="1" outlineLevel="1" x14ac:dyDescent="0.35">
      <c r="A552" s="2" t="s">
        <v>595</v>
      </c>
      <c r="B552" s="2" t="s">
        <v>80</v>
      </c>
      <c r="C552" s="17">
        <v>201</v>
      </c>
      <c r="D552" s="17">
        <v>201</v>
      </c>
      <c r="E552" s="17">
        <v>201</v>
      </c>
      <c r="F552" s="4">
        <v>0</v>
      </c>
      <c r="G552" s="4">
        <v>0</v>
      </c>
      <c r="H552" s="27" t="s">
        <v>74</v>
      </c>
    </row>
    <row r="553" spans="1:8" ht="28" hidden="1" customHeight="1" outlineLevel="1" x14ac:dyDescent="0.35">
      <c r="A553" s="3" t="s">
        <v>596</v>
      </c>
      <c r="B553" s="3" t="s">
        <v>82</v>
      </c>
      <c r="C553" s="19">
        <v>471.54302374525651</v>
      </c>
      <c r="D553" s="19">
        <v>471.54302374525702</v>
      </c>
      <c r="E553" s="19">
        <v>471.54302374525707</v>
      </c>
      <c r="F553" s="21">
        <v>-5.5350000000000001E-13</v>
      </c>
      <c r="G553" s="21">
        <v>-1.5399999999999999E-14</v>
      </c>
      <c r="H553" s="26" t="s">
        <v>74</v>
      </c>
    </row>
    <row r="554" spans="1:8" ht="28" hidden="1" customHeight="1" outlineLevel="1" x14ac:dyDescent="0.35">
      <c r="A554" s="2" t="s">
        <v>597</v>
      </c>
      <c r="B554" s="2" t="s">
        <v>84</v>
      </c>
      <c r="C554" s="20">
        <v>471.54302374525651</v>
      </c>
      <c r="D554" s="20">
        <v>471.54302374525702</v>
      </c>
      <c r="E554" s="20">
        <v>471.54302374525707</v>
      </c>
      <c r="F554" s="21">
        <v>-5.5350000000000001E-13</v>
      </c>
      <c r="G554" s="21">
        <v>-1.5399999999999999E-14</v>
      </c>
      <c r="H554" s="27" t="s">
        <v>74</v>
      </c>
    </row>
    <row r="555" spans="1:8" ht="28" hidden="1" customHeight="1" outlineLevel="1" x14ac:dyDescent="0.35">
      <c r="A555" s="3" t="s">
        <v>598</v>
      </c>
      <c r="B555" s="3" t="s">
        <v>86</v>
      </c>
      <c r="C555" s="18">
        <v>201</v>
      </c>
      <c r="D555" s="18">
        <v>201</v>
      </c>
      <c r="E555" s="18">
        <v>201</v>
      </c>
      <c r="F555" s="4">
        <v>0</v>
      </c>
      <c r="G555" s="4">
        <v>0</v>
      </c>
      <c r="H555" s="26" t="s">
        <v>74</v>
      </c>
    </row>
    <row r="556" spans="1:8" ht="28" hidden="1" customHeight="1" outlineLevel="1" x14ac:dyDescent="0.35">
      <c r="A556" s="2" t="s">
        <v>599</v>
      </c>
      <c r="B556" s="2" t="s">
        <v>88</v>
      </c>
      <c r="C556" s="20">
        <v>471.54302374525651</v>
      </c>
      <c r="D556" s="20">
        <v>471.54302374525702</v>
      </c>
      <c r="E556" s="20">
        <v>471.54302374525707</v>
      </c>
      <c r="F556" s="21">
        <v>-5.5350000000000001E-13</v>
      </c>
      <c r="G556" s="21">
        <v>-1.5399999999999999E-14</v>
      </c>
      <c r="H556" s="27" t="s">
        <v>74</v>
      </c>
    </row>
    <row r="557" spans="1:8" ht="28" hidden="1" customHeight="1" outlineLevel="1" x14ac:dyDescent="0.35">
      <c r="A557" s="3" t="s">
        <v>600</v>
      </c>
      <c r="B557" s="3" t="s">
        <v>90</v>
      </c>
      <c r="C557" s="19">
        <v>471.54302374525651</v>
      </c>
      <c r="D557" s="19">
        <v>471.54302374525702</v>
      </c>
      <c r="E557" s="19">
        <v>471.54302374525707</v>
      </c>
      <c r="F557" s="21">
        <v>-5.5350000000000001E-13</v>
      </c>
      <c r="G557" s="21">
        <v>-1.5399999999999999E-14</v>
      </c>
      <c r="H557" s="26" t="s">
        <v>74</v>
      </c>
    </row>
    <row r="558" spans="1:8" ht="28" hidden="1" customHeight="1" outlineLevel="1" x14ac:dyDescent="0.35">
      <c r="A558" s="2" t="s">
        <v>601</v>
      </c>
      <c r="B558" s="2" t="s">
        <v>73</v>
      </c>
      <c r="C558" s="17">
        <v>0</v>
      </c>
      <c r="D558" s="17">
        <v>0</v>
      </c>
      <c r="E558" s="17">
        <v>0</v>
      </c>
      <c r="F558" s="4">
        <v>0</v>
      </c>
      <c r="G558" s="4">
        <v>0</v>
      </c>
      <c r="H558" s="27" t="s">
        <v>74</v>
      </c>
    </row>
    <row r="559" spans="1:8" ht="28" hidden="1" customHeight="1" outlineLevel="1" x14ac:dyDescent="0.35">
      <c r="A559" s="3" t="s">
        <v>602</v>
      </c>
      <c r="B559" s="3" t="s">
        <v>76</v>
      </c>
      <c r="C559" s="19">
        <v>0</v>
      </c>
      <c r="D559" s="19">
        <v>0</v>
      </c>
      <c r="E559" s="19">
        <v>0</v>
      </c>
      <c r="F559" s="21">
        <v>0</v>
      </c>
      <c r="G559" s="21">
        <v>0</v>
      </c>
      <c r="H559" s="26" t="s">
        <v>74</v>
      </c>
    </row>
    <row r="560" spans="1:8" ht="28" hidden="1" customHeight="1" outlineLevel="1" x14ac:dyDescent="0.35">
      <c r="A560" s="2" t="s">
        <v>603</v>
      </c>
      <c r="B560" s="2" t="s">
        <v>78</v>
      </c>
      <c r="C560" s="20">
        <v>0</v>
      </c>
      <c r="D560" s="20">
        <v>0</v>
      </c>
      <c r="E560" s="20">
        <v>0</v>
      </c>
      <c r="F560" s="21">
        <v>0</v>
      </c>
      <c r="G560" s="21">
        <v>0</v>
      </c>
      <c r="H560" s="27" t="s">
        <v>74</v>
      </c>
    </row>
    <row r="561" spans="1:8" ht="28" hidden="1" customHeight="1" outlineLevel="1" x14ac:dyDescent="0.35">
      <c r="A561" s="3" t="s">
        <v>604</v>
      </c>
      <c r="B561" s="3" t="s">
        <v>80</v>
      </c>
      <c r="C561" s="18">
        <v>201</v>
      </c>
      <c r="D561" s="18">
        <v>201</v>
      </c>
      <c r="E561" s="18">
        <v>201</v>
      </c>
      <c r="F561" s="4">
        <v>0</v>
      </c>
      <c r="G561" s="4">
        <v>0</v>
      </c>
      <c r="H561" s="26" t="s">
        <v>74</v>
      </c>
    </row>
    <row r="562" spans="1:8" ht="28" hidden="1" customHeight="1" outlineLevel="1" x14ac:dyDescent="0.35">
      <c r="A562" s="2" t="s">
        <v>605</v>
      </c>
      <c r="B562" s="2" t="s">
        <v>82</v>
      </c>
      <c r="C562" s="20">
        <v>471.54302374525651</v>
      </c>
      <c r="D562" s="20">
        <v>471.54302374525702</v>
      </c>
      <c r="E562" s="20">
        <v>471.54302374525707</v>
      </c>
      <c r="F562" s="21">
        <v>-5.5350000000000001E-13</v>
      </c>
      <c r="G562" s="21">
        <v>-1.5399999999999999E-14</v>
      </c>
      <c r="H562" s="27" t="s">
        <v>74</v>
      </c>
    </row>
    <row r="563" spans="1:8" ht="28" hidden="1" customHeight="1" outlineLevel="1" x14ac:dyDescent="0.35">
      <c r="A563" s="3" t="s">
        <v>606</v>
      </c>
      <c r="B563" s="3" t="s">
        <v>84</v>
      </c>
      <c r="C563" s="19">
        <v>471.54302374525651</v>
      </c>
      <c r="D563" s="19">
        <v>471.54302374525702</v>
      </c>
      <c r="E563" s="19">
        <v>471.54302374525707</v>
      </c>
      <c r="F563" s="21">
        <v>-5.5350000000000001E-13</v>
      </c>
      <c r="G563" s="21">
        <v>-1.5399999999999999E-14</v>
      </c>
      <c r="H563" s="26" t="s">
        <v>74</v>
      </c>
    </row>
    <row r="564" spans="1:8" ht="28" hidden="1" customHeight="1" outlineLevel="1" x14ac:dyDescent="0.35">
      <c r="A564" s="2" t="s">
        <v>607</v>
      </c>
      <c r="B564" s="2" t="s">
        <v>86</v>
      </c>
      <c r="C564" s="17">
        <v>201</v>
      </c>
      <c r="D564" s="17">
        <v>201</v>
      </c>
      <c r="E564" s="17">
        <v>201</v>
      </c>
      <c r="F564" s="4">
        <v>0</v>
      </c>
      <c r="G564" s="4">
        <v>0</v>
      </c>
      <c r="H564" s="27" t="s">
        <v>74</v>
      </c>
    </row>
    <row r="565" spans="1:8" ht="28" hidden="1" customHeight="1" outlineLevel="1" x14ac:dyDescent="0.35">
      <c r="A565" s="3" t="s">
        <v>608</v>
      </c>
      <c r="B565" s="3" t="s">
        <v>88</v>
      </c>
      <c r="C565" s="19">
        <v>471.54302374525651</v>
      </c>
      <c r="D565" s="19">
        <v>471.54302374525702</v>
      </c>
      <c r="E565" s="19">
        <v>471.54302374525707</v>
      </c>
      <c r="F565" s="21">
        <v>-5.5350000000000001E-13</v>
      </c>
      <c r="G565" s="21">
        <v>-1.5399999999999999E-14</v>
      </c>
      <c r="H565" s="26" t="s">
        <v>74</v>
      </c>
    </row>
    <row r="566" spans="1:8" ht="28" hidden="1" customHeight="1" outlineLevel="1" x14ac:dyDescent="0.35">
      <c r="A566" s="2" t="s">
        <v>609</v>
      </c>
      <c r="B566" s="2" t="s">
        <v>90</v>
      </c>
      <c r="C566" s="20">
        <v>471.54302374525651</v>
      </c>
      <c r="D566" s="20">
        <v>471.54302374525702</v>
      </c>
      <c r="E566" s="20">
        <v>471.54302374525707</v>
      </c>
      <c r="F566" s="21">
        <v>-5.5350000000000001E-13</v>
      </c>
      <c r="G566" s="21">
        <v>-1.5399999999999999E-14</v>
      </c>
      <c r="H566" s="27" t="s">
        <v>74</v>
      </c>
    </row>
  </sheetData>
  <mergeCells count="14">
    <mergeCell ref="A37:H37"/>
    <mergeCell ref="A27:H27"/>
    <mergeCell ref="B34:H34"/>
    <mergeCell ref="B31:H31"/>
    <mergeCell ref="A2:H3"/>
    <mergeCell ref="B30:H30"/>
    <mergeCell ref="B33:H33"/>
    <mergeCell ref="A1:H1"/>
    <mergeCell ref="A23:H23"/>
    <mergeCell ref="A26:H26"/>
    <mergeCell ref="B32:H32"/>
    <mergeCell ref="A29:H29"/>
    <mergeCell ref="A25:H25"/>
    <mergeCell ref="A24:H24"/>
  </mergeCells>
  <conditionalFormatting sqref="I6:I20">
    <cfRule type="expression" dxfId="1" priority="1" stopIfTrue="1">
      <formula>IFERROR(AND(COUNT($C6:$E6)=3,IF($B6="Count",AND($C6=$D6,$D6=$E6,$I6=0),AND(ISNUMBER($F6),ISNUMBER($H6),ISNUMBER($I6),ABS($I6)&lt;=0.00001,ABS(($D6-$C6)*1.35)&lt;=0.00001))),FALSE)</formula>
    </cfRule>
    <cfRule type="expression" dxfId="2" priority="2" stopIfTrue="1">
      <formula>NOT(IFERROR(AND(COUNT($C6:$E6)=3,IF($B6="Count",AND($C6=$D6,$D6=$E6,$I6=0),AND(ISNUMBER($F6),ISNUMBER($H6),ISNUMBER($I6),ABS($I6)&lt;=0.00001,ABS(($D6-$C6)*1.35)&lt;=0.00001))),FALSE))</formula>
    </cfRule>
  </conditionalFormatting>
  <hyperlinks>
    <hyperlink ref="B30" r:id="rId1" xr:uid="{00000000-0004-0000-0100-000000000000}"/>
    <hyperlink ref="B31" r:id="rId2" xr:uid="{00000000-0004-0000-0100-000001000000}"/>
    <hyperlink ref="B32" r:id="rId3" xr:uid="{00000000-0004-0000-0100-000002000000}"/>
    <hyperlink ref="B33" r:id="rId4" xr:uid="{00000000-0004-0000-0100-000003000000}"/>
    <hyperlink ref="B34" r:id="rId5" xr:uid="{00000000-0004-0000-0100-000004000000}"/>
  </hyperlinks>
  <pageMargins left="0.75" right="0.75" top="1" bottom="1" header="0.5" footer="0.5"/>
  <pageSetup paperSize="9" fitToHeight="0" orientation="landscape"/>
  <headerFooter>
    <oddFooter>&amp;CBSCR reconciliation | &amp;P of &amp;N</oddFooter>
  </headerFooter>
  <legacyDrawing r:id="rId6"/>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pageSetUpPr fitToPage="1"/>
  </sheetPr>
  <dimension ref="A1:F17"/>
  <sheetViews>
    <sheetView showGridLines="0" workbookViewId="0">
      <pane xSplit="1" ySplit="5" topLeftCell="B6" activePane="bottomRight" state="frozen"/>
      <selection pane="topRight"/>
      <selection pane="bottomLeft"/>
      <selection pane="bottomRight" sqref="A1:F1"/>
    </sheetView>
  </sheetViews>
  <sheetFormatPr defaultRowHeight="14.5" x14ac:dyDescent="0.35"/>
  <cols>
    <col min="1" max="1" width="13" customWidth="1"/>
    <col min="2" max="5" width="25" customWidth="1"/>
    <col min="6" max="6" width="24" customWidth="1"/>
  </cols>
  <sheetData>
    <row r="1" spans="1:6" ht="32" customHeight="1" x14ac:dyDescent="0.55000000000000004">
      <c r="A1" s="28" t="s">
        <v>610</v>
      </c>
      <c r="B1" s="29"/>
      <c r="C1" s="29"/>
      <c r="D1" s="29"/>
      <c r="E1" s="29"/>
      <c r="F1" s="29"/>
    </row>
    <row r="2" spans="1:6" ht="25" customHeight="1" x14ac:dyDescent="0.35">
      <c r="A2" s="30" t="s">
        <v>611</v>
      </c>
      <c r="B2" s="29"/>
      <c r="C2" s="29"/>
      <c r="D2" s="29"/>
      <c r="E2" s="29"/>
      <c r="F2" s="29"/>
    </row>
    <row r="3" spans="1:6" ht="20" customHeight="1" x14ac:dyDescent="0.35">
      <c r="A3" s="29"/>
      <c r="B3" s="29"/>
      <c r="C3" s="29"/>
      <c r="D3" s="29"/>
      <c r="E3" s="29"/>
      <c r="F3" s="29"/>
    </row>
    <row r="5" spans="1:6" ht="40" customHeight="1" x14ac:dyDescent="0.35">
      <c r="A5" s="1" t="s">
        <v>37</v>
      </c>
      <c r="B5" s="1" t="s">
        <v>67</v>
      </c>
      <c r="C5" s="1" t="s">
        <v>68</v>
      </c>
      <c r="D5" s="1" t="s">
        <v>612</v>
      </c>
      <c r="E5" s="1" t="s">
        <v>613</v>
      </c>
      <c r="F5" s="1" t="s">
        <v>614</v>
      </c>
    </row>
    <row r="6" spans="1:6" ht="28" customHeight="1" x14ac:dyDescent="0.35">
      <c r="A6" s="2" t="s">
        <v>44</v>
      </c>
      <c r="B6" s="4">
        <v>5341</v>
      </c>
      <c r="C6" s="4">
        <v>5341</v>
      </c>
      <c r="D6" s="5">
        <v>5121</v>
      </c>
      <c r="E6" s="5">
        <v>5121</v>
      </c>
      <c r="F6" s="6">
        <v>-220</v>
      </c>
    </row>
    <row r="7" spans="1:6" ht="28" customHeight="1" x14ac:dyDescent="0.35">
      <c r="A7" s="3" t="s">
        <v>48</v>
      </c>
      <c r="B7" s="4">
        <v>36</v>
      </c>
      <c r="C7" s="4">
        <v>36</v>
      </c>
      <c r="D7" s="5">
        <v>27</v>
      </c>
      <c r="E7" s="5">
        <v>27</v>
      </c>
      <c r="F7" s="6">
        <v>-9</v>
      </c>
    </row>
    <row r="8" spans="1:6" ht="28" customHeight="1" x14ac:dyDescent="0.35">
      <c r="A8" s="2" t="s">
        <v>49</v>
      </c>
      <c r="B8" s="4">
        <v>173687</v>
      </c>
      <c r="C8" s="4">
        <v>173687</v>
      </c>
      <c r="D8" s="5">
        <v>173683</v>
      </c>
      <c r="E8" s="5">
        <v>173683</v>
      </c>
      <c r="F8" s="6">
        <v>-4</v>
      </c>
    </row>
    <row r="9" spans="1:6" ht="28" customHeight="1" x14ac:dyDescent="0.35">
      <c r="A9" s="3" t="s">
        <v>50</v>
      </c>
      <c r="B9" s="4">
        <v>1970</v>
      </c>
      <c r="C9" s="4">
        <v>1970</v>
      </c>
      <c r="D9" s="5">
        <v>1938</v>
      </c>
      <c r="E9" s="5">
        <v>1938</v>
      </c>
      <c r="F9" s="6">
        <v>-32</v>
      </c>
    </row>
    <row r="10" spans="1:6" ht="28" customHeight="1" x14ac:dyDescent="0.35">
      <c r="A10" s="2" t="s">
        <v>51</v>
      </c>
      <c r="B10" s="4">
        <v>90052</v>
      </c>
      <c r="C10" s="4">
        <v>90052</v>
      </c>
      <c r="D10" s="5">
        <v>90032</v>
      </c>
      <c r="E10" s="5">
        <v>90032</v>
      </c>
      <c r="F10" s="6">
        <v>-20</v>
      </c>
    </row>
    <row r="11" spans="1:6" ht="28" customHeight="1" x14ac:dyDescent="0.35">
      <c r="A11" s="7" t="s">
        <v>615</v>
      </c>
      <c r="B11" s="8">
        <v>271086</v>
      </c>
      <c r="C11" s="8">
        <v>271086</v>
      </c>
      <c r="D11" s="9">
        <v>270801</v>
      </c>
      <c r="E11" s="9">
        <v>270801</v>
      </c>
      <c r="F11" s="10">
        <v>-285</v>
      </c>
    </row>
    <row r="14" spans="1:6" ht="26" customHeight="1" x14ac:dyDescent="0.35">
      <c r="A14" s="33" t="s">
        <v>616</v>
      </c>
      <c r="B14" s="29"/>
      <c r="C14" s="29"/>
      <c r="D14" s="29"/>
      <c r="E14" s="29"/>
      <c r="F14" s="29"/>
    </row>
    <row r="15" spans="1:6" x14ac:dyDescent="0.35">
      <c r="A15" s="34" t="s">
        <v>617</v>
      </c>
      <c r="B15" s="29"/>
      <c r="C15" s="29"/>
      <c r="D15" s="29"/>
      <c r="E15" s="29"/>
      <c r="F15" s="29"/>
    </row>
    <row r="16" spans="1:6" x14ac:dyDescent="0.35">
      <c r="A16" s="29"/>
      <c r="B16" s="29"/>
      <c r="C16" s="29"/>
      <c r="D16" s="29"/>
      <c r="E16" s="29"/>
      <c r="F16" s="29"/>
    </row>
    <row r="17" spans="1:6" x14ac:dyDescent="0.35">
      <c r="A17" s="29"/>
      <c r="B17" s="29"/>
      <c r="C17" s="29"/>
      <c r="D17" s="29"/>
      <c r="E17" s="29"/>
      <c r="F17" s="29"/>
    </row>
  </sheetData>
  <mergeCells count="4">
    <mergeCell ref="A2:F3"/>
    <mergeCell ref="A14:F14"/>
    <mergeCell ref="A1:F1"/>
    <mergeCell ref="A15:F17"/>
  </mergeCells>
  <printOptions horizontalCentered="1"/>
  <pageMargins left="0.75" right="0.75" top="1" bottom="1" header="0.5" footer="0.5"/>
  <pageSetup paperSize="9" fitToHeight="0" orientation="landscape"/>
  <headerFooter>
    <oddFooter>&amp;CBSCR reconciliation |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Right="0"/>
    <pageSetUpPr fitToPage="1"/>
  </sheetPr>
  <dimension ref="A1:F17"/>
  <sheetViews>
    <sheetView showGridLines="0" workbookViewId="0">
      <pane xSplit="1" ySplit="5" topLeftCell="B6" activePane="bottomRight" state="frozen"/>
      <selection pane="topRight"/>
      <selection pane="bottomLeft"/>
      <selection pane="bottomRight" sqref="A1:F1"/>
    </sheetView>
  </sheetViews>
  <sheetFormatPr defaultRowHeight="14.5" x14ac:dyDescent="0.35"/>
  <cols>
    <col min="1" max="1" width="13" customWidth="1"/>
    <col min="2" max="5" width="25" customWidth="1"/>
    <col min="6" max="6" width="24" customWidth="1"/>
  </cols>
  <sheetData>
    <row r="1" spans="1:6" ht="32" customHeight="1" x14ac:dyDescent="0.55000000000000004">
      <c r="A1" s="28" t="s">
        <v>618</v>
      </c>
      <c r="B1" s="29"/>
      <c r="C1" s="29"/>
      <c r="D1" s="29"/>
      <c r="E1" s="29"/>
      <c r="F1" s="29"/>
    </row>
    <row r="2" spans="1:6" ht="25" customHeight="1" x14ac:dyDescent="0.35">
      <c r="A2" s="30" t="s">
        <v>619</v>
      </c>
      <c r="B2" s="29"/>
      <c r="C2" s="29"/>
      <c r="D2" s="29"/>
      <c r="E2" s="29"/>
      <c r="F2" s="29"/>
    </row>
    <row r="3" spans="1:6" ht="20" customHeight="1" x14ac:dyDescent="0.35">
      <c r="A3" s="29"/>
      <c r="B3" s="29"/>
      <c r="C3" s="29"/>
      <c r="D3" s="29"/>
      <c r="E3" s="29"/>
      <c r="F3" s="29"/>
    </row>
    <row r="5" spans="1:6" ht="40" customHeight="1" x14ac:dyDescent="0.35">
      <c r="A5" s="1" t="s">
        <v>37</v>
      </c>
      <c r="B5" s="1" t="s">
        <v>67</v>
      </c>
      <c r="C5" s="1" t="s">
        <v>68</v>
      </c>
      <c r="D5" s="1" t="s">
        <v>612</v>
      </c>
      <c r="E5" s="1" t="s">
        <v>613</v>
      </c>
      <c r="F5" s="1" t="s">
        <v>614</v>
      </c>
    </row>
    <row r="6" spans="1:6" ht="28" customHeight="1" x14ac:dyDescent="0.35">
      <c r="A6" s="2" t="s">
        <v>44</v>
      </c>
      <c r="B6" s="11">
        <v>40228.224088105737</v>
      </c>
      <c r="C6" s="11">
        <v>40228.224088105722</v>
      </c>
      <c r="D6" s="12">
        <v>36712.903961800359</v>
      </c>
      <c r="E6" s="12">
        <v>36712.903961800359</v>
      </c>
      <c r="F6" s="13">
        <v>-3515.3201263053629</v>
      </c>
    </row>
    <row r="7" spans="1:6" ht="28" customHeight="1" x14ac:dyDescent="0.35">
      <c r="A7" s="3" t="s">
        <v>48</v>
      </c>
      <c r="B7" s="11">
        <v>29.78977068</v>
      </c>
      <c r="C7" s="11">
        <v>29.78977068</v>
      </c>
      <c r="D7" s="12">
        <v>27.55957068</v>
      </c>
      <c r="E7" s="12">
        <v>27.55957068</v>
      </c>
      <c r="F7" s="13">
        <v>-2.2302</v>
      </c>
    </row>
    <row r="8" spans="1:6" ht="28" customHeight="1" x14ac:dyDescent="0.35">
      <c r="A8" s="2" t="s">
        <v>49</v>
      </c>
      <c r="B8" s="11">
        <v>164353.16786833529</v>
      </c>
      <c r="C8" s="11">
        <v>164353.1678683385</v>
      </c>
      <c r="D8" s="12">
        <v>164343.82976713829</v>
      </c>
      <c r="E8" s="12">
        <v>164343.82976713841</v>
      </c>
      <c r="F8" s="13">
        <v>-9.3381012002064381</v>
      </c>
    </row>
    <row r="9" spans="1:6" ht="28" customHeight="1" x14ac:dyDescent="0.35">
      <c r="A9" s="3" t="s">
        <v>50</v>
      </c>
      <c r="B9" s="11">
        <v>10862.835100580731</v>
      </c>
      <c r="C9" s="11">
        <v>10862.835100580751</v>
      </c>
      <c r="D9" s="12">
        <v>9923.8628689989473</v>
      </c>
      <c r="E9" s="12">
        <v>9923.8628689989473</v>
      </c>
      <c r="F9" s="13">
        <v>-938.9722315818035</v>
      </c>
    </row>
    <row r="10" spans="1:6" ht="28" customHeight="1" x14ac:dyDescent="0.35">
      <c r="A10" s="2" t="s">
        <v>51</v>
      </c>
      <c r="B10" s="11">
        <v>104707.6181724481</v>
      </c>
      <c r="C10" s="11">
        <v>104707.61817244451</v>
      </c>
      <c r="D10" s="12">
        <v>104360.5161667642</v>
      </c>
      <c r="E10" s="12">
        <v>104360.5161667642</v>
      </c>
      <c r="F10" s="13">
        <v>-347.10200568031001</v>
      </c>
    </row>
    <row r="11" spans="1:6" ht="28" customHeight="1" x14ac:dyDescent="0.35">
      <c r="A11" s="7" t="s">
        <v>615</v>
      </c>
      <c r="B11" s="14">
        <v>320181.63500014989</v>
      </c>
      <c r="C11" s="14">
        <v>320181.63500014949</v>
      </c>
      <c r="D11" s="15">
        <v>315368.67233538179</v>
      </c>
      <c r="E11" s="15">
        <v>315368.67233538191</v>
      </c>
      <c r="F11" s="16">
        <v>-4812.9626647676923</v>
      </c>
    </row>
    <row r="14" spans="1:6" ht="26" customHeight="1" x14ac:dyDescent="0.35">
      <c r="A14" s="33" t="s">
        <v>616</v>
      </c>
      <c r="B14" s="29"/>
      <c r="C14" s="29"/>
      <c r="D14" s="29"/>
      <c r="E14" s="29"/>
      <c r="F14" s="29"/>
    </row>
    <row r="15" spans="1:6" x14ac:dyDescent="0.35">
      <c r="A15" s="34" t="s">
        <v>620</v>
      </c>
      <c r="B15" s="29"/>
      <c r="C15" s="29"/>
      <c r="D15" s="29"/>
      <c r="E15" s="29"/>
      <c r="F15" s="29"/>
    </row>
    <row r="16" spans="1:6" x14ac:dyDescent="0.35">
      <c r="A16" s="29"/>
      <c r="B16" s="29"/>
      <c r="C16" s="29"/>
      <c r="D16" s="29"/>
      <c r="E16" s="29"/>
      <c r="F16" s="29"/>
    </row>
    <row r="17" spans="1:6" x14ac:dyDescent="0.35">
      <c r="A17" s="29"/>
      <c r="B17" s="29"/>
      <c r="C17" s="29"/>
      <c r="D17" s="29"/>
      <c r="E17" s="29"/>
      <c r="F17" s="29"/>
    </row>
  </sheetData>
  <mergeCells count="4">
    <mergeCell ref="A2:F3"/>
    <mergeCell ref="A14:F14"/>
    <mergeCell ref="A1:F1"/>
    <mergeCell ref="A15:F17"/>
  </mergeCells>
  <printOptions horizontalCentered="1"/>
  <pageMargins left="0.75" right="0.75" top="1" bottom="1" header="0.5" footer="0.5"/>
  <pageSetup paperSize="9" fitToHeight="0" orientation="landscape"/>
  <headerFooter>
    <oddFooter>&amp;CBSCR reconciliation |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Right="0"/>
    <pageSetUpPr fitToPage="1"/>
  </sheetPr>
  <dimension ref="A1:F17"/>
  <sheetViews>
    <sheetView showGridLines="0" workbookViewId="0">
      <pane xSplit="1" ySplit="5" topLeftCell="B6" activePane="bottomRight" state="frozen"/>
      <selection pane="topRight"/>
      <selection pane="bottomLeft"/>
      <selection pane="bottomRight" sqref="A1:F1"/>
    </sheetView>
  </sheetViews>
  <sheetFormatPr defaultRowHeight="14.5" x14ac:dyDescent="0.35"/>
  <cols>
    <col min="1" max="1" width="13" customWidth="1"/>
    <col min="2" max="5" width="25" customWidth="1"/>
    <col min="6" max="6" width="24" customWidth="1"/>
  </cols>
  <sheetData>
    <row r="1" spans="1:6" ht="32" customHeight="1" x14ac:dyDescent="0.55000000000000004">
      <c r="A1" s="28" t="s">
        <v>621</v>
      </c>
      <c r="B1" s="29"/>
      <c r="C1" s="29"/>
      <c r="D1" s="29"/>
      <c r="E1" s="29"/>
      <c r="F1" s="29"/>
    </row>
    <row r="2" spans="1:6" ht="25" customHeight="1" x14ac:dyDescent="0.35">
      <c r="A2" s="30" t="s">
        <v>619</v>
      </c>
      <c r="B2" s="29"/>
      <c r="C2" s="29"/>
      <c r="D2" s="29"/>
      <c r="E2" s="29"/>
      <c r="F2" s="29"/>
    </row>
    <row r="3" spans="1:6" ht="20" customHeight="1" x14ac:dyDescent="0.35">
      <c r="A3" s="29"/>
      <c r="B3" s="29"/>
      <c r="C3" s="29"/>
      <c r="D3" s="29"/>
      <c r="E3" s="29"/>
      <c r="F3" s="29"/>
    </row>
    <row r="5" spans="1:6" ht="40" customHeight="1" x14ac:dyDescent="0.35">
      <c r="A5" s="1" t="s">
        <v>37</v>
      </c>
      <c r="B5" s="1" t="s">
        <v>67</v>
      </c>
      <c r="C5" s="1" t="s">
        <v>68</v>
      </c>
      <c r="D5" s="1" t="s">
        <v>612</v>
      </c>
      <c r="E5" s="1" t="s">
        <v>613</v>
      </c>
      <c r="F5" s="1" t="s">
        <v>614</v>
      </c>
    </row>
    <row r="6" spans="1:6" ht="28" customHeight="1" x14ac:dyDescent="0.35">
      <c r="A6" s="2" t="s">
        <v>44</v>
      </c>
      <c r="B6" s="11">
        <v>29103.94955132281</v>
      </c>
      <c r="C6" s="11">
        <v>29103.949551322959</v>
      </c>
      <c r="D6" s="12">
        <v>26957.45117642243</v>
      </c>
      <c r="E6" s="12">
        <v>26957.451176422441</v>
      </c>
      <c r="F6" s="13">
        <v>-2146.4983749005301</v>
      </c>
    </row>
    <row r="7" spans="1:6" ht="28" customHeight="1" x14ac:dyDescent="0.35">
      <c r="A7" s="3" t="s">
        <v>48</v>
      </c>
      <c r="B7" s="11">
        <v>29.78977068</v>
      </c>
      <c r="C7" s="11">
        <v>29.78977068</v>
      </c>
      <c r="D7" s="12">
        <v>27.55957068</v>
      </c>
      <c r="E7" s="12">
        <v>27.55957068</v>
      </c>
      <c r="F7" s="13">
        <v>-2.2302</v>
      </c>
    </row>
    <row r="8" spans="1:6" ht="28" customHeight="1" x14ac:dyDescent="0.35">
      <c r="A8" s="2" t="s">
        <v>49</v>
      </c>
      <c r="B8" s="11">
        <v>164353.16786833529</v>
      </c>
      <c r="C8" s="11">
        <v>164353.1678683385</v>
      </c>
      <c r="D8" s="12">
        <v>164343.82976713829</v>
      </c>
      <c r="E8" s="12">
        <v>164343.82976713841</v>
      </c>
      <c r="F8" s="13">
        <v>-9.3381012002064381</v>
      </c>
    </row>
    <row r="9" spans="1:6" ht="28" customHeight="1" x14ac:dyDescent="0.35">
      <c r="A9" s="3" t="s">
        <v>50</v>
      </c>
      <c r="B9" s="11">
        <v>8422.2921533526078</v>
      </c>
      <c r="C9" s="11">
        <v>8422.2921533526205</v>
      </c>
      <c r="D9" s="12">
        <v>7876.8286143006253</v>
      </c>
      <c r="E9" s="12">
        <v>7876.8286143006253</v>
      </c>
      <c r="F9" s="13">
        <v>-545.46353905199521</v>
      </c>
    </row>
    <row r="10" spans="1:6" ht="28" customHeight="1" x14ac:dyDescent="0.35">
      <c r="A10" s="2" t="s">
        <v>51</v>
      </c>
      <c r="B10" s="11">
        <v>102417.20933560441</v>
      </c>
      <c r="C10" s="11">
        <v>102417.2093356008</v>
      </c>
      <c r="D10" s="12">
        <v>102070.1073299205</v>
      </c>
      <c r="E10" s="12">
        <v>102070.1073299205</v>
      </c>
      <c r="F10" s="13">
        <v>-347.10200568029541</v>
      </c>
    </row>
    <row r="11" spans="1:6" ht="28" customHeight="1" x14ac:dyDescent="0.35">
      <c r="A11" s="7" t="s">
        <v>615</v>
      </c>
      <c r="B11" s="14">
        <v>304326.4086792951</v>
      </c>
      <c r="C11" s="14">
        <v>304326.40867929492</v>
      </c>
      <c r="D11" s="15">
        <v>301275.77645846189</v>
      </c>
      <c r="E11" s="15">
        <v>301275.776458462</v>
      </c>
      <c r="F11" s="16">
        <v>-3050.632220833038</v>
      </c>
    </row>
    <row r="14" spans="1:6" ht="26" customHeight="1" x14ac:dyDescent="0.35">
      <c r="A14" s="33" t="s">
        <v>616</v>
      </c>
      <c r="B14" s="29"/>
      <c r="C14" s="29"/>
      <c r="D14" s="29"/>
      <c r="E14" s="29"/>
      <c r="F14" s="29"/>
    </row>
    <row r="15" spans="1:6" x14ac:dyDescent="0.35">
      <c r="A15" s="34" t="s">
        <v>620</v>
      </c>
      <c r="B15" s="29"/>
      <c r="C15" s="29"/>
      <c r="D15" s="29"/>
      <c r="E15" s="29"/>
      <c r="F15" s="29"/>
    </row>
    <row r="16" spans="1:6" x14ac:dyDescent="0.35">
      <c r="A16" s="29"/>
      <c r="B16" s="29"/>
      <c r="C16" s="29"/>
      <c r="D16" s="29"/>
      <c r="E16" s="29"/>
      <c r="F16" s="29"/>
    </row>
    <row r="17" spans="1:6" x14ac:dyDescent="0.35">
      <c r="A17" s="29"/>
      <c r="B17" s="29"/>
      <c r="C17" s="29"/>
      <c r="D17" s="29"/>
      <c r="E17" s="29"/>
      <c r="F17" s="29"/>
    </row>
  </sheetData>
  <mergeCells count="4">
    <mergeCell ref="A2:F3"/>
    <mergeCell ref="A14:F14"/>
    <mergeCell ref="A1:F1"/>
    <mergeCell ref="A15:F17"/>
  </mergeCells>
  <printOptions horizontalCentered="1"/>
  <pageMargins left="0.75" right="0.75" top="1" bottom="1" header="0.5" footer="0.5"/>
  <pageSetup paperSize="9" fitToHeight="0" orientation="landscape"/>
  <headerFooter>
    <oddFooter>&amp;CBSCR reconciliation | &amp;P of &amp;N</oddFooter>
  </headerFooter>
  <tableParts count="1">
    <tablePart r:id="rId1"/>
  </tableParts>
</worksheet>
</file>

<file path=docMetadata/LabelInfo.xml><?xml version="1.0" encoding="utf-8"?>
<clbl:labelList xmlns:clbl="http://schemas.microsoft.com/office/2020/mipLabelMetadata">
  <clbl:label id="{c69ce2fd-8fb4-4dbb-a26f-3ea7bfce55ab}"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What this tests</vt:lpstr>
      <vt:lpstr>Schedule X(f)</vt:lpstr>
      <vt:lpstr>Counts</vt:lpstr>
      <vt:lpstr>Gross exposure</vt:lpstr>
      <vt:lpstr>Net exposure</vt:lpstr>
      <vt:lpstr>Counts!Print_Area</vt:lpstr>
      <vt:lpstr>'Gross exposure'!Print_Area</vt:lpstr>
      <vt:lpstr>'Net exposure'!Print_Area</vt:lpstr>
      <vt:lpstr>'Schedule X(f)'!Print_Area</vt:lpstr>
      <vt:lpstr>'What this tests'!Print_Area</vt:lpstr>
      <vt:lpstr>Counts!Print_Titles</vt:lpstr>
      <vt:lpstr>'Gross exposure'!Print_Titles</vt:lpstr>
      <vt:lpstr>'Net exposure'!Print_Titles</vt:lpstr>
      <vt:lpstr>'Schedule X(f)'!Print_Titles</vt:lpstr>
      <vt:lpstr>'What this tests'!Print_Titles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Hampton</cp:lastModifiedBy>
  <dcterms:created xsi:type="dcterms:W3CDTF">2026-09-24T19:25:22Z</dcterms:created>
  <dcterms:modified xsi:type="dcterms:W3CDTF">2026-09-24T19:58:14Z</dcterms:modified>
</cp:coreProperties>
</file>