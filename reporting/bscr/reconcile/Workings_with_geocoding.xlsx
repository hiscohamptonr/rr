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\Cat Modelling\Group Reporting\Reports\2026\2026-01 - BSCR\UKEU\Workings\"/>
    </mc:Choice>
  </mc:AlternateContent>
  <xr:revisionPtr revIDLastSave="0" documentId="13_ncr:1_{F8C1D9A0-46B2-4B68-B152-4862DBF04D1D}" xr6:coauthVersionLast="47" xr6:coauthVersionMax="47" xr10:uidLastSave="{00000000-0000-0000-0000-000000000000}"/>
  <bookViews>
    <workbookView xWindow="22118" yWindow="0" windowWidth="22119" windowHeight="24284" xr2:uid="{33ED103A-C225-4AF7-8380-A17D5970A431}"/>
  </bookViews>
  <sheets>
    <sheet name="piv" sheetId="2" r:id="rId1"/>
    <sheet name="output" sheetId="1" r:id="rId2"/>
  </sheets>
  <definedNames>
    <definedName name="_xlnm._FilterDatabase" localSheetId="1" hidden="1">output!$A$1:$F$48</definedName>
  </definedNames>
  <calcPr calcId="191029"/>
  <pivotCaches>
    <pivotCache cacheId="0" r:id="rId3"/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2" l="1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J42" i="2"/>
  <c r="J43" i="2"/>
  <c r="J44" i="2"/>
  <c r="J45" i="2"/>
  <c r="J46" i="2"/>
  <c r="J47" i="2"/>
  <c r="J48" i="2"/>
  <c r="J49" i="2"/>
  <c r="J50" i="2"/>
  <c r="J4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H2" i="1"/>
  <c r="G2" i="1"/>
</calcChain>
</file>

<file path=xl/sharedStrings.xml><?xml version="1.0" encoding="utf-8"?>
<sst xmlns="http://schemas.openxmlformats.org/spreadsheetml/2006/main" count="144" uniqueCount="24">
  <si>
    <t>bscr_entity</t>
  </si>
  <si>
    <t>region</t>
  </si>
  <si>
    <t>sum_pml</t>
  </si>
  <si>
    <t>sum_net</t>
  </si>
  <si>
    <t>count_policies</t>
  </si>
  <si>
    <t>is_geocoded</t>
  </si>
  <si>
    <t>ALL</t>
  </si>
  <si>
    <t>HIC</t>
  </si>
  <si>
    <t>HIG</t>
  </si>
  <si>
    <t>HSA</t>
  </si>
  <si>
    <t>is_eu</t>
  </si>
  <si>
    <t>is_jp</t>
  </si>
  <si>
    <t>is_na_eq</t>
  </si>
  <si>
    <t>is_nahu</t>
  </si>
  <si>
    <t>is_us_all</t>
  </si>
  <si>
    <t>Grand Total</t>
  </si>
  <si>
    <t>Values</t>
  </si>
  <si>
    <t>Sum of count_policies</t>
  </si>
  <si>
    <t>Policy Limits</t>
  </si>
  <si>
    <t>pml/1000</t>
  </si>
  <si>
    <t>netpml/1000</t>
  </si>
  <si>
    <t>Sum of pml/1000</t>
  </si>
  <si>
    <t>Sum of netpml/1000</t>
  </si>
  <si>
    <t>Policy Limits without geocode breakout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</si>
</sst>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2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Hampton" refreshedDate="46079.504780787036" createdVersion="8" refreshedVersion="8" minRefreshableVersion="3" recordCount="47" xr:uid="{935FC7D4-1F6E-4AB2-BD49-BB17F395E888}">
  <cacheSource type="worksheet">
    <worksheetSource ref="A1:F48" sheet="output"/>
  </cacheSource>
  <cacheFields count="6">
    <cacheField name="bscr_entity" numFmtId="0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0">
      <sharedItems count="6">
        <s v="ALL"/>
        <s v="is_eu"/>
        <s v="is_jp"/>
        <s v="is_na_eq"/>
        <s v="is_nahu"/>
        <s v="is_us_all"/>
      </sharedItems>
    </cacheField>
    <cacheField name="sum_pml" numFmtId="0">
      <sharedItems containsSemiMixedTypes="0" containsString="0" containsNumber="1" minValue="101000" maxValue="121727653503.478"/>
    </cacheField>
    <cacheField name="sum_net" numFmtId="0">
      <sharedItems containsSemiMixedTypes="0" containsString="0" containsNumber="1" minValue="101000" maxValue="121727653503.478"/>
    </cacheField>
    <cacheField name="count_policies" numFmtId="0">
      <sharedItems containsSemiMixedTypes="0" containsString="0" containsNumber="1" containsInteger="1" minValue="1" maxValue="173658"/>
    </cacheField>
    <cacheField name="is_geocod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Hampton" refreshedDate="46079.73578703704" createdVersion="8" refreshedVersion="8" minRefreshableVersion="3" recordCount="47" xr:uid="{A966E57A-353B-4C1F-A615-BFEE71EE5830}">
  <cacheSource type="worksheet">
    <worksheetSource ref="A1:H48" sheet="output"/>
  </cacheSource>
  <cacheFields count="8">
    <cacheField name="bscr_entity" numFmtId="0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0">
      <sharedItems count="6">
        <s v="ALL"/>
        <s v="is_eu"/>
        <s v="is_jp"/>
        <s v="is_na_eq"/>
        <s v="is_nahu"/>
        <s v="is_us_all"/>
      </sharedItems>
    </cacheField>
    <cacheField name="sum_pml" numFmtId="0">
      <sharedItems containsSemiMixedTypes="0" containsString="0" containsNumber="1" minValue="101000" maxValue="121727653503.478"/>
    </cacheField>
    <cacheField name="sum_net" numFmtId="0">
      <sharedItems containsSemiMixedTypes="0" containsString="0" containsNumber="1" minValue="101000" maxValue="121727653503.478"/>
    </cacheField>
    <cacheField name="count_policies" numFmtId="0">
      <sharedItems containsSemiMixedTypes="0" containsString="0" containsNumber="1" containsInteger="1" minValue="1" maxValue="173658"/>
    </cacheField>
    <cacheField name="is_geocoded" numFmtId="0">
      <sharedItems containsSemiMixedTypes="0" containsString="0" containsNumber="1" containsInteger="1" minValue="0" maxValue="1" count="2">
        <n v="0"/>
        <n v="1"/>
      </sharedItems>
    </cacheField>
    <cacheField name="pml/1000" numFmtId="0">
      <sharedItems containsSemiMixedTypes="0" containsString="0" containsNumber="1" minValue="101" maxValue="121727653.50347799"/>
    </cacheField>
    <cacheField name="netpml/1000" numFmtId="0">
      <sharedItems containsSemiMixedTypes="0" containsString="0" containsNumber="1" minValue="101" maxValue="121727653.50347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n v="4645929142.0892601"/>
    <n v="2931952651.35181"/>
    <n v="663"/>
    <x v="0"/>
  </r>
  <r>
    <x v="0"/>
    <x v="0"/>
    <n v="25152755367.618698"/>
    <n v="18626528497.776199"/>
    <n v="4678"/>
    <x v="1"/>
  </r>
  <r>
    <x v="1"/>
    <x v="0"/>
    <n v="1652000"/>
    <n v="1652000"/>
    <n v="9"/>
    <x v="0"/>
  </r>
  <r>
    <x v="1"/>
    <x v="0"/>
    <n v="20414496.800000001"/>
    <n v="20414496.800000001"/>
    <n v="27"/>
    <x v="1"/>
  </r>
  <r>
    <x v="2"/>
    <x v="0"/>
    <n v="15433806.3999999"/>
    <n v="15433806.3999999"/>
    <n v="29"/>
    <x v="0"/>
  </r>
  <r>
    <x v="2"/>
    <x v="0"/>
    <n v="121727653503.478"/>
    <n v="121727653503.478"/>
    <n v="173658"/>
    <x v="1"/>
  </r>
  <r>
    <x v="3"/>
    <x v="0"/>
    <n v="699027304.74033594"/>
    <n v="406962151.02545899"/>
    <n v="55"/>
    <x v="0"/>
  </r>
  <r>
    <x v="3"/>
    <x v="0"/>
    <n v="7347517214.2083502"/>
    <n v="5831772777.3838797"/>
    <n v="1915"/>
    <x v="1"/>
  </r>
  <r>
    <x v="4"/>
    <x v="0"/>
    <n v="349291128.70019001"/>
    <n v="349291128.70019001"/>
    <n v="201"/>
    <x v="0"/>
  </r>
  <r>
    <x v="4"/>
    <x v="0"/>
    <n v="77211907517.557693"/>
    <n v="75515308379.154907"/>
    <n v="89851"/>
    <x v="1"/>
  </r>
  <r>
    <x v="0"/>
    <x v="1"/>
    <n v="591803570.79433501"/>
    <n v="395404009.10095602"/>
    <n v="46"/>
    <x v="0"/>
  </r>
  <r>
    <x v="0"/>
    <x v="1"/>
    <n v="15621176039.304501"/>
    <n v="12132651704.075899"/>
    <n v="2767"/>
    <x v="1"/>
  </r>
  <r>
    <x v="1"/>
    <x v="1"/>
    <n v="5578000"/>
    <n v="5578000"/>
    <n v="5"/>
    <x v="1"/>
  </r>
  <r>
    <x v="2"/>
    <x v="1"/>
    <n v="7099946"/>
    <n v="7099946"/>
    <n v="15"/>
    <x v="0"/>
  </r>
  <r>
    <x v="2"/>
    <x v="1"/>
    <n v="121287644939.62"/>
    <n v="121287644939.62"/>
    <n v="173171"/>
    <x v="1"/>
  </r>
  <r>
    <x v="3"/>
    <x v="1"/>
    <n v="210175711.440961"/>
    <n v="112614669.916677"/>
    <n v="11"/>
    <x v="0"/>
  </r>
  <r>
    <x v="3"/>
    <x v="1"/>
    <n v="2859865269.6026502"/>
    <n v="2193629057.13695"/>
    <n v="612"/>
    <x v="1"/>
  </r>
  <r>
    <x v="4"/>
    <x v="1"/>
    <n v="75479150.000190407"/>
    <n v="75479150.000190407"/>
    <n v="112"/>
    <x v="0"/>
  </r>
  <r>
    <x v="4"/>
    <x v="1"/>
    <n v="56019841640.209999"/>
    <n v="54739890725.055099"/>
    <n v="67520"/>
    <x v="1"/>
  </r>
  <r>
    <x v="0"/>
    <x v="2"/>
    <n v="3060082.6430000402"/>
    <n v="1599407.4673806699"/>
    <n v="3"/>
    <x v="0"/>
  </r>
  <r>
    <x v="0"/>
    <x v="2"/>
    <n v="83586974.900705397"/>
    <n v="47547710.997818798"/>
    <n v="10"/>
    <x v="1"/>
  </r>
  <r>
    <x v="2"/>
    <x v="2"/>
    <n v="276000"/>
    <n v="276000"/>
    <n v="2"/>
    <x v="1"/>
  </r>
  <r>
    <x v="3"/>
    <x v="2"/>
    <n v="183525417.04899299"/>
    <n v="107035050.91833501"/>
    <n v="42"/>
    <x v="1"/>
  </r>
  <r>
    <x v="4"/>
    <x v="2"/>
    <n v="20201080.800000001"/>
    <n v="20201080.800000001"/>
    <n v="23"/>
    <x v="1"/>
  </r>
  <r>
    <x v="0"/>
    <x v="3"/>
    <n v="18301343.574820001"/>
    <n v="16479715.6923308"/>
    <n v="4"/>
    <x v="0"/>
  </r>
  <r>
    <x v="0"/>
    <x v="3"/>
    <n v="210957528.07712299"/>
    <n v="106631319.724132"/>
    <n v="18"/>
    <x v="1"/>
  </r>
  <r>
    <x v="1"/>
    <x v="3"/>
    <n v="110000"/>
    <n v="110000"/>
    <n v="1"/>
    <x v="0"/>
  </r>
  <r>
    <x v="1"/>
    <x v="3"/>
    <n v="110000"/>
    <n v="110000"/>
    <n v="1"/>
    <x v="1"/>
  </r>
  <r>
    <x v="2"/>
    <x v="3"/>
    <n v="212000"/>
    <n v="212000"/>
    <n v="1"/>
    <x v="1"/>
  </r>
  <r>
    <x v="3"/>
    <x v="3"/>
    <n v="7558346.1603288203"/>
    <n v="7558346.1603288203"/>
    <n v="4"/>
    <x v="1"/>
  </r>
  <r>
    <x v="4"/>
    <x v="3"/>
    <n v="560000"/>
    <n v="560000"/>
    <n v="2"/>
    <x v="1"/>
  </r>
  <r>
    <x v="0"/>
    <x v="4"/>
    <n v="7114586.37314039"/>
    <n v="7114586.37314039"/>
    <n v="2"/>
    <x v="0"/>
  </r>
  <r>
    <x v="0"/>
    <x v="4"/>
    <n v="22688725.593346398"/>
    <n v="22688725.593346398"/>
    <n v="13"/>
    <x v="1"/>
  </r>
  <r>
    <x v="1"/>
    <x v="4"/>
    <n v="200000"/>
    <n v="200000"/>
    <n v="1"/>
    <x v="0"/>
  </r>
  <r>
    <x v="1"/>
    <x v="4"/>
    <n v="200000"/>
    <n v="200000"/>
    <n v="1"/>
    <x v="1"/>
  </r>
  <r>
    <x v="3"/>
    <x v="4"/>
    <n v="16448885.4299854"/>
    <n v="16448885.4299854"/>
    <n v="3"/>
    <x v="0"/>
  </r>
  <r>
    <x v="3"/>
    <x v="4"/>
    <n v="299151865.576648"/>
    <n v="257947869.35099801"/>
    <n v="91"/>
    <x v="1"/>
  </r>
  <r>
    <x v="4"/>
    <x v="4"/>
    <n v="5450346.4000000004"/>
    <n v="5450346.4000000004"/>
    <n v="10"/>
    <x v="1"/>
  </r>
  <r>
    <x v="0"/>
    <x v="5"/>
    <n v="2365811502.90905"/>
    <n v="1413295965.35532"/>
    <n v="326"/>
    <x v="0"/>
  </r>
  <r>
    <x v="0"/>
    <x v="5"/>
    <n v="738973417.34851599"/>
    <n v="426252309.81766498"/>
    <n v="106"/>
    <x v="1"/>
  </r>
  <r>
    <x v="1"/>
    <x v="5"/>
    <n v="345000"/>
    <n v="345000"/>
    <n v="1"/>
    <x v="0"/>
  </r>
  <r>
    <x v="1"/>
    <x v="5"/>
    <n v="2462700"/>
    <n v="2462700"/>
    <n v="3"/>
    <x v="1"/>
  </r>
  <r>
    <x v="2"/>
    <x v="5"/>
    <n v="101000"/>
    <n v="101000"/>
    <n v="1"/>
    <x v="0"/>
  </r>
  <r>
    <x v="2"/>
    <x v="5"/>
    <n v="22746034"/>
    <n v="22746034"/>
    <n v="32"/>
    <x v="1"/>
  </r>
  <r>
    <x v="3"/>
    <x v="5"/>
    <n v="175292598.767708"/>
    <n v="87273963.569168001"/>
    <n v="20"/>
    <x v="0"/>
  </r>
  <r>
    <x v="3"/>
    <x v="5"/>
    <n v="906507554.61050797"/>
    <n v="666539312.39975405"/>
    <n v="227"/>
    <x v="1"/>
  </r>
  <r>
    <x v="4"/>
    <x v="5"/>
    <n v="101774358.815952"/>
    <n v="100967402.815952"/>
    <n v="7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n v="4645929142.0892601"/>
    <n v="2931952651.35181"/>
    <n v="663"/>
    <x v="0"/>
    <n v="4645929.1420892598"/>
    <n v="2931952.65135181"/>
  </r>
  <r>
    <x v="0"/>
    <x v="0"/>
    <n v="25152755367.618698"/>
    <n v="18626528497.776199"/>
    <n v="4678"/>
    <x v="1"/>
    <n v="25152755.367618699"/>
    <n v="18626528.497776199"/>
  </r>
  <r>
    <x v="1"/>
    <x v="0"/>
    <n v="1652000"/>
    <n v="1652000"/>
    <n v="9"/>
    <x v="0"/>
    <n v="1652"/>
    <n v="1652"/>
  </r>
  <r>
    <x v="1"/>
    <x v="0"/>
    <n v="20414496.800000001"/>
    <n v="20414496.800000001"/>
    <n v="27"/>
    <x v="1"/>
    <n v="20414.496800000001"/>
    <n v="20414.496800000001"/>
  </r>
  <r>
    <x v="2"/>
    <x v="0"/>
    <n v="15433806.3999999"/>
    <n v="15433806.3999999"/>
    <n v="29"/>
    <x v="0"/>
    <n v="15433.806399999899"/>
    <n v="15433.806399999899"/>
  </r>
  <r>
    <x v="2"/>
    <x v="0"/>
    <n v="121727653503.478"/>
    <n v="121727653503.478"/>
    <n v="173658"/>
    <x v="1"/>
    <n v="121727653.50347799"/>
    <n v="121727653.50347799"/>
  </r>
  <r>
    <x v="3"/>
    <x v="0"/>
    <n v="699027304.74033594"/>
    <n v="406962151.02545899"/>
    <n v="55"/>
    <x v="0"/>
    <n v="699027.30474033591"/>
    <n v="406962.151025459"/>
  </r>
  <r>
    <x v="3"/>
    <x v="0"/>
    <n v="7347517214.2083502"/>
    <n v="5831772777.3838797"/>
    <n v="1915"/>
    <x v="1"/>
    <n v="7347517.2142083505"/>
    <n v="5831772.7773838798"/>
  </r>
  <r>
    <x v="4"/>
    <x v="0"/>
    <n v="349291128.70019001"/>
    <n v="349291128.70019001"/>
    <n v="201"/>
    <x v="0"/>
    <n v="349291.12870018999"/>
    <n v="349291.12870018999"/>
  </r>
  <r>
    <x v="4"/>
    <x v="0"/>
    <n v="77211907517.557693"/>
    <n v="75515308379.154907"/>
    <n v="89851"/>
    <x v="1"/>
    <n v="77211907.517557696"/>
    <n v="75515308.379154906"/>
  </r>
  <r>
    <x v="0"/>
    <x v="1"/>
    <n v="591803570.79433501"/>
    <n v="395404009.10095602"/>
    <n v="46"/>
    <x v="0"/>
    <n v="591803.57079433498"/>
    <n v="395404.00910095603"/>
  </r>
  <r>
    <x v="0"/>
    <x v="1"/>
    <n v="15621176039.304501"/>
    <n v="12132651704.075899"/>
    <n v="2767"/>
    <x v="1"/>
    <n v="15621176.0393045"/>
    <n v="12132651.704075899"/>
  </r>
  <r>
    <x v="1"/>
    <x v="1"/>
    <n v="5578000"/>
    <n v="5578000"/>
    <n v="5"/>
    <x v="1"/>
    <n v="5578"/>
    <n v="5578"/>
  </r>
  <r>
    <x v="2"/>
    <x v="1"/>
    <n v="7099946"/>
    <n v="7099946"/>
    <n v="15"/>
    <x v="0"/>
    <n v="7099.9459999999999"/>
    <n v="7099.9459999999999"/>
  </r>
  <r>
    <x v="2"/>
    <x v="1"/>
    <n v="121287644939.62"/>
    <n v="121287644939.62"/>
    <n v="173171"/>
    <x v="1"/>
    <n v="121287644.93961999"/>
    <n v="121287644.93961999"/>
  </r>
  <r>
    <x v="3"/>
    <x v="1"/>
    <n v="210175711.440961"/>
    <n v="112614669.916677"/>
    <n v="11"/>
    <x v="0"/>
    <n v="210175.71144096099"/>
    <n v="112614.669916677"/>
  </r>
  <r>
    <x v="3"/>
    <x v="1"/>
    <n v="2859865269.6026502"/>
    <n v="2193629057.13695"/>
    <n v="612"/>
    <x v="1"/>
    <n v="2859865.2696026503"/>
    <n v="2193629.0571369501"/>
  </r>
  <r>
    <x v="4"/>
    <x v="1"/>
    <n v="75479150.000190407"/>
    <n v="75479150.000190407"/>
    <n v="112"/>
    <x v="0"/>
    <n v="75479.150000190406"/>
    <n v="75479.150000190406"/>
  </r>
  <r>
    <x v="4"/>
    <x v="1"/>
    <n v="56019841640.209999"/>
    <n v="54739890725.055099"/>
    <n v="67520"/>
    <x v="1"/>
    <n v="56019841.640210003"/>
    <n v="54739890.725055099"/>
  </r>
  <r>
    <x v="0"/>
    <x v="2"/>
    <n v="3060082.6430000402"/>
    <n v="1599407.4673806699"/>
    <n v="3"/>
    <x v="0"/>
    <n v="3060.0826430000402"/>
    <n v="1599.4074673806699"/>
  </r>
  <r>
    <x v="0"/>
    <x v="2"/>
    <n v="83586974.900705397"/>
    <n v="47547710.997818798"/>
    <n v="10"/>
    <x v="1"/>
    <n v="83586.974900705391"/>
    <n v="47547.710997818795"/>
  </r>
  <r>
    <x v="2"/>
    <x v="2"/>
    <n v="276000"/>
    <n v="276000"/>
    <n v="2"/>
    <x v="1"/>
    <n v="276"/>
    <n v="276"/>
  </r>
  <r>
    <x v="3"/>
    <x v="2"/>
    <n v="183525417.04899299"/>
    <n v="107035050.91833501"/>
    <n v="42"/>
    <x v="1"/>
    <n v="183525.417048993"/>
    <n v="107035.05091833501"/>
  </r>
  <r>
    <x v="4"/>
    <x v="2"/>
    <n v="20201080.800000001"/>
    <n v="20201080.800000001"/>
    <n v="23"/>
    <x v="1"/>
    <n v="20201.0808"/>
    <n v="20201.0808"/>
  </r>
  <r>
    <x v="0"/>
    <x v="3"/>
    <n v="18301343.574820001"/>
    <n v="16479715.6923308"/>
    <n v="4"/>
    <x v="0"/>
    <n v="18301.343574819999"/>
    <n v="16479.715692330799"/>
  </r>
  <r>
    <x v="0"/>
    <x v="3"/>
    <n v="210957528.07712299"/>
    <n v="106631319.724132"/>
    <n v="18"/>
    <x v="1"/>
    <n v="210957.52807712299"/>
    <n v="106631.319724132"/>
  </r>
  <r>
    <x v="1"/>
    <x v="3"/>
    <n v="110000"/>
    <n v="110000"/>
    <n v="1"/>
    <x v="0"/>
    <n v="110"/>
    <n v="110"/>
  </r>
  <r>
    <x v="1"/>
    <x v="3"/>
    <n v="110000"/>
    <n v="110000"/>
    <n v="1"/>
    <x v="1"/>
    <n v="110"/>
    <n v="110"/>
  </r>
  <r>
    <x v="2"/>
    <x v="3"/>
    <n v="212000"/>
    <n v="212000"/>
    <n v="1"/>
    <x v="1"/>
    <n v="212"/>
    <n v="212"/>
  </r>
  <r>
    <x v="3"/>
    <x v="3"/>
    <n v="7558346.1603288203"/>
    <n v="7558346.1603288203"/>
    <n v="4"/>
    <x v="1"/>
    <n v="7558.3461603288206"/>
    <n v="7558.3461603288206"/>
  </r>
  <r>
    <x v="4"/>
    <x v="3"/>
    <n v="560000"/>
    <n v="560000"/>
    <n v="2"/>
    <x v="1"/>
    <n v="560"/>
    <n v="560"/>
  </r>
  <r>
    <x v="0"/>
    <x v="4"/>
    <n v="7114586.37314039"/>
    <n v="7114586.37314039"/>
    <n v="2"/>
    <x v="0"/>
    <n v="7114.5863731403897"/>
    <n v="7114.5863731403897"/>
  </r>
  <r>
    <x v="0"/>
    <x v="4"/>
    <n v="22688725.593346398"/>
    <n v="22688725.593346398"/>
    <n v="13"/>
    <x v="1"/>
    <n v="22688.725593346397"/>
    <n v="22688.725593346397"/>
  </r>
  <r>
    <x v="1"/>
    <x v="4"/>
    <n v="200000"/>
    <n v="200000"/>
    <n v="1"/>
    <x v="0"/>
    <n v="200"/>
    <n v="200"/>
  </r>
  <r>
    <x v="1"/>
    <x v="4"/>
    <n v="200000"/>
    <n v="200000"/>
    <n v="1"/>
    <x v="1"/>
    <n v="200"/>
    <n v="200"/>
  </r>
  <r>
    <x v="3"/>
    <x v="4"/>
    <n v="16448885.4299854"/>
    <n v="16448885.4299854"/>
    <n v="3"/>
    <x v="0"/>
    <n v="16448.885429985399"/>
    <n v="16448.885429985399"/>
  </r>
  <r>
    <x v="3"/>
    <x v="4"/>
    <n v="299151865.576648"/>
    <n v="257947869.35099801"/>
    <n v="91"/>
    <x v="1"/>
    <n v="299151.86557664798"/>
    <n v="257947.86935099802"/>
  </r>
  <r>
    <x v="4"/>
    <x v="4"/>
    <n v="5450346.4000000004"/>
    <n v="5450346.4000000004"/>
    <n v="10"/>
    <x v="1"/>
    <n v="5450.3464000000004"/>
    <n v="5450.3464000000004"/>
  </r>
  <r>
    <x v="0"/>
    <x v="5"/>
    <n v="2365811502.90905"/>
    <n v="1413295965.35532"/>
    <n v="326"/>
    <x v="0"/>
    <n v="2365811.5029090499"/>
    <n v="1413295.9653553199"/>
  </r>
  <r>
    <x v="0"/>
    <x v="5"/>
    <n v="738973417.34851599"/>
    <n v="426252309.81766498"/>
    <n v="106"/>
    <x v="1"/>
    <n v="738973.41734851594"/>
    <n v="426252.30981766497"/>
  </r>
  <r>
    <x v="1"/>
    <x v="5"/>
    <n v="345000"/>
    <n v="345000"/>
    <n v="1"/>
    <x v="0"/>
    <n v="345"/>
    <n v="345"/>
  </r>
  <r>
    <x v="1"/>
    <x v="5"/>
    <n v="2462700"/>
    <n v="2462700"/>
    <n v="3"/>
    <x v="1"/>
    <n v="2462.6999999999998"/>
    <n v="2462.6999999999998"/>
  </r>
  <r>
    <x v="2"/>
    <x v="5"/>
    <n v="101000"/>
    <n v="101000"/>
    <n v="1"/>
    <x v="0"/>
    <n v="101"/>
    <n v="101"/>
  </r>
  <r>
    <x v="2"/>
    <x v="5"/>
    <n v="22746034"/>
    <n v="22746034"/>
    <n v="32"/>
    <x v="1"/>
    <n v="22746.034"/>
    <n v="22746.034"/>
  </r>
  <r>
    <x v="3"/>
    <x v="5"/>
    <n v="175292598.767708"/>
    <n v="87273963.569168001"/>
    <n v="20"/>
    <x v="0"/>
    <n v="175292.598767708"/>
    <n v="87273.963569168001"/>
  </r>
  <r>
    <x v="3"/>
    <x v="5"/>
    <n v="906507554.61050797"/>
    <n v="666539312.39975405"/>
    <n v="227"/>
    <x v="1"/>
    <n v="906507.55461050791"/>
    <n v="666539.31239975407"/>
  </r>
  <r>
    <x v="4"/>
    <x v="5"/>
    <n v="101774358.815952"/>
    <n v="100967402.815952"/>
    <n v="76"/>
    <x v="1"/>
    <n v="101774.358815952"/>
    <n v="100967.40281595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B7478-1789-4FAC-A57A-B6F0A52721C7}" name="PivotTable1" cacheId="11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7:I68" firstHeaderRow="1" firstDataRow="2" firstDataCol="2"/>
  <pivotFields count="8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pml/1000" fld="6" baseField="0" baseItem="0"/>
    <dataField name="Sum of netpml/1000" fld="7" baseField="0" baseItem="0"/>
  </dataFields>
  <formats count="14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-2" type="button" dataOnly="0" labelOnly="1" outline="0" axis="axisRow" fieldPosition="1"/>
    </format>
    <format dxfId="4">
      <pivotArea field="5" type="button" dataOnly="0" labelOnly="1" outline="0"/>
    </format>
    <format dxfId="5">
      <pivotArea type="topRight" dataOnly="0" labelOnly="1" outline="0" fieldPosition="0"/>
    </format>
    <format dxfId="6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0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11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3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F0C4A-64C6-495D-9F34-306BB1EAA443}" name="PivotTable2" cacheId="11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J24" firstHeaderRow="1" firstDataRow="2" firstDataCol="3"/>
  <pivotFields count="8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4" outline="0" showAll="0" defaultSubtotal="0"/>
    <pivotField compact="0" numFmtId="164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3">
    <field x="0"/>
    <field x="-2"/>
    <field x="5"/>
  </rowFields>
  <rowItems count="20">
    <i>
      <x/>
      <x/>
      <x/>
    </i>
    <i r="2">
      <x v="1"/>
    </i>
    <i r="1" i="1">
      <x v="1"/>
      <x/>
    </i>
    <i r="2" i="1">
      <x v="1"/>
    </i>
    <i>
      <x v="1"/>
      <x/>
      <x/>
    </i>
    <i r="2">
      <x v="1"/>
    </i>
    <i r="1" i="1">
      <x v="1"/>
      <x/>
    </i>
    <i r="2" i="1">
      <x v="1"/>
    </i>
    <i>
      <x v="2"/>
      <x/>
      <x/>
    </i>
    <i r="2">
      <x v="1"/>
    </i>
    <i r="1" i="1">
      <x v="1"/>
      <x/>
    </i>
    <i r="2" i="1">
      <x v="1"/>
    </i>
    <i>
      <x v="3"/>
      <x/>
      <x/>
    </i>
    <i r="2">
      <x v="1"/>
    </i>
    <i r="1" i="1">
      <x v="1"/>
      <x/>
    </i>
    <i r="2" i="1">
      <x v="1"/>
    </i>
    <i>
      <x v="4"/>
      <x/>
      <x/>
    </i>
    <i r="2">
      <x v="1"/>
    </i>
    <i r="1" i="1">
      <x v="1"/>
      <x/>
    </i>
    <i r="2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pml/1000" fld="6" baseField="0" baseItem="0"/>
    <dataField name="Sum of netpml/1000" fld="7" baseField="0" baseItem="0"/>
  </dataFields>
  <formats count="14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-2" type="button" dataOnly="0" labelOnly="1" outline="0" axis="axisRow" fieldPosition="1"/>
    </format>
    <format dxfId="23">
      <pivotArea field="5" type="button" dataOnly="0" labelOnly="1" outline="0" axis="axisRow" fieldPosition="2"/>
    </format>
    <format dxfId="22">
      <pivotArea type="topRight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7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16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5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4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2A757-BD04-474C-AF8A-103A1881813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9:I50" firstHeaderRow="1" firstDataRow="2" firstDataCol="2"/>
  <pivotFields count="6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4" outline="0" showAll="0" defaultSubtotal="0"/>
    <pivotField compact="0" numFmtId="164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</pivotFields>
  <rowFields count="2">
    <field x="0"/>
    <field x="5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_policies" fld="4" baseField="0" baseItem="0"/>
  </dataFields>
  <formats count="14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-2" type="button" dataOnly="0" labelOnly="1" outline="0" axis="axisValues" fieldPosition="0"/>
    </format>
    <format dxfId="37">
      <pivotArea field="5" type="button" dataOnly="0" labelOnly="1" outline="0" axis="axisRow" fieldPosition="1"/>
    </format>
    <format dxfId="36">
      <pivotArea type="topRight" dataOnly="0" labelOnly="1" outline="0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30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29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FC09-4CC0-4002-99FA-D17E9D27A4C7}">
  <dimension ref="A2:K78"/>
  <sheetViews>
    <sheetView tabSelected="1" topLeftCell="A7" zoomScale="115" zoomScaleNormal="115" workbookViewId="0">
      <selection activeCell="D34" sqref="D34"/>
    </sheetView>
  </sheetViews>
  <sheetFormatPr defaultRowHeight="12.7" x14ac:dyDescent="0.25"/>
  <cols>
    <col min="1" max="1" width="22.5546875" bestFit="1" customWidth="1"/>
    <col min="2" max="2" width="19.44140625" bestFit="1" customWidth="1"/>
    <col min="3" max="8" width="13" bestFit="1" customWidth="1"/>
    <col min="9" max="9" width="13.109375" bestFit="1" customWidth="1"/>
    <col min="10" max="13" width="15.77734375" bestFit="1" customWidth="1"/>
    <col min="14" max="14" width="12.77734375" bestFit="1" customWidth="1"/>
    <col min="15" max="24" width="20.109375" bestFit="1" customWidth="1"/>
    <col min="25" max="25" width="22.33203125" bestFit="1" customWidth="1"/>
    <col min="26" max="26" width="25.21875" bestFit="1" customWidth="1"/>
  </cols>
  <sheetData>
    <row r="2" spans="1:11" x14ac:dyDescent="0.25">
      <c r="A2" s="5" t="s">
        <v>18</v>
      </c>
    </row>
    <row r="3" spans="1:11" x14ac:dyDescent="0.25">
      <c r="A3" s="3"/>
      <c r="B3" s="3"/>
      <c r="C3" s="3"/>
      <c r="D3" s="4" t="s">
        <v>1</v>
      </c>
      <c r="E3" s="3"/>
      <c r="F3" s="3"/>
      <c r="G3" s="3"/>
      <c r="H3" s="3"/>
      <c r="I3" s="3"/>
      <c r="J3" s="3"/>
    </row>
    <row r="4" spans="1:11" x14ac:dyDescent="0.25">
      <c r="A4" s="4" t="s">
        <v>0</v>
      </c>
      <c r="B4" s="4" t="s">
        <v>16</v>
      </c>
      <c r="C4" s="4" t="s">
        <v>5</v>
      </c>
      <c r="D4" s="3" t="s">
        <v>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1" x14ac:dyDescent="0.25">
      <c r="A5" s="3">
        <v>33</v>
      </c>
      <c r="B5" s="3" t="s">
        <v>21</v>
      </c>
      <c r="C5" s="3">
        <v>1</v>
      </c>
      <c r="D5" s="3">
        <v>25152755.367618699</v>
      </c>
      <c r="E5" s="3">
        <v>15621176.0393045</v>
      </c>
      <c r="F5" s="3">
        <v>83586.974900705391</v>
      </c>
      <c r="G5" s="3">
        <v>210957.52807712299</v>
      </c>
      <c r="H5" s="3">
        <v>22688.725593346397</v>
      </c>
      <c r="I5" s="3">
        <v>738973.41734851594</v>
      </c>
      <c r="J5" s="3">
        <v>41830138.052842893</v>
      </c>
      <c r="K5" s="3">
        <f>D5-I5</f>
        <v>24413781.950270183</v>
      </c>
    </row>
    <row r="6" spans="1:11" x14ac:dyDescent="0.25">
      <c r="A6" s="3"/>
      <c r="B6" s="3"/>
      <c r="C6" s="3">
        <v>0</v>
      </c>
      <c r="D6" s="3">
        <v>4645929.1420892598</v>
      </c>
      <c r="E6" s="3">
        <v>591803.57079433498</v>
      </c>
      <c r="F6" s="3">
        <v>3060.0826430000402</v>
      </c>
      <c r="G6" s="3">
        <v>18301.343574819999</v>
      </c>
      <c r="H6" s="3">
        <v>7114.5863731403897</v>
      </c>
      <c r="I6" s="3">
        <v>2365811.5029090499</v>
      </c>
      <c r="J6" s="3">
        <v>7632020.2283836044</v>
      </c>
      <c r="K6" s="3">
        <f t="shared" ref="K6:K24" si="0">D6-I6</f>
        <v>2280117.63918021</v>
      </c>
    </row>
    <row r="7" spans="1:11" x14ac:dyDescent="0.25">
      <c r="A7" s="3"/>
      <c r="B7" s="3" t="s">
        <v>22</v>
      </c>
      <c r="C7" s="3">
        <v>1</v>
      </c>
      <c r="D7" s="3">
        <v>18626528.497776199</v>
      </c>
      <c r="E7" s="3">
        <v>12132651.704075899</v>
      </c>
      <c r="F7" s="3">
        <v>47547.710997818795</v>
      </c>
      <c r="G7" s="3">
        <v>106631.319724132</v>
      </c>
      <c r="H7" s="3">
        <v>22688.725593346397</v>
      </c>
      <c r="I7" s="3">
        <v>426252.30981766497</v>
      </c>
      <c r="J7" s="3">
        <v>31362300.267985061</v>
      </c>
      <c r="K7" s="3">
        <f t="shared" si="0"/>
        <v>18200276.187958535</v>
      </c>
    </row>
    <row r="8" spans="1:11" x14ac:dyDescent="0.25">
      <c r="A8" s="3"/>
      <c r="B8" s="3"/>
      <c r="C8" s="3">
        <v>0</v>
      </c>
      <c r="D8" s="3">
        <v>2931952.65135181</v>
      </c>
      <c r="E8" s="3">
        <v>395404.00910095603</v>
      </c>
      <c r="F8" s="3">
        <v>1599.4074673806699</v>
      </c>
      <c r="G8" s="3">
        <v>16479.715692330799</v>
      </c>
      <c r="H8" s="3">
        <v>7114.5863731403897</v>
      </c>
      <c r="I8" s="3">
        <v>1413295.9653553199</v>
      </c>
      <c r="J8" s="3">
        <v>4765846.3353409376</v>
      </c>
      <c r="K8" s="3">
        <f t="shared" si="0"/>
        <v>1518656.6859964901</v>
      </c>
    </row>
    <row r="9" spans="1:11" x14ac:dyDescent="0.25">
      <c r="A9" s="3">
        <v>3624</v>
      </c>
      <c r="B9" s="3" t="s">
        <v>21</v>
      </c>
      <c r="C9" s="3">
        <v>1</v>
      </c>
      <c r="D9" s="3">
        <v>20414.496800000001</v>
      </c>
      <c r="E9" s="3">
        <v>5578</v>
      </c>
      <c r="F9" s="3"/>
      <c r="G9" s="3">
        <v>110</v>
      </c>
      <c r="H9" s="3">
        <v>200</v>
      </c>
      <c r="I9" s="3">
        <v>2462.6999999999998</v>
      </c>
      <c r="J9" s="3">
        <v>28765.196800000002</v>
      </c>
      <c r="K9" s="3">
        <f t="shared" si="0"/>
        <v>17951.7968</v>
      </c>
    </row>
    <row r="10" spans="1:11" x14ac:dyDescent="0.25">
      <c r="A10" s="3"/>
      <c r="B10" s="3"/>
      <c r="C10" s="3">
        <v>0</v>
      </c>
      <c r="D10" s="3">
        <v>1652</v>
      </c>
      <c r="E10" s="3"/>
      <c r="F10" s="3"/>
      <c r="G10" s="3">
        <v>110</v>
      </c>
      <c r="H10" s="3">
        <v>200</v>
      </c>
      <c r="I10" s="3">
        <v>345</v>
      </c>
      <c r="J10" s="3">
        <v>2307</v>
      </c>
      <c r="K10" s="3">
        <f t="shared" si="0"/>
        <v>1307</v>
      </c>
    </row>
    <row r="11" spans="1:11" x14ac:dyDescent="0.25">
      <c r="A11" s="3"/>
      <c r="B11" s="3" t="s">
        <v>22</v>
      </c>
      <c r="C11" s="3">
        <v>1</v>
      </c>
      <c r="D11" s="3">
        <v>20414.496800000001</v>
      </c>
      <c r="E11" s="3">
        <v>5578</v>
      </c>
      <c r="F11" s="3"/>
      <c r="G11" s="3">
        <v>110</v>
      </c>
      <c r="H11" s="3">
        <v>200</v>
      </c>
      <c r="I11" s="3">
        <v>2462.6999999999998</v>
      </c>
      <c r="J11" s="3">
        <v>28765.196800000002</v>
      </c>
      <c r="K11" s="3">
        <f t="shared" si="0"/>
        <v>17951.7968</v>
      </c>
    </row>
    <row r="12" spans="1:11" x14ac:dyDescent="0.25">
      <c r="A12" s="3"/>
      <c r="B12" s="3"/>
      <c r="C12" s="3">
        <v>0</v>
      </c>
      <c r="D12" s="3">
        <v>1652</v>
      </c>
      <c r="E12" s="3"/>
      <c r="F12" s="3"/>
      <c r="G12" s="3">
        <v>110</v>
      </c>
      <c r="H12" s="3">
        <v>200</v>
      </c>
      <c r="I12" s="3">
        <v>345</v>
      </c>
      <c r="J12" s="3">
        <v>2307</v>
      </c>
      <c r="K12" s="3">
        <f t="shared" si="0"/>
        <v>1307</v>
      </c>
    </row>
    <row r="13" spans="1:11" x14ac:dyDescent="0.25">
      <c r="A13" s="3" t="s">
        <v>7</v>
      </c>
      <c r="B13" s="3" t="s">
        <v>21</v>
      </c>
      <c r="C13" s="3">
        <v>1</v>
      </c>
      <c r="D13" s="3">
        <v>121727653.50347799</v>
      </c>
      <c r="E13" s="3">
        <v>121287644.93961999</v>
      </c>
      <c r="F13" s="3">
        <v>276</v>
      </c>
      <c r="G13" s="3">
        <v>212</v>
      </c>
      <c r="H13" s="3"/>
      <c r="I13" s="3">
        <v>22746.034</v>
      </c>
      <c r="J13" s="3">
        <v>243038532.47709799</v>
      </c>
      <c r="K13" s="3">
        <f t="shared" si="0"/>
        <v>121704907.469478</v>
      </c>
    </row>
    <row r="14" spans="1:11" x14ac:dyDescent="0.25">
      <c r="A14" s="3"/>
      <c r="B14" s="3"/>
      <c r="C14" s="3">
        <v>0</v>
      </c>
      <c r="D14" s="3">
        <v>15433.806399999899</v>
      </c>
      <c r="E14" s="3">
        <v>7099.9459999999999</v>
      </c>
      <c r="F14" s="3"/>
      <c r="G14" s="3"/>
      <c r="H14" s="3"/>
      <c r="I14" s="3">
        <v>101</v>
      </c>
      <c r="J14" s="3">
        <v>22634.752399999899</v>
      </c>
      <c r="K14" s="3">
        <f t="shared" si="0"/>
        <v>15332.806399999899</v>
      </c>
    </row>
    <row r="15" spans="1:11" x14ac:dyDescent="0.25">
      <c r="A15" s="3"/>
      <c r="B15" s="3" t="s">
        <v>22</v>
      </c>
      <c r="C15" s="3">
        <v>1</v>
      </c>
      <c r="D15" s="3">
        <v>121727653.50347799</v>
      </c>
      <c r="E15" s="3">
        <v>121287644.93961999</v>
      </c>
      <c r="F15" s="3">
        <v>276</v>
      </c>
      <c r="G15" s="3">
        <v>212</v>
      </c>
      <c r="H15" s="3"/>
      <c r="I15" s="3">
        <v>22746.034</v>
      </c>
      <c r="J15" s="3">
        <v>243038532.47709799</v>
      </c>
      <c r="K15" s="3">
        <f t="shared" si="0"/>
        <v>121704907.469478</v>
      </c>
    </row>
    <row r="16" spans="1:11" x14ac:dyDescent="0.25">
      <c r="A16" s="3"/>
      <c r="B16" s="3"/>
      <c r="C16" s="3">
        <v>0</v>
      </c>
      <c r="D16" s="3">
        <v>15433.806399999899</v>
      </c>
      <c r="E16" s="3">
        <v>7099.9459999999999</v>
      </c>
      <c r="F16" s="3"/>
      <c r="G16" s="3"/>
      <c r="H16" s="3"/>
      <c r="I16" s="3">
        <v>101</v>
      </c>
      <c r="J16" s="3">
        <v>22634.752399999899</v>
      </c>
      <c r="K16" s="3">
        <f t="shared" si="0"/>
        <v>15332.806399999899</v>
      </c>
    </row>
    <row r="17" spans="1:11" x14ac:dyDescent="0.25">
      <c r="A17" s="3" t="s">
        <v>8</v>
      </c>
      <c r="B17" s="3" t="s">
        <v>21</v>
      </c>
      <c r="C17" s="3">
        <v>1</v>
      </c>
      <c r="D17" s="3">
        <v>7347517.2142083505</v>
      </c>
      <c r="E17" s="3">
        <v>2859865.2696026503</v>
      </c>
      <c r="F17" s="3">
        <v>183525.417048993</v>
      </c>
      <c r="G17" s="3">
        <v>7558.3461603288206</v>
      </c>
      <c r="H17" s="3">
        <v>299151.86557664798</v>
      </c>
      <c r="I17" s="3">
        <v>906507.55461050791</v>
      </c>
      <c r="J17" s="3">
        <v>11604125.667207476</v>
      </c>
      <c r="K17" s="3">
        <f t="shared" si="0"/>
        <v>6441009.659597843</v>
      </c>
    </row>
    <row r="18" spans="1:11" x14ac:dyDescent="0.25">
      <c r="A18" s="3"/>
      <c r="B18" s="3"/>
      <c r="C18" s="3">
        <v>0</v>
      </c>
      <c r="D18" s="3">
        <v>699027.30474033591</v>
      </c>
      <c r="E18" s="3">
        <v>210175.71144096099</v>
      </c>
      <c r="F18" s="3"/>
      <c r="G18" s="3"/>
      <c r="H18" s="3">
        <v>16448.885429985399</v>
      </c>
      <c r="I18" s="3">
        <v>175292.598767708</v>
      </c>
      <c r="J18" s="3">
        <v>1100944.5003789903</v>
      </c>
      <c r="K18" s="3">
        <f t="shared" si="0"/>
        <v>523734.70597262791</v>
      </c>
    </row>
    <row r="19" spans="1:11" x14ac:dyDescent="0.25">
      <c r="A19" s="3"/>
      <c r="B19" s="3" t="s">
        <v>22</v>
      </c>
      <c r="C19" s="3">
        <v>1</v>
      </c>
      <c r="D19" s="3">
        <v>5831772.7773838798</v>
      </c>
      <c r="E19" s="3">
        <v>2193629.0571369501</v>
      </c>
      <c r="F19" s="3">
        <v>107035.05091833501</v>
      </c>
      <c r="G19" s="3">
        <v>7558.3461603288206</v>
      </c>
      <c r="H19" s="3">
        <v>257947.86935099802</v>
      </c>
      <c r="I19" s="3">
        <v>666539.31239975407</v>
      </c>
      <c r="J19" s="3">
        <v>9064482.4133502468</v>
      </c>
      <c r="K19" s="3">
        <f t="shared" si="0"/>
        <v>5165233.4649841255</v>
      </c>
    </row>
    <row r="20" spans="1:11" x14ac:dyDescent="0.25">
      <c r="A20" s="3"/>
      <c r="B20" s="3"/>
      <c r="C20" s="3">
        <v>0</v>
      </c>
      <c r="D20" s="3">
        <v>406962.151025459</v>
      </c>
      <c r="E20" s="3">
        <v>112614.669916677</v>
      </c>
      <c r="F20" s="3"/>
      <c r="G20" s="3"/>
      <c r="H20" s="3">
        <v>16448.885429985399</v>
      </c>
      <c r="I20" s="3">
        <v>87273.963569168001</v>
      </c>
      <c r="J20" s="3">
        <v>623299.66994128935</v>
      </c>
      <c r="K20" s="3">
        <f t="shared" si="0"/>
        <v>319688.18745629099</v>
      </c>
    </row>
    <row r="21" spans="1:11" x14ac:dyDescent="0.25">
      <c r="A21" s="3" t="s">
        <v>9</v>
      </c>
      <c r="B21" s="3" t="s">
        <v>21</v>
      </c>
      <c r="C21" s="3">
        <v>1</v>
      </c>
      <c r="D21" s="3">
        <v>77211907.517557696</v>
      </c>
      <c r="E21" s="3">
        <v>56019841.640210003</v>
      </c>
      <c r="F21" s="3">
        <v>20201.0808</v>
      </c>
      <c r="G21" s="3">
        <v>560</v>
      </c>
      <c r="H21" s="3">
        <v>5450.3464000000004</v>
      </c>
      <c r="I21" s="3">
        <v>101774.358815952</v>
      </c>
      <c r="J21" s="3">
        <v>133359734.94378364</v>
      </c>
      <c r="K21" s="3">
        <f t="shared" si="0"/>
        <v>77110133.158741742</v>
      </c>
    </row>
    <row r="22" spans="1:11" x14ac:dyDescent="0.25">
      <c r="A22" s="3"/>
      <c r="B22" s="3"/>
      <c r="C22" s="3">
        <v>0</v>
      </c>
      <c r="D22" s="3">
        <v>349291.12870018999</v>
      </c>
      <c r="E22" s="3">
        <v>75479.150000190406</v>
      </c>
      <c r="F22" s="3"/>
      <c r="G22" s="3"/>
      <c r="H22" s="3"/>
      <c r="I22" s="3"/>
      <c r="J22" s="3">
        <v>424770.27870038041</v>
      </c>
      <c r="K22" s="3">
        <f t="shared" si="0"/>
        <v>349291.12870018999</v>
      </c>
    </row>
    <row r="23" spans="1:11" x14ac:dyDescent="0.25">
      <c r="A23" s="3"/>
      <c r="B23" s="3" t="s">
        <v>22</v>
      </c>
      <c r="C23" s="3">
        <v>1</v>
      </c>
      <c r="D23" s="3">
        <v>75515308.379154906</v>
      </c>
      <c r="E23" s="3">
        <v>54739890.725055099</v>
      </c>
      <c r="F23" s="3">
        <v>20201.0808</v>
      </c>
      <c r="G23" s="3">
        <v>560</v>
      </c>
      <c r="H23" s="3">
        <v>5450.3464000000004</v>
      </c>
      <c r="I23" s="3">
        <v>100967.40281595201</v>
      </c>
      <c r="J23" s="3">
        <v>130382377.93422595</v>
      </c>
      <c r="K23" s="3">
        <f t="shared" si="0"/>
        <v>75414340.976338953</v>
      </c>
    </row>
    <row r="24" spans="1:11" x14ac:dyDescent="0.25">
      <c r="A24" s="3"/>
      <c r="B24" s="3"/>
      <c r="C24" s="3">
        <v>0</v>
      </c>
      <c r="D24" s="3">
        <v>349291.12870018999</v>
      </c>
      <c r="E24" s="3">
        <v>75479.150000190406</v>
      </c>
      <c r="F24" s="3"/>
      <c r="G24" s="3"/>
      <c r="H24" s="3"/>
      <c r="I24" s="3"/>
      <c r="J24" s="3">
        <v>424770.27870038041</v>
      </c>
      <c r="K24" s="3">
        <f t="shared" si="0"/>
        <v>349291.12870018999</v>
      </c>
    </row>
    <row r="39" spans="1:10" x14ac:dyDescent="0.25">
      <c r="A39" s="4" t="s">
        <v>17</v>
      </c>
      <c r="B39" s="3"/>
      <c r="C39" s="4" t="s">
        <v>1</v>
      </c>
      <c r="D39" s="3"/>
      <c r="E39" s="3"/>
      <c r="F39" s="3"/>
      <c r="G39" s="3"/>
      <c r="H39" s="3"/>
      <c r="I39" s="3"/>
    </row>
    <row r="40" spans="1:10" x14ac:dyDescent="0.25">
      <c r="A40" s="4" t="s">
        <v>0</v>
      </c>
      <c r="B40" s="4" t="s">
        <v>5</v>
      </c>
      <c r="C40" s="3" t="s">
        <v>6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  <c r="I40" s="3" t="s">
        <v>15</v>
      </c>
    </row>
    <row r="41" spans="1:10" x14ac:dyDescent="0.25">
      <c r="A41" s="3">
        <v>33</v>
      </c>
      <c r="B41" s="3">
        <v>1</v>
      </c>
      <c r="C41" s="3">
        <v>4678</v>
      </c>
      <c r="D41" s="3">
        <v>2767</v>
      </c>
      <c r="E41" s="3">
        <v>10</v>
      </c>
      <c r="F41" s="3">
        <v>18</v>
      </c>
      <c r="G41" s="3">
        <v>13</v>
      </c>
      <c r="H41" s="3">
        <v>106</v>
      </c>
      <c r="I41" s="3">
        <v>7592</v>
      </c>
      <c r="J41" s="3">
        <f>C41-H41</f>
        <v>4572</v>
      </c>
    </row>
    <row r="42" spans="1:10" x14ac:dyDescent="0.25">
      <c r="A42" s="3"/>
      <c r="B42" s="3">
        <v>0</v>
      </c>
      <c r="C42" s="3">
        <v>663</v>
      </c>
      <c r="D42" s="3">
        <v>46</v>
      </c>
      <c r="E42" s="3">
        <v>3</v>
      </c>
      <c r="F42" s="3">
        <v>4</v>
      </c>
      <c r="G42" s="3">
        <v>2</v>
      </c>
      <c r="H42" s="3">
        <v>326</v>
      </c>
      <c r="I42" s="3">
        <v>1044</v>
      </c>
      <c r="J42" s="3">
        <f t="shared" ref="J42:J50" si="1">C42-H42</f>
        <v>337</v>
      </c>
    </row>
    <row r="43" spans="1:10" x14ac:dyDescent="0.25">
      <c r="A43" s="3">
        <v>3624</v>
      </c>
      <c r="B43" s="3">
        <v>1</v>
      </c>
      <c r="C43" s="3">
        <v>27</v>
      </c>
      <c r="D43" s="3">
        <v>5</v>
      </c>
      <c r="E43" s="3"/>
      <c r="F43" s="3">
        <v>1</v>
      </c>
      <c r="G43" s="3">
        <v>1</v>
      </c>
      <c r="H43" s="3">
        <v>3</v>
      </c>
      <c r="I43" s="3">
        <v>37</v>
      </c>
      <c r="J43" s="3">
        <f t="shared" si="1"/>
        <v>24</v>
      </c>
    </row>
    <row r="44" spans="1:10" x14ac:dyDescent="0.25">
      <c r="A44" s="3"/>
      <c r="B44" s="3">
        <v>0</v>
      </c>
      <c r="C44" s="3">
        <v>9</v>
      </c>
      <c r="D44" s="3"/>
      <c r="E44" s="3"/>
      <c r="F44" s="3">
        <v>1</v>
      </c>
      <c r="G44" s="3">
        <v>1</v>
      </c>
      <c r="H44" s="3">
        <v>1</v>
      </c>
      <c r="I44" s="3">
        <v>12</v>
      </c>
      <c r="J44" s="3">
        <f t="shared" si="1"/>
        <v>8</v>
      </c>
    </row>
    <row r="45" spans="1:10" x14ac:dyDescent="0.25">
      <c r="A45" s="3" t="s">
        <v>7</v>
      </c>
      <c r="B45" s="3">
        <v>1</v>
      </c>
      <c r="C45" s="3">
        <v>173658</v>
      </c>
      <c r="D45" s="3">
        <v>173171</v>
      </c>
      <c r="E45" s="3">
        <v>2</v>
      </c>
      <c r="F45" s="3">
        <v>1</v>
      </c>
      <c r="G45" s="3"/>
      <c r="H45" s="3">
        <v>32</v>
      </c>
      <c r="I45" s="3">
        <v>346864</v>
      </c>
      <c r="J45" s="3">
        <f t="shared" si="1"/>
        <v>173626</v>
      </c>
    </row>
    <row r="46" spans="1:10" x14ac:dyDescent="0.25">
      <c r="A46" s="3"/>
      <c r="B46" s="3">
        <v>0</v>
      </c>
      <c r="C46" s="3">
        <v>29</v>
      </c>
      <c r="D46" s="3">
        <v>15</v>
      </c>
      <c r="E46" s="3"/>
      <c r="F46" s="3"/>
      <c r="G46" s="3"/>
      <c r="H46" s="3">
        <v>1</v>
      </c>
      <c r="I46" s="3">
        <v>45</v>
      </c>
      <c r="J46" s="3">
        <f t="shared" si="1"/>
        <v>28</v>
      </c>
    </row>
    <row r="47" spans="1:10" x14ac:dyDescent="0.25">
      <c r="A47" s="3" t="s">
        <v>8</v>
      </c>
      <c r="B47" s="3">
        <v>1</v>
      </c>
      <c r="C47" s="3">
        <v>1915</v>
      </c>
      <c r="D47" s="3">
        <v>612</v>
      </c>
      <c r="E47" s="3">
        <v>42</v>
      </c>
      <c r="F47" s="3">
        <v>4</v>
      </c>
      <c r="G47" s="3">
        <v>91</v>
      </c>
      <c r="H47" s="3">
        <v>227</v>
      </c>
      <c r="I47" s="3">
        <v>2891</v>
      </c>
      <c r="J47" s="3">
        <f t="shared" si="1"/>
        <v>1688</v>
      </c>
    </row>
    <row r="48" spans="1:10" x14ac:dyDescent="0.25">
      <c r="A48" s="3"/>
      <c r="B48" s="3">
        <v>0</v>
      </c>
      <c r="C48" s="3">
        <v>55</v>
      </c>
      <c r="D48" s="3">
        <v>11</v>
      </c>
      <c r="E48" s="3"/>
      <c r="F48" s="3"/>
      <c r="G48" s="3">
        <v>3</v>
      </c>
      <c r="H48" s="3">
        <v>20</v>
      </c>
      <c r="I48" s="3">
        <v>89</v>
      </c>
      <c r="J48" s="3">
        <f t="shared" si="1"/>
        <v>35</v>
      </c>
    </row>
    <row r="49" spans="1:11" x14ac:dyDescent="0.25">
      <c r="A49" s="3" t="s">
        <v>9</v>
      </c>
      <c r="B49" s="3">
        <v>1</v>
      </c>
      <c r="C49" s="3">
        <v>89851</v>
      </c>
      <c r="D49" s="3">
        <v>67520</v>
      </c>
      <c r="E49" s="3">
        <v>23</v>
      </c>
      <c r="F49" s="3">
        <v>2</v>
      </c>
      <c r="G49" s="3">
        <v>10</v>
      </c>
      <c r="H49" s="3">
        <v>76</v>
      </c>
      <c r="I49" s="3">
        <v>157482</v>
      </c>
      <c r="J49" s="3">
        <f t="shared" si="1"/>
        <v>89775</v>
      </c>
    </row>
    <row r="50" spans="1:11" x14ac:dyDescent="0.25">
      <c r="A50" s="3"/>
      <c r="B50" s="3">
        <v>0</v>
      </c>
      <c r="C50" s="3">
        <v>201</v>
      </c>
      <c r="D50" s="3">
        <v>112</v>
      </c>
      <c r="E50" s="3"/>
      <c r="F50" s="3"/>
      <c r="G50" s="3"/>
      <c r="H50" s="3"/>
      <c r="I50" s="3">
        <v>313</v>
      </c>
      <c r="J50" s="3">
        <f t="shared" si="1"/>
        <v>201</v>
      </c>
    </row>
    <row r="56" spans="1:11" x14ac:dyDescent="0.25">
      <c r="A56" s="5" t="s">
        <v>23</v>
      </c>
    </row>
    <row r="57" spans="1:11" x14ac:dyDescent="0.25">
      <c r="A57" s="3"/>
      <c r="B57" s="3"/>
      <c r="C57" s="4" t="s">
        <v>1</v>
      </c>
      <c r="D57" s="3"/>
      <c r="E57" s="3"/>
      <c r="F57" s="3"/>
      <c r="G57" s="3"/>
      <c r="H57" s="3"/>
      <c r="I57" s="3"/>
    </row>
    <row r="58" spans="1:11" x14ac:dyDescent="0.25">
      <c r="A58" s="4" t="s">
        <v>0</v>
      </c>
      <c r="B58" s="4" t="s">
        <v>16</v>
      </c>
      <c r="C58" s="3" t="s">
        <v>6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3" t="s">
        <v>15</v>
      </c>
    </row>
    <row r="59" spans="1:11" x14ac:dyDescent="0.25">
      <c r="A59" s="3">
        <v>33</v>
      </c>
      <c r="B59" s="3" t="s">
        <v>21</v>
      </c>
      <c r="C59" s="3">
        <v>29798684.509707958</v>
      </c>
      <c r="D59" s="3">
        <v>16212979.610098835</v>
      </c>
      <c r="E59" s="3">
        <v>86647.057543705436</v>
      </c>
      <c r="F59" s="3">
        <v>229258.87165194299</v>
      </c>
      <c r="G59" s="3">
        <v>29803.311966486785</v>
      </c>
      <c r="H59" s="3">
        <v>3104784.9202575656</v>
      </c>
      <c r="I59" s="3">
        <v>49462158.281226493</v>
      </c>
      <c r="K59" s="3">
        <f>D59-I59</f>
        <v>-33249178.671127658</v>
      </c>
    </row>
    <row r="60" spans="1:11" x14ac:dyDescent="0.25">
      <c r="A60" s="3"/>
      <c r="B60" s="3" t="s">
        <v>22</v>
      </c>
      <c r="C60" s="3">
        <v>21558481.149128009</v>
      </c>
      <c r="D60" s="3">
        <v>12528055.713176856</v>
      </c>
      <c r="E60" s="3">
        <v>49147.118465199463</v>
      </c>
      <c r="F60" s="3">
        <v>123111.03541646281</v>
      </c>
      <c r="G60" s="3">
        <v>29803.311966486785</v>
      </c>
      <c r="H60" s="3">
        <v>1839548.2751729849</v>
      </c>
      <c r="I60" s="3">
        <v>36128146.603326</v>
      </c>
      <c r="K60" s="3">
        <f t="shared" ref="K60:K78" si="2">D60-I60</f>
        <v>-23600090.890149146</v>
      </c>
    </row>
    <row r="61" spans="1:11" x14ac:dyDescent="0.25">
      <c r="A61" s="3">
        <v>3624</v>
      </c>
      <c r="B61" s="3" t="s">
        <v>21</v>
      </c>
      <c r="C61" s="3">
        <v>22066.496800000001</v>
      </c>
      <c r="D61" s="3">
        <v>5578</v>
      </c>
      <c r="E61" s="3"/>
      <c r="F61" s="3">
        <v>220</v>
      </c>
      <c r="G61" s="3">
        <v>400</v>
      </c>
      <c r="H61" s="3">
        <v>2807.7</v>
      </c>
      <c r="I61" s="3">
        <v>31072.196800000002</v>
      </c>
      <c r="K61" s="3">
        <f t="shared" si="2"/>
        <v>-25494.196800000002</v>
      </c>
    </row>
    <row r="62" spans="1:11" x14ac:dyDescent="0.25">
      <c r="A62" s="3"/>
      <c r="B62" s="3" t="s">
        <v>22</v>
      </c>
      <c r="C62" s="3">
        <v>22066.496800000001</v>
      </c>
      <c r="D62" s="3">
        <v>5578</v>
      </c>
      <c r="E62" s="3"/>
      <c r="F62" s="3">
        <v>220</v>
      </c>
      <c r="G62" s="3">
        <v>400</v>
      </c>
      <c r="H62" s="3">
        <v>2807.7</v>
      </c>
      <c r="I62" s="3">
        <v>31072.196800000002</v>
      </c>
      <c r="K62" s="3">
        <f t="shared" si="2"/>
        <v>-25494.196800000002</v>
      </c>
    </row>
    <row r="63" spans="1:11" x14ac:dyDescent="0.25">
      <c r="A63" s="3" t="s">
        <v>7</v>
      </c>
      <c r="B63" s="3" t="s">
        <v>21</v>
      </c>
      <c r="C63" s="3">
        <v>121743087.30987799</v>
      </c>
      <c r="D63" s="3">
        <v>121294744.88561998</v>
      </c>
      <c r="E63" s="3">
        <v>276</v>
      </c>
      <c r="F63" s="3">
        <v>212</v>
      </c>
      <c r="G63" s="3"/>
      <c r="H63" s="3">
        <v>22847.034</v>
      </c>
      <c r="I63" s="3">
        <v>243061167.229498</v>
      </c>
      <c r="K63" s="3">
        <f t="shared" si="2"/>
        <v>-121766422.34387802</v>
      </c>
    </row>
    <row r="64" spans="1:11" x14ac:dyDescent="0.25">
      <c r="A64" s="3"/>
      <c r="B64" s="3" t="s">
        <v>22</v>
      </c>
      <c r="C64" s="3">
        <v>121743087.30987799</v>
      </c>
      <c r="D64" s="3">
        <v>121294744.88561998</v>
      </c>
      <c r="E64" s="3">
        <v>276</v>
      </c>
      <c r="F64" s="3">
        <v>212</v>
      </c>
      <c r="G64" s="3"/>
      <c r="H64" s="3">
        <v>22847.034</v>
      </c>
      <c r="I64" s="3">
        <v>243061167.229498</v>
      </c>
      <c r="K64" s="3">
        <f t="shared" si="2"/>
        <v>-121766422.34387802</v>
      </c>
    </row>
    <row r="65" spans="1:11" x14ac:dyDescent="0.25">
      <c r="A65" s="3" t="s">
        <v>8</v>
      </c>
      <c r="B65" s="3" t="s">
        <v>21</v>
      </c>
      <c r="C65" s="3">
        <v>8046544.5189486863</v>
      </c>
      <c r="D65" s="3">
        <v>3070040.9810436112</v>
      </c>
      <c r="E65" s="3">
        <v>183525.417048993</v>
      </c>
      <c r="F65" s="3">
        <v>7558.3461603288206</v>
      </c>
      <c r="G65" s="3">
        <v>315600.75100663339</v>
      </c>
      <c r="H65" s="3">
        <v>1081800.1533782159</v>
      </c>
      <c r="I65" s="3">
        <v>12705070.167586468</v>
      </c>
      <c r="K65" s="3">
        <f t="shared" si="2"/>
        <v>-9635029.1865428574</v>
      </c>
    </row>
    <row r="66" spans="1:11" x14ac:dyDescent="0.25">
      <c r="A66" s="3"/>
      <c r="B66" s="3" t="s">
        <v>22</v>
      </c>
      <c r="C66" s="3">
        <v>6238734.9284093389</v>
      </c>
      <c r="D66" s="3">
        <v>2306243.7270536269</v>
      </c>
      <c r="E66" s="3">
        <v>107035.05091833501</v>
      </c>
      <c r="F66" s="3">
        <v>7558.3461603288206</v>
      </c>
      <c r="G66" s="3">
        <v>274396.75478098344</v>
      </c>
      <c r="H66" s="3">
        <v>753813.27596892207</v>
      </c>
      <c r="I66" s="3">
        <v>9687782.0832915343</v>
      </c>
      <c r="K66" s="3">
        <f t="shared" si="2"/>
        <v>-7381538.356237907</v>
      </c>
    </row>
    <row r="67" spans="1:11" x14ac:dyDescent="0.25">
      <c r="A67" s="3" t="s">
        <v>9</v>
      </c>
      <c r="B67" s="3" t="s">
        <v>21</v>
      </c>
      <c r="C67" s="3">
        <v>77561198.646257892</v>
      </c>
      <c r="D67" s="3">
        <v>56095320.790210195</v>
      </c>
      <c r="E67" s="3">
        <v>20201.0808</v>
      </c>
      <c r="F67" s="3">
        <v>560</v>
      </c>
      <c r="G67" s="3">
        <v>5450.3464000000004</v>
      </c>
      <c r="H67" s="3">
        <v>101774.358815952</v>
      </c>
      <c r="I67" s="3">
        <v>133784505.22248404</v>
      </c>
      <c r="K67" s="3">
        <f t="shared" si="2"/>
        <v>-77689184.432273835</v>
      </c>
    </row>
    <row r="68" spans="1:11" x14ac:dyDescent="0.25">
      <c r="A68" s="3"/>
      <c r="B68" s="3" t="s">
        <v>22</v>
      </c>
      <c r="C68" s="3">
        <v>75864599.507855102</v>
      </c>
      <c r="D68" s="3">
        <v>54815369.875055291</v>
      </c>
      <c r="E68" s="3">
        <v>20201.0808</v>
      </c>
      <c r="F68" s="3">
        <v>560</v>
      </c>
      <c r="G68" s="3">
        <v>5450.3464000000004</v>
      </c>
      <c r="H68" s="3">
        <v>100967.40281595201</v>
      </c>
      <c r="I68" s="3">
        <v>130807148.21292634</v>
      </c>
      <c r="K68" s="3">
        <f t="shared" si="2"/>
        <v>-75991778.337871045</v>
      </c>
    </row>
    <row r="69" spans="1:11" x14ac:dyDescent="0.25">
      <c r="K69" s="3">
        <f t="shared" si="2"/>
        <v>0</v>
      </c>
    </row>
    <row r="70" spans="1:11" x14ac:dyDescent="0.25">
      <c r="K70" s="3">
        <f t="shared" si="2"/>
        <v>0</v>
      </c>
    </row>
    <row r="71" spans="1:11" x14ac:dyDescent="0.25">
      <c r="K71" s="3">
        <f t="shared" si="2"/>
        <v>0</v>
      </c>
    </row>
    <row r="72" spans="1:11" x14ac:dyDescent="0.25">
      <c r="K72" s="3">
        <f t="shared" si="2"/>
        <v>0</v>
      </c>
    </row>
    <row r="73" spans="1:11" x14ac:dyDescent="0.25">
      <c r="K73" s="3">
        <f t="shared" si="2"/>
        <v>0</v>
      </c>
    </row>
    <row r="74" spans="1:11" x14ac:dyDescent="0.25">
      <c r="K74" s="3">
        <f t="shared" si="2"/>
        <v>0</v>
      </c>
    </row>
    <row r="75" spans="1:11" x14ac:dyDescent="0.25">
      <c r="K75" s="3">
        <f t="shared" si="2"/>
        <v>0</v>
      </c>
    </row>
    <row r="76" spans="1:11" x14ac:dyDescent="0.25">
      <c r="K76" s="3">
        <f t="shared" si="2"/>
        <v>0</v>
      </c>
    </row>
    <row r="77" spans="1:11" x14ac:dyDescent="0.25">
      <c r="K77" s="3">
        <f t="shared" si="2"/>
        <v>0</v>
      </c>
    </row>
    <row r="78" spans="1:11" x14ac:dyDescent="0.25">
      <c r="K78" s="3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88F1-4B47-421A-9EF9-440A877182E4}">
  <dimension ref="A1:H48"/>
  <sheetViews>
    <sheetView workbookViewId="0">
      <selection activeCell="D62" sqref="D62"/>
    </sheetView>
  </sheetViews>
  <sheetFormatPr defaultRowHeight="12.7" x14ac:dyDescent="0.25"/>
  <cols>
    <col min="1" max="1" width="9.44140625" style="2" bestFit="1" customWidth="1"/>
    <col min="3" max="4" width="18.88671875" style="1" bestFit="1" customWidth="1"/>
    <col min="5" max="5" width="11.44140625" bestFit="1" customWidth="1"/>
    <col min="6" max="6" width="9" bestFit="1" customWidth="1"/>
    <col min="7" max="8" width="15.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</row>
    <row r="2" spans="1:8" x14ac:dyDescent="0.25">
      <c r="A2" s="1">
        <v>33</v>
      </c>
      <c r="B2" s="1" t="s">
        <v>6</v>
      </c>
      <c r="C2" s="1">
        <v>4645929142.0892601</v>
      </c>
      <c r="D2" s="1">
        <v>2931952651.35181</v>
      </c>
      <c r="E2" s="1">
        <v>663</v>
      </c>
      <c r="F2" s="1">
        <v>0</v>
      </c>
      <c r="G2" s="1">
        <f>C2/1000</f>
        <v>4645929.1420892598</v>
      </c>
      <c r="H2" s="1">
        <f>D2/1000</f>
        <v>2931952.65135181</v>
      </c>
    </row>
    <row r="3" spans="1:8" x14ac:dyDescent="0.25">
      <c r="A3" s="1">
        <v>33</v>
      </c>
      <c r="B3" s="1" t="s">
        <v>6</v>
      </c>
      <c r="C3" s="1">
        <v>25152755367.618698</v>
      </c>
      <c r="D3" s="1">
        <v>18626528497.776199</v>
      </c>
      <c r="E3" s="1">
        <v>4678</v>
      </c>
      <c r="F3" s="1">
        <v>1</v>
      </c>
      <c r="G3" s="1">
        <f t="shared" ref="G3:G48" si="0">C3/1000</f>
        <v>25152755.367618699</v>
      </c>
      <c r="H3" s="1">
        <f t="shared" ref="H3:H48" si="1">D3/1000</f>
        <v>18626528.497776199</v>
      </c>
    </row>
    <row r="4" spans="1:8" x14ac:dyDescent="0.25">
      <c r="A4" s="1">
        <v>3624</v>
      </c>
      <c r="B4" s="1" t="s">
        <v>6</v>
      </c>
      <c r="C4" s="1">
        <v>1652000</v>
      </c>
      <c r="D4" s="1">
        <v>1652000</v>
      </c>
      <c r="E4" s="1">
        <v>9</v>
      </c>
      <c r="F4" s="1">
        <v>0</v>
      </c>
      <c r="G4" s="1">
        <f t="shared" si="0"/>
        <v>1652</v>
      </c>
      <c r="H4" s="1">
        <f t="shared" si="1"/>
        <v>1652</v>
      </c>
    </row>
    <row r="5" spans="1:8" x14ac:dyDescent="0.25">
      <c r="A5" s="1">
        <v>3624</v>
      </c>
      <c r="B5" s="1" t="s">
        <v>6</v>
      </c>
      <c r="C5" s="1">
        <v>20414496.800000001</v>
      </c>
      <c r="D5" s="1">
        <v>20414496.800000001</v>
      </c>
      <c r="E5" s="1">
        <v>27</v>
      </c>
      <c r="F5" s="1">
        <v>1</v>
      </c>
      <c r="G5" s="1">
        <f t="shared" si="0"/>
        <v>20414.496800000001</v>
      </c>
      <c r="H5" s="1">
        <f t="shared" si="1"/>
        <v>20414.496800000001</v>
      </c>
    </row>
    <row r="6" spans="1:8" x14ac:dyDescent="0.25">
      <c r="A6" s="1" t="s">
        <v>7</v>
      </c>
      <c r="B6" s="1" t="s">
        <v>6</v>
      </c>
      <c r="C6" s="1">
        <v>15433806.3999999</v>
      </c>
      <c r="D6" s="1">
        <v>15433806.3999999</v>
      </c>
      <c r="E6" s="1">
        <v>29</v>
      </c>
      <c r="F6" s="1">
        <v>0</v>
      </c>
      <c r="G6" s="1">
        <f t="shared" si="0"/>
        <v>15433.806399999899</v>
      </c>
      <c r="H6" s="1">
        <f t="shared" si="1"/>
        <v>15433.806399999899</v>
      </c>
    </row>
    <row r="7" spans="1:8" x14ac:dyDescent="0.25">
      <c r="A7" s="1" t="s">
        <v>7</v>
      </c>
      <c r="B7" s="1" t="s">
        <v>6</v>
      </c>
      <c r="C7" s="1">
        <v>121727653503.478</v>
      </c>
      <c r="D7" s="1">
        <v>121727653503.478</v>
      </c>
      <c r="E7" s="1">
        <v>173658</v>
      </c>
      <c r="F7" s="1">
        <v>1</v>
      </c>
      <c r="G7" s="1">
        <f t="shared" si="0"/>
        <v>121727653.50347799</v>
      </c>
      <c r="H7" s="1">
        <f t="shared" si="1"/>
        <v>121727653.50347799</v>
      </c>
    </row>
    <row r="8" spans="1:8" x14ac:dyDescent="0.25">
      <c r="A8" s="1" t="s">
        <v>8</v>
      </c>
      <c r="B8" s="1" t="s">
        <v>6</v>
      </c>
      <c r="C8" s="1">
        <v>699027304.74033594</v>
      </c>
      <c r="D8" s="1">
        <v>406962151.02545899</v>
      </c>
      <c r="E8" s="1">
        <v>55</v>
      </c>
      <c r="F8" s="1">
        <v>0</v>
      </c>
      <c r="G8" s="1">
        <f t="shared" si="0"/>
        <v>699027.30474033591</v>
      </c>
      <c r="H8" s="1">
        <f t="shared" si="1"/>
        <v>406962.151025459</v>
      </c>
    </row>
    <row r="9" spans="1:8" x14ac:dyDescent="0.25">
      <c r="A9" s="1" t="s">
        <v>8</v>
      </c>
      <c r="B9" s="1" t="s">
        <v>6</v>
      </c>
      <c r="C9" s="1">
        <v>7347517214.2083502</v>
      </c>
      <c r="D9" s="1">
        <v>5831772777.3838797</v>
      </c>
      <c r="E9" s="1">
        <v>1915</v>
      </c>
      <c r="F9" s="1">
        <v>1</v>
      </c>
      <c r="G9" s="1">
        <f t="shared" si="0"/>
        <v>7347517.2142083505</v>
      </c>
      <c r="H9" s="1">
        <f t="shared" si="1"/>
        <v>5831772.7773838798</v>
      </c>
    </row>
    <row r="10" spans="1:8" x14ac:dyDescent="0.25">
      <c r="A10" s="1" t="s">
        <v>9</v>
      </c>
      <c r="B10" s="1" t="s">
        <v>6</v>
      </c>
      <c r="C10" s="1">
        <v>349291128.70019001</v>
      </c>
      <c r="D10" s="1">
        <v>349291128.70019001</v>
      </c>
      <c r="E10" s="1">
        <v>201</v>
      </c>
      <c r="F10" s="1">
        <v>0</v>
      </c>
      <c r="G10" s="1">
        <f t="shared" si="0"/>
        <v>349291.12870018999</v>
      </c>
      <c r="H10" s="1">
        <f t="shared" si="1"/>
        <v>349291.12870018999</v>
      </c>
    </row>
    <row r="11" spans="1:8" x14ac:dyDescent="0.25">
      <c r="A11" s="1" t="s">
        <v>9</v>
      </c>
      <c r="B11" s="1" t="s">
        <v>6</v>
      </c>
      <c r="C11" s="1">
        <v>77211907517.557693</v>
      </c>
      <c r="D11" s="1">
        <v>75515308379.154907</v>
      </c>
      <c r="E11" s="1">
        <v>89851</v>
      </c>
      <c r="F11" s="1">
        <v>1</v>
      </c>
      <c r="G11" s="1">
        <f t="shared" si="0"/>
        <v>77211907.517557696</v>
      </c>
      <c r="H11" s="1">
        <f t="shared" si="1"/>
        <v>75515308.379154906</v>
      </c>
    </row>
    <row r="12" spans="1:8" x14ac:dyDescent="0.25">
      <c r="A12" s="1">
        <v>33</v>
      </c>
      <c r="B12" s="1" t="s">
        <v>10</v>
      </c>
      <c r="C12" s="1">
        <v>591803570.79433501</v>
      </c>
      <c r="D12" s="1">
        <v>395404009.10095602</v>
      </c>
      <c r="E12" s="1">
        <v>46</v>
      </c>
      <c r="F12" s="1">
        <v>0</v>
      </c>
      <c r="G12" s="1">
        <f t="shared" si="0"/>
        <v>591803.57079433498</v>
      </c>
      <c r="H12" s="1">
        <f t="shared" si="1"/>
        <v>395404.00910095603</v>
      </c>
    </row>
    <row r="13" spans="1:8" x14ac:dyDescent="0.25">
      <c r="A13" s="1">
        <v>33</v>
      </c>
      <c r="B13" s="1" t="s">
        <v>10</v>
      </c>
      <c r="C13" s="1">
        <v>15621176039.304501</v>
      </c>
      <c r="D13" s="1">
        <v>12132651704.075899</v>
      </c>
      <c r="E13" s="1">
        <v>2767</v>
      </c>
      <c r="F13" s="1">
        <v>1</v>
      </c>
      <c r="G13" s="1">
        <f t="shared" si="0"/>
        <v>15621176.0393045</v>
      </c>
      <c r="H13" s="1">
        <f t="shared" si="1"/>
        <v>12132651.704075899</v>
      </c>
    </row>
    <row r="14" spans="1:8" x14ac:dyDescent="0.25">
      <c r="A14" s="1">
        <v>3624</v>
      </c>
      <c r="B14" s="1" t="s">
        <v>10</v>
      </c>
      <c r="C14" s="1">
        <v>5578000</v>
      </c>
      <c r="D14" s="1">
        <v>5578000</v>
      </c>
      <c r="E14" s="1">
        <v>5</v>
      </c>
      <c r="F14" s="1">
        <v>1</v>
      </c>
      <c r="G14" s="1">
        <f t="shared" si="0"/>
        <v>5578</v>
      </c>
      <c r="H14" s="1">
        <f t="shared" si="1"/>
        <v>5578</v>
      </c>
    </row>
    <row r="15" spans="1:8" x14ac:dyDescent="0.25">
      <c r="A15" s="1" t="s">
        <v>7</v>
      </c>
      <c r="B15" s="1" t="s">
        <v>10</v>
      </c>
      <c r="C15" s="1">
        <v>7099946</v>
      </c>
      <c r="D15" s="1">
        <v>7099946</v>
      </c>
      <c r="E15" s="1">
        <v>15</v>
      </c>
      <c r="F15" s="1">
        <v>0</v>
      </c>
      <c r="G15" s="1">
        <f t="shared" si="0"/>
        <v>7099.9459999999999</v>
      </c>
      <c r="H15" s="1">
        <f t="shared" si="1"/>
        <v>7099.9459999999999</v>
      </c>
    </row>
    <row r="16" spans="1:8" x14ac:dyDescent="0.25">
      <c r="A16" s="1" t="s">
        <v>7</v>
      </c>
      <c r="B16" s="1" t="s">
        <v>10</v>
      </c>
      <c r="C16" s="1">
        <v>121287644939.62</v>
      </c>
      <c r="D16" s="1">
        <v>121287644939.62</v>
      </c>
      <c r="E16" s="1">
        <v>173171</v>
      </c>
      <c r="F16" s="1">
        <v>1</v>
      </c>
      <c r="G16" s="1">
        <f t="shared" si="0"/>
        <v>121287644.93961999</v>
      </c>
      <c r="H16" s="1">
        <f t="shared" si="1"/>
        <v>121287644.93961999</v>
      </c>
    </row>
    <row r="17" spans="1:8" x14ac:dyDescent="0.25">
      <c r="A17" s="1" t="s">
        <v>8</v>
      </c>
      <c r="B17" s="1" t="s">
        <v>10</v>
      </c>
      <c r="C17" s="1">
        <v>210175711.440961</v>
      </c>
      <c r="D17" s="1">
        <v>112614669.916677</v>
      </c>
      <c r="E17" s="1">
        <v>11</v>
      </c>
      <c r="F17" s="1">
        <v>0</v>
      </c>
      <c r="G17" s="1">
        <f t="shared" si="0"/>
        <v>210175.71144096099</v>
      </c>
      <c r="H17" s="1">
        <f t="shared" si="1"/>
        <v>112614.669916677</v>
      </c>
    </row>
    <row r="18" spans="1:8" x14ac:dyDescent="0.25">
      <c r="A18" s="1" t="s">
        <v>8</v>
      </c>
      <c r="B18" s="1" t="s">
        <v>10</v>
      </c>
      <c r="C18" s="1">
        <v>2859865269.6026502</v>
      </c>
      <c r="D18" s="1">
        <v>2193629057.13695</v>
      </c>
      <c r="E18" s="1">
        <v>612</v>
      </c>
      <c r="F18" s="1">
        <v>1</v>
      </c>
      <c r="G18" s="1">
        <f t="shared" si="0"/>
        <v>2859865.2696026503</v>
      </c>
      <c r="H18" s="1">
        <f t="shared" si="1"/>
        <v>2193629.0571369501</v>
      </c>
    </row>
    <row r="19" spans="1:8" x14ac:dyDescent="0.25">
      <c r="A19" s="1" t="s">
        <v>9</v>
      </c>
      <c r="B19" s="1" t="s">
        <v>10</v>
      </c>
      <c r="C19" s="1">
        <v>75479150.000190407</v>
      </c>
      <c r="D19" s="1">
        <v>75479150.000190407</v>
      </c>
      <c r="E19" s="1">
        <v>112</v>
      </c>
      <c r="F19" s="1">
        <v>0</v>
      </c>
      <c r="G19" s="1">
        <f t="shared" si="0"/>
        <v>75479.150000190406</v>
      </c>
      <c r="H19" s="1">
        <f t="shared" si="1"/>
        <v>75479.150000190406</v>
      </c>
    </row>
    <row r="20" spans="1:8" x14ac:dyDescent="0.25">
      <c r="A20" s="1" t="s">
        <v>9</v>
      </c>
      <c r="B20" s="1" t="s">
        <v>10</v>
      </c>
      <c r="C20" s="1">
        <v>56019841640.209999</v>
      </c>
      <c r="D20" s="1">
        <v>54739890725.055099</v>
      </c>
      <c r="E20" s="1">
        <v>67520</v>
      </c>
      <c r="F20" s="1">
        <v>1</v>
      </c>
      <c r="G20" s="1">
        <f t="shared" si="0"/>
        <v>56019841.640210003</v>
      </c>
      <c r="H20" s="1">
        <f t="shared" si="1"/>
        <v>54739890.725055099</v>
      </c>
    </row>
    <row r="21" spans="1:8" x14ac:dyDescent="0.25">
      <c r="A21" s="1">
        <v>33</v>
      </c>
      <c r="B21" s="1" t="s">
        <v>11</v>
      </c>
      <c r="C21" s="1">
        <v>3060082.6430000402</v>
      </c>
      <c r="D21" s="1">
        <v>1599407.4673806699</v>
      </c>
      <c r="E21" s="1">
        <v>3</v>
      </c>
      <c r="F21" s="1">
        <v>0</v>
      </c>
      <c r="G21" s="1">
        <f t="shared" si="0"/>
        <v>3060.0826430000402</v>
      </c>
      <c r="H21" s="1">
        <f t="shared" si="1"/>
        <v>1599.4074673806699</v>
      </c>
    </row>
    <row r="22" spans="1:8" x14ac:dyDescent="0.25">
      <c r="A22" s="1">
        <v>33</v>
      </c>
      <c r="B22" s="1" t="s">
        <v>11</v>
      </c>
      <c r="C22" s="1">
        <v>83586974.900705397</v>
      </c>
      <c r="D22" s="1">
        <v>47547710.997818798</v>
      </c>
      <c r="E22" s="1">
        <v>10</v>
      </c>
      <c r="F22" s="1">
        <v>1</v>
      </c>
      <c r="G22" s="1">
        <f t="shared" si="0"/>
        <v>83586.974900705391</v>
      </c>
      <c r="H22" s="1">
        <f t="shared" si="1"/>
        <v>47547.710997818795</v>
      </c>
    </row>
    <row r="23" spans="1:8" x14ac:dyDescent="0.25">
      <c r="A23" s="1" t="s">
        <v>7</v>
      </c>
      <c r="B23" s="1" t="s">
        <v>11</v>
      </c>
      <c r="C23" s="1">
        <v>276000</v>
      </c>
      <c r="D23" s="1">
        <v>276000</v>
      </c>
      <c r="E23" s="1">
        <v>2</v>
      </c>
      <c r="F23" s="1">
        <v>1</v>
      </c>
      <c r="G23" s="1">
        <f t="shared" si="0"/>
        <v>276</v>
      </c>
      <c r="H23" s="1">
        <f t="shared" si="1"/>
        <v>276</v>
      </c>
    </row>
    <row r="24" spans="1:8" x14ac:dyDescent="0.25">
      <c r="A24" s="1" t="s">
        <v>8</v>
      </c>
      <c r="B24" s="1" t="s">
        <v>11</v>
      </c>
      <c r="C24" s="1">
        <v>183525417.04899299</v>
      </c>
      <c r="D24" s="1">
        <v>107035050.91833501</v>
      </c>
      <c r="E24" s="1">
        <v>42</v>
      </c>
      <c r="F24" s="1">
        <v>1</v>
      </c>
      <c r="G24" s="1">
        <f t="shared" si="0"/>
        <v>183525.417048993</v>
      </c>
      <c r="H24" s="1">
        <f t="shared" si="1"/>
        <v>107035.05091833501</v>
      </c>
    </row>
    <row r="25" spans="1:8" x14ac:dyDescent="0.25">
      <c r="A25" s="1" t="s">
        <v>9</v>
      </c>
      <c r="B25" s="1" t="s">
        <v>11</v>
      </c>
      <c r="C25" s="1">
        <v>20201080.800000001</v>
      </c>
      <c r="D25" s="1">
        <v>20201080.800000001</v>
      </c>
      <c r="E25" s="1">
        <v>23</v>
      </c>
      <c r="F25" s="1">
        <v>1</v>
      </c>
      <c r="G25" s="1">
        <f t="shared" si="0"/>
        <v>20201.0808</v>
      </c>
      <c r="H25" s="1">
        <f t="shared" si="1"/>
        <v>20201.0808</v>
      </c>
    </row>
    <row r="26" spans="1:8" x14ac:dyDescent="0.25">
      <c r="A26" s="1">
        <v>33</v>
      </c>
      <c r="B26" s="1" t="s">
        <v>12</v>
      </c>
      <c r="C26" s="1">
        <v>18301343.574820001</v>
      </c>
      <c r="D26" s="1">
        <v>16479715.6923308</v>
      </c>
      <c r="E26" s="1">
        <v>4</v>
      </c>
      <c r="F26" s="1">
        <v>0</v>
      </c>
      <c r="G26" s="1">
        <f t="shared" si="0"/>
        <v>18301.343574819999</v>
      </c>
      <c r="H26" s="1">
        <f t="shared" si="1"/>
        <v>16479.715692330799</v>
      </c>
    </row>
    <row r="27" spans="1:8" x14ac:dyDescent="0.25">
      <c r="A27" s="1">
        <v>33</v>
      </c>
      <c r="B27" s="1" t="s">
        <v>12</v>
      </c>
      <c r="C27" s="1">
        <v>210957528.07712299</v>
      </c>
      <c r="D27" s="1">
        <v>106631319.724132</v>
      </c>
      <c r="E27" s="1">
        <v>18</v>
      </c>
      <c r="F27" s="1">
        <v>1</v>
      </c>
      <c r="G27" s="1">
        <f t="shared" si="0"/>
        <v>210957.52807712299</v>
      </c>
      <c r="H27" s="1">
        <f t="shared" si="1"/>
        <v>106631.319724132</v>
      </c>
    </row>
    <row r="28" spans="1:8" x14ac:dyDescent="0.25">
      <c r="A28" s="1">
        <v>3624</v>
      </c>
      <c r="B28" s="1" t="s">
        <v>12</v>
      </c>
      <c r="C28" s="1">
        <v>110000</v>
      </c>
      <c r="D28" s="1">
        <v>110000</v>
      </c>
      <c r="E28" s="1">
        <v>1</v>
      </c>
      <c r="F28" s="1">
        <v>0</v>
      </c>
      <c r="G28" s="1">
        <f t="shared" si="0"/>
        <v>110</v>
      </c>
      <c r="H28" s="1">
        <f t="shared" si="1"/>
        <v>110</v>
      </c>
    </row>
    <row r="29" spans="1:8" x14ac:dyDescent="0.25">
      <c r="A29" s="1">
        <v>3624</v>
      </c>
      <c r="B29" s="1" t="s">
        <v>12</v>
      </c>
      <c r="C29" s="1">
        <v>110000</v>
      </c>
      <c r="D29" s="1">
        <v>110000</v>
      </c>
      <c r="E29" s="1">
        <v>1</v>
      </c>
      <c r="F29" s="1">
        <v>1</v>
      </c>
      <c r="G29" s="1">
        <f t="shared" si="0"/>
        <v>110</v>
      </c>
      <c r="H29" s="1">
        <f t="shared" si="1"/>
        <v>110</v>
      </c>
    </row>
    <row r="30" spans="1:8" x14ac:dyDescent="0.25">
      <c r="A30" s="1" t="s">
        <v>7</v>
      </c>
      <c r="B30" s="1" t="s">
        <v>12</v>
      </c>
      <c r="C30" s="1">
        <v>212000</v>
      </c>
      <c r="D30" s="1">
        <v>212000</v>
      </c>
      <c r="E30" s="1">
        <v>1</v>
      </c>
      <c r="F30" s="1">
        <v>1</v>
      </c>
      <c r="G30" s="1">
        <f t="shared" si="0"/>
        <v>212</v>
      </c>
      <c r="H30" s="1">
        <f t="shared" si="1"/>
        <v>212</v>
      </c>
    </row>
    <row r="31" spans="1:8" x14ac:dyDescent="0.25">
      <c r="A31" s="1" t="s">
        <v>8</v>
      </c>
      <c r="B31" s="1" t="s">
        <v>12</v>
      </c>
      <c r="C31" s="1">
        <v>7558346.1603288203</v>
      </c>
      <c r="D31" s="1">
        <v>7558346.1603288203</v>
      </c>
      <c r="E31" s="1">
        <v>4</v>
      </c>
      <c r="F31" s="1">
        <v>1</v>
      </c>
      <c r="G31" s="1">
        <f t="shared" si="0"/>
        <v>7558.3461603288206</v>
      </c>
      <c r="H31" s="1">
        <f t="shared" si="1"/>
        <v>7558.3461603288206</v>
      </c>
    </row>
    <row r="32" spans="1:8" x14ac:dyDescent="0.25">
      <c r="A32" s="1" t="s">
        <v>9</v>
      </c>
      <c r="B32" s="1" t="s">
        <v>12</v>
      </c>
      <c r="C32" s="1">
        <v>560000</v>
      </c>
      <c r="D32" s="1">
        <v>560000</v>
      </c>
      <c r="E32" s="1">
        <v>2</v>
      </c>
      <c r="F32" s="1">
        <v>1</v>
      </c>
      <c r="G32" s="1">
        <f t="shared" si="0"/>
        <v>560</v>
      </c>
      <c r="H32" s="1">
        <f t="shared" si="1"/>
        <v>560</v>
      </c>
    </row>
    <row r="33" spans="1:8" x14ac:dyDescent="0.25">
      <c r="A33" s="1">
        <v>33</v>
      </c>
      <c r="B33" s="1" t="s">
        <v>13</v>
      </c>
      <c r="C33" s="1">
        <v>7114586.37314039</v>
      </c>
      <c r="D33" s="1">
        <v>7114586.37314039</v>
      </c>
      <c r="E33" s="1">
        <v>2</v>
      </c>
      <c r="F33" s="1">
        <v>0</v>
      </c>
      <c r="G33" s="1">
        <f t="shared" si="0"/>
        <v>7114.5863731403897</v>
      </c>
      <c r="H33" s="1">
        <f t="shared" si="1"/>
        <v>7114.5863731403897</v>
      </c>
    </row>
    <row r="34" spans="1:8" x14ac:dyDescent="0.25">
      <c r="A34" s="1">
        <v>33</v>
      </c>
      <c r="B34" s="1" t="s">
        <v>13</v>
      </c>
      <c r="C34" s="1">
        <v>22688725.593346398</v>
      </c>
      <c r="D34" s="1">
        <v>22688725.593346398</v>
      </c>
      <c r="E34" s="1">
        <v>13</v>
      </c>
      <c r="F34" s="1">
        <v>1</v>
      </c>
      <c r="G34" s="1">
        <f t="shared" si="0"/>
        <v>22688.725593346397</v>
      </c>
      <c r="H34" s="1">
        <f t="shared" si="1"/>
        <v>22688.725593346397</v>
      </c>
    </row>
    <row r="35" spans="1:8" x14ac:dyDescent="0.25">
      <c r="A35" s="1">
        <v>3624</v>
      </c>
      <c r="B35" s="1" t="s">
        <v>13</v>
      </c>
      <c r="C35" s="1">
        <v>200000</v>
      </c>
      <c r="D35" s="1">
        <v>200000</v>
      </c>
      <c r="E35" s="1">
        <v>1</v>
      </c>
      <c r="F35" s="1">
        <v>0</v>
      </c>
      <c r="G35" s="1">
        <f t="shared" si="0"/>
        <v>200</v>
      </c>
      <c r="H35" s="1">
        <f t="shared" si="1"/>
        <v>200</v>
      </c>
    </row>
    <row r="36" spans="1:8" x14ac:dyDescent="0.25">
      <c r="A36" s="1">
        <v>3624</v>
      </c>
      <c r="B36" s="1" t="s">
        <v>13</v>
      </c>
      <c r="C36" s="1">
        <v>200000</v>
      </c>
      <c r="D36" s="1">
        <v>200000</v>
      </c>
      <c r="E36" s="1">
        <v>1</v>
      </c>
      <c r="F36" s="1">
        <v>1</v>
      </c>
      <c r="G36" s="1">
        <f t="shared" si="0"/>
        <v>200</v>
      </c>
      <c r="H36" s="1">
        <f t="shared" si="1"/>
        <v>200</v>
      </c>
    </row>
    <row r="37" spans="1:8" x14ac:dyDescent="0.25">
      <c r="A37" s="1" t="s">
        <v>8</v>
      </c>
      <c r="B37" s="1" t="s">
        <v>13</v>
      </c>
      <c r="C37" s="1">
        <v>16448885.4299854</v>
      </c>
      <c r="D37" s="1">
        <v>16448885.4299854</v>
      </c>
      <c r="E37" s="1">
        <v>3</v>
      </c>
      <c r="F37" s="1">
        <v>0</v>
      </c>
      <c r="G37" s="1">
        <f t="shared" si="0"/>
        <v>16448.885429985399</v>
      </c>
      <c r="H37" s="1">
        <f t="shared" si="1"/>
        <v>16448.885429985399</v>
      </c>
    </row>
    <row r="38" spans="1:8" x14ac:dyDescent="0.25">
      <c r="A38" s="1" t="s">
        <v>8</v>
      </c>
      <c r="B38" s="1" t="s">
        <v>13</v>
      </c>
      <c r="C38" s="1">
        <v>299151865.576648</v>
      </c>
      <c r="D38" s="1">
        <v>257947869.35099801</v>
      </c>
      <c r="E38" s="1">
        <v>91</v>
      </c>
      <c r="F38" s="1">
        <v>1</v>
      </c>
      <c r="G38" s="1">
        <f t="shared" si="0"/>
        <v>299151.86557664798</v>
      </c>
      <c r="H38" s="1">
        <f t="shared" si="1"/>
        <v>257947.86935099802</v>
      </c>
    </row>
    <row r="39" spans="1:8" x14ac:dyDescent="0.25">
      <c r="A39" s="1" t="s">
        <v>9</v>
      </c>
      <c r="B39" s="1" t="s">
        <v>13</v>
      </c>
      <c r="C39" s="1">
        <v>5450346.4000000004</v>
      </c>
      <c r="D39" s="1">
        <v>5450346.4000000004</v>
      </c>
      <c r="E39" s="1">
        <v>10</v>
      </c>
      <c r="F39" s="1">
        <v>1</v>
      </c>
      <c r="G39" s="1">
        <f t="shared" si="0"/>
        <v>5450.3464000000004</v>
      </c>
      <c r="H39" s="1">
        <f t="shared" si="1"/>
        <v>5450.3464000000004</v>
      </c>
    </row>
    <row r="40" spans="1:8" x14ac:dyDescent="0.25">
      <c r="A40" s="1">
        <v>33</v>
      </c>
      <c r="B40" s="1" t="s">
        <v>14</v>
      </c>
      <c r="C40" s="1">
        <v>2365811502.90905</v>
      </c>
      <c r="D40" s="1">
        <v>1413295965.35532</v>
      </c>
      <c r="E40" s="1">
        <v>326</v>
      </c>
      <c r="F40" s="1">
        <v>0</v>
      </c>
      <c r="G40" s="1">
        <f t="shared" si="0"/>
        <v>2365811.5029090499</v>
      </c>
      <c r="H40" s="1">
        <f t="shared" si="1"/>
        <v>1413295.9653553199</v>
      </c>
    </row>
    <row r="41" spans="1:8" x14ac:dyDescent="0.25">
      <c r="A41" s="1">
        <v>33</v>
      </c>
      <c r="B41" s="1" t="s">
        <v>14</v>
      </c>
      <c r="C41" s="1">
        <v>738973417.34851599</v>
      </c>
      <c r="D41" s="1">
        <v>426252309.81766498</v>
      </c>
      <c r="E41" s="1">
        <v>106</v>
      </c>
      <c r="F41" s="1">
        <v>1</v>
      </c>
      <c r="G41" s="1">
        <f t="shared" si="0"/>
        <v>738973.41734851594</v>
      </c>
      <c r="H41" s="1">
        <f t="shared" si="1"/>
        <v>426252.30981766497</v>
      </c>
    </row>
    <row r="42" spans="1:8" x14ac:dyDescent="0.25">
      <c r="A42" s="1">
        <v>3624</v>
      </c>
      <c r="B42" s="1" t="s">
        <v>14</v>
      </c>
      <c r="C42" s="1">
        <v>345000</v>
      </c>
      <c r="D42" s="1">
        <v>345000</v>
      </c>
      <c r="E42" s="1">
        <v>1</v>
      </c>
      <c r="F42" s="1">
        <v>0</v>
      </c>
      <c r="G42" s="1">
        <f t="shared" si="0"/>
        <v>345</v>
      </c>
      <c r="H42" s="1">
        <f t="shared" si="1"/>
        <v>345</v>
      </c>
    </row>
    <row r="43" spans="1:8" x14ac:dyDescent="0.25">
      <c r="A43" s="1">
        <v>3624</v>
      </c>
      <c r="B43" s="1" t="s">
        <v>14</v>
      </c>
      <c r="C43" s="1">
        <v>2462700</v>
      </c>
      <c r="D43" s="1">
        <v>2462700</v>
      </c>
      <c r="E43" s="1">
        <v>3</v>
      </c>
      <c r="F43" s="1">
        <v>1</v>
      </c>
      <c r="G43" s="1">
        <f t="shared" si="0"/>
        <v>2462.6999999999998</v>
      </c>
      <c r="H43" s="1">
        <f t="shared" si="1"/>
        <v>2462.6999999999998</v>
      </c>
    </row>
    <row r="44" spans="1:8" x14ac:dyDescent="0.25">
      <c r="A44" s="1" t="s">
        <v>7</v>
      </c>
      <c r="B44" s="1" t="s">
        <v>14</v>
      </c>
      <c r="C44" s="1">
        <v>101000</v>
      </c>
      <c r="D44" s="1">
        <v>101000</v>
      </c>
      <c r="E44" s="1">
        <v>1</v>
      </c>
      <c r="F44" s="1">
        <v>0</v>
      </c>
      <c r="G44" s="1">
        <f t="shared" si="0"/>
        <v>101</v>
      </c>
      <c r="H44" s="1">
        <f t="shared" si="1"/>
        <v>101</v>
      </c>
    </row>
    <row r="45" spans="1:8" x14ac:dyDescent="0.25">
      <c r="A45" s="1" t="s">
        <v>7</v>
      </c>
      <c r="B45" s="1" t="s">
        <v>14</v>
      </c>
      <c r="C45" s="1">
        <v>22746034</v>
      </c>
      <c r="D45" s="1">
        <v>22746034</v>
      </c>
      <c r="E45" s="1">
        <v>32</v>
      </c>
      <c r="F45" s="1">
        <v>1</v>
      </c>
      <c r="G45" s="1">
        <f t="shared" si="0"/>
        <v>22746.034</v>
      </c>
      <c r="H45" s="1">
        <f t="shared" si="1"/>
        <v>22746.034</v>
      </c>
    </row>
    <row r="46" spans="1:8" x14ac:dyDescent="0.25">
      <c r="A46" s="1" t="s">
        <v>8</v>
      </c>
      <c r="B46" s="1" t="s">
        <v>14</v>
      </c>
      <c r="C46" s="1">
        <v>175292598.767708</v>
      </c>
      <c r="D46" s="1">
        <v>87273963.569168001</v>
      </c>
      <c r="E46" s="1">
        <v>20</v>
      </c>
      <c r="F46" s="1">
        <v>0</v>
      </c>
      <c r="G46" s="1">
        <f t="shared" si="0"/>
        <v>175292.598767708</v>
      </c>
      <c r="H46" s="1">
        <f t="shared" si="1"/>
        <v>87273.963569168001</v>
      </c>
    </row>
    <row r="47" spans="1:8" x14ac:dyDescent="0.25">
      <c r="A47" s="1" t="s">
        <v>8</v>
      </c>
      <c r="B47" s="1" t="s">
        <v>14</v>
      </c>
      <c r="C47" s="1">
        <v>906507554.61050797</v>
      </c>
      <c r="D47" s="1">
        <v>666539312.39975405</v>
      </c>
      <c r="E47" s="1">
        <v>227</v>
      </c>
      <c r="F47" s="1">
        <v>1</v>
      </c>
      <c r="G47" s="1">
        <f t="shared" si="0"/>
        <v>906507.55461050791</v>
      </c>
      <c r="H47" s="1">
        <f t="shared" si="1"/>
        <v>666539.31239975407</v>
      </c>
    </row>
    <row r="48" spans="1:8" x14ac:dyDescent="0.25">
      <c r="A48" s="1" t="s">
        <v>9</v>
      </c>
      <c r="B48" s="1" t="s">
        <v>14</v>
      </c>
      <c r="C48" s="1">
        <v>101774358.815952</v>
      </c>
      <c r="D48" s="1">
        <v>100967402.815952</v>
      </c>
      <c r="E48" s="1">
        <v>76</v>
      </c>
      <c r="F48" s="1">
        <v>1</v>
      </c>
      <c r="G48" s="1">
        <f t="shared" si="0"/>
        <v>101774.358815952</v>
      </c>
      <c r="H48" s="1">
        <f t="shared" si="1"/>
        <v>100967.40281595201</v>
      </c>
    </row>
  </sheetData>
  <autoFilter ref="A1:F48" xr:uid="{FD6788F1-4B47-421A-9EF9-440A877182E4}">
    <sortState xmlns:xlrd2="http://schemas.microsoft.com/office/spreadsheetml/2017/richdata2" ref="A2:F48">
      <sortCondition ref="F1:F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Richard Hampton</cp:lastModifiedBy>
  <dcterms:created xsi:type="dcterms:W3CDTF">2026-02-26T12:00:55Z</dcterms:created>
  <dcterms:modified xsi:type="dcterms:W3CDTF">2026-02-26T17:59:15Z</dcterms:modified>
</cp:coreProperties>
</file>