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W:\Data\Cat Modelling\Group Reporting\Reports\2026\2026-01 - BSCR\UKEU\"/>
    </mc:Choice>
  </mc:AlternateContent>
  <xr:revisionPtr revIDLastSave="0" documentId="8_{BCB2A889-17FA-4CD5-9CB0-3F7C1721AA56}" xr6:coauthVersionLast="47" xr6:coauthVersionMax="47" xr10:uidLastSave="{00000000-0000-0000-0000-000000000000}"/>
  <bookViews>
    <workbookView xWindow="0" yWindow="0" windowWidth="22118" windowHeight="24284" activeTab="3" xr2:uid="{4429FD6C-EAAD-40A2-A788-E5BE2F2F91D2}"/>
  </bookViews>
  <sheets>
    <sheet name="Schedule X(a)" sheetId="5" r:id="rId1"/>
    <sheet name="Schedule X(b)" sheetId="6" r:id="rId2"/>
    <sheet name="Schedule X(c)" sheetId="8" r:id="rId3"/>
    <sheet name="Schedule X(f)" sheetId="9" r:id="rId4"/>
  </sheets>
  <externalReferences>
    <externalReference r:id="rId5"/>
    <externalReference r:id="rId6"/>
    <externalReference r:id="rId7"/>
  </externalReferences>
  <definedNames>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AssetType">'[1]Schedule XXI'!$C$111:$C$127</definedName>
    <definedName name="AssetType2">'[1]Schedule XXIA'!$C$111:$C$136</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44565.5795601852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Pal_Workbook_GUID" hidden="1">"H4BENY82GWG9Y7RVNUQZ59UC"</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TRUE</definedName>
    <definedName name="Test_Statistic">[1]Summary!$AI$16</definedName>
    <definedName name="Test_Statistic_2">[1]Summary!$AI$15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9" l="1"/>
  <c r="D3" i="9"/>
  <c r="C3" i="9"/>
  <c r="B3" i="9"/>
  <c r="C3" i="8"/>
  <c r="B3" i="8"/>
  <c r="B3" i="6"/>
  <c r="B3" i="5"/>
  <c r="J64" i="9"/>
  <c r="I64" i="9"/>
  <c r="L64" i="9" s="1"/>
  <c r="H64" i="9"/>
  <c r="G64" i="9"/>
  <c r="F64" i="9"/>
  <c r="E64" i="9"/>
  <c r="M63" i="9"/>
  <c r="L63" i="9"/>
  <c r="K63" i="9"/>
  <c r="M62" i="9"/>
  <c r="L62" i="9"/>
  <c r="K62" i="9"/>
  <c r="M61" i="9"/>
  <c r="L61" i="9"/>
  <c r="K61" i="9"/>
  <c r="M60" i="9"/>
  <c r="M64" i="9" s="1"/>
  <c r="L60" i="9"/>
  <c r="K60" i="9"/>
  <c r="K64" i="9" s="1"/>
  <c r="J46" i="9"/>
  <c r="I46" i="9"/>
  <c r="H46" i="9"/>
  <c r="G46" i="9"/>
  <c r="F46" i="9"/>
  <c r="L46" i="9" s="1"/>
  <c r="E46" i="9"/>
  <c r="M45" i="9"/>
  <c r="L45" i="9"/>
  <c r="K45" i="9"/>
  <c r="M44" i="9"/>
  <c r="L44" i="9"/>
  <c r="K44" i="9"/>
  <c r="M43" i="9"/>
  <c r="M46" i="9" s="1"/>
  <c r="L43" i="9"/>
  <c r="K43" i="9"/>
  <c r="K46" i="9" s="1"/>
  <c r="J33" i="9"/>
  <c r="I33" i="9"/>
  <c r="H33" i="9"/>
  <c r="G33" i="9"/>
  <c r="F33" i="9"/>
  <c r="E33" i="9"/>
  <c r="M32" i="9"/>
  <c r="L32" i="9"/>
  <c r="K32" i="9"/>
  <c r="M31" i="9"/>
  <c r="L31" i="9"/>
  <c r="K31" i="9"/>
  <c r="M30" i="9"/>
  <c r="L30" i="9"/>
  <c r="K30" i="9"/>
  <c r="M29" i="9"/>
  <c r="L29" i="9"/>
  <c r="K29" i="9"/>
  <c r="M28" i="9"/>
  <c r="M33" i="9" s="1"/>
  <c r="L28" i="9"/>
  <c r="K28" i="9"/>
  <c r="K33" i="9" s="1"/>
  <c r="J21" i="9"/>
  <c r="I21" i="9"/>
  <c r="H21" i="9"/>
  <c r="G21" i="9"/>
  <c r="F21" i="9"/>
  <c r="E21" i="9"/>
  <c r="M20" i="9"/>
  <c r="L20" i="9"/>
  <c r="K20" i="9"/>
  <c r="M19" i="9"/>
  <c r="M21" i="9" s="1"/>
  <c r="L19" i="9"/>
  <c r="K19" i="9"/>
  <c r="J12" i="9"/>
  <c r="I12" i="9"/>
  <c r="G12" i="9"/>
  <c r="F12" i="9"/>
  <c r="E12" i="9"/>
  <c r="M11" i="9"/>
  <c r="L11" i="9"/>
  <c r="K11" i="9"/>
  <c r="M10" i="9"/>
  <c r="M12" i="9" s="1"/>
  <c r="L10" i="9"/>
  <c r="H57" i="9"/>
  <c r="E57" i="9"/>
  <c r="H40" i="9"/>
  <c r="E40" i="9"/>
  <c r="H25" i="9"/>
  <c r="E25" i="9"/>
  <c r="H16" i="9"/>
  <c r="E16" i="9"/>
  <c r="B2" i="9"/>
  <c r="M1" i="9"/>
  <c r="B2" i="8"/>
  <c r="G1" i="8"/>
  <c r="H33" i="6"/>
  <c r="I33" i="6"/>
  <c r="H34" i="6"/>
  <c r="I34" i="6"/>
  <c r="H35" i="6"/>
  <c r="I35" i="6"/>
  <c r="H36" i="6"/>
  <c r="I36" i="6"/>
  <c r="H37" i="6"/>
  <c r="I37" i="6"/>
  <c r="H38" i="6"/>
  <c r="I38" i="6"/>
  <c r="H39" i="6"/>
  <c r="I39" i="6"/>
  <c r="H40" i="6"/>
  <c r="I40" i="6"/>
  <c r="H41" i="6"/>
  <c r="I41" i="6"/>
  <c r="H42" i="6"/>
  <c r="I42" i="6"/>
  <c r="H43" i="6"/>
  <c r="I43" i="6"/>
  <c r="H44" i="6"/>
  <c r="I44" i="6"/>
  <c r="H45" i="6"/>
  <c r="I45" i="6"/>
  <c r="H46" i="6"/>
  <c r="I46" i="6"/>
  <c r="H47" i="6"/>
  <c r="I47" i="6"/>
  <c r="H48" i="6"/>
  <c r="I48" i="6"/>
  <c r="J30" i="6"/>
  <c r="J29" i="6"/>
  <c r="J28" i="6"/>
  <c r="J26" i="6"/>
  <c r="J25" i="6"/>
  <c r="J23" i="6"/>
  <c r="J22" i="6"/>
  <c r="E30" i="6"/>
  <c r="E29" i="6"/>
  <c r="E28" i="6"/>
  <c r="E26" i="6"/>
  <c r="E25" i="6"/>
  <c r="E23" i="6"/>
  <c r="E22" i="6"/>
  <c r="I77" i="6"/>
  <c r="H77" i="6"/>
  <c r="I76" i="6"/>
  <c r="H76" i="6"/>
  <c r="I75" i="6"/>
  <c r="H75" i="6"/>
  <c r="I74" i="6"/>
  <c r="H74" i="6"/>
  <c r="I73" i="6"/>
  <c r="H73" i="6"/>
  <c r="I72" i="6"/>
  <c r="H72" i="6"/>
  <c r="I71" i="6"/>
  <c r="H71" i="6"/>
  <c r="I70" i="6"/>
  <c r="H70" i="6"/>
  <c r="I67" i="6"/>
  <c r="G67" i="6"/>
  <c r="F67" i="6"/>
  <c r="H67" i="6"/>
  <c r="I66" i="6"/>
  <c r="H66" i="6"/>
  <c r="I65" i="6"/>
  <c r="H65" i="6"/>
  <c r="I64" i="6"/>
  <c r="H64" i="6"/>
  <c r="I63" i="6"/>
  <c r="H63" i="6"/>
  <c r="I62" i="6"/>
  <c r="H62" i="6"/>
  <c r="I59" i="6"/>
  <c r="H59" i="6"/>
  <c r="I58" i="6"/>
  <c r="H58" i="6"/>
  <c r="I55" i="6"/>
  <c r="H55" i="6"/>
  <c r="I54" i="6"/>
  <c r="H54" i="6"/>
  <c r="I53" i="6"/>
  <c r="H53" i="6"/>
  <c r="I52" i="6"/>
  <c r="H52" i="6"/>
  <c r="I51" i="6"/>
  <c r="H51" i="6"/>
  <c r="B2" i="6"/>
  <c r="J1" i="6"/>
  <c r="H75" i="5"/>
  <c r="H74" i="5"/>
  <c r="H73" i="5"/>
  <c r="H72" i="5"/>
  <c r="H71" i="5"/>
  <c r="H70" i="5"/>
  <c r="H69" i="5"/>
  <c r="H68" i="5"/>
  <c r="H65" i="5"/>
  <c r="H64" i="5"/>
  <c r="H63" i="5"/>
  <c r="H62" i="5"/>
  <c r="H61" i="5"/>
  <c r="H60" i="5"/>
  <c r="H57" i="5"/>
  <c r="H56" i="5"/>
  <c r="H53" i="5"/>
  <c r="H52" i="5"/>
  <c r="H51" i="5"/>
  <c r="H50" i="5"/>
  <c r="H49" i="5"/>
  <c r="H46" i="5"/>
  <c r="H45" i="5"/>
  <c r="H44" i="5"/>
  <c r="H43" i="5"/>
  <c r="H42" i="5"/>
  <c r="H41" i="5"/>
  <c r="H40" i="5"/>
  <c r="H39" i="5"/>
  <c r="H38" i="5"/>
  <c r="H37" i="5"/>
  <c r="H36" i="5"/>
  <c r="H35" i="5"/>
  <c r="H34" i="5"/>
  <c r="H33" i="5"/>
  <c r="H32" i="5"/>
  <c r="H31" i="5"/>
  <c r="B2" i="5"/>
  <c r="J1" i="5"/>
  <c r="L12" i="9" l="1"/>
  <c r="L33" i="9"/>
  <c r="L21" i="9"/>
  <c r="K21" i="9"/>
  <c r="K10" i="9"/>
  <c r="K12"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7" authorId="0" shapeId="0" xr:uid="{F6CAE84F-63DD-469F-BCCF-98EADB555C4A}">
      <text>
        <r>
          <rPr>
            <sz val="8"/>
            <color indexed="81"/>
            <rFont val="Tahoma"/>
            <family val="2"/>
          </rPr>
          <t>This should be gross of reinstatement premiums if any due on inwards reinsurance business written and gross of any reinsurance recoveries.</t>
        </r>
      </text>
    </comment>
    <comment ref="F7" authorId="0" shapeId="0" xr:uid="{5608DC43-7122-48C4-BCC5-857F4AD427DE}">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G7" authorId="0" shapeId="0" xr:uid="{1966BA68-C4E9-4EC2-A9D3-7E870B45B107}">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H7" authorId="0" shapeId="0" xr:uid="{1045421F-ADC8-4162-86F1-AF5BBA3986C7}">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J20" authorId="0" shapeId="0" xr:uid="{85F29B5B-B8CE-485C-863C-C455AD2211EE}">
      <text>
        <r>
          <rPr>
            <sz val="8"/>
            <color indexed="81"/>
            <rFont val="Tahoma"/>
            <family val="2"/>
          </rPr>
          <t>Net of upfront reinsurance premiums paid only.</t>
        </r>
      </text>
    </comment>
    <comment ref="J21" authorId="0" shapeId="0" xr:uid="{5F9EA1EA-6E12-401A-A69A-79588D5FCC8C}">
      <text>
        <r>
          <rPr>
            <sz val="8"/>
            <color indexed="81"/>
            <rFont val="Tahoma"/>
            <family val="2"/>
          </rPr>
          <t>Net of upfront reinsurance premiums paid only.</t>
        </r>
      </text>
    </comment>
    <comment ref="J23" authorId="0" shapeId="0" xr:uid="{9317593A-FC11-4BF7-AE02-B28BC9CCF734}">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4" authorId="0" shapeId="0" xr:uid="{3B9278C3-ACEF-47A1-B0E5-D11AF137028C}">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6" authorId="0" shapeId="0" xr:uid="{5E9FA952-74A7-4104-8A89-4F33D8994518}">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E60" authorId="0" shapeId="0" xr:uid="{B2200544-9FF8-4C38-86B0-26B6AAF1F247}">
      <text>
        <r>
          <rPr>
            <sz val="8"/>
            <color indexed="81"/>
            <rFont val="Tahoma"/>
            <family val="2"/>
          </rPr>
          <t>For AIR and RMS, fire-following is modeled in Japan, Canada and USA only. RMS also models Portugal fire following in Europe, though no other European EQ models support fire-following. 
EQECAT explicitly models fire-following in Japan, US 50 states plus Puerto Rico.
See also "Supplemental losses for inadequately modeled peril" under "Loadings Applied".</t>
        </r>
      </text>
    </comment>
    <comment ref="E61" authorId="0" shapeId="0" xr:uid="{F914F9DC-DD19-42FB-9C77-CF4CCEDF5933}">
      <text>
        <r>
          <rPr>
            <sz val="8"/>
            <color indexed="81"/>
            <rFont val="Tahoma"/>
            <family val="2"/>
          </rPr>
          <t>Sprinkler leakage is available in the US only for AIR and RMS.
EQECAT models this in the US 50 states only.</t>
        </r>
      </text>
    </comment>
    <comment ref="E62" authorId="0" shapeId="0" xr:uid="{6B9683A4-DD9E-40D5-836C-71DB8A11C2B5}">
      <text>
        <r>
          <rPr>
            <sz val="8"/>
            <color indexed="81"/>
            <rFont val="Tahoma"/>
            <family val="2"/>
          </rPr>
          <t>For AIR storm surge is available in the US and UK only.
For RMS storm surge is available in the US, UK and Australia.
For EQECAT this is modeled in US Atlantic Hurricane, European Windstorm (UK, FRA, SWE, DNK), Asia Typhoon (Japan, Philippines, Taiwan, China, Hong Kong SAR, South Korea, Malaysia, Thailand)</t>
        </r>
      </text>
    </comment>
    <comment ref="E63" authorId="0" shapeId="0" xr:uid="{2318C704-7185-4986-977B-873E45EF557C}">
      <text>
        <r>
          <rPr>
            <sz val="8"/>
            <color indexed="81"/>
            <rFont val="Tahoma"/>
            <family val="2"/>
          </rPr>
          <t xml:space="preserve">For RMS in the US Demand Surge (DS) is available for EQ and hurricane (but not for Tornado-Hail or Winterstorm). RMS Caribbean does not have DS for EQ or wind. RMS European windstorm has DS, European EQ has DS for all countries where a model exists but Greece. RMS Japan has no DS for EQ and typhoon. RMS has no other Demand Surge models. For RMS if aggregate data is run AND DS is available for that region-peril then it is included by default by RMS.
For AIR DS is available worldwide and users have the ability to turn it on or off in both detailed and aggregate models. AIR allows aggregate and occurrence versions of demand surge (aggregate keeps track of the cumulative "demand in the system" built up as a result of several large losses closely related in time).
For EQECAT demand surge is modeled in USA (HU, EQ, Tornado/Hail, Winterstorm), Canada EQ, Japan EQ, Japan TY </t>
        </r>
      </text>
    </comment>
    <comment ref="E65" authorId="0" shapeId="0" xr:uid="{019E7B87-8F8B-49A3-A890-FF6B99A82056}">
      <text>
        <r>
          <rPr>
            <sz val="8"/>
            <color indexed="81"/>
            <rFont val="Tahoma"/>
            <family val="2"/>
          </rPr>
          <t>Atlantic Multi-decadal oscillation selection
Please confirm whether Near Term Event Sets have been used or whether Long Term Event Sets have been used. This attempts to reflect the perception of a prolonged period of higher than average temperature for the Atlantic ocean.</t>
        </r>
      </text>
    </comment>
    <comment ref="E70" authorId="0" shapeId="0" xr:uid="{A54B0B9B-389F-4B3C-AF39-C9BD720605D8}">
      <text>
        <r>
          <rPr>
            <sz val="8"/>
            <color indexed="81"/>
            <rFont val="Tahoma"/>
            <family val="2"/>
          </rPr>
          <t>Adjustments for exposure growth
For a risk or portfolio where no prospective change is expected this might just be an adjustment in insured values for the impact of inflation. For risks or portfolios proposing significant growth or contraction this would contemplate the growth/contraction and any impact of inflation.</t>
        </r>
      </text>
    </comment>
    <comment ref="E71" authorId="0" shapeId="0" xr:uid="{6518DC61-7DEC-4E5F-884C-C754C0BEADC9}">
      <text>
        <r>
          <rPr>
            <sz val="8"/>
            <color indexed="81"/>
            <rFont val="Tahoma"/>
            <family val="2"/>
          </rPr>
          <t>Supplemental losses for non-modeled line of business
Certain vendor models do not incorporate the ability to run all types of exposure through the model or data is not received in a format that allows the models to be run. In these cases companies may use various methods to incorporate this exposure in within the vendor model framework, allowing consistent consideration and treatment to other exposures. Examples might include aviation and marine exposure to earthquake/hurricane or fire-following earthquake or property per risk exposures where individual location information is not available or where a vendor model does not have a detail model.</t>
        </r>
      </text>
    </comment>
    <comment ref="E72" authorId="0" shapeId="0" xr:uid="{DD5FFEA7-BFD0-471D-BF0D-E7660A41166A}">
      <text>
        <r>
          <rPr>
            <sz val="8"/>
            <color indexed="81"/>
            <rFont val="Tahoma"/>
            <family val="2"/>
          </rPr>
          <t>Adjustments for model deficiencies – severity
Certain vendor models do not incorporate the ability to model all possible supplemental losses. In these cases companies may use various methods to incorporate this potential for loss within the vendor model framework, allowing consistent consideration and treatment of exposures. Examples might include fire-following earthquake or other supplemental perils where not modeled by a vendor model.</t>
        </r>
      </text>
    </comment>
    <comment ref="E73" authorId="0" shapeId="0" xr:uid="{D1C6AA8B-D489-4E9D-AD36-E24629E6D981}">
      <text>
        <r>
          <rPr>
            <sz val="8"/>
            <color indexed="81"/>
            <rFont val="Tahoma"/>
            <family val="2"/>
          </rPr>
          <t>Adjustments for model deficiencies - frequency
This would be used when the company feels that the frequency assessment in the vendor model is deficient for some reason.</t>
        </r>
      </text>
    </comment>
    <comment ref="E74" authorId="0" shapeId="0" xr:uid="{DC8A46D9-3E0E-4445-9FAD-1F38DDAACBD8}">
      <text>
        <r>
          <rPr>
            <sz val="8"/>
            <color indexed="81"/>
            <rFont val="Tahoma"/>
            <family val="2"/>
          </rPr>
          <t>In addition to the vendor model demand surge algorithm.</t>
        </r>
      </text>
    </comment>
    <comment ref="G77" authorId="0" shapeId="0" xr:uid="{DA1F649E-1969-4868-90CD-556F7DBBC8C4}">
      <text>
        <r>
          <rPr>
            <sz val="8"/>
            <color indexed="81"/>
            <rFont val="Tahoma"/>
            <family val="2"/>
          </rPr>
          <t xml:space="preserve">This would ideally be calculated as the ratio of:
</t>
        </r>
        <r>
          <rPr>
            <sz val="8"/>
            <color indexed="81"/>
            <rFont val="Tahoma"/>
            <family val="2"/>
          </rPr>
          <t>Ground up loss including all company adjustments applied to company's share of losses</t>
        </r>
        <r>
          <rPr>
            <sz val="8"/>
            <color indexed="81"/>
            <rFont val="Tahoma"/>
            <family val="2"/>
          </rPr>
          <t xml:space="preserve">   - 1</t>
        </r>
        <r>
          <rPr>
            <sz val="8"/>
            <color indexed="81"/>
            <rFont val="Tahoma"/>
            <family val="2"/>
          </rPr>
          <t xml:space="preserve">
Ground up loss excluding all company adjustments applied to company's share of losses
Company adjustments would not include supplemental perils modeled by a vendor model, demand surge as modeled by a vendor model or secondary uncertainty as modeled by a vendor model. For Atlantic basin hurricane this would not include the change in loss implied in moving from a long-term frequency assessment to a near-term frequency assessment. It is really aimed at capturing the aggregate impact on a ground up basis for:
Allocated Loss Adjustment Expense
Adjustments for exposure data quality deficiencies
Insurance to value adjustments
Adjustments for exposure growth
Adjustments for model deficiencies - severity
Adjustments for model deficiencies - frequency
Additional demand surge loadings
Other factors for prudence
It is also recognized that certain factors may be handled in a variety of ways . For example adjustments for exposure data quality deficiencies may be carried out on the underlying exposure data or on results.
The Authority recognizes that this item may be difficult to assess for some companies on an exact basis due to the different systems and data captured across industry. To the extent this is not answerable for certain permutations (such as for the reporting entity as a whole - all perils, reinsurance and insurance) or is not able to be determined strictly on an exact basis the Authority would like companies to estimate this quantity and note the method accordingly in “Is this average loading factor determined analytically or estimated?”.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9" authorId="0" shapeId="0" xr:uid="{A19A7E76-9471-493F-AABA-148AED625423}">
      <text>
        <r>
          <rPr>
            <sz val="8"/>
            <color indexed="81"/>
            <rFont val="Tahoma"/>
            <family val="2"/>
          </rPr>
          <t>This should be gross of reinstatement premiums if any due on inwards reinsurance business written and gross of any reinsurance recoveries.</t>
        </r>
      </text>
    </comment>
    <comment ref="F9" authorId="0" shapeId="0" xr:uid="{528FAF4C-AF1D-4B98-8938-62CD7FBC7F5C}">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G9" authorId="0" shapeId="0" xr:uid="{39283E82-A9B5-43CD-A5BA-6BD46BB39DF9}">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H9" authorId="0" shapeId="0" xr:uid="{1893F185-7D56-4A3F-BD71-D8CDFBBC9EBC}">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J22" authorId="0" shapeId="0" xr:uid="{9A7CA3C7-A458-4028-A34D-5E4599DACA74}">
      <text>
        <r>
          <rPr>
            <sz val="8"/>
            <color indexed="81"/>
            <rFont val="Tahoma"/>
            <family val="2"/>
          </rPr>
          <t>Net of upfront reinsurance premiums paid only.</t>
        </r>
      </text>
    </comment>
    <comment ref="J23" authorId="0" shapeId="0" xr:uid="{B061C037-B983-479A-92EE-C5F62E746C7A}">
      <text>
        <r>
          <rPr>
            <sz val="8"/>
            <color indexed="81"/>
            <rFont val="Tahoma"/>
            <family val="2"/>
          </rPr>
          <t>Net of upfront reinsurance premiums paid only.</t>
        </r>
      </text>
    </comment>
    <comment ref="J25" authorId="0" shapeId="0" xr:uid="{6E16ACF6-1BB7-4EFF-95AD-1F4FE1CDFAB8}">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6" authorId="0" shapeId="0" xr:uid="{024A7CA3-DF1C-4C3D-84D2-77992F69AE81}">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8" authorId="0" shapeId="0" xr:uid="{04DBE4E3-9A87-4DDA-A922-46B226C76FBE}">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E62" authorId="0" shapeId="0" xr:uid="{F6AB8532-BF46-4F2F-A750-D87E83E8E60E}">
      <text>
        <r>
          <rPr>
            <sz val="8"/>
            <color indexed="81"/>
            <rFont val="Tahoma"/>
            <family val="2"/>
          </rPr>
          <t>For AIR and RMS, fire-following is modeled in Japan, Canada and USA only. RMS also models Portugal fire following in Europe, though no other European EQ models support fire-following. 
EQECAT explicitly models fire-following in Japan, US 50 states plus Puerto Rico.
See also "Supplemental losses for inadequately modeled peril" under "Loadings Applied".</t>
        </r>
      </text>
    </comment>
    <comment ref="E63" authorId="0" shapeId="0" xr:uid="{73E76818-35CB-4A07-A5CF-D6A546344477}">
      <text>
        <r>
          <rPr>
            <sz val="8"/>
            <color indexed="81"/>
            <rFont val="Tahoma"/>
            <family val="2"/>
          </rPr>
          <t>Sprinkler leakage is available in the US only for AIR and RMS.
EQECAT models this in the US 50 states only.</t>
        </r>
      </text>
    </comment>
    <comment ref="E64" authorId="0" shapeId="0" xr:uid="{A2F88C38-9759-4E73-9743-4CDC52F94286}">
      <text>
        <r>
          <rPr>
            <sz val="8"/>
            <color indexed="81"/>
            <rFont val="Tahoma"/>
            <family val="2"/>
          </rPr>
          <t>For AIR storm surge is available in the US and UK only.
For RMS storm surge is available in the US, UK and Australia.
For EQECAT this is modeled in US Atlantic Hurricane, European Windstorm (UK, FRA, SWE, DNK), Asia Typhoon (Japan, Philippines, Taiwan, China, Hong Kong SAR, South Korea, Malaysia, Thailand)</t>
        </r>
      </text>
    </comment>
    <comment ref="E65" authorId="0" shapeId="0" xr:uid="{A7DF3BC6-CBFC-404D-9BBB-3BA9741C7655}">
      <text>
        <r>
          <rPr>
            <sz val="8"/>
            <color indexed="81"/>
            <rFont val="Tahoma"/>
            <family val="2"/>
          </rPr>
          <t xml:space="preserve">For RMS in the US Demand Surge (DS) is available for EQ and hurricane (but not for Tornado-Hail or Winterstorm). RMS Caribbean does not have DS for EQ or wind. RMS European windstorm has DS, European EQ has DS for all countries where a model exists but Greece. RMS Japan has no DS for EQ and typhoon. RMS has no other Demand Surge models. For RMS if aggregate data is run AND DS is available for that region-peril then it is included by default by RMS.
For AIR DS is available worldwide and users have the ability to turn it on or off in both detailed and aggregate models. AIR allows aggregate and occurrence versions of demand surge (aggregate keeps track of the cumulative "demand in the system" built up as a result of several large losses closely related in time).
For EQECAT demand surge is modeled in USA (HU, EQ, Tornado/Hail, Winterstorm), Canada EQ, Japan EQ, Japan TY </t>
        </r>
      </text>
    </comment>
    <comment ref="E67" authorId="0" shapeId="0" xr:uid="{71FCA988-9BAE-4388-9DFA-1BEE5D8A0F9E}">
      <text>
        <r>
          <rPr>
            <sz val="8"/>
            <color indexed="81"/>
            <rFont val="Tahoma"/>
            <family val="2"/>
          </rPr>
          <t>Atlantic Multi-decadal oscillation selection
Please confirm whether Near Term Event Sets have been used or whether Long Term Event Sets have been used. This attempts to reflect the perception of a prolonged period of higher than average temperature for the Atlantic ocean.</t>
        </r>
      </text>
    </comment>
    <comment ref="E72" authorId="0" shapeId="0" xr:uid="{CA6CC86E-9811-47D5-9561-8F55FB020AD2}">
      <text>
        <r>
          <rPr>
            <sz val="8"/>
            <color indexed="81"/>
            <rFont val="Tahoma"/>
            <family val="2"/>
          </rPr>
          <t>Adjustments for exposure growth
For a risk or portfolio where no prospective change is expected this might just be an adjustment in insured values for the impact of inflation. For risks or portfolios proposing significant growth or contraction this would contemplate the growth/contraction and any impact of inflation.</t>
        </r>
      </text>
    </comment>
    <comment ref="E73" authorId="0" shapeId="0" xr:uid="{14C86A5A-4318-4C00-ABF7-0ED1DC654098}">
      <text>
        <r>
          <rPr>
            <sz val="8"/>
            <color indexed="81"/>
            <rFont val="Tahoma"/>
            <family val="2"/>
          </rPr>
          <t>Supplemental losses for non-modeled line of business
Certain vendor models do not incorporate the ability to run all types of exposure through the model or data is not received in a format that allows the models to be run. In these cases companies may use various methods to incorporate this exposure in within the vendor model framework, allowing consistent consideration and treatment to other exposures. Examples might include aviation and marine exposure to earthquake/hurricane or fire-following earthquake or property per risk exposures where individual location information is not available or where a vendor model does not have a detail model.</t>
        </r>
      </text>
    </comment>
    <comment ref="E74" authorId="0" shapeId="0" xr:uid="{96025EB1-7795-4DBF-A8D7-4153B6713B9D}">
      <text>
        <r>
          <rPr>
            <sz val="8"/>
            <color indexed="81"/>
            <rFont val="Tahoma"/>
            <family val="2"/>
          </rPr>
          <t>Adjustments for model deficiencies – severity
Certain vendor models do not incorporate the ability to model all possible supplemental losses. In these cases companies may use various methods to incorporate this potential for loss within the vendor model framework, allowing consistent consideration and treatment of exposures. Examples might include fire-following earthquake or other supplemental perils where not modeled by a vendor model.</t>
        </r>
      </text>
    </comment>
    <comment ref="E75" authorId="0" shapeId="0" xr:uid="{511A2BD4-AA11-4EB1-ACE2-3231E2BEA26E}">
      <text>
        <r>
          <rPr>
            <sz val="8"/>
            <color indexed="81"/>
            <rFont val="Tahoma"/>
            <family val="2"/>
          </rPr>
          <t>Adjustments for model deficiencies - frequency
This would be used when the company feels that the frequency assessment in the vendor model is deficient for some reason.</t>
        </r>
      </text>
    </comment>
    <comment ref="E76" authorId="0" shapeId="0" xr:uid="{518ADE2E-6457-40FF-806E-36FDD780C09D}">
      <text>
        <r>
          <rPr>
            <sz val="8"/>
            <color indexed="81"/>
            <rFont val="Tahoma"/>
            <family val="2"/>
          </rPr>
          <t>In addition to the vendor model demand surge algorithm.</t>
        </r>
      </text>
    </comment>
    <comment ref="G79" authorId="0" shapeId="0" xr:uid="{4E6838B6-7415-4EF1-BE1F-30043EABDFB1}">
      <text>
        <r>
          <rPr>
            <sz val="8"/>
            <color indexed="81"/>
            <rFont val="Tahoma"/>
            <family val="2"/>
          </rPr>
          <t xml:space="preserve">This would ideally be calculated as the ratio of:
</t>
        </r>
        <r>
          <rPr>
            <sz val="8"/>
            <color indexed="81"/>
            <rFont val="Tahoma"/>
            <family val="2"/>
          </rPr>
          <t>Ground up loss including all company adjustments applied to company's share of losses</t>
        </r>
        <r>
          <rPr>
            <sz val="8"/>
            <color indexed="81"/>
            <rFont val="Tahoma"/>
            <family val="2"/>
          </rPr>
          <t xml:space="preserve">   - 1</t>
        </r>
        <r>
          <rPr>
            <sz val="8"/>
            <color indexed="81"/>
            <rFont val="Tahoma"/>
            <family val="2"/>
          </rPr>
          <t xml:space="preserve">
Ground up loss excluding all company adjustments applied to company's share of losses
Company adjustments would not include supplemental perils modeled by a vendor model, demand surge as modeled by a vendor model or secondary uncertainty as modeled by a vendor model. For Atlantic basin hurricane this would not include the change in loss implied in moving from a long-term frequency assessment to a near-term frequency assessment. It is really aimed at capturing the aggregate impact on a ground up basis for:
Allocated Loss Adjustment Expense
Adjustments for exposure data quality deficiencies
Insurance to value adjustments
Adjustments for exposure growth
Adjustments for model deficiencies - severity
Adjustments for model deficiencies - frequency
Additional demand surge loadings
Other factors for prudence
It is also recognized that certain factors may be handled in a variety of ways . For example adjustments for exposure data quality deficiencies may be carried out on the underlying exposure data or on results.
The Authority recognizes that this item may be difficult to assess for some companies on an exact basis due to the different systems and data captured across industry. To the extent this is not answerable for certain permutations (such as for the reporting entity as a whole - all perils, reinsurance and insurance) or is not able to be determined strictly on an exact basis the Authority would like companies to estimate this quantity and note the method accordingly in “Is this average loading factor determined analytically or estimated?”.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4" authorId="0" shapeId="0" xr:uid="{394648C1-60FE-44B5-8FE2-04048CBE7477}">
      <text>
        <r>
          <rPr>
            <sz val="8"/>
            <color indexed="81"/>
            <rFont val="Tahoma"/>
            <family val="2"/>
          </rPr>
          <t>This should be gross of reinstatement premiums if any due on inwards reinsurance business written and gross of any reinsurance recoveries.</t>
        </r>
      </text>
    </comment>
    <comment ref="E14" authorId="0" shapeId="0" xr:uid="{EA09A680-6F1B-48DB-9467-8FC2B646398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14" authorId="0" shapeId="0" xr:uid="{B945A107-38D4-47DE-9159-3CE3C173EDD0}">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14" authorId="0" shapeId="0" xr:uid="{241C2E34-214C-4CA9-9661-D603AF1573B1}">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22" authorId="0" shapeId="0" xr:uid="{4F459454-F3A5-4D81-AA0A-9F1A582D823A}">
      <text>
        <r>
          <rPr>
            <sz val="8"/>
            <color indexed="81"/>
            <rFont val="Tahoma"/>
            <family val="2"/>
          </rPr>
          <t>This should be gross of reinstatement premiums if any due on inwards reinsurance business written and gross of any reinsurance recoveries.</t>
        </r>
      </text>
    </comment>
    <comment ref="F22" authorId="0" shapeId="0" xr:uid="{8C31679E-525D-49E8-9F24-6965079D2F77}">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36" authorId="0" shapeId="0" xr:uid="{25C121EC-4132-40F1-94D1-1880BE4E66ED}">
      <text>
        <r>
          <rPr>
            <sz val="8"/>
            <color indexed="81"/>
            <rFont val="Tahoma"/>
            <family val="2"/>
          </rPr>
          <t>This should be gross of reinstatement premiums if any due on inwards reinsurance business written and gross of any reinsurance recoveries.</t>
        </r>
      </text>
    </comment>
    <comment ref="E36" authorId="0" shapeId="0" xr:uid="{2141E0D9-2DA7-41B3-A806-57BE2662E4B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36" authorId="0" shapeId="0" xr:uid="{AEE82FF8-63CD-4910-A8E8-BAA174A1E91A}">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36" authorId="0" shapeId="0" xr:uid="{177B7845-77E4-4444-816B-84D802CA56E7}">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44" authorId="0" shapeId="0" xr:uid="{5F7D8D20-5B47-47C7-8A17-5D1427BF63D9}">
      <text>
        <r>
          <rPr>
            <sz val="8"/>
            <color indexed="81"/>
            <rFont val="Tahoma"/>
            <family val="2"/>
          </rPr>
          <t>This should be gross of reinstatement premiums if any due on inwards reinsurance business written and gross of any reinsurance recoveries.</t>
        </r>
      </text>
    </comment>
    <comment ref="F44" authorId="0" shapeId="0" xr:uid="{AC9B9044-EF07-49F0-A6FC-27AAFF4E098A}">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58" authorId="0" shapeId="0" xr:uid="{B4C5533E-8AA2-4443-BB55-8A3CE3BAB15A}">
      <text>
        <r>
          <rPr>
            <sz val="8"/>
            <color indexed="81"/>
            <rFont val="Tahoma"/>
            <family val="2"/>
          </rPr>
          <t>This should be gross of reinstatement premiums if any due on inwards reinsurance business written and gross of any reinsurance recoveries.</t>
        </r>
      </text>
    </comment>
    <comment ref="E58" authorId="0" shapeId="0" xr:uid="{74544479-BD37-4DD5-A01A-EC32F15263CD}">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58" authorId="0" shapeId="0" xr:uid="{1FB0B9F6-E7A7-4117-869F-80F609C01AA9}">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58" authorId="0" shapeId="0" xr:uid="{F02D7A0E-3473-49D3-A012-B9868BC28812}">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66" authorId="0" shapeId="0" xr:uid="{AC6AFA6F-745D-49F3-9D57-59F41774B218}">
      <text>
        <r>
          <rPr>
            <sz val="8"/>
            <color indexed="81"/>
            <rFont val="Tahoma"/>
            <family val="2"/>
          </rPr>
          <t>This should be gross of reinstatement premiums if any due on inwards reinsurance business written and gross of any reinsurance recoveries.</t>
        </r>
      </text>
    </comment>
    <comment ref="F66" authorId="0" shapeId="0" xr:uid="{51201066-3C00-42BA-BC84-FF1B4FB2F6DD}">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80" authorId="0" shapeId="0" xr:uid="{FE7A1F48-1789-4199-8E91-188CF902103F}">
      <text>
        <r>
          <rPr>
            <sz val="8"/>
            <color indexed="81"/>
            <rFont val="Tahoma"/>
            <family val="2"/>
          </rPr>
          <t>This should be gross of reinstatement premiums if any due on inwards reinsurance business written and gross of any reinsurance recoveries.</t>
        </r>
      </text>
    </comment>
    <comment ref="E80" authorId="0" shapeId="0" xr:uid="{DFBF6ADB-E3F9-4E55-A3D9-96D942F0C5E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80" authorId="0" shapeId="0" xr:uid="{81E1F3F4-C88E-494D-A82B-6AD79725E0E7}">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80" authorId="0" shapeId="0" xr:uid="{B3BB829C-01C2-46AF-80BB-482BD1D726CB}">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88" authorId="0" shapeId="0" xr:uid="{23DCC11C-0CD5-456B-8EBE-D05150D66B7B}">
      <text>
        <r>
          <rPr>
            <sz val="8"/>
            <color indexed="81"/>
            <rFont val="Tahoma"/>
            <family val="2"/>
          </rPr>
          <t>This should be gross of reinstatement premiums if any due on inwards reinsurance business written and gross of any reinsurance recoveries.</t>
        </r>
      </text>
    </comment>
    <comment ref="F88" authorId="0" shapeId="0" xr:uid="{27A03E88-B929-4213-887D-3FC6B622D27E}">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102" authorId="0" shapeId="0" xr:uid="{BFF3A3D0-F73E-473A-88A9-75F6E6CF56C5}">
      <text>
        <r>
          <rPr>
            <sz val="8"/>
            <color indexed="81"/>
            <rFont val="Tahoma"/>
            <family val="2"/>
          </rPr>
          <t>This should be gross of reinstatement premiums if any due on inwards reinsurance business written and gross of any reinsurance recoveries.</t>
        </r>
      </text>
    </comment>
    <comment ref="E102" authorId="0" shapeId="0" xr:uid="{F556C4B7-E8BE-4F61-A72E-E8F526919BD0}">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102" authorId="0" shapeId="0" xr:uid="{98067B3B-0B29-44C3-BB6C-8E7903829E34}">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102" authorId="0" shapeId="0" xr:uid="{ADFFAB34-DB8E-4E78-A249-99060C92EB4E}">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110" authorId="0" shapeId="0" xr:uid="{7851C63E-0AEA-48E1-90C2-A7973363114F}">
      <text>
        <r>
          <rPr>
            <sz val="8"/>
            <color indexed="81"/>
            <rFont val="Tahoma"/>
            <family val="2"/>
          </rPr>
          <t>This should be gross of reinstatement premiums if any due on inwards reinsurance business written and gross of any reinsurance recoveries.</t>
        </r>
      </text>
    </comment>
    <comment ref="F110" authorId="0" shapeId="0" xr:uid="{DA3C022B-D3FB-4154-BB00-9B0B0A3E21F7}">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0" authorId="0" shapeId="0" xr:uid="{63B55886-0F6D-4702-8D5A-46AE2BE97577}">
      <text>
        <r>
          <rPr>
            <sz val="8"/>
            <color indexed="81"/>
            <rFont val="Tahoma"/>
            <family val="2"/>
          </rPr>
          <t xml:space="preserve">Exposure that can be run through a vendor catastrophe model. </t>
        </r>
      </text>
    </comment>
    <comment ref="D11" authorId="0" shapeId="0" xr:uid="{8F75B30E-0FC3-4EF3-AFB0-C442DA17DA58}">
      <text>
        <r>
          <rPr>
            <sz val="8"/>
            <color indexed="81"/>
            <rFont val="Tahoma"/>
            <family val="2"/>
          </rPr>
          <t>Exposure that cannot be run through a vendor catastrophe model or where there are no catastrophe models that assess the region-peril under consideration.</t>
        </r>
      </text>
    </comment>
    <comment ref="D19" authorId="0" shapeId="0" xr:uid="{837334FC-1048-4A53-9DBF-5296BF474E80}">
      <text>
        <r>
          <rPr>
            <sz val="8"/>
            <color indexed="81"/>
            <rFont val="Tahoma"/>
            <family val="2"/>
          </rPr>
          <t>Risks that the insurer was able to model, and so appear in its PML.  
Non-modelled would be the opposite and so does not appear in the PML.</t>
        </r>
      </text>
    </comment>
    <comment ref="D20" authorId="0" shapeId="0" xr:uid="{AA87FFBD-C058-4ECB-960D-84AAA3395616}">
      <text>
        <r>
          <rPr>
            <sz val="8"/>
            <color indexed="81"/>
            <rFont val="Tahoma"/>
            <family val="2"/>
          </rPr>
          <t>Risks that the insurer was not able to model, and so do not appear in its PML.
Modelled would be the opposite and so would appear in the PML.</t>
        </r>
      </text>
    </comment>
    <comment ref="D43" authorId="0" shapeId="0" xr:uid="{2D06CB15-D2BB-4226-B0A8-03812B3EE473}">
      <text>
        <r>
          <rPr>
            <sz val="8"/>
            <color indexed="81"/>
            <rFont val="Tahoma"/>
            <family val="2"/>
          </rPr>
          <t>Data limitations that prevent the exposure from being run through a vendor catastrophe model. This may be due to the resolution of the data or the completeness of the data, which for other reasons is not good enough to produce credible modelling results.</t>
        </r>
      </text>
    </comment>
    <comment ref="D44" authorId="0" shapeId="0" xr:uid="{F6B35772-5782-4425-B52C-7701C95DBF3D}">
      <text>
        <r>
          <rPr>
            <sz val="8"/>
            <color indexed="81"/>
            <rFont val="Tahoma"/>
            <family val="2"/>
          </rPr>
          <t>There may be some modelable exposures but the vast majority of exposures are not modelable.</t>
        </r>
      </text>
    </comment>
    <comment ref="D60" authorId="0" shapeId="0" xr:uid="{7047C316-8EF8-440D-B762-F15E6FDC2C82}">
      <text>
        <r>
          <rPr>
            <sz val="8"/>
            <color indexed="81"/>
            <rFont val="Tahoma"/>
            <family val="2"/>
          </rPr>
          <t>Data limitations that prevent the exposure from being run through a vendor catastrophe model. This may be due to the resolution of the data or the completeness of the data, which for other reasons is not good enough to produce credible modelling results.</t>
        </r>
      </text>
    </comment>
    <comment ref="D61" authorId="0" shapeId="0" xr:uid="{B214ED35-7F18-4370-A42F-E56C0568FDB0}">
      <text>
        <r>
          <rPr>
            <sz val="8"/>
            <color indexed="81"/>
            <rFont val="Tahoma"/>
            <family val="2"/>
          </rPr>
          <t>No vendor model exists to model exposures.</t>
        </r>
      </text>
    </comment>
    <comment ref="D62" authorId="0" shapeId="0" xr:uid="{6E6CC6A4-C0E5-4D72-890F-B11B188243C5}">
      <text>
        <r>
          <rPr>
            <sz val="8"/>
            <color indexed="81"/>
            <rFont val="Tahoma"/>
            <family val="2"/>
          </rPr>
          <t>There may be some modelable exposures but the vast majority of exposures are not modelable.</t>
        </r>
      </text>
    </comment>
  </commentList>
</comments>
</file>

<file path=xl/sharedStrings.xml><?xml version="1.0" encoding="utf-8"?>
<sst xmlns="http://schemas.openxmlformats.org/spreadsheetml/2006/main" count="747" uniqueCount="188">
  <si>
    <t>CATASTROPHE RISK RETURN: EP CURVE TOTAL (TABLE 15)</t>
  </si>
  <si>
    <t>Schedule X(a)</t>
  </si>
  <si>
    <t>1. Exceedance probability information:</t>
  </si>
  <si>
    <t xml:space="preserve"> Gross loss</t>
  </si>
  <si>
    <t xml:space="preserve"> Net loss</t>
  </si>
  <si>
    <t>Loss Return period (years)</t>
  </si>
  <si>
    <t>Gross per occurrence loss TVaR</t>
  </si>
  <si>
    <t>Gross aggregate TVaR</t>
  </si>
  <si>
    <t>Net per occurrence loss TVaR</t>
  </si>
  <si>
    <t xml:space="preserve">Net aggregate TVaR </t>
  </si>
  <si>
    <t xml:space="preserve"> (US$M)</t>
  </si>
  <si>
    <t xml:space="preserve"> Gross Loss (US$M)</t>
  </si>
  <si>
    <t xml:space="preserve"> Net Loss (US$M)</t>
  </si>
  <si>
    <t>Annual average aggregate gross loss</t>
  </si>
  <si>
    <t>Annual average aggregate net loss (net of reinstatements terms)</t>
  </si>
  <si>
    <t>Reinstatement terms included in Annual average aggregated net loss</t>
  </si>
  <si>
    <t>Standard deviation of annual aggregate gross loss</t>
  </si>
  <si>
    <t>Standard deviation of annual aggregate net loss (net of reinstatements terms)</t>
  </si>
  <si>
    <t xml:space="preserve">Total gross statutory property catastrophe premium modelled </t>
  </si>
  <si>
    <t>Total net statutory property catastrophe premium modelled</t>
  </si>
  <si>
    <t>Total gross all other catastrophe premium modelled</t>
  </si>
  <si>
    <t>Total net all other catastrophe premium modelled</t>
  </si>
  <si>
    <t>Total gross statutory property catastrophe limits exposed - modelled</t>
  </si>
  <si>
    <t>Total net statutory property catastrophe limits exposed – modelled</t>
  </si>
  <si>
    <t>Total gross statutory property catastrophe limits exposed - not modelled</t>
  </si>
  <si>
    <t>Total net statutory property catastrophe limits exposed– not modelled</t>
  </si>
  <si>
    <t>Total gross all other lines limits exposed - modelled</t>
  </si>
  <si>
    <t>Total net all other lines limits exposed – modelled</t>
  </si>
  <si>
    <t>Total gross all other lines limits exposed  - not modelled</t>
  </si>
  <si>
    <t>Total net all other lines limits exposed - not modelled</t>
  </si>
  <si>
    <t>Total gross premium without an occurrence or aggregate limit:</t>
  </si>
  <si>
    <t>Total net premium without an occurrence or aggregate limit</t>
  </si>
  <si>
    <t>Total gross premium with non determinable Total Insured Value (“TIV”):</t>
  </si>
  <si>
    <t>Total net premium with non-determinable TIV:</t>
  </si>
  <si>
    <t>2. Significant sources of catastrophe risk and associated loss included in the EP Curves</t>
  </si>
  <si>
    <t>Allocated loss adjustment expense</t>
  </si>
  <si>
    <t>Property - buildings</t>
  </si>
  <si>
    <t>Property - contents</t>
  </si>
  <si>
    <t>Additional living expenses</t>
  </si>
  <si>
    <t>Business interruption</t>
  </si>
  <si>
    <t>Auto physical damage</t>
  </si>
  <si>
    <t>Worker's compensation</t>
  </si>
  <si>
    <t>Personal accident</t>
  </si>
  <si>
    <t>Life insurance</t>
  </si>
  <si>
    <t>Onshore energy</t>
  </si>
  <si>
    <t>Offshore energy</t>
  </si>
  <si>
    <t>Ocean marine</t>
  </si>
  <si>
    <t>Inland marine</t>
  </si>
  <si>
    <t>Flood</t>
  </si>
  <si>
    <t>Crop</t>
  </si>
  <si>
    <t>Other primary insurance</t>
  </si>
  <si>
    <t>3. Assumed reinsurance information:</t>
  </si>
  <si>
    <t>Proportional - quota share</t>
  </si>
  <si>
    <t>Proportional - surplus share</t>
  </si>
  <si>
    <t>Non-proportional - catastrophe</t>
  </si>
  <si>
    <t>Non-proportional - per risk</t>
  </si>
  <si>
    <t>Other reinsurance assumed</t>
  </si>
  <si>
    <t>4. Pools and assessments information:</t>
  </si>
  <si>
    <t>Voluntary pools and/or assessments</t>
  </si>
  <si>
    <t>Involuntary pools and/or assessments</t>
  </si>
  <si>
    <t>5. Supplemental perils and model options:</t>
  </si>
  <si>
    <t>Fire following</t>
  </si>
  <si>
    <t>Sprinkler leakage</t>
  </si>
  <si>
    <t>Storm surge</t>
  </si>
  <si>
    <t>Demand surge</t>
  </si>
  <si>
    <t>Secondary uncertainty</t>
  </si>
  <si>
    <t>Atlantic multi-decadal oscillation selection</t>
  </si>
  <si>
    <t>6. Other adjustments information:</t>
  </si>
  <si>
    <t>Adjustments for exposure data quality</t>
  </si>
  <si>
    <t>Adjustments for insurance to value</t>
  </si>
  <si>
    <t>Adjustments for exposure growth</t>
  </si>
  <si>
    <t>Supplemental losses for non-modelled line of business</t>
  </si>
  <si>
    <t>Adjustments for model deficiencies – severity</t>
  </si>
  <si>
    <t>Adjustments for model deficiencies - frequency</t>
  </si>
  <si>
    <t>Additional demand surge loadings</t>
  </si>
  <si>
    <t>Other factors for prudence</t>
  </si>
  <si>
    <t>Average loading factor applied to ground up loss for all adjustments applied:</t>
  </si>
  <si>
    <t>Is this average loading factor determined analytically or estimated?</t>
  </si>
  <si>
    <t>Which vendor catastrophe models ("cat model") do you include in this modelling?</t>
  </si>
  <si>
    <t>Which version of the model or version of the region-peril models are used for each vendor catastrophe model as appropriate?</t>
  </si>
  <si>
    <t>Select Cat Model(s)</t>
  </si>
  <si>
    <t>AIR only</t>
  </si>
  <si>
    <t>EQECAT only</t>
  </si>
  <si>
    <t>RMS only</t>
  </si>
  <si>
    <t>AIR and RMS</t>
  </si>
  <si>
    <t>AIR and EQECAT</t>
  </si>
  <si>
    <t>EQECAT and RMS</t>
  </si>
  <si>
    <t>AIR, EQECAT and RMS</t>
  </si>
  <si>
    <t>CATASTROPHE RISK RETURN: EP CURVE INSURANCE (TABLE 15A)</t>
  </si>
  <si>
    <t xml:space="preserve">Schedule X(b) </t>
  </si>
  <si>
    <t>Note:The EP curve for insurance will be required only when the percentage of net insurance premiums written is greater than 10% of total net premiums written.</t>
  </si>
  <si>
    <t>Gross Loss</t>
  </si>
  <si>
    <t>Net Loss</t>
  </si>
  <si>
    <t xml:space="preserve">Annual average aggregate gross loss </t>
  </si>
  <si>
    <t xml:space="preserve">Standard deviation of annual aggregate gross loss </t>
  </si>
  <si>
    <t xml:space="preserve">Total gross all other catastrophe premium modelled </t>
  </si>
  <si>
    <t>Total gross all other lines limits exposed- modelled</t>
  </si>
  <si>
    <t>Total gross all other lines limits exposed - not modelled</t>
  </si>
  <si>
    <t>Total gross premium without an occurrence or aggregate limit</t>
  </si>
  <si>
    <t>Total gross premium with non determinable Total Insured Value (“TIV”)</t>
  </si>
  <si>
    <t>2. Significant sources of catastrophe risk and associated loss included in the EP Curves:</t>
  </si>
  <si>
    <t>Onshore Energy</t>
  </si>
  <si>
    <t>Offshore Energy</t>
  </si>
  <si>
    <t>Average loading factor applied to ground up loss for all adjustments applied</t>
  </si>
  <si>
    <t>Which cat model do you include in this modelling?</t>
  </si>
  <si>
    <t>Which version of the model or version of the region-peril models are used for each cat model as appropriate?</t>
  </si>
  <si>
    <t>CATASTROPHE RISK RETURN: EXCEEDANCE PROBABILITY  (EP) CURVE  FOR REGIONS-PERILS (TABLE 15B)</t>
  </si>
  <si>
    <t>SCHEDULE X(c)</t>
  </si>
  <si>
    <t>Provide Exceedance Probability information on the following perils in the templates provided below.</t>
  </si>
  <si>
    <t>a)</t>
  </si>
  <si>
    <t>EP CURVE ATLANTIC BASIN HURRICANE</t>
  </si>
  <si>
    <t>Which model(s) is used for  EP Curve Atlantic basin hurricane</t>
  </si>
  <si>
    <t>Exceedance probability information:</t>
  </si>
  <si>
    <t xml:space="preserve">Gross aggregate 
TVaR </t>
  </si>
  <si>
    <t>Exposure to Atlantic Basin Hurricane</t>
  </si>
  <si>
    <t>Gross</t>
  </si>
  <si>
    <t>Net</t>
  </si>
  <si>
    <t>Total statutory property catastrophe premium</t>
  </si>
  <si>
    <t>Total all other statutory premium</t>
  </si>
  <si>
    <t>Total statutory property catastrophe limits</t>
  </si>
  <si>
    <t>Total all other statutory limits</t>
  </si>
  <si>
    <t>b)</t>
  </si>
  <si>
    <t>Exposure to North American Earthquake</t>
  </si>
  <si>
    <t>c)</t>
  </si>
  <si>
    <t>EP CURVE EUROPEAN WINDSTORM</t>
  </si>
  <si>
    <t>Which model(s) is used for  EP Curve European windstorm</t>
  </si>
  <si>
    <t>Exposure to European Windstorm</t>
  </si>
  <si>
    <t>d)</t>
  </si>
  <si>
    <t>EP CURVE JAPANESE EARTH QUAKE</t>
  </si>
  <si>
    <t>Which model(s) is used for  EP Curve Japanese earthquake</t>
  </si>
  <si>
    <t>Exposure to Japanese Earthquake</t>
  </si>
  <si>
    <t>e)</t>
  </si>
  <si>
    <t>EP CURVE JAPANESE TYPHOON</t>
  </si>
  <si>
    <t xml:space="preserve">Which model(s) is used for  EP Curve Japanese typhoon </t>
  </si>
  <si>
    <t>Exposure to Japanese Typhoon</t>
  </si>
  <si>
    <t>Other</t>
  </si>
  <si>
    <t>Which vendor catastrophe models do you include in this modeling:</t>
  </si>
  <si>
    <t>CATASTROPHE RISK RETURN: DATA  ANALYSIS (TABLE 15E)</t>
  </si>
  <si>
    <t>Schedule X(f)</t>
  </si>
  <si>
    <t>For all contracts written by the insurance group, provide splits of those that are:</t>
  </si>
  <si>
    <t>U.S. specific contracts - all exposures</t>
  </si>
  <si>
    <t>All other contracts - all exposures</t>
  </si>
  <si>
    <t>Total</t>
  </si>
  <si>
    <t>Contract count</t>
  </si>
  <si>
    <t xml:space="preserve">Gross limit provided </t>
  </si>
  <si>
    <t>Net limit provided</t>
  </si>
  <si>
    <t>modellable</t>
  </si>
  <si>
    <t>Not modellable</t>
  </si>
  <si>
    <t>For those contracts that are written by the insurance group that may be modelled, provide splits of those that are:</t>
  </si>
  <si>
    <t>modelled</t>
  </si>
  <si>
    <t>Not modelled</t>
  </si>
  <si>
    <t>For those contracts that are written by the insurance group that are modelled, provide splits of those that are:</t>
  </si>
  <si>
    <t>Detailed exposure data</t>
  </si>
  <si>
    <t>Aggregate exposure data</t>
  </si>
  <si>
    <t>A proxy peer insurer is selected and losses are derived from this insurer</t>
  </si>
  <si>
    <t>Derived from an industry loss curve utilising market share</t>
  </si>
  <si>
    <t>If other is selected, describe the methodology as appropriate:</t>
  </si>
  <si>
    <t xml:space="preserve">For those contracts that are written by the insurance group that may be modelled (but are not modelled), provide splits of those that are: </t>
  </si>
  <si>
    <t>Data deficient</t>
  </si>
  <si>
    <t>Model deficient</t>
  </si>
  <si>
    <t>If other is selected, describe the reasons for not modelling the contract(s):</t>
  </si>
  <si>
    <t>For contracts that are written by the insurance group that may be modelled (but are not modelled), describe what the members of the insurance group do from an accumulation perspective.</t>
  </si>
  <si>
    <t>For contracts that are written by the insurance group that are unable to be modelled, provide splits of those that are:</t>
  </si>
  <si>
    <t>No catastrophe model exists</t>
  </si>
  <si>
    <t>What percentage of total net premiums written represents contracts with no limits?</t>
  </si>
  <si>
    <t>For contracts that are written by the insurance group that are not modellable, describe what the members of the insurance group do from an accumulation perspective.</t>
  </si>
  <si>
    <t>If there are contracts that are written by the insurance group that have no occurrence limits or where TIV has not been included in the exposure in the above exhibits, describe how this exposure is included in the above data.</t>
  </si>
  <si>
    <t>HICM</t>
  </si>
  <si>
    <t xml:space="preserve"> ($M)</t>
  </si>
  <si>
    <t>Gross Loss ($M)</t>
  </si>
  <si>
    <t>Net Loss ($M)</t>
  </si>
  <si>
    <t>Mapped</t>
  </si>
  <si>
    <t>Indicate the model version</t>
  </si>
  <si>
    <t>AIR vXX RMS vXX</t>
  </si>
  <si>
    <t>Net aggregate
TVaR</t>
  </si>
  <si>
    <t>($M)</t>
  </si>
  <si>
    <t>EP CURVE NORTH AMERICAN EARTHQUAKE</t>
  </si>
  <si>
    <t>Which model(s) is used for  EP Curve North American earthquake</t>
  </si>
  <si>
    <t>brrt_GrossPerOccurrenceLoss</t>
  </si>
  <si>
    <t>brrt_GrossAggregateTVaR</t>
  </si>
  <si>
    <t>brrt_NetPerOccurrenceLoss</t>
  </si>
  <si>
    <t>brrt_NetAggregateTVaR</t>
  </si>
  <si>
    <t>brrt_EPCurveNetValue</t>
  </si>
  <si>
    <t>brrt_EPCurveGrossValue</t>
  </si>
  <si>
    <t>bma_class3A_StatementComponentAxis3_bma_EPCurveRegionPerils_GrossPerOccurrenceLossDollarM</t>
  </si>
  <si>
    <t>bma_class3A_StatementComponentAxis3_bma_EPCurveRegionPerils_GrossAggregateTvarDollarM</t>
  </si>
  <si>
    <t>bma_class3A_StatementComponentAxis3_bma_EPCurveRegionPerils_NetPerOccurrenceLossDollarM</t>
  </si>
  <si>
    <t>bma_class3A_StatementComponentAxis3_bma_EPCurveRegionPerils_NetAggregateTvarDollarM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</si>
</sst>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409]d\ mmmm\ yyyy;@"/>
    <numFmt numFmtId="165" formatCode="_(* #,##0_);_(* \(#,##0\);_(* &quot;-&quot;??_);_(@_)"/>
  </numFmts>
  <fonts count="45" x14ac:knownFonts="1">
    <font>
      <sz val="10"/>
      <name val="Arial"/>
      <family val="2"/>
    </font>
    <font>
      <sz val="10"/>
      <color theme="1"/>
      <name val="Arial"/>
      <family val="2"/>
    </font>
    <font>
      <sz val="10"/>
      <name val="Arial"/>
      <family val="2"/>
    </font>
    <font>
      <b/>
      <sz val="12"/>
      <color indexed="9"/>
      <name val="Franklin Gothic Book"/>
      <family val="2"/>
    </font>
    <font>
      <u/>
      <sz val="10"/>
      <color indexed="9"/>
      <name val="Franklin Gothic Book"/>
      <family val="2"/>
    </font>
    <font>
      <sz val="10"/>
      <color rgb="FFFF0000"/>
      <name val="Franklin Gothic Book"/>
      <family val="2"/>
    </font>
    <font>
      <sz val="11"/>
      <color indexed="8"/>
      <name val="Calibri"/>
      <family val="2"/>
    </font>
    <font>
      <sz val="12"/>
      <color rgb="FFFF0000"/>
      <name val="Franklin Gothic Book"/>
      <family val="2"/>
    </font>
    <font>
      <b/>
      <u/>
      <sz val="10"/>
      <color indexed="10"/>
      <name val="Franklin Gothic Book"/>
      <family val="2"/>
    </font>
    <font>
      <b/>
      <sz val="10"/>
      <color indexed="18"/>
      <name val="Franklin Gothic Book"/>
      <family val="2"/>
    </font>
    <font>
      <sz val="10"/>
      <name val="Franklin Gothic Book"/>
      <family val="2"/>
    </font>
    <font>
      <b/>
      <sz val="10"/>
      <name val="Franklin Gothic Book"/>
      <family val="2"/>
    </font>
    <font>
      <sz val="10"/>
      <color indexed="10"/>
      <name val="Franklin Gothic Book"/>
      <family val="2"/>
    </font>
    <font>
      <b/>
      <u/>
      <sz val="10"/>
      <color indexed="12"/>
      <name val="Franklin Gothic Book"/>
      <family val="2"/>
    </font>
    <font>
      <sz val="10"/>
      <color indexed="12"/>
      <name val="Franklin Gothic Book"/>
      <family val="2"/>
    </font>
    <font>
      <sz val="10"/>
      <color indexed="22"/>
      <name val="Franklin Gothic Book"/>
      <family val="2"/>
    </font>
    <font>
      <b/>
      <sz val="10"/>
      <color indexed="22"/>
      <name val="Franklin Gothic Book"/>
      <family val="2"/>
    </font>
    <font>
      <sz val="10"/>
      <color theme="0" tint="-0.249977111117893"/>
      <name val="Franklin Gothic Book"/>
      <family val="2"/>
    </font>
    <font>
      <sz val="8"/>
      <color indexed="81"/>
      <name val="Tahoma"/>
      <family val="2"/>
    </font>
    <font>
      <b/>
      <sz val="10"/>
      <color indexed="9"/>
      <name val="Franklin Gothic Book"/>
      <family val="2"/>
    </font>
    <font>
      <b/>
      <sz val="10"/>
      <color indexed="12"/>
      <name val="Franklin Gothic Book"/>
      <family val="2"/>
    </font>
    <font>
      <b/>
      <sz val="10"/>
      <color indexed="10"/>
      <name val="Franklin Gothic Book"/>
      <family val="2"/>
    </font>
    <font>
      <b/>
      <sz val="10"/>
      <color rgb="FFFF0000"/>
      <name val="Franklin Gothic Book"/>
      <family val="2"/>
    </font>
    <font>
      <b/>
      <u/>
      <sz val="10"/>
      <color indexed="9"/>
      <name val="Franklin Gothic Book"/>
      <family val="2"/>
    </font>
    <font>
      <b/>
      <sz val="14"/>
      <color indexed="9"/>
      <name val="Franklin Gothic Book"/>
      <family val="2"/>
    </font>
    <font>
      <sz val="12"/>
      <color indexed="22"/>
      <name val="Franklin Gothic Book"/>
      <family val="2"/>
    </font>
    <font>
      <sz val="12"/>
      <name val="Franklin Gothic Book"/>
      <family val="2"/>
    </font>
    <font>
      <b/>
      <sz val="12"/>
      <color indexed="18"/>
      <name val="Franklin Gothic Book"/>
      <family val="2"/>
    </font>
    <font>
      <b/>
      <sz val="12"/>
      <name val="Franklin Gothic Book"/>
      <family val="2"/>
    </font>
    <font>
      <b/>
      <sz val="12"/>
      <color indexed="17"/>
      <name val="Franklin Gothic Book"/>
      <family val="2"/>
    </font>
    <font>
      <sz val="12"/>
      <color rgb="FFFF0000"/>
      <name val="Arial"/>
      <family val="2"/>
    </font>
    <font>
      <sz val="12"/>
      <color indexed="12"/>
      <name val="Franklin Gothic Book"/>
      <family val="2"/>
    </font>
    <font>
      <b/>
      <u/>
      <sz val="12"/>
      <color indexed="12"/>
      <name val="Franklin Gothic Book"/>
      <family val="2"/>
    </font>
    <font>
      <sz val="12"/>
      <color indexed="10"/>
      <name val="Franklin Gothic Book"/>
      <family val="2"/>
    </font>
    <font>
      <u/>
      <sz val="7.5"/>
      <color indexed="12"/>
      <name val="Arial"/>
      <family val="2"/>
    </font>
    <font>
      <sz val="12"/>
      <color indexed="18"/>
      <name val="Franklin Gothic Book"/>
      <family val="2"/>
    </font>
    <font>
      <sz val="11"/>
      <name val="Franklin Gothic Book"/>
      <family val="2"/>
    </font>
    <font>
      <b/>
      <u/>
      <sz val="11"/>
      <color indexed="12"/>
      <name val="Franklin Gothic Book"/>
      <family val="2"/>
    </font>
    <font>
      <sz val="11"/>
      <color rgb="FFFF0000"/>
      <name val="Franklin Gothic Book"/>
      <family val="2"/>
    </font>
    <font>
      <b/>
      <sz val="11"/>
      <name val="Franklin Gothic Book"/>
      <family val="2"/>
    </font>
    <font>
      <sz val="11"/>
      <color indexed="12"/>
      <name val="Franklin Gothic Book"/>
      <family val="2"/>
    </font>
    <font>
      <sz val="11"/>
      <name val="Arial"/>
      <family val="2"/>
    </font>
    <font>
      <b/>
      <u/>
      <sz val="12"/>
      <color indexed="10"/>
      <name val="Franklin Gothic Book"/>
      <family val="2"/>
    </font>
    <font>
      <b/>
      <sz val="10"/>
      <color theme="0" tint="-0.249977111117893"/>
      <name val="Franklin Gothic Book"/>
      <family val="2"/>
    </font>
    <font>
      <b/>
      <sz val="11"/>
      <color indexed="18"/>
      <name val="Franklin Gothic Book"/>
      <family val="2"/>
    </font>
  </fonts>
  <fills count="8">
    <fill>
      <patternFill patternType="none"/>
    </fill>
    <fill>
      <patternFill patternType="gray125"/>
    </fill>
    <fill>
      <patternFill patternType="solid">
        <fgColor indexed="18"/>
        <bgColor indexed="64"/>
      </patternFill>
    </fill>
    <fill>
      <patternFill patternType="solid">
        <fgColor indexed="22"/>
        <bgColor indexed="64"/>
      </patternFill>
    </fill>
    <fill>
      <patternFill patternType="solid">
        <fgColor indexed="31"/>
        <bgColor indexed="64"/>
      </patternFill>
    </fill>
    <fill>
      <patternFill patternType="solid">
        <fgColor rgb="FFFFFF00"/>
        <bgColor indexed="64"/>
      </patternFill>
    </fill>
    <fill>
      <patternFill patternType="solid">
        <fgColor indexed="55"/>
        <bgColor indexed="64"/>
      </patternFill>
    </fill>
    <fill>
      <patternFill patternType="solid">
        <fgColor theme="5" tint="0.79998168889431442"/>
        <bgColor theme="5" tint="0.79998168889431442"/>
      </patternFill>
    </fill>
  </fills>
  <borders count="36">
    <border>
      <left/>
      <right/>
      <top/>
      <bottom/>
      <diagonal/>
    </border>
    <border>
      <left style="thin">
        <color indexed="64"/>
      </left>
      <right/>
      <top style="thin">
        <color indexed="64"/>
      </top>
      <bottom/>
      <diagonal/>
    </border>
    <border>
      <left/>
      <right/>
      <top style="thin">
        <color indexed="64"/>
      </top>
      <bottom/>
      <diagonal/>
    </border>
    <border>
      <left/>
      <right style="thin">
        <color auto="1"/>
      </right>
      <top style="thin">
        <color indexed="64"/>
      </top>
      <bottom/>
      <diagonal/>
    </border>
    <border>
      <left style="thin">
        <color auto="1"/>
      </left>
      <right/>
      <top/>
      <bottom/>
      <diagonal/>
    </border>
    <border>
      <left/>
      <right style="thin">
        <color auto="1"/>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auto="1"/>
      </left>
      <right style="thin">
        <color indexed="64"/>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thin">
        <color indexed="64"/>
      </right>
      <top/>
      <bottom style="medium">
        <color auto="1"/>
      </bottom>
      <diagonal/>
    </border>
    <border>
      <left style="thin">
        <color indexed="64"/>
      </left>
      <right/>
      <top style="medium">
        <color indexed="64"/>
      </top>
      <bottom/>
      <diagonal/>
    </border>
    <border>
      <left/>
      <right style="thin">
        <color indexed="64"/>
      </right>
      <top style="medium">
        <color indexed="64"/>
      </top>
      <bottom/>
      <diagonal/>
    </border>
    <border>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s>
  <cellStyleXfs count="10">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xf numFmtId="0" fontId="2" fillId="0" borderId="0"/>
    <xf numFmtId="0" fontId="2" fillId="0" borderId="0"/>
    <xf numFmtId="0" fontId="2" fillId="0" borderId="0"/>
    <xf numFmtId="43" fontId="2" fillId="0" borderId="0" applyFont="0" applyFill="0" applyBorder="0" applyAlignment="0" applyProtection="0"/>
    <xf numFmtId="0" fontId="34" fillId="0" borderId="0" applyNumberFormat="0" applyFont="0" applyFill="0" applyBorder="0" applyAlignment="0" applyProtection="0">
      <alignment vertical="top"/>
      <protection locked="0"/>
    </xf>
    <xf numFmtId="0" fontId="1" fillId="0" borderId="0"/>
  </cellStyleXfs>
  <cellXfs count="249">
    <xf numFmtId="0" fontId="0" fillId="0" borderId="0" xfId="0"/>
    <xf numFmtId="0" fontId="3" fillId="2" borderId="1" xfId="0" applyFont="1" applyFill="1" applyBorder="1"/>
    <xf numFmtId="0" fontId="3" fillId="2" borderId="2" xfId="0" applyFont="1" applyFill="1" applyBorder="1"/>
    <xf numFmtId="0" fontId="4" fillId="2" borderId="2" xfId="0" applyFont="1" applyFill="1" applyBorder="1" applyAlignment="1">
      <alignment horizontal="right"/>
    </xf>
    <xf numFmtId="0" fontId="3" fillId="2" borderId="3" xfId="0" applyFont="1" applyFill="1" applyBorder="1"/>
    <xf numFmtId="0" fontId="5" fillId="3" borderId="0" xfId="0" applyFont="1" applyFill="1"/>
    <xf numFmtId="0" fontId="5" fillId="3" borderId="0" xfId="3" applyFont="1" applyFill="1"/>
    <xf numFmtId="0" fontId="5" fillId="3" borderId="0" xfId="0" applyFont="1" applyFill="1" applyProtection="1">
      <protection hidden="1"/>
    </xf>
    <xf numFmtId="0" fontId="5" fillId="3" borderId="0" xfId="4" applyFont="1" applyFill="1"/>
    <xf numFmtId="14" fontId="5" fillId="3" borderId="0" xfId="4" applyNumberFormat="1" applyFont="1" applyFill="1"/>
    <xf numFmtId="14" fontId="5" fillId="3" borderId="0" xfId="0" applyNumberFormat="1" applyFont="1" applyFill="1" applyAlignment="1">
      <alignment horizontal="left"/>
    </xf>
    <xf numFmtId="0" fontId="7" fillId="3" borderId="0" xfId="5" applyFont="1" applyFill="1"/>
    <xf numFmtId="0" fontId="8" fillId="4" borderId="4" xfId="0" applyFont="1" applyFill="1" applyBorder="1"/>
    <xf numFmtId="3" fontId="9" fillId="4" borderId="0" xfId="0" applyNumberFormat="1" applyFont="1" applyFill="1"/>
    <xf numFmtId="0" fontId="10" fillId="4" borderId="0" xfId="0" applyFont="1" applyFill="1"/>
    <xf numFmtId="0" fontId="10" fillId="4" borderId="5" xfId="0" applyFont="1" applyFill="1" applyBorder="1"/>
    <xf numFmtId="0" fontId="5" fillId="3" borderId="0" xfId="5" applyFont="1" applyFill="1"/>
    <xf numFmtId="0" fontId="11" fillId="4" borderId="0" xfId="0" applyFont="1" applyFill="1" applyAlignment="1">
      <alignment horizontal="center"/>
    </xf>
    <xf numFmtId="0" fontId="5" fillId="3" borderId="0" xfId="4" applyFont="1" applyFill="1" applyAlignment="1">
      <alignment horizontal="right" wrapText="1"/>
    </xf>
    <xf numFmtId="0" fontId="12" fillId="4" borderId="4" xfId="0" applyFont="1" applyFill="1" applyBorder="1"/>
    <xf numFmtId="0" fontId="13" fillId="4" borderId="0" xfId="0" applyFont="1" applyFill="1"/>
    <xf numFmtId="0" fontId="10" fillId="4" borderId="1" xfId="0" applyFont="1" applyFill="1" applyBorder="1"/>
    <xf numFmtId="0" fontId="11" fillId="4" borderId="8" xfId="0" applyFont="1" applyFill="1" applyBorder="1" applyAlignment="1">
      <alignment horizontal="right" wrapText="1"/>
    </xf>
    <xf numFmtId="0" fontId="11" fillId="4" borderId="9" xfId="0" applyFont="1" applyFill="1" applyBorder="1" applyAlignment="1">
      <alignment horizontal="center" vertical="center" wrapText="1"/>
    </xf>
    <xf numFmtId="0" fontId="11" fillId="4" borderId="10" xfId="0" applyFont="1" applyFill="1" applyBorder="1" applyAlignment="1">
      <alignment horizontal="center" vertical="center" wrapText="1"/>
    </xf>
    <xf numFmtId="0" fontId="5" fillId="3" borderId="0" xfId="0" applyFont="1" applyFill="1" applyAlignment="1">
      <alignment horizontal="right" wrapText="1"/>
    </xf>
    <xf numFmtId="0" fontId="11" fillId="4" borderId="4" xfId="0" applyFont="1" applyFill="1" applyBorder="1" applyAlignment="1">
      <alignment horizontal="right" wrapText="1"/>
    </xf>
    <xf numFmtId="0" fontId="10" fillId="4" borderId="4" xfId="0" applyFont="1" applyFill="1" applyBorder="1"/>
    <xf numFmtId="165" fontId="14" fillId="0" borderId="9" xfId="1" applyNumberFormat="1" applyFont="1" applyFill="1" applyBorder="1" applyProtection="1">
      <protection locked="0"/>
    </xf>
    <xf numFmtId="165" fontId="14" fillId="0" borderId="11" xfId="1" applyNumberFormat="1" applyFont="1" applyFill="1" applyBorder="1" applyProtection="1">
      <protection locked="0"/>
    </xf>
    <xf numFmtId="0" fontId="10" fillId="4" borderId="8" xfId="0" applyFont="1" applyFill="1" applyBorder="1"/>
    <xf numFmtId="165" fontId="14" fillId="0" borderId="12" xfId="1" applyNumberFormat="1" applyFont="1" applyFill="1" applyBorder="1" applyProtection="1">
      <protection locked="0"/>
    </xf>
    <xf numFmtId="37" fontId="10" fillId="4" borderId="0" xfId="0" applyNumberFormat="1" applyFont="1" applyFill="1"/>
    <xf numFmtId="0" fontId="10" fillId="4" borderId="0" xfId="0" applyFont="1" applyFill="1" applyAlignment="1">
      <alignment horizontal="right"/>
    </xf>
    <xf numFmtId="165" fontId="14" fillId="0" borderId="10" xfId="1" applyNumberFormat="1" applyFont="1" applyFill="1" applyBorder="1" applyProtection="1">
      <protection locked="0"/>
    </xf>
    <xf numFmtId="0" fontId="5" fillId="3" borderId="0" xfId="6" applyFont="1" applyFill="1"/>
    <xf numFmtId="165" fontId="14" fillId="4" borderId="0" xfId="1" applyNumberFormat="1" applyFont="1" applyFill="1" applyBorder="1" applyAlignment="1" applyProtection="1">
      <alignment horizontal="right"/>
    </xf>
    <xf numFmtId="165" fontId="14" fillId="4" borderId="0" xfId="1" applyNumberFormat="1" applyFont="1" applyFill="1" applyBorder="1" applyProtection="1"/>
    <xf numFmtId="0" fontId="13" fillId="4" borderId="0" xfId="5" applyFont="1" applyFill="1"/>
    <xf numFmtId="0" fontId="14" fillId="0" borderId="10" xfId="0" applyFont="1" applyBorder="1" applyAlignment="1" applyProtection="1">
      <alignment horizontal="center"/>
      <protection locked="0"/>
    </xf>
    <xf numFmtId="0" fontId="14" fillId="4" borderId="0" xfId="0" applyFont="1" applyFill="1" applyAlignment="1">
      <alignment horizontal="center"/>
    </xf>
    <xf numFmtId="0" fontId="10" fillId="4" borderId="0" xfId="0" applyFont="1" applyFill="1" applyAlignment="1">
      <alignment horizontal="center"/>
    </xf>
    <xf numFmtId="0" fontId="14" fillId="0" borderId="9" xfId="0" applyFont="1" applyBorder="1" applyAlignment="1" applyProtection="1">
      <alignment horizontal="center"/>
      <protection locked="0"/>
    </xf>
    <xf numFmtId="37" fontId="10" fillId="4" borderId="0" xfId="0" applyNumberFormat="1" applyFont="1" applyFill="1" applyAlignment="1">
      <alignment horizontal="center"/>
    </xf>
    <xf numFmtId="0" fontId="10" fillId="4" borderId="0" xfId="0" applyFont="1" applyFill="1" applyProtection="1">
      <protection locked="0"/>
    </xf>
    <xf numFmtId="0" fontId="10" fillId="4" borderId="5" xfId="0" applyFont="1" applyFill="1" applyBorder="1" applyProtection="1">
      <protection locked="0"/>
    </xf>
    <xf numFmtId="0" fontId="10" fillId="4" borderId="0" xfId="0" applyFont="1" applyFill="1" applyAlignment="1" applyProtection="1">
      <alignment horizontal="left" wrapText="1"/>
      <protection locked="0"/>
    </xf>
    <xf numFmtId="0" fontId="10" fillId="4" borderId="5" xfId="0" applyFont="1" applyFill="1" applyBorder="1" applyAlignment="1" applyProtection="1">
      <alignment horizontal="left" wrapText="1"/>
      <protection locked="0"/>
    </xf>
    <xf numFmtId="0" fontId="11" fillId="4" borderId="0" xfId="0" applyFont="1" applyFill="1"/>
    <xf numFmtId="10" fontId="10" fillId="4" borderId="0" xfId="0" applyNumberFormat="1" applyFont="1" applyFill="1"/>
    <xf numFmtId="0" fontId="14" fillId="4" borderId="0" xfId="0" applyFont="1" applyFill="1"/>
    <xf numFmtId="10" fontId="14" fillId="0" borderId="10" xfId="0" applyNumberFormat="1" applyFont="1" applyBorder="1" applyAlignment="1" applyProtection="1">
      <alignment horizontal="center"/>
      <protection locked="0"/>
    </xf>
    <xf numFmtId="0" fontId="12" fillId="4" borderId="8" xfId="0" applyFont="1" applyFill="1" applyBorder="1"/>
    <xf numFmtId="0" fontId="10" fillId="4" borderId="15" xfId="0" applyFont="1" applyFill="1" applyBorder="1"/>
    <xf numFmtId="0" fontId="14" fillId="4" borderId="15" xfId="0" applyFont="1" applyFill="1" applyBorder="1"/>
    <xf numFmtId="0" fontId="10" fillId="4" borderId="14" xfId="0" applyFont="1" applyFill="1" applyBorder="1"/>
    <xf numFmtId="0" fontId="15" fillId="3" borderId="0" xfId="0" applyFont="1" applyFill="1"/>
    <xf numFmtId="0" fontId="16" fillId="3" borderId="0" xfId="0" applyFont="1" applyFill="1"/>
    <xf numFmtId="0" fontId="17" fillId="3" borderId="0" xfId="0" applyFont="1" applyFill="1"/>
    <xf numFmtId="0" fontId="10" fillId="3" borderId="0" xfId="0" applyFont="1" applyFill="1"/>
    <xf numFmtId="0" fontId="19" fillId="2" borderId="1" xfId="0" applyFont="1" applyFill="1" applyBorder="1"/>
    <xf numFmtId="0" fontId="19" fillId="2" borderId="2" xfId="0" applyFont="1" applyFill="1" applyBorder="1"/>
    <xf numFmtId="0" fontId="19" fillId="2" borderId="3" xfId="0" applyFont="1" applyFill="1" applyBorder="1"/>
    <xf numFmtId="164" fontId="9" fillId="4" borderId="0" xfId="0" applyNumberFormat="1" applyFont="1" applyFill="1" applyAlignment="1">
      <alignment horizontal="left"/>
    </xf>
    <xf numFmtId="3" fontId="20" fillId="4" borderId="0" xfId="0" applyNumberFormat="1" applyFont="1" applyFill="1"/>
    <xf numFmtId="0" fontId="21" fillId="4" borderId="0" xfId="0" applyFont="1" applyFill="1"/>
    <xf numFmtId="0" fontId="11" fillId="4" borderId="10" xfId="0" applyFont="1" applyFill="1" applyBorder="1" applyAlignment="1">
      <alignment horizontal="right" vertical="center" wrapText="1"/>
    </xf>
    <xf numFmtId="165" fontId="14" fillId="4" borderId="0" xfId="1" applyNumberFormat="1" applyFont="1" applyFill="1" applyBorder="1" applyProtection="1">
      <protection locked="0"/>
    </xf>
    <xf numFmtId="0" fontId="14" fillId="4" borderId="0" xfId="0" applyFont="1" applyFill="1" applyAlignment="1">
      <alignment horizontal="left"/>
    </xf>
    <xf numFmtId="0" fontId="10" fillId="4" borderId="0" xfId="0" applyFont="1" applyFill="1" applyAlignment="1" applyProtection="1">
      <alignment horizontal="left"/>
      <protection locked="0"/>
    </xf>
    <xf numFmtId="0" fontId="10" fillId="4" borderId="5" xfId="0" applyFont="1" applyFill="1" applyBorder="1" applyAlignment="1" applyProtection="1">
      <alignment horizontal="left"/>
      <protection locked="0"/>
    </xf>
    <xf numFmtId="0" fontId="14" fillId="4" borderId="0" xfId="0" applyFont="1" applyFill="1" applyAlignment="1">
      <alignment horizontal="center" vertical="top"/>
    </xf>
    <xf numFmtId="10" fontId="14" fillId="0" borderId="10" xfId="0" applyNumberFormat="1" applyFont="1" applyBorder="1" applyAlignment="1" applyProtection="1">
      <alignment horizontal="center" vertical="top"/>
      <protection locked="0"/>
    </xf>
    <xf numFmtId="0" fontId="14" fillId="0" borderId="10" xfId="0" applyFont="1" applyBorder="1" applyAlignment="1" applyProtection="1">
      <alignment horizontal="center" vertical="top"/>
      <protection locked="0"/>
    </xf>
    <xf numFmtId="0" fontId="10" fillId="4" borderId="0" xfId="0" applyFont="1" applyFill="1" applyAlignment="1">
      <alignment horizontal="left"/>
    </xf>
    <xf numFmtId="0" fontId="14" fillId="0" borderId="9" xfId="0" applyFont="1" applyBorder="1" applyAlignment="1" applyProtection="1">
      <alignment horizontal="center" vertical="top"/>
      <protection locked="0"/>
    </xf>
    <xf numFmtId="0" fontId="14" fillId="4" borderId="15" xfId="0" applyFont="1" applyFill="1" applyBorder="1" applyAlignment="1">
      <alignment horizontal="center" vertical="top"/>
    </xf>
    <xf numFmtId="0" fontId="5" fillId="3" borderId="0" xfId="0" applyFont="1" applyFill="1" applyAlignment="1">
      <alignment horizontal="center" vertical="top"/>
    </xf>
    <xf numFmtId="0" fontId="22" fillId="3" borderId="0" xfId="0" applyFont="1" applyFill="1"/>
    <xf numFmtId="0" fontId="23" fillId="2" borderId="1" xfId="0" applyFont="1" applyFill="1" applyBorder="1"/>
    <xf numFmtId="0" fontId="23" fillId="2" borderId="3" xfId="0" applyFont="1" applyFill="1" applyBorder="1"/>
    <xf numFmtId="0" fontId="25" fillId="3" borderId="0" xfId="5" applyFont="1" applyFill="1"/>
    <xf numFmtId="0" fontId="26" fillId="4" borderId="4" xfId="0" applyFont="1" applyFill="1" applyBorder="1"/>
    <xf numFmtId="3" fontId="27" fillId="4" borderId="0" xfId="0" applyNumberFormat="1" applyFont="1" applyFill="1"/>
    <xf numFmtId="0" fontId="26" fillId="4" borderId="0" xfId="0" applyFont="1" applyFill="1"/>
    <xf numFmtId="0" fontId="26" fillId="4" borderId="5" xfId="0" applyFont="1" applyFill="1" applyBorder="1"/>
    <xf numFmtId="0" fontId="7" fillId="3" borderId="0" xfId="4" applyFont="1" applyFill="1"/>
    <xf numFmtId="0" fontId="26" fillId="3" borderId="0" xfId="0" applyFont="1" applyFill="1"/>
    <xf numFmtId="0" fontId="28" fillId="4" borderId="0" xfId="0" applyFont="1" applyFill="1" applyAlignment="1">
      <alignment horizontal="center"/>
    </xf>
    <xf numFmtId="0" fontId="7" fillId="3" borderId="0" xfId="3" applyFont="1" applyFill="1"/>
    <xf numFmtId="0" fontId="30" fillId="3" borderId="0" xfId="0" applyFont="1" applyFill="1"/>
    <xf numFmtId="0" fontId="7" fillId="3" borderId="0" xfId="0" applyFont="1" applyFill="1"/>
    <xf numFmtId="0" fontId="7" fillId="3" borderId="0" xfId="0" applyFont="1" applyFill="1" applyProtection="1">
      <protection hidden="1"/>
    </xf>
    <xf numFmtId="165" fontId="31" fillId="0" borderId="10" xfId="7" applyNumberFormat="1" applyFont="1" applyFill="1" applyBorder="1" applyProtection="1">
      <protection locked="0"/>
    </xf>
    <xf numFmtId="0" fontId="7" fillId="3" borderId="0" xfId="6" applyFont="1" applyFill="1"/>
    <xf numFmtId="0" fontId="7" fillId="3" borderId="0" xfId="4" applyFont="1" applyFill="1" applyAlignment="1">
      <alignment horizontal="right" wrapText="1"/>
    </xf>
    <xf numFmtId="0" fontId="28" fillId="4" borderId="28" xfId="0" applyFont="1" applyFill="1" applyBorder="1" applyAlignment="1">
      <alignment horizontal="center" vertical="center" wrapText="1"/>
    </xf>
    <xf numFmtId="0" fontId="28" fillId="4" borderId="29" xfId="0" applyFont="1" applyFill="1" applyBorder="1" applyAlignment="1">
      <alignment horizontal="center" vertical="center" wrapText="1"/>
    </xf>
    <xf numFmtId="165" fontId="31" fillId="4" borderId="0" xfId="7" applyNumberFormat="1" applyFont="1" applyFill="1" applyBorder="1" applyProtection="1"/>
    <xf numFmtId="0" fontId="25" fillId="3" borderId="0" xfId="0" applyFont="1" applyFill="1"/>
    <xf numFmtId="165" fontId="31" fillId="0" borderId="9" xfId="7" applyNumberFormat="1" applyFont="1" applyFill="1" applyBorder="1" applyProtection="1">
      <protection locked="0"/>
    </xf>
    <xf numFmtId="0" fontId="15" fillId="3" borderId="0" xfId="5" applyFont="1" applyFill="1"/>
    <xf numFmtId="0" fontId="10" fillId="3" borderId="0" xfId="5" applyFont="1" applyFill="1"/>
    <xf numFmtId="0" fontId="24" fillId="2" borderId="2" xfId="0" applyFont="1" applyFill="1" applyBorder="1"/>
    <xf numFmtId="0" fontId="4" fillId="2" borderId="2" xfId="8" applyFont="1" applyFill="1" applyBorder="1" applyAlignment="1" applyProtection="1">
      <alignment horizontal="right"/>
    </xf>
    <xf numFmtId="3" fontId="27" fillId="4" borderId="0" xfId="0" applyNumberFormat="1" applyFont="1" applyFill="1" applyAlignment="1">
      <alignment horizontal="left" vertical="top"/>
    </xf>
    <xf numFmtId="0" fontId="35" fillId="4" borderId="0" xfId="0" applyFont="1" applyFill="1"/>
    <xf numFmtId="0" fontId="28" fillId="4" borderId="0" xfId="0" applyFont="1" applyFill="1" applyAlignment="1">
      <alignment horizontal="right"/>
    </xf>
    <xf numFmtId="0" fontId="36" fillId="4" borderId="4" xfId="0" applyFont="1" applyFill="1" applyBorder="1"/>
    <xf numFmtId="0" fontId="37" fillId="4" borderId="0" xfId="0" applyFont="1" applyFill="1"/>
    <xf numFmtId="0" fontId="36" fillId="4" borderId="0" xfId="0" applyFont="1" applyFill="1"/>
    <xf numFmtId="0" fontId="36" fillId="4" borderId="5" xfId="0" applyFont="1" applyFill="1" applyBorder="1"/>
    <xf numFmtId="0" fontId="38" fillId="3" borderId="0" xfId="0" applyFont="1" applyFill="1"/>
    <xf numFmtId="0" fontId="38" fillId="3" borderId="0" xfId="4" applyFont="1" applyFill="1"/>
    <xf numFmtId="0" fontId="38" fillId="3" borderId="0" xfId="5" applyFont="1" applyFill="1"/>
    <xf numFmtId="0" fontId="36" fillId="3" borderId="0" xfId="0" applyFont="1" applyFill="1"/>
    <xf numFmtId="0" fontId="39" fillId="4" borderId="0" xfId="0" applyFont="1" applyFill="1"/>
    <xf numFmtId="0" fontId="36" fillId="4" borderId="10" xfId="0" applyFont="1" applyFill="1" applyBorder="1" applyAlignment="1">
      <alignment horizontal="center" wrapText="1"/>
    </xf>
    <xf numFmtId="0" fontId="36" fillId="4" borderId="0" xfId="0" applyFont="1" applyFill="1" applyAlignment="1">
      <alignment horizontal="right"/>
    </xf>
    <xf numFmtId="0" fontId="38" fillId="3" borderId="0" xfId="3" applyFont="1" applyFill="1"/>
    <xf numFmtId="0" fontId="38" fillId="3" borderId="0" xfId="6" applyFont="1" applyFill="1"/>
    <xf numFmtId="165" fontId="40" fillId="0" borderId="11" xfId="7" applyNumberFormat="1" applyFont="1" applyFill="1" applyBorder="1" applyProtection="1">
      <protection locked="0"/>
    </xf>
    <xf numFmtId="165" fontId="36" fillId="4" borderId="0" xfId="1" applyNumberFormat="1" applyFont="1" applyFill="1" applyBorder="1" applyProtection="1"/>
    <xf numFmtId="165" fontId="36" fillId="4" borderId="0" xfId="7" applyNumberFormat="1" applyFont="1" applyFill="1" applyBorder="1" applyProtection="1"/>
    <xf numFmtId="0" fontId="39" fillId="4" borderId="0" xfId="0" applyFont="1" applyFill="1" applyAlignment="1">
      <alignment vertical="center"/>
    </xf>
    <xf numFmtId="0" fontId="36" fillId="4" borderId="0" xfId="0" applyFont="1" applyFill="1" applyAlignment="1">
      <alignment horizontal="left" wrapText="1"/>
    </xf>
    <xf numFmtId="0" fontId="38" fillId="3" borderId="0" xfId="0" applyFont="1" applyFill="1" applyProtection="1">
      <protection hidden="1"/>
    </xf>
    <xf numFmtId="0" fontId="39" fillId="4" borderId="0" xfId="0" applyFont="1" applyFill="1" applyAlignment="1">
      <alignment vertical="top"/>
    </xf>
    <xf numFmtId="0" fontId="39" fillId="4" borderId="0" xfId="0" applyFont="1" applyFill="1" applyAlignment="1">
      <alignment wrapText="1"/>
    </xf>
    <xf numFmtId="0" fontId="36" fillId="4" borderId="8" xfId="0" applyFont="1" applyFill="1" applyBorder="1"/>
    <xf numFmtId="0" fontId="39" fillId="4" borderId="15" xfId="0" applyFont="1" applyFill="1" applyBorder="1"/>
    <xf numFmtId="0" fontId="36" fillId="4" borderId="15" xfId="0" applyFont="1" applyFill="1" applyBorder="1"/>
    <xf numFmtId="0" fontId="36" fillId="4" borderId="14" xfId="0" applyFont="1" applyFill="1" applyBorder="1"/>
    <xf numFmtId="0" fontId="22" fillId="3" borderId="0" xfId="5" applyFont="1" applyFill="1"/>
    <xf numFmtId="0" fontId="5" fillId="6" borderId="0" xfId="0" applyFont="1" applyFill="1"/>
    <xf numFmtId="0" fontId="11" fillId="3" borderId="0" xfId="0" applyFont="1" applyFill="1"/>
    <xf numFmtId="165" fontId="14" fillId="5" borderId="10" xfId="1" applyNumberFormat="1" applyFont="1" applyFill="1" applyBorder="1" applyProtection="1">
      <protection locked="0"/>
    </xf>
    <xf numFmtId="0" fontId="11" fillId="4" borderId="10" xfId="0" applyFont="1" applyFill="1" applyBorder="1" applyAlignment="1">
      <alignment horizontal="center"/>
    </xf>
    <xf numFmtId="0" fontId="11" fillId="4" borderId="9" xfId="5" applyFont="1" applyFill="1" applyBorder="1" applyAlignment="1">
      <alignment horizontal="center" wrapText="1"/>
    </xf>
    <xf numFmtId="0" fontId="10" fillId="4" borderId="0" xfId="5" applyFont="1" applyFill="1"/>
    <xf numFmtId="165" fontId="14" fillId="4" borderId="0" xfId="1" applyNumberFormat="1" applyFont="1" applyFill="1" applyProtection="1"/>
    <xf numFmtId="165" fontId="14" fillId="4" borderId="0" xfId="1" applyNumberFormat="1" applyFont="1" applyFill="1" applyAlignment="1" applyProtection="1">
      <alignment horizontal="right"/>
    </xf>
    <xf numFmtId="0" fontId="15" fillId="3" borderId="0" xfId="3" applyFont="1" applyFill="1"/>
    <xf numFmtId="0" fontId="15" fillId="3" borderId="0" xfId="4" applyFont="1" applyFill="1"/>
    <xf numFmtId="0" fontId="33" fillId="4" borderId="0" xfId="5" applyFont="1" applyFill="1"/>
    <xf numFmtId="0" fontId="26" fillId="4" borderId="0" xfId="5" applyFont="1" applyFill="1"/>
    <xf numFmtId="0" fontId="28" fillId="4" borderId="0" xfId="5" applyFont="1" applyFill="1" applyAlignment="1">
      <alignment horizontal="center"/>
    </xf>
    <xf numFmtId="0" fontId="33" fillId="4" borderId="0" xfId="5" applyFont="1" applyFill="1" applyAlignment="1">
      <alignment wrapText="1"/>
    </xf>
    <xf numFmtId="0" fontId="28" fillId="4" borderId="0" xfId="5" applyFont="1" applyFill="1" applyAlignment="1">
      <alignment wrapText="1"/>
    </xf>
    <xf numFmtId="0" fontId="29" fillId="4" borderId="0" xfId="5" applyFont="1" applyFill="1"/>
    <xf numFmtId="0" fontId="26" fillId="4" borderId="0" xfId="5" applyFont="1" applyFill="1" applyAlignment="1">
      <alignment horizontal="center"/>
    </xf>
    <xf numFmtId="0" fontId="31" fillId="0" borderId="10" xfId="5" applyFont="1" applyBorder="1" applyProtection="1">
      <protection locked="0"/>
    </xf>
    <xf numFmtId="0" fontId="42" fillId="4" borderId="0" xfId="5" applyFont="1" applyFill="1" applyAlignment="1">
      <alignment horizontal="left"/>
    </xf>
    <xf numFmtId="0" fontId="32" fillId="4" borderId="0" xfId="5" applyFont="1" applyFill="1" applyAlignment="1">
      <alignment horizontal="left"/>
    </xf>
    <xf numFmtId="0" fontId="26" fillId="4" borderId="16" xfId="5" applyFont="1" applyFill="1" applyBorder="1"/>
    <xf numFmtId="0" fontId="28" fillId="4" borderId="20" xfId="5" applyFont="1" applyFill="1" applyBorder="1" applyAlignment="1">
      <alignment horizontal="right" wrapText="1"/>
    </xf>
    <xf numFmtId="0" fontId="28" fillId="4" borderId="9" xfId="5" applyFont="1" applyFill="1" applyBorder="1" applyAlignment="1">
      <alignment horizontal="center" vertical="center" wrapText="1"/>
    </xf>
    <xf numFmtId="0" fontId="28" fillId="4" borderId="10" xfId="5" applyFont="1" applyFill="1" applyBorder="1" applyAlignment="1">
      <alignment horizontal="center" vertical="center" wrapText="1"/>
    </xf>
    <xf numFmtId="0" fontId="28" fillId="4" borderId="21" xfId="5" applyFont="1" applyFill="1" applyBorder="1" applyAlignment="1">
      <alignment horizontal="center" vertical="center" wrapText="1"/>
    </xf>
    <xf numFmtId="0" fontId="28" fillId="4" borderId="22" xfId="5" applyFont="1" applyFill="1" applyBorder="1" applyAlignment="1">
      <alignment horizontal="right" wrapText="1"/>
    </xf>
    <xf numFmtId="0" fontId="28" fillId="4" borderId="9" xfId="5" applyFont="1" applyFill="1" applyBorder="1" applyAlignment="1">
      <alignment horizontal="center" wrapText="1"/>
    </xf>
    <xf numFmtId="0" fontId="28" fillId="4" borderId="23" xfId="5" applyFont="1" applyFill="1" applyBorder="1" applyAlignment="1">
      <alignment horizontal="center" wrapText="1"/>
    </xf>
    <xf numFmtId="0" fontId="26" fillId="4" borderId="22" xfId="5" applyFont="1" applyFill="1" applyBorder="1"/>
    <xf numFmtId="0" fontId="26" fillId="4" borderId="26" xfId="5" applyFont="1" applyFill="1" applyBorder="1"/>
    <xf numFmtId="165" fontId="31" fillId="4" borderId="0" xfId="7" applyNumberFormat="1" applyFont="1" applyFill="1" applyProtection="1"/>
    <xf numFmtId="165" fontId="31" fillId="5" borderId="9" xfId="7" applyNumberFormat="1" applyFont="1" applyFill="1" applyBorder="1" applyProtection="1">
      <protection locked="0"/>
    </xf>
    <xf numFmtId="165" fontId="31" fillId="5" borderId="24" xfId="7" applyNumberFormat="1" applyFont="1" applyFill="1" applyBorder="1" applyProtection="1">
      <protection locked="0"/>
    </xf>
    <xf numFmtId="165" fontId="31" fillId="5" borderId="11" xfId="7" applyNumberFormat="1" applyFont="1" applyFill="1" applyBorder="1" applyProtection="1">
      <protection locked="0"/>
    </xf>
    <xf numFmtId="165" fontId="31" fillId="5" borderId="25" xfId="7" applyNumberFormat="1" applyFont="1" applyFill="1" applyBorder="1" applyProtection="1">
      <protection locked="0"/>
    </xf>
    <xf numFmtId="43" fontId="26" fillId="4" borderId="0" xfId="5" applyNumberFormat="1" applyFont="1" applyFill="1"/>
    <xf numFmtId="0" fontId="28" fillId="4" borderId="27" xfId="5" applyFont="1" applyFill="1" applyBorder="1" applyAlignment="1">
      <alignment horizontal="right" wrapText="1"/>
    </xf>
    <xf numFmtId="0" fontId="28" fillId="4" borderId="12" xfId="5" applyFont="1" applyFill="1" applyBorder="1" applyAlignment="1">
      <alignment horizontal="center" vertical="center" wrapText="1"/>
    </xf>
    <xf numFmtId="0" fontId="12" fillId="4" borderId="0" xfId="5" applyFont="1" applyFill="1"/>
    <xf numFmtId="0" fontId="43" fillId="3" borderId="0" xfId="5" applyFont="1" applyFill="1"/>
    <xf numFmtId="0" fontId="17" fillId="3" borderId="0" xfId="5" applyFont="1" applyFill="1"/>
    <xf numFmtId="0" fontId="16" fillId="3" borderId="0" xfId="5" applyFont="1" applyFill="1"/>
    <xf numFmtId="0" fontId="25" fillId="4" borderId="0" xfId="0" applyFont="1" applyFill="1"/>
    <xf numFmtId="0" fontId="26" fillId="4" borderId="0" xfId="0" applyFont="1" applyFill="1" applyAlignment="1">
      <alignment horizontal="center"/>
    </xf>
    <xf numFmtId="0" fontId="28" fillId="4" borderId="9" xfId="0" applyFont="1" applyFill="1" applyBorder="1" applyAlignment="1">
      <alignment horizontal="center" wrapText="1"/>
    </xf>
    <xf numFmtId="0" fontId="28" fillId="4" borderId="23" xfId="0" applyFont="1" applyFill="1" applyBorder="1" applyAlignment="1">
      <alignment horizontal="center" wrapText="1"/>
    </xf>
    <xf numFmtId="0" fontId="15" fillId="3" borderId="0" xfId="0" applyFont="1" applyFill="1" applyProtection="1">
      <protection hidden="1"/>
    </xf>
    <xf numFmtId="0" fontId="36" fillId="4" borderId="10" xfId="5" applyFont="1" applyFill="1" applyBorder="1" applyAlignment="1">
      <alignment horizontal="right" wrapText="1"/>
    </xf>
    <xf numFmtId="0" fontId="36" fillId="4" borderId="10" xfId="5" applyFont="1" applyFill="1" applyBorder="1" applyAlignment="1">
      <alignment horizontal="center" wrapText="1"/>
    </xf>
    <xf numFmtId="165" fontId="40" fillId="5" borderId="11" xfId="7" applyNumberFormat="1" applyFont="1" applyFill="1" applyBorder="1" applyProtection="1">
      <protection locked="0"/>
    </xf>
    <xf numFmtId="165" fontId="44" fillId="4" borderId="11" xfId="7" applyNumberFormat="1" applyFont="1" applyFill="1" applyBorder="1" applyProtection="1"/>
    <xf numFmtId="165" fontId="44" fillId="4" borderId="10" xfId="7" applyNumberFormat="1" applyFont="1" applyFill="1" applyBorder="1" applyProtection="1"/>
    <xf numFmtId="165" fontId="40" fillId="5" borderId="9" xfId="7" applyNumberFormat="1" applyFont="1" applyFill="1" applyBorder="1" applyProtection="1">
      <protection locked="0"/>
    </xf>
    <xf numFmtId="165" fontId="40" fillId="4" borderId="10" xfId="7" applyNumberFormat="1" applyFont="1" applyFill="1" applyBorder="1" applyProtection="1"/>
    <xf numFmtId="165" fontId="44" fillId="4" borderId="1" xfId="7" applyNumberFormat="1" applyFont="1" applyFill="1" applyBorder="1" applyProtection="1"/>
    <xf numFmtId="165" fontId="44" fillId="4" borderId="9" xfId="7" applyNumberFormat="1" applyFont="1" applyFill="1" applyBorder="1" applyProtection="1"/>
    <xf numFmtId="165" fontId="44" fillId="4" borderId="3" xfId="7" applyNumberFormat="1" applyFont="1" applyFill="1" applyBorder="1" applyProtection="1"/>
    <xf numFmtId="165" fontId="44" fillId="4" borderId="4" xfId="7" applyNumberFormat="1" applyFont="1" applyFill="1" applyBorder="1" applyProtection="1"/>
    <xf numFmtId="165" fontId="44" fillId="4" borderId="5" xfId="7" applyNumberFormat="1" applyFont="1" applyFill="1" applyBorder="1" applyProtection="1"/>
    <xf numFmtId="9" fontId="40" fillId="5" borderId="10" xfId="2" applyFont="1" applyFill="1" applyBorder="1" applyAlignment="1" applyProtection="1">
      <alignment horizontal="left"/>
      <protection locked="0"/>
    </xf>
    <xf numFmtId="0" fontId="14" fillId="0" borderId="6" xfId="0" applyFont="1" applyBorder="1" applyAlignment="1" applyProtection="1">
      <alignment horizontal="center"/>
      <protection locked="0"/>
    </xf>
    <xf numFmtId="0" fontId="14" fillId="0" borderId="13" xfId="0" applyFont="1" applyBorder="1" applyAlignment="1" applyProtection="1">
      <alignment horizontal="center"/>
      <protection locked="0"/>
    </xf>
    <xf numFmtId="0" fontId="14" fillId="0" borderId="7" xfId="0" applyFont="1" applyBorder="1" applyAlignment="1" applyProtection="1">
      <alignment horizontal="center"/>
      <protection locked="0"/>
    </xf>
    <xf numFmtId="0" fontId="10" fillId="4" borderId="0" xfId="0" applyFont="1" applyFill="1" applyAlignment="1" applyProtection="1">
      <alignment horizontal="left" wrapText="1"/>
      <protection locked="0"/>
    </xf>
    <xf numFmtId="0" fontId="10" fillId="4" borderId="5" xfId="0" applyFont="1" applyFill="1" applyBorder="1" applyAlignment="1" applyProtection="1">
      <alignment horizontal="left" wrapText="1"/>
      <protection locked="0"/>
    </xf>
    <xf numFmtId="164" fontId="9" fillId="4" borderId="0" xfId="0" applyNumberFormat="1" applyFont="1" applyFill="1" applyAlignment="1">
      <alignment horizontal="left"/>
    </xf>
    <xf numFmtId="0" fontId="11" fillId="4" borderId="6" xfId="0" applyFont="1" applyFill="1" applyBorder="1" applyAlignment="1">
      <alignment horizontal="center"/>
    </xf>
    <xf numFmtId="0" fontId="11" fillId="4" borderId="7" xfId="0" applyFont="1" applyFill="1" applyBorder="1" applyAlignment="1">
      <alignment horizontal="center"/>
    </xf>
    <xf numFmtId="0" fontId="14" fillId="0" borderId="1" xfId="0" applyFont="1" applyBorder="1" applyAlignment="1" applyProtection="1">
      <alignment horizontal="center" vertical="center" wrapText="1"/>
      <protection locked="0"/>
    </xf>
    <xf numFmtId="0" fontId="14" fillId="0" borderId="3" xfId="0" applyFont="1" applyBorder="1" applyAlignment="1" applyProtection="1">
      <alignment horizontal="center" vertical="center" wrapText="1"/>
      <protection locked="0"/>
    </xf>
    <xf numFmtId="0" fontId="14" fillId="0" borderId="8" xfId="0" applyFont="1" applyBorder="1" applyAlignment="1" applyProtection="1">
      <alignment horizontal="center" vertical="center" wrapText="1"/>
      <protection locked="0"/>
    </xf>
    <xf numFmtId="0" fontId="14" fillId="0" borderId="14" xfId="0" applyFont="1" applyBorder="1" applyAlignment="1" applyProtection="1">
      <alignment horizontal="center" vertical="center" wrapText="1"/>
      <protection locked="0"/>
    </xf>
    <xf numFmtId="0" fontId="14" fillId="0" borderId="1" xfId="0" applyFont="1" applyBorder="1" applyAlignment="1" applyProtection="1">
      <alignment horizontal="center" vertical="top" wrapText="1"/>
      <protection locked="0"/>
    </xf>
    <xf numFmtId="0" fontId="14" fillId="0" borderId="3" xfId="0" applyFont="1" applyBorder="1" applyAlignment="1" applyProtection="1">
      <alignment horizontal="center" vertical="top" wrapText="1"/>
      <protection locked="0"/>
    </xf>
    <xf numFmtId="0" fontId="14" fillId="0" borderId="8" xfId="0" applyFont="1" applyBorder="1" applyAlignment="1" applyProtection="1">
      <alignment horizontal="center" vertical="top" wrapText="1"/>
      <protection locked="0"/>
    </xf>
    <xf numFmtId="0" fontId="14" fillId="0" borderId="14" xfId="0" applyFont="1" applyBorder="1" applyAlignment="1" applyProtection="1">
      <alignment horizontal="center" vertical="top" wrapText="1"/>
      <protection locked="0"/>
    </xf>
    <xf numFmtId="0" fontId="28" fillId="4" borderId="17" xfId="5" applyFont="1" applyFill="1" applyBorder="1" applyAlignment="1">
      <alignment horizontal="center"/>
    </xf>
    <xf numFmtId="0" fontId="28" fillId="4" borderId="19" xfId="5" applyFont="1" applyFill="1" applyBorder="1" applyAlignment="1">
      <alignment horizontal="center"/>
    </xf>
    <xf numFmtId="0" fontId="24" fillId="2" borderId="2" xfId="0" applyFont="1" applyFill="1" applyBorder="1" applyAlignment="1">
      <alignment horizontal="left" wrapText="1"/>
    </xf>
    <xf numFmtId="164" fontId="27" fillId="4" borderId="0" xfId="0" applyNumberFormat="1" applyFont="1" applyFill="1" applyAlignment="1">
      <alignment horizontal="left"/>
    </xf>
    <xf numFmtId="0" fontId="28" fillId="4" borderId="18" xfId="5" applyFont="1" applyFill="1" applyBorder="1" applyAlignment="1">
      <alignment horizontal="center"/>
    </xf>
    <xf numFmtId="0" fontId="28" fillId="4" borderId="27" xfId="0" applyFont="1" applyFill="1" applyBorder="1" applyAlignment="1">
      <alignment horizontal="right" vertical="center" wrapText="1"/>
    </xf>
    <xf numFmtId="0" fontId="28" fillId="4" borderId="18" xfId="0" applyFont="1" applyFill="1" applyBorder="1" applyAlignment="1">
      <alignment horizontal="right" vertical="center" wrapText="1"/>
    </xf>
    <xf numFmtId="0" fontId="26" fillId="4" borderId="22" xfId="0" applyFont="1" applyFill="1" applyBorder="1" applyAlignment="1">
      <alignment horizontal="right"/>
    </xf>
    <xf numFmtId="0" fontId="26" fillId="4" borderId="5" xfId="0" applyFont="1" applyFill="1" applyBorder="1" applyAlignment="1">
      <alignment horizontal="right"/>
    </xf>
    <xf numFmtId="0" fontId="26" fillId="4" borderId="26" xfId="0" applyFont="1" applyFill="1" applyBorder="1" applyAlignment="1">
      <alignment horizontal="right"/>
    </xf>
    <xf numFmtId="0" fontId="26" fillId="4" borderId="31" xfId="0" applyFont="1" applyFill="1" applyBorder="1" applyAlignment="1">
      <alignment horizontal="right"/>
    </xf>
    <xf numFmtId="0" fontId="28" fillId="4" borderId="0" xfId="5" applyFont="1" applyFill="1" applyAlignment="1">
      <alignment horizontal="left" wrapText="1"/>
    </xf>
    <xf numFmtId="0" fontId="28" fillId="4" borderId="30" xfId="0" applyFont="1" applyFill="1" applyBorder="1" applyAlignment="1">
      <alignment horizontal="center" wrapText="1"/>
    </xf>
    <xf numFmtId="0" fontId="28" fillId="4" borderId="3" xfId="0" applyFont="1" applyFill="1" applyBorder="1" applyAlignment="1">
      <alignment horizontal="center" wrapText="1"/>
    </xf>
    <xf numFmtId="0" fontId="28" fillId="4" borderId="32" xfId="5" applyFont="1" applyFill="1" applyBorder="1" applyAlignment="1">
      <alignment horizontal="center"/>
    </xf>
    <xf numFmtId="0" fontId="28" fillId="4" borderId="33" xfId="5" applyFont="1" applyFill="1" applyBorder="1" applyAlignment="1">
      <alignment horizontal="center"/>
    </xf>
    <xf numFmtId="164" fontId="27" fillId="4" borderId="0" xfId="0" applyNumberFormat="1" applyFont="1" applyFill="1" applyAlignment="1">
      <alignment horizontal="left" vertical="top"/>
    </xf>
    <xf numFmtId="0" fontId="39" fillId="4" borderId="6" xfId="0" applyFont="1" applyFill="1" applyBorder="1" applyAlignment="1">
      <alignment horizontal="center" wrapText="1"/>
    </xf>
    <xf numFmtId="0" fontId="39" fillId="4" borderId="13" xfId="0" applyFont="1" applyFill="1" applyBorder="1" applyAlignment="1">
      <alignment horizontal="center" wrapText="1"/>
    </xf>
    <xf numFmtId="0" fontId="39" fillId="4" borderId="7" xfId="0" applyFont="1" applyFill="1" applyBorder="1" applyAlignment="1">
      <alignment horizontal="center" wrapText="1"/>
    </xf>
    <xf numFmtId="0" fontId="39" fillId="4" borderId="10" xfId="0" applyFont="1" applyFill="1" applyBorder="1" applyAlignment="1">
      <alignment horizontal="center" wrapText="1"/>
    </xf>
    <xf numFmtId="0" fontId="40" fillId="5" borderId="6" xfId="5" applyFont="1" applyFill="1" applyBorder="1" applyAlignment="1" applyProtection="1">
      <alignment horizontal="left" wrapText="1"/>
      <protection locked="0"/>
    </xf>
    <xf numFmtId="0" fontId="40" fillId="5" borderId="13" xfId="5" applyFont="1" applyFill="1" applyBorder="1" applyAlignment="1" applyProtection="1">
      <alignment horizontal="left" wrapText="1"/>
      <protection locked="0"/>
    </xf>
    <xf numFmtId="0" fontId="40" fillId="5" borderId="7" xfId="5" applyFont="1" applyFill="1" applyBorder="1" applyAlignment="1" applyProtection="1">
      <alignment horizontal="left" wrapText="1"/>
      <protection locked="0"/>
    </xf>
    <xf numFmtId="0" fontId="36" fillId="4" borderId="0" xfId="0" applyFont="1" applyFill="1" applyAlignment="1" applyProtection="1">
      <alignment horizontal="right" wrapText="1"/>
      <protection locked="0"/>
    </xf>
    <xf numFmtId="0" fontId="41" fillId="0" borderId="5" xfId="0" applyFont="1" applyBorder="1" applyAlignment="1" applyProtection="1">
      <alignment wrapText="1"/>
      <protection locked="0"/>
    </xf>
    <xf numFmtId="0" fontId="39" fillId="4" borderId="0" xfId="0" applyFont="1" applyFill="1" applyAlignment="1">
      <alignment horizontal="left" wrapText="1"/>
    </xf>
    <xf numFmtId="0" fontId="40" fillId="5" borderId="1" xfId="5" applyFont="1" applyFill="1" applyBorder="1" applyAlignment="1" applyProtection="1">
      <alignment horizontal="left" wrapText="1"/>
      <protection locked="0"/>
    </xf>
    <xf numFmtId="0" fontId="40" fillId="5" borderId="2" xfId="5" applyFont="1" applyFill="1" applyBorder="1" applyAlignment="1" applyProtection="1">
      <alignment horizontal="left" wrapText="1"/>
      <protection locked="0"/>
    </xf>
    <xf numFmtId="0" fontId="40" fillId="5" borderId="3" xfId="5" applyFont="1" applyFill="1" applyBorder="1" applyAlignment="1" applyProtection="1">
      <alignment horizontal="left" wrapText="1"/>
      <protection locked="0"/>
    </xf>
    <xf numFmtId="0" fontId="40" fillId="5" borderId="8" xfId="5" applyFont="1" applyFill="1" applyBorder="1" applyAlignment="1" applyProtection="1">
      <alignment horizontal="left" wrapText="1"/>
      <protection locked="0"/>
    </xf>
    <xf numFmtId="0" fontId="40" fillId="5" borderId="15" xfId="5" applyFont="1" applyFill="1" applyBorder="1" applyAlignment="1" applyProtection="1">
      <alignment horizontal="left" wrapText="1"/>
      <protection locked="0"/>
    </xf>
    <xf numFmtId="0" fontId="40" fillId="5" borderId="14" xfId="5" applyFont="1" applyFill="1" applyBorder="1" applyAlignment="1" applyProtection="1">
      <alignment horizontal="left" wrapText="1"/>
      <protection locked="0"/>
    </xf>
    <xf numFmtId="37" fontId="40" fillId="5" borderId="6" xfId="5" applyNumberFormat="1" applyFont="1" applyFill="1" applyBorder="1" applyAlignment="1" applyProtection="1">
      <alignment horizontal="left" wrapText="1"/>
      <protection locked="0"/>
    </xf>
    <xf numFmtId="0" fontId="39" fillId="4" borderId="0" xfId="0" applyFont="1" applyFill="1" applyAlignment="1">
      <alignment wrapText="1"/>
    </xf>
    <xf numFmtId="165" fontId="0" fillId="7" borderId="34" xfId="1" applyNumberFormat="1" applyFont="1" applyFill="1" applyBorder="1"/>
    <xf numFmtId="165" fontId="0" fillId="0" borderId="34" xfId="1" applyNumberFormat="1" applyFont="1" applyBorder="1"/>
    <xf numFmtId="165" fontId="0" fillId="0" borderId="35" xfId="1" applyNumberFormat="1" applyFont="1" applyBorder="1"/>
    <xf numFmtId="165" fontId="0" fillId="0" borderId="0" xfId="1" applyNumberFormat="1" applyFont="1"/>
  </cellXfs>
  <cellStyles count="10">
    <cellStyle name="Comma" xfId="1" builtinId="3"/>
    <cellStyle name="Comma 2 2" xfId="7" xr:uid="{4FE54854-A87F-43A4-8827-0CCF493404DE}"/>
    <cellStyle name="Hyperlink" xfId="8" builtinId="8"/>
    <cellStyle name="Normal" xfId="0" builtinId="0"/>
    <cellStyle name="Normal 2" xfId="9" xr:uid="{F515826F-D4ED-4AA7-AA60-48225B6EF531}"/>
    <cellStyle name="Normal 4" xfId="4" xr:uid="{54ED2CDB-93BF-4028-8C94-BF82ADF93CC2}"/>
    <cellStyle name="Normal 4 2" xfId="6" xr:uid="{D0526793-6B2F-4E94-8B05-05F5A8B6BFC8}"/>
    <cellStyle name="Normal_Class 4 BSCR model_Jan 11 2011 (2) 2" xfId="5" xr:uid="{42C2E1A3-5354-4ACB-87C2-DC00B6C6F0EE}"/>
    <cellStyle name="Normal_Copy of 474-100225_Schedule_V_attachments_FINAL" xfId="3" xr:uid="{C3FEEEA7-EDD9-44EA-B129-EA87F3323450}"/>
    <cellStyle name="Percent" xfId="2" builtinId="5"/>
  </cellStyles>
  <dxfs count="4">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9</xdr:col>
      <xdr:colOff>400050</xdr:colOff>
      <xdr:row>0</xdr:row>
      <xdr:rowOff>76200</xdr:rowOff>
    </xdr:from>
    <xdr:to>
      <xdr:col>9</xdr:col>
      <xdr:colOff>1457325</xdr:colOff>
      <xdr:row>0</xdr:row>
      <xdr:rowOff>704850</xdr:rowOff>
    </xdr:to>
    <xdr:pic>
      <xdr:nvPicPr>
        <xdr:cNvPr id="2" name="Picture 80" descr="BMA_rgb">
          <a:extLst>
            <a:ext uri="{FF2B5EF4-FFF2-40B4-BE49-F238E27FC236}">
              <a16:creationId xmlns:a16="http://schemas.microsoft.com/office/drawing/2014/main" id="{E56A830D-239E-449A-9072-88240B479E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44175" y="76200"/>
          <a:ext cx="1038225"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6</xdr:row>
      <xdr:rowOff>0</xdr:rowOff>
    </xdr:from>
    <xdr:to>
      <xdr:col>19</xdr:col>
      <xdr:colOff>180975</xdr:colOff>
      <xdr:row>9</xdr:row>
      <xdr:rowOff>57150</xdr:rowOff>
    </xdr:to>
    <xdr:sp macro="" textlink="">
      <xdr:nvSpPr>
        <xdr:cNvPr id="4" name="TextBox 3">
          <a:extLst>
            <a:ext uri="{FF2B5EF4-FFF2-40B4-BE49-F238E27FC236}">
              <a16:creationId xmlns:a16="http://schemas.microsoft.com/office/drawing/2014/main" id="{120077A4-B3F3-438E-B389-5D135ABCCC0F}"/>
            </a:ext>
          </a:extLst>
        </xdr:cNvPr>
        <xdr:cNvSpPr txBox="1"/>
      </xdr:nvSpPr>
      <xdr:spPr>
        <a:xfrm>
          <a:off x="12268200" y="1724025"/>
          <a:ext cx="4629150" cy="10953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twoCellAnchor>
    <xdr:from>
      <xdr:col>12</xdr:col>
      <xdr:colOff>0</xdr:colOff>
      <xdr:row>13</xdr:row>
      <xdr:rowOff>28575</xdr:rowOff>
    </xdr:from>
    <xdr:to>
      <xdr:col>19</xdr:col>
      <xdr:colOff>384175</xdr:colOff>
      <xdr:row>44</xdr:row>
      <xdr:rowOff>47625</xdr:rowOff>
    </xdr:to>
    <xdr:sp macro="" textlink="">
      <xdr:nvSpPr>
        <xdr:cNvPr id="5" name="TextBox 4">
          <a:extLst>
            <a:ext uri="{FF2B5EF4-FFF2-40B4-BE49-F238E27FC236}">
              <a16:creationId xmlns:a16="http://schemas.microsoft.com/office/drawing/2014/main" id="{082DC11D-5A1A-49BF-AD1C-4CBCDE6275B8}"/>
            </a:ext>
          </a:extLst>
        </xdr:cNvPr>
        <xdr:cNvSpPr txBox="1"/>
      </xdr:nvSpPr>
      <xdr:spPr>
        <a:xfrm>
          <a:off x="12268200" y="3476625"/>
          <a:ext cx="4832350" cy="506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p>
        <a:p>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542925</xdr:colOff>
      <xdr:row>23</xdr:row>
      <xdr:rowOff>38100</xdr:rowOff>
    </xdr:from>
    <xdr:to>
      <xdr:col>3</xdr:col>
      <xdr:colOff>647700</xdr:colOff>
      <xdr:row>24</xdr:row>
      <xdr:rowOff>95250</xdr:rowOff>
    </xdr:to>
    <xdr:sp macro="" textlink="">
      <xdr:nvSpPr>
        <xdr:cNvPr id="2" name="Text Box 1">
          <a:extLst>
            <a:ext uri="{FF2B5EF4-FFF2-40B4-BE49-F238E27FC236}">
              <a16:creationId xmlns:a16="http://schemas.microsoft.com/office/drawing/2014/main" id="{84467895-7778-47B9-A48A-9ABFC61344D1}"/>
            </a:ext>
          </a:extLst>
        </xdr:cNvPr>
        <xdr:cNvSpPr txBox="1">
          <a:spLocks noChangeArrowheads="1"/>
        </xdr:cNvSpPr>
      </xdr:nvSpPr>
      <xdr:spPr bwMode="auto">
        <a:xfrm>
          <a:off x="3505200" y="4781550"/>
          <a:ext cx="1047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xdr:col>
      <xdr:colOff>419100</xdr:colOff>
      <xdr:row>0</xdr:row>
      <xdr:rowOff>76200</xdr:rowOff>
    </xdr:from>
    <xdr:to>
      <xdr:col>9</xdr:col>
      <xdr:colOff>1457325</xdr:colOff>
      <xdr:row>0</xdr:row>
      <xdr:rowOff>704850</xdr:rowOff>
    </xdr:to>
    <xdr:pic>
      <xdr:nvPicPr>
        <xdr:cNvPr id="3" name="Picture 80" descr="BMA_rgb">
          <a:extLst>
            <a:ext uri="{FF2B5EF4-FFF2-40B4-BE49-F238E27FC236}">
              <a16:creationId xmlns:a16="http://schemas.microsoft.com/office/drawing/2014/main" id="{BEC97CC0-6742-467F-AB48-14691B8503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63225" y="76200"/>
          <a:ext cx="1019175"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7</xdr:row>
      <xdr:rowOff>19050</xdr:rowOff>
    </xdr:from>
    <xdr:to>
      <xdr:col>19</xdr:col>
      <xdr:colOff>133350</xdr:colOff>
      <xdr:row>9</xdr:row>
      <xdr:rowOff>57150</xdr:rowOff>
    </xdr:to>
    <xdr:sp macro="" textlink="">
      <xdr:nvSpPr>
        <xdr:cNvPr id="4" name="TextBox 3">
          <a:extLst>
            <a:ext uri="{FF2B5EF4-FFF2-40B4-BE49-F238E27FC236}">
              <a16:creationId xmlns:a16="http://schemas.microsoft.com/office/drawing/2014/main" id="{371F1375-9452-4049-A597-805ECF9EE75D}"/>
            </a:ext>
          </a:extLst>
        </xdr:cNvPr>
        <xdr:cNvSpPr txBox="1"/>
      </xdr:nvSpPr>
      <xdr:spPr>
        <a:xfrm>
          <a:off x="12287250" y="1828800"/>
          <a:ext cx="4695825" cy="74295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 CLASSES ONLY</a:t>
          </a:r>
        </a:p>
        <a:p>
          <a:endParaRPr lang="en-GB" sz="1100"/>
        </a:p>
      </xdr:txBody>
    </xdr:sp>
    <xdr:clientData/>
  </xdr:twoCellAnchor>
  <xdr:twoCellAnchor>
    <xdr:from>
      <xdr:col>12</xdr:col>
      <xdr:colOff>0</xdr:colOff>
      <xdr:row>13</xdr:row>
      <xdr:rowOff>0</xdr:rowOff>
    </xdr:from>
    <xdr:to>
      <xdr:col>19</xdr:col>
      <xdr:colOff>269875</xdr:colOff>
      <xdr:row>44</xdr:row>
      <xdr:rowOff>95250</xdr:rowOff>
    </xdr:to>
    <xdr:sp macro="" textlink="">
      <xdr:nvSpPr>
        <xdr:cNvPr id="5" name="TextBox 4">
          <a:extLst>
            <a:ext uri="{FF2B5EF4-FFF2-40B4-BE49-F238E27FC236}">
              <a16:creationId xmlns:a16="http://schemas.microsoft.com/office/drawing/2014/main" id="{6A48A9DF-C290-40FA-81E5-8FEDD767671D}"/>
            </a:ext>
          </a:extLst>
        </xdr:cNvPr>
        <xdr:cNvSpPr txBox="1"/>
      </xdr:nvSpPr>
      <xdr:spPr>
        <a:xfrm>
          <a:off x="12287250" y="3200400"/>
          <a:ext cx="4832350" cy="506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endParaRPr lang="en-GB"/>
        </a:p>
        <a:p>
          <a:pPr fontAlgn="base"/>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962025</xdr:colOff>
      <xdr:row>0</xdr:row>
      <xdr:rowOff>104775</xdr:rowOff>
    </xdr:from>
    <xdr:to>
      <xdr:col>7</xdr:col>
      <xdr:colOff>9525</xdr:colOff>
      <xdr:row>0</xdr:row>
      <xdr:rowOff>733425</xdr:rowOff>
    </xdr:to>
    <xdr:pic>
      <xdr:nvPicPr>
        <xdr:cNvPr id="2" name="Picture 80" descr="BMA_rgb">
          <a:extLst>
            <a:ext uri="{FF2B5EF4-FFF2-40B4-BE49-F238E27FC236}">
              <a16:creationId xmlns:a16="http://schemas.microsoft.com/office/drawing/2014/main" id="{C979EFF3-E52B-41F8-9842-F6CF647EB8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5" y="104775"/>
          <a:ext cx="1085850"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14</xdr:row>
      <xdr:rowOff>66675</xdr:rowOff>
    </xdr:from>
    <xdr:to>
      <xdr:col>14</xdr:col>
      <xdr:colOff>110332</xdr:colOff>
      <xdr:row>37</xdr:row>
      <xdr:rowOff>2381</xdr:rowOff>
    </xdr:to>
    <xdr:sp macro="" textlink="">
      <xdr:nvSpPr>
        <xdr:cNvPr id="3" name="TextBox 2">
          <a:extLst>
            <a:ext uri="{FF2B5EF4-FFF2-40B4-BE49-F238E27FC236}">
              <a16:creationId xmlns:a16="http://schemas.microsoft.com/office/drawing/2014/main" id="{CC7F5BC5-6A9A-4E6E-83CD-E218698C4265}"/>
            </a:ext>
          </a:extLst>
        </xdr:cNvPr>
        <xdr:cNvSpPr txBox="1"/>
      </xdr:nvSpPr>
      <xdr:spPr>
        <a:xfrm>
          <a:off x="13125450" y="3390900"/>
          <a:ext cx="4815682" cy="46315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p>
        <a:p>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twoCellAnchor>
    <xdr:from>
      <xdr:col>9</xdr:col>
      <xdr:colOff>0</xdr:colOff>
      <xdr:row>6</xdr:row>
      <xdr:rowOff>0</xdr:rowOff>
    </xdr:from>
    <xdr:to>
      <xdr:col>13</xdr:col>
      <xdr:colOff>519113</xdr:colOff>
      <xdr:row>12</xdr:row>
      <xdr:rowOff>100013</xdr:rowOff>
    </xdr:to>
    <xdr:sp macro="" textlink="">
      <xdr:nvSpPr>
        <xdr:cNvPr id="4" name="TextBox 3">
          <a:extLst>
            <a:ext uri="{FF2B5EF4-FFF2-40B4-BE49-F238E27FC236}">
              <a16:creationId xmlns:a16="http://schemas.microsoft.com/office/drawing/2014/main" id="{925234E1-3826-45AE-8009-B1C3F4716D71}"/>
            </a:ext>
          </a:extLst>
        </xdr:cNvPr>
        <xdr:cNvSpPr txBox="1"/>
      </xdr:nvSpPr>
      <xdr:spPr>
        <a:xfrm>
          <a:off x="13125450" y="1676400"/>
          <a:ext cx="4614863" cy="1119188"/>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1028700</xdr:colOff>
      <xdr:row>0</xdr:row>
      <xdr:rowOff>85725</xdr:rowOff>
    </xdr:from>
    <xdr:to>
      <xdr:col>12</xdr:col>
      <xdr:colOff>1009650</xdr:colOff>
      <xdr:row>0</xdr:row>
      <xdr:rowOff>695325</xdr:rowOff>
    </xdr:to>
    <xdr:pic>
      <xdr:nvPicPr>
        <xdr:cNvPr id="2" name="Picture 80" descr="BMA_rgb">
          <a:extLst>
            <a:ext uri="{FF2B5EF4-FFF2-40B4-BE49-F238E27FC236}">
              <a16:creationId xmlns:a16="http://schemas.microsoft.com/office/drawing/2014/main" id="{5BFAD7E5-7F1C-46B0-A06C-1C8E198C9D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77525" y="85725"/>
          <a:ext cx="1047750" cy="60960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0</xdr:colOff>
      <xdr:row>57</xdr:row>
      <xdr:rowOff>0</xdr:rowOff>
    </xdr:from>
    <xdr:to>
      <xdr:col>22</xdr:col>
      <xdr:colOff>274811</xdr:colOff>
      <xdr:row>62</xdr:row>
      <xdr:rowOff>197720</xdr:rowOff>
    </xdr:to>
    <xdr:sp macro="" textlink="">
      <xdr:nvSpPr>
        <xdr:cNvPr id="3" name="TextBox 2">
          <a:extLst>
            <a:ext uri="{FF2B5EF4-FFF2-40B4-BE49-F238E27FC236}">
              <a16:creationId xmlns:a16="http://schemas.microsoft.com/office/drawing/2014/main" id="{CB4D0ED9-6497-4BCE-88A1-837870FA138A}"/>
            </a:ext>
          </a:extLst>
        </xdr:cNvPr>
        <xdr:cNvSpPr txBox="1"/>
      </xdr:nvSpPr>
      <xdr:spPr>
        <a:xfrm>
          <a:off x="12520083" y="13123333"/>
          <a:ext cx="4571645" cy="14253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"Not modelable" part of question 1</a:t>
          </a:r>
          <a:endParaRPr lang="en-GB" sz="1100">
            <a:solidFill>
              <a:schemeClr val="dk1"/>
            </a:solidFill>
            <a:latin typeface="+mn-lt"/>
            <a:ea typeface="+mn-ea"/>
            <a:cs typeface="+mn-cs"/>
          </a:endParaRPr>
        </a:p>
      </xdr:txBody>
    </xdr:sp>
    <xdr:clientData/>
  </xdr:twoCellAnchor>
  <xdr:twoCellAnchor>
    <xdr:from>
      <xdr:col>15</xdr:col>
      <xdr:colOff>0</xdr:colOff>
      <xdr:row>40</xdr:row>
      <xdr:rowOff>0</xdr:rowOff>
    </xdr:from>
    <xdr:to>
      <xdr:col>22</xdr:col>
      <xdr:colOff>274811</xdr:colOff>
      <xdr:row>43</xdr:row>
      <xdr:rowOff>141022</xdr:rowOff>
    </xdr:to>
    <xdr:sp macro="" textlink="">
      <xdr:nvSpPr>
        <xdr:cNvPr id="4" name="TextBox 3">
          <a:extLst>
            <a:ext uri="{FF2B5EF4-FFF2-40B4-BE49-F238E27FC236}">
              <a16:creationId xmlns:a16="http://schemas.microsoft.com/office/drawing/2014/main" id="{20DF152B-4A40-4726-87D1-992FD3A687A6}"/>
            </a:ext>
          </a:extLst>
        </xdr:cNvPr>
        <xdr:cNvSpPr txBox="1"/>
      </xdr:nvSpPr>
      <xdr:spPr>
        <a:xfrm>
          <a:off x="12520083" y="9641417"/>
          <a:ext cx="4571645" cy="9453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"Not modeled" part of question 2</a:t>
          </a:r>
          <a:endParaRPr lang="en-GB" sz="1100">
            <a:solidFill>
              <a:schemeClr val="dk1"/>
            </a:solidFill>
            <a:latin typeface="+mn-lt"/>
            <a:ea typeface="+mn-ea"/>
            <a:cs typeface="+mn-cs"/>
          </a:endParaRPr>
        </a:p>
      </xdr:txBody>
    </xdr:sp>
    <xdr:clientData/>
  </xdr:twoCellAnchor>
  <xdr:twoCellAnchor>
    <xdr:from>
      <xdr:col>15</xdr:col>
      <xdr:colOff>13306</xdr:colOff>
      <xdr:row>5</xdr:row>
      <xdr:rowOff>98253</xdr:rowOff>
    </xdr:from>
    <xdr:to>
      <xdr:col>22</xdr:col>
      <xdr:colOff>282033</xdr:colOff>
      <xdr:row>15</xdr:row>
      <xdr:rowOff>318187</xdr:rowOff>
    </xdr:to>
    <xdr:sp macro="" textlink="">
      <xdr:nvSpPr>
        <xdr:cNvPr id="5" name="TextBox 4">
          <a:extLst>
            <a:ext uri="{FF2B5EF4-FFF2-40B4-BE49-F238E27FC236}">
              <a16:creationId xmlns:a16="http://schemas.microsoft.com/office/drawing/2014/main" id="{4B20C66C-41F0-4244-AD31-044723A7582D}"/>
            </a:ext>
          </a:extLst>
        </xdr:cNvPr>
        <xdr:cNvSpPr txBox="1"/>
      </xdr:nvSpPr>
      <xdr:spPr>
        <a:xfrm>
          <a:off x="12477449" y="1744717"/>
          <a:ext cx="4554977" cy="23018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t>Please complete this page for</a:t>
          </a:r>
          <a:r>
            <a:rPr lang="en-GB" sz="1100" baseline="0"/>
            <a:t> your class of business</a:t>
          </a:r>
        </a:p>
        <a:p>
          <a:endParaRPr lang="en-GB" sz="1100" baseline="0"/>
        </a:p>
        <a:p>
          <a:r>
            <a:rPr lang="en-GB" sz="1100" baseline="0"/>
            <a:t>For most Property Cat lines we would expect very little "Not modelable" exposure. Only where a model does not exist (i.e. not used in the HICM) would the data be considered "Not modelable" for this return</a:t>
          </a:r>
        </a:p>
        <a:p>
          <a:endParaRPr lang="en-GB" sz="1100" baseline="0"/>
        </a:p>
        <a:p>
          <a:r>
            <a:rPr lang="en-GB" sz="1100" baseline="0"/>
            <a:t>Please allocate contracts into either US or all other. There should be no double counting when the two columns are added together</a:t>
          </a:r>
        </a:p>
        <a:p>
          <a:endParaRPr lang="en-GB" sz="1100" baseline="0"/>
        </a:p>
        <a:p>
          <a:r>
            <a:rPr lang="en-GB" sz="1100" baseline="0"/>
            <a:t>For </a:t>
          </a:r>
          <a:r>
            <a:rPr lang="en-GB" sz="1100" b="1" baseline="0"/>
            <a:t>net limit</a:t>
          </a:r>
          <a:r>
            <a:rPr lang="en-GB" sz="1100" baseline="0"/>
            <a:t> can you apply QS only, excluding the impact of event limits.</a:t>
          </a:r>
        </a:p>
        <a:p>
          <a:r>
            <a:rPr lang="en-GB" sz="1100" baseline="0"/>
            <a:t>e.g. $1bn gross with 50% QS would result in $500m net even if it had a $100m event limit.</a:t>
          </a:r>
          <a:endParaRPr lang="en-GB" sz="1100"/>
        </a:p>
      </xdr:txBody>
    </xdr:sp>
    <xdr:clientData/>
  </xdr:twoCellAnchor>
  <xdr:twoCellAnchor>
    <xdr:from>
      <xdr:col>15</xdr:col>
      <xdr:colOff>13306</xdr:colOff>
      <xdr:row>16</xdr:row>
      <xdr:rowOff>307462</xdr:rowOff>
    </xdr:from>
    <xdr:to>
      <xdr:col>22</xdr:col>
      <xdr:colOff>322934</xdr:colOff>
      <xdr:row>19</xdr:row>
      <xdr:rowOff>162216</xdr:rowOff>
    </xdr:to>
    <xdr:sp macro="" textlink="">
      <xdr:nvSpPr>
        <xdr:cNvPr id="6" name="TextBox 5">
          <a:extLst>
            <a:ext uri="{FF2B5EF4-FFF2-40B4-BE49-F238E27FC236}">
              <a16:creationId xmlns:a16="http://schemas.microsoft.com/office/drawing/2014/main" id="{66B37432-1C7F-4FAD-A34B-874FAF18B655}"/>
            </a:ext>
          </a:extLst>
        </xdr:cNvPr>
        <xdr:cNvSpPr txBox="1"/>
      </xdr:nvSpPr>
      <xdr:spPr>
        <a:xfrm>
          <a:off x="12477449" y="4375998"/>
          <a:ext cx="4595878" cy="657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"Modelable" part of question 1</a:t>
          </a:r>
        </a:p>
        <a:p>
          <a:pPr marL="0" marR="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latin typeface="+mn-lt"/>
              <a:ea typeface="+mn-ea"/>
              <a:cs typeface="+mn-cs"/>
            </a:rPr>
            <a:t>This is asking whether we model everything that is modelable</a:t>
          </a:r>
          <a:endParaRPr lang="en-GB" sz="1100">
            <a:solidFill>
              <a:schemeClr val="dk1"/>
            </a:solidFill>
            <a:latin typeface="+mn-lt"/>
            <a:ea typeface="+mn-ea"/>
            <a:cs typeface="+mn-cs"/>
          </a:endParaRPr>
        </a:p>
      </xdr:txBody>
    </xdr:sp>
    <xdr:clientData/>
  </xdr:twoCellAnchor>
  <xdr:twoCellAnchor>
    <xdr:from>
      <xdr:col>14</xdr:col>
      <xdr:colOff>598414</xdr:colOff>
      <xdr:row>24</xdr:row>
      <xdr:rowOff>128869</xdr:rowOff>
    </xdr:from>
    <xdr:to>
      <xdr:col>22</xdr:col>
      <xdr:colOff>286195</xdr:colOff>
      <xdr:row>27</xdr:row>
      <xdr:rowOff>79219</xdr:rowOff>
    </xdr:to>
    <xdr:sp macro="" textlink="">
      <xdr:nvSpPr>
        <xdr:cNvPr id="7" name="TextBox 6">
          <a:extLst>
            <a:ext uri="{FF2B5EF4-FFF2-40B4-BE49-F238E27FC236}">
              <a16:creationId xmlns:a16="http://schemas.microsoft.com/office/drawing/2014/main" id="{6AD956A1-D580-4293-A2C8-9252255E3260}"/>
            </a:ext>
          </a:extLst>
        </xdr:cNvPr>
        <xdr:cNvSpPr txBox="1"/>
      </xdr:nvSpPr>
      <xdr:spPr>
        <a:xfrm>
          <a:off x="12450235" y="5830262"/>
          <a:ext cx="4586353" cy="8892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t>The total of this</a:t>
          </a:r>
          <a:r>
            <a:rPr lang="en-GB" sz="1100" baseline="0"/>
            <a:t> question should total the "Modeled" part of question 2</a:t>
          </a:r>
          <a:endParaRPr lang="en-GB" sz="1100"/>
        </a:p>
      </xdr:txBody>
    </xdr:sp>
    <xdr:clientData/>
  </xdr:twoCellAnchor>
  <xdr:twoCellAnchor>
    <xdr:from>
      <xdr:col>15</xdr:col>
      <xdr:colOff>0</xdr:colOff>
      <xdr:row>0</xdr:row>
      <xdr:rowOff>68036</xdr:rowOff>
    </xdr:from>
    <xdr:to>
      <xdr:col>22</xdr:col>
      <xdr:colOff>359708</xdr:colOff>
      <xdr:row>4</xdr:row>
      <xdr:rowOff>22913</xdr:rowOff>
    </xdr:to>
    <xdr:sp macro="" textlink="">
      <xdr:nvSpPr>
        <xdr:cNvPr id="8" name="TextBox 7">
          <a:extLst>
            <a:ext uri="{FF2B5EF4-FFF2-40B4-BE49-F238E27FC236}">
              <a16:creationId xmlns:a16="http://schemas.microsoft.com/office/drawing/2014/main" id="{D4AB63A9-9739-409A-960D-1E2C8D9229F5}"/>
            </a:ext>
          </a:extLst>
        </xdr:cNvPr>
        <xdr:cNvSpPr txBox="1"/>
      </xdr:nvSpPr>
      <xdr:spPr>
        <a:xfrm>
          <a:off x="12464143" y="68036"/>
          <a:ext cx="4645958" cy="1397234"/>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W:\Cat%20Modelling\Group%20Reporting\Reports\2025\2025-01%20-%20BSCR\2024-12-02-16-34-15-Group-2024-BSCR.xlsm" TargetMode="External"/><Relationship Id="rId1" Type="http://schemas.openxmlformats.org/officeDocument/2006/relationships/externalLinkPath" Target="/Cat%20Modelling/Group%20Reporting/Reports/2025/2025-01%20-%20BSCR/2024-12-02-16-34-15-Group-2024-BSCR.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at%20Modelling/Group%20Reporting/Reports/2026/2026-01%20-%20BSCR/2026-Group-BSCR-Template.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iscox.com\data\Cat%20Modelling\Group%20Reporting\Reports\2017\2017-01%20BMA%20BSCR\20170301%20HIB%20Class%204%20BSCR%202016%20Template%20Cat%20v0.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FIGURATION"/>
      <sheetName val="Currency Table"/>
      <sheetName val="FT Guidance &amp; Overview"/>
      <sheetName val="Submission"/>
      <sheetName val="Group Information"/>
      <sheetName val="Content"/>
      <sheetName val="FileStorage"/>
      <sheetName val="Index"/>
      <sheetName val="Import"/>
      <sheetName val="Export"/>
      <sheetName val="Attachments"/>
      <sheetName val="Declaration"/>
      <sheetName val="Zones"/>
      <sheetName val="Import Differences"/>
      <sheetName val="Coversheet"/>
      <sheetName val="Solvency Certificate"/>
      <sheetName val="Financial Condition"/>
      <sheetName val="Form 1"/>
      <sheetName val="Form 2"/>
      <sheetName val="Form 8"/>
      <sheetName val="Form 1A"/>
      <sheetName val="Form 2A"/>
      <sheetName val="Form 8A"/>
      <sheetName val="Form 1EBS"/>
      <sheetName val="Risk Margin Info"/>
      <sheetName val="Schedule II"/>
      <sheetName val="Schedule II (EBS)"/>
      <sheetName val="Schedule IIA"/>
      <sheetName val="Schedule IIA (EBS)"/>
      <sheetName val="Investment Reconciliation"/>
      <sheetName val="Schedule IIB (EBS)"/>
      <sheetName val="Schedule IIC (EBS)"/>
      <sheetName val="Schedule IID (EBS)"/>
      <sheetName val="Schedule IIE (EBS)"/>
      <sheetName val="Schedule IIF (EBS)"/>
      <sheetName val="Grandfathered Equity Part"/>
      <sheetName val="Non-Grandfathered Equity Part"/>
      <sheetName val="Schedule III"/>
      <sheetName val="Schedule III (EBS)"/>
      <sheetName val="Schedule IIIA (EBS)"/>
      <sheetName val="Schedule IVA"/>
      <sheetName val="Schedule IVB"/>
      <sheetName val="Schedule IVC (EBS)"/>
      <sheetName val="Schedule IVD (EBS)"/>
      <sheetName val="Schedule IVE (EBS)"/>
      <sheetName val="Schedule IVF"/>
      <sheetName val="Schedule V"/>
      <sheetName val="Schedule V(a)"/>
      <sheetName val="Schedule V(b)"/>
      <sheetName val="Schedule V(c)"/>
      <sheetName val="Schedule V(c) (Rev)"/>
      <sheetName val="Schedule V(e)"/>
      <sheetName val="Schedule V(f)"/>
      <sheetName val="Schedule V(g)"/>
      <sheetName val="Schedule V(k)"/>
      <sheetName val="Schedule VI (New)"/>
      <sheetName val="Schedule VIA (New)"/>
      <sheetName val="Schedule VI (EBS) (New)"/>
      <sheetName val="Schedule VIA (EBS) (New)"/>
      <sheetName val="Schedule V(n)"/>
      <sheetName val="Sch VI (Check)"/>
      <sheetName val="Schedule VI"/>
      <sheetName val="Schedule VIA"/>
      <sheetName val="Schedule VI (EBS)"/>
      <sheetName val="Schedule VIA (EBS)"/>
      <sheetName val="Schedule VII"/>
      <sheetName val="Schedule VII (EBS)"/>
      <sheetName val="Schedule VIIA (EBS)"/>
      <sheetName val="Schedule VIIB (EBS)"/>
      <sheetName val="Schedule VIII"/>
      <sheetName val="Schedule VIII (EBS)"/>
      <sheetName val="Schedule VIII(a)"/>
      <sheetName val="Schedule VIIIA (EBS)"/>
      <sheetName val="Schedule IX(a)"/>
      <sheetName val="Schedule IX(b)"/>
      <sheetName val="Schedule IX(c)"/>
      <sheetName val="Schedule X(a)"/>
      <sheetName val="Schedule XA"/>
      <sheetName val="Schedule X(b)"/>
      <sheetName val="Schedule X(c)"/>
      <sheetName val="Schedule X(d)"/>
      <sheetName val="Schedule X(e)"/>
      <sheetName val="Schedule X(f)"/>
      <sheetName val="Schedule X(g)"/>
      <sheetName val="Schedule X(h)"/>
      <sheetName val="Schedule X(i)"/>
      <sheetName val="Schedule X(j)"/>
      <sheetName val="Schedule XIA"/>
      <sheetName val="Schedule XIB"/>
      <sheetName val="Schedule XIC"/>
      <sheetName val="Schedule XID"/>
      <sheetName val="Schedule XII"/>
      <sheetName val="Schedule XIII(a)"/>
      <sheetName val="Schedule XIII(b)"/>
      <sheetName val="Schedule XVIII"/>
      <sheetName val="Schedule XVIII (EBS)"/>
      <sheetName val="Schedule XIX"/>
      <sheetName val="Schedule XIXA"/>
      <sheetName val="Schedule XX"/>
      <sheetName val="Schedule XXA"/>
      <sheetName val="Schedule XXI"/>
      <sheetName val="Schedule XXIA"/>
      <sheetName val="Schedule XXIII"/>
      <sheetName val="Corp Gov"/>
      <sheetName val="Risk Man"/>
      <sheetName val="Identification"/>
      <sheetName val="Measurement"/>
      <sheetName val="Response"/>
      <sheetName val="Monitoring &amp; Reporting"/>
      <sheetName val="Op Risk"/>
      <sheetName val="Op Risk (Revised)"/>
      <sheetName val="Summary"/>
      <sheetName val="S6D Additional Info"/>
      <sheetName val="Fixed Income Investments"/>
      <sheetName val="Fixed Income Investments (Rev.)"/>
      <sheetName val="Equity Investments"/>
      <sheetName val="Equity Investments (Revised)"/>
      <sheetName val="Equity Grandfathering"/>
      <sheetName val="Equity Investments (Grandf)"/>
      <sheetName val="Equity Investments (Non-Grandf)"/>
      <sheetName val="Currency Risk"/>
      <sheetName val="Currency Risk (Revised)"/>
      <sheetName val="Concentration Risk"/>
      <sheetName val="Concentration Risk (Revised)"/>
      <sheetName val="Interest Rate-Liquidity Risk"/>
      <sheetName val="Interest Rate-Liquidity (Rev.)"/>
      <sheetName val="Geographic Diversification"/>
      <sheetName val="Geographic Div. (Revised)"/>
      <sheetName val="Credit Risk"/>
      <sheetName val="Credit Risk (Revised)"/>
      <sheetName val="Premium Risk"/>
      <sheetName val="Premium Risk (Revised)"/>
      <sheetName val="Reserve Risk"/>
      <sheetName val="Reserve Risk (Revised)"/>
      <sheetName val="Catastrophe Risk"/>
      <sheetName val="Catastrophe Risk (Revised)"/>
      <sheetName val="Man-Made Catastrophe Risk"/>
      <sheetName val="LT Insurance Risk"/>
      <sheetName val="LT Other Insurance Risk"/>
      <sheetName val="LT Variable Annuity Gte Risk"/>
      <sheetName val="Lapse Risk"/>
      <sheetName val="Expense Risk"/>
      <sheetName val="CSP (2018YE Rules)"/>
      <sheetName val="CSP (2019YE Rules)"/>
      <sheetName val="CSP (2024YE Rules)"/>
      <sheetName val="Correlation Matrix (2019 YE)"/>
      <sheetName val="Correlation Matrix (2024 YE)"/>
      <sheetName val="Crosscheck - SFS"/>
      <sheetName val="Crosscheck-Model"/>
      <sheetName val="Crosscheck - Op Risk"/>
      <sheetName val="prt_res"/>
      <sheetName val="HiddenFormulas"/>
    </sheetNames>
    <sheetDataSet>
      <sheetData sheetId="0"/>
      <sheetData sheetId="1"/>
      <sheetData sheetId="2"/>
      <sheetData sheetId="3"/>
      <sheetData sheetId="4">
        <row r="3">
          <cell r="C3">
            <v>45657</v>
          </cell>
        </row>
        <row r="9">
          <cell r="C9" t="str">
            <v>Enter Parent Company Name</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ow r="111">
          <cell r="C111" t="str">
            <v>Select</v>
          </cell>
        </row>
        <row r="112">
          <cell r="C112" t="str">
            <v>Cash and Cash Equivalent</v>
          </cell>
        </row>
        <row r="113">
          <cell r="C113" t="str">
            <v>Bond Types</v>
          </cell>
        </row>
        <row r="114">
          <cell r="C114" t="str">
            <v>Preferred Shares</v>
          </cell>
        </row>
        <row r="115">
          <cell r="C115" t="str">
            <v>MortgageLoanTypes</v>
          </cell>
        </row>
        <row r="116">
          <cell r="C116" t="str">
            <v>Common Stock and Mutual Funds</v>
          </cell>
        </row>
        <row r="117">
          <cell r="C117" t="str">
            <v>Other Investments</v>
          </cell>
        </row>
        <row r="118">
          <cell r="C118" t="str">
            <v>Investment in Affiliates – Unregulated entities that conduct ancillary services</v>
          </cell>
        </row>
        <row r="119">
          <cell r="C119" t="str">
            <v>Investment in Affiliates - Unregulated non-financial operating entities</v>
          </cell>
        </row>
        <row r="120">
          <cell r="C120" t="str">
            <v>Investment in Affiliates - Unregulated financial operating entities</v>
          </cell>
        </row>
        <row r="121">
          <cell r="C121" t="str">
            <v>Investment in Affiliates - Regulated non-insurance financial operating entities</v>
          </cell>
        </row>
        <row r="122">
          <cell r="C122" t="str">
            <v>Investment in Affiliates - Regulated insurance financial operating entities</v>
          </cell>
        </row>
        <row r="123">
          <cell r="C123" t="str">
            <v xml:space="preserve">Advances to Affiliates - </v>
          </cell>
        </row>
        <row r="124">
          <cell r="C124" t="str">
            <v>Policy Loans</v>
          </cell>
        </row>
        <row r="125">
          <cell r="C125" t="str">
            <v>Real Estate: Occupied by company</v>
          </cell>
        </row>
        <row r="126">
          <cell r="C126" t="str">
            <v>Real Estate: Other properties</v>
          </cell>
        </row>
        <row r="127">
          <cell r="C127" t="str">
            <v>Collateral Loans</v>
          </cell>
        </row>
      </sheetData>
      <sheetData sheetId="101">
        <row r="111">
          <cell r="C111" t="str">
            <v>Select</v>
          </cell>
        </row>
        <row r="112">
          <cell r="C112" t="str">
            <v>Cash and Cash Equivalent</v>
          </cell>
        </row>
        <row r="113">
          <cell r="C113" t="str">
            <v>Bond Types</v>
          </cell>
        </row>
        <row r="114">
          <cell r="C114" t="str">
            <v>Preferred Shares</v>
          </cell>
        </row>
        <row r="115">
          <cell r="C115" t="str">
            <v>MortgageLoanTypes</v>
          </cell>
        </row>
        <row r="116">
          <cell r="C116" t="str">
            <v>Infrastructure (Non-affiliate holdings, non-duration based)</v>
          </cell>
        </row>
        <row r="117">
          <cell r="C117" t="str">
            <v>Listed Equity Securities in Developed Markets</v>
          </cell>
        </row>
        <row r="118">
          <cell r="C118" t="str">
            <v>Other Equities</v>
          </cell>
        </row>
        <row r="119">
          <cell r="C119" t="str">
            <v>Strategic Holdings</v>
          </cell>
        </row>
        <row r="120">
          <cell r="C120" t="str">
            <v>Duration Based</v>
          </cell>
        </row>
        <row r="121">
          <cell r="C121" t="str">
            <v>Letters of Credit</v>
          </cell>
        </row>
        <row r="122">
          <cell r="C122" t="str">
            <v xml:space="preserve">Advances to Affiliates - </v>
          </cell>
        </row>
        <row r="123">
          <cell r="C123" t="str">
            <v>Policy Loans</v>
          </cell>
        </row>
        <row r="124">
          <cell r="C124" t="str">
            <v>Equity Real Estate 1</v>
          </cell>
        </row>
        <row r="125">
          <cell r="C125" t="str">
            <v>Equity Real Estate 2</v>
          </cell>
        </row>
        <row r="126">
          <cell r="C126" t="str">
            <v>Collateral Loans</v>
          </cell>
        </row>
        <row r="128">
          <cell r="C128" t="str">
            <v>Grandfathered - Common Stock and Mutual Funds</v>
          </cell>
        </row>
        <row r="129">
          <cell r="C129" t="str">
            <v>Grandfathered - Other Investments</v>
          </cell>
        </row>
        <row r="130">
          <cell r="C130" t="str">
            <v>Grandfathered - Investment in Affiliates – Unregulated entities that conduct ancillary services</v>
          </cell>
        </row>
        <row r="131">
          <cell r="C131" t="str">
            <v>Grandfathered - Investment in Affiliates - Unregulated non-financial operating entities</v>
          </cell>
        </row>
        <row r="132">
          <cell r="C132" t="str">
            <v>Grandfathered - Investment in Affiliates - Unregulated financial operating entities</v>
          </cell>
        </row>
        <row r="133">
          <cell r="C133" t="str">
            <v>Grandfathered - Investment in Affiliates - Regulated non-insurance financial operating entities</v>
          </cell>
        </row>
        <row r="134">
          <cell r="C134" t="str">
            <v>Grandfathered - Investment in Affiliates - Regulated insurance financial operating entities</v>
          </cell>
        </row>
        <row r="135">
          <cell r="C135" t="str">
            <v>Grandfathered - Real Estate: Occupied by company</v>
          </cell>
        </row>
        <row r="136">
          <cell r="C136" t="str">
            <v>Grandfathered - Real Estate: Other properties</v>
          </cell>
        </row>
      </sheetData>
      <sheetData sheetId="102"/>
      <sheetData sheetId="103"/>
      <sheetData sheetId="104"/>
      <sheetData sheetId="105"/>
      <sheetData sheetId="106"/>
      <sheetData sheetId="107"/>
      <sheetData sheetId="108"/>
      <sheetData sheetId="109"/>
      <sheetData sheetId="110"/>
      <sheetData sheetId="111">
        <row r="15">
          <cell r="AI15">
            <v>0.625</v>
          </cell>
        </row>
        <row r="16">
          <cell r="AI16">
            <v>0.46250000000000002</v>
          </cell>
        </row>
      </sheetData>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URATION"/>
      <sheetName val="Currency Table"/>
      <sheetName val="FT Guidance &amp; Overview"/>
      <sheetName val="Submission"/>
      <sheetName val="Group Information"/>
      <sheetName val="Content"/>
      <sheetName val="FileStorage"/>
      <sheetName val="Index"/>
      <sheetName val="Import"/>
      <sheetName val="Export"/>
      <sheetName val="Attachments"/>
      <sheetName val="Declaration"/>
      <sheetName val="Zones"/>
      <sheetName val="Import Differences"/>
      <sheetName val="Coversheet"/>
      <sheetName val="Solvency Certificate"/>
      <sheetName val="Financial Condition"/>
      <sheetName val="Form 1"/>
      <sheetName val="Form 2"/>
      <sheetName val="Form 8"/>
      <sheetName val="Form 1A"/>
      <sheetName val="Form 2A"/>
      <sheetName val="Form 8A"/>
      <sheetName val="Form 1EBS"/>
      <sheetName val="Risk Margin Info"/>
      <sheetName val="Schedule II"/>
      <sheetName val="Schedule II (EBS)"/>
      <sheetName val="Schedule IIA"/>
      <sheetName val="Schedule IIA (EBS)"/>
      <sheetName val="Investment Reconciliation"/>
      <sheetName val="Schedule IIB (EBS)"/>
      <sheetName val="Schedule IIC (EBS)"/>
      <sheetName val="Schedule IID (EBS)"/>
      <sheetName val="Schedule IIE (EBS)"/>
      <sheetName val="Schedule IIF (EBS)"/>
      <sheetName val="Grandfathered Equity Part"/>
      <sheetName val="Non-Grandfathered Equity Part"/>
      <sheetName val="Schedule III"/>
      <sheetName val="Schedule III (EBS)"/>
      <sheetName val="Schedule IIIA (EBS)"/>
      <sheetName val="Schedule IVA"/>
      <sheetName val="Schedule IVB"/>
      <sheetName val="Schedule IVC (EBS)"/>
      <sheetName val="Schedule IVD (EBS)"/>
      <sheetName val="Schedule IVE (EBS)"/>
      <sheetName val="Schedule IVF"/>
      <sheetName val="Schedule V"/>
      <sheetName val="Schedule V(a)"/>
      <sheetName val="Schedule V(b)"/>
      <sheetName val="Schedule V(c)"/>
      <sheetName val="Schedule V(c) (Rev)"/>
      <sheetName val="Schedule V(e)"/>
      <sheetName val="Schedule V(f)"/>
      <sheetName val="Schedule V(g)"/>
      <sheetName val="Schedule V(k)"/>
      <sheetName val="Schedule VI (New)"/>
      <sheetName val="Schedule VIA (New)"/>
      <sheetName val="Schedule VI (EBS) (New)"/>
      <sheetName val="Schedule VIA (EBS) (New)"/>
      <sheetName val="Schedule V(n)"/>
      <sheetName val="Sch VI (Check)"/>
      <sheetName val="Schedule VI"/>
      <sheetName val="Schedule VIA"/>
      <sheetName val="Schedule VI (EBS)"/>
      <sheetName val="Schedule VIA (EBS)"/>
      <sheetName val="Schedule VII"/>
      <sheetName val="Schedule VII (EBS)"/>
      <sheetName val="Schedule VIIA (EBS)"/>
      <sheetName val="Schedule VIIB (EBS)"/>
      <sheetName val="Schedule VIII"/>
      <sheetName val="Schedule VIII (EBS)"/>
      <sheetName val="Schedule VIII(a)"/>
      <sheetName val="Schedule VIIIA (EBS)"/>
      <sheetName val="Schedule IX(a)"/>
      <sheetName val="Schedule IX(b)"/>
      <sheetName val="Schedule IX(c)"/>
      <sheetName val="Schedule X(a)"/>
      <sheetName val="Schedule XA"/>
      <sheetName val="Schedule X(b)"/>
      <sheetName val="Schedule X(c)"/>
      <sheetName val="Schedule X(d)"/>
      <sheetName val="Schedule X(e)"/>
      <sheetName val="Schedule X(f)"/>
      <sheetName val="Schedule X(g)"/>
      <sheetName val="Schedule X(h)"/>
      <sheetName val="Schedule X(i)"/>
      <sheetName val="Schedule X(j)"/>
      <sheetName val="Schedule XIA"/>
      <sheetName val="Schedule XIB"/>
      <sheetName val="Schedule XIC"/>
      <sheetName val="Schedule XID"/>
      <sheetName val="Schedule XII"/>
      <sheetName val="Schedule XIII(a)"/>
      <sheetName val="Schedule XIII(b)"/>
      <sheetName val="Schedule XVIII"/>
      <sheetName val="Schedule XVIII (EBS)"/>
      <sheetName val="Schedule XIX"/>
      <sheetName val="Schedule XIXA"/>
      <sheetName val="Schedule XX"/>
      <sheetName val="Schedule XXA"/>
      <sheetName val="Schedule XXI"/>
      <sheetName val="Schedule XXIA"/>
      <sheetName val="Schedule XXIII"/>
      <sheetName val="Corp Gov"/>
      <sheetName val="Risk Man"/>
      <sheetName val="Identification"/>
      <sheetName val="Measurement"/>
      <sheetName val="Response"/>
      <sheetName val="Monitoring &amp; Reporting"/>
      <sheetName val="Op Risk"/>
      <sheetName val="Op Risk (Revised)"/>
      <sheetName val="Summary"/>
      <sheetName val="S6D Additional Info"/>
      <sheetName val="Fixed Income Investments"/>
      <sheetName val="Fixed Income Investments (Rev.)"/>
      <sheetName val="Equity Investments"/>
      <sheetName val="Equity Investments (Revised)"/>
      <sheetName val="Equity Grandfathering"/>
      <sheetName val="Equity Investments (Grandf)"/>
      <sheetName val="Equity Investments (Non-Grandf)"/>
      <sheetName val="Currency Risk"/>
      <sheetName val="Currency Risk (Revised)"/>
      <sheetName val="Concentration Risk"/>
      <sheetName val="Concentration Risk (Revised)"/>
      <sheetName val="Interest Rate-Liquidity Risk"/>
      <sheetName val="Interest Rate-Liquidity (Rev.)"/>
      <sheetName val="Geographic Diversification"/>
      <sheetName val="Geographic Div. (Revised)"/>
      <sheetName val="Credit Risk"/>
      <sheetName val="Credit Risk (Revised)"/>
      <sheetName val="Premium Risk"/>
      <sheetName val="Premium Risk (Revised)"/>
      <sheetName val="Reserve Risk"/>
      <sheetName val="Reserve Risk (Revised)"/>
      <sheetName val="Catastrophe Risk"/>
      <sheetName val="Catastrophe Risk (Revised)"/>
      <sheetName val="Man-Made Catastrophe Risk"/>
      <sheetName val="LT Insurance Risk"/>
      <sheetName val="LT Other Insurance Risk"/>
      <sheetName val="LT Variable Annuity Gte Risk"/>
      <sheetName val="Lapse Risk"/>
      <sheetName val="Expense Risk"/>
      <sheetName val="CSP (2018YE Rules)"/>
      <sheetName val="CSP (2019YE Rules)"/>
      <sheetName val="CSP (2024YE Rules)"/>
      <sheetName val="Correlation Matrix (2019 YE)"/>
      <sheetName val="Correlation Matrix (2024 YE)"/>
      <sheetName val="Crosscheck - SFS"/>
      <sheetName val="Crosscheck-Model"/>
      <sheetName val="Crosscheck - Op Risk"/>
      <sheetName val="prt_res"/>
      <sheetName val="HiddenFormulas"/>
    </sheetNames>
    <sheetDataSet>
      <sheetData sheetId="0"/>
      <sheetData sheetId="1"/>
      <sheetData sheetId="2"/>
      <sheetData sheetId="3"/>
      <sheetData sheetId="4">
        <row r="3">
          <cell r="C3">
            <v>46022</v>
          </cell>
          <cell r="D3"/>
          <cell r="E3" t="str">
            <v>LT Reserve Valuation Basis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URATION"/>
      <sheetName val="Currency Table"/>
      <sheetName val="Submission"/>
      <sheetName val="Content"/>
      <sheetName val="Index"/>
      <sheetName val="SCHEDULE V"/>
      <sheetName val="Import"/>
      <sheetName val="Export"/>
      <sheetName val="Index "/>
      <sheetName val="Company Information"/>
      <sheetName val="Attachments"/>
      <sheetName val="FileStorage"/>
      <sheetName val="Declaration"/>
      <sheetName val="Zones"/>
      <sheetName val="Information Sheet"/>
      <sheetName val="Financial Condition"/>
      <sheetName val="Form 1SFS"/>
      <sheetName val="Form 2SFS"/>
      <sheetName val="Form 8SFS"/>
      <sheetName val="Form 1EBS"/>
      <sheetName val="SCHEDULE II"/>
      <sheetName val="SCHEDULE II (EBS)"/>
      <sheetName val="Schedule IIA"/>
      <sheetName val="Schedule IIA (EBS)"/>
      <sheetName val="SCHEDULE III"/>
      <sheetName val="SCHEDULE III (EBS)"/>
      <sheetName val="SCHEDULE IIIA (EBS)"/>
      <sheetName val="SCHEDULE IV"/>
      <sheetName val="SCHEDULE IVA (EBS)"/>
      <sheetName val="SCHEDULE IVC (EBS)"/>
      <sheetName val="SCHEDULE V(a)"/>
      <sheetName val="SCHEDULE V(c)"/>
      <sheetName val="Schedule V(e)"/>
      <sheetName val="Schedule V(g)"/>
      <sheetName val="Schedule V(k)"/>
      <sheetName val="Schedule V(l)"/>
      <sheetName val="Schedule VI"/>
      <sheetName val="Schedule VI (EBS)"/>
      <sheetName val="Schedule IX(a)"/>
      <sheetName val="Schedule IX(b)"/>
      <sheetName val="Schedule IX(c)"/>
      <sheetName val="Schedule X(a)"/>
      <sheetName val="Schedule X(b)"/>
      <sheetName val="Schedule X(c)"/>
      <sheetName val="Schedule X(d)"/>
      <sheetName val="Schedule X(e)"/>
      <sheetName val="Schedule X(f)"/>
      <sheetName val="Schedule X(g)"/>
      <sheetName val="Schedule X(h)"/>
      <sheetName val="Schedule X(i)"/>
      <sheetName val="Schedule X(j)"/>
      <sheetName val="Schedule XI"/>
      <sheetName val="Schedule XI(a)"/>
      <sheetName val="Sch XI(a)(i)"/>
      <sheetName val="Sch XI(a)(ii)"/>
      <sheetName val="Sch XI(a)(iii)"/>
      <sheetName val="Sch XI(a)(iv)"/>
      <sheetName val="Sch XI(a)(v)"/>
      <sheetName val="Sch XI(a)(vi)"/>
      <sheetName val="Sch XI(a)(vii)"/>
      <sheetName val="Sch XI(a)(viii)"/>
      <sheetName val="Schedule XI(b)"/>
      <sheetName val="Sch XI(b)(i)"/>
      <sheetName val="Sch XI(b)(ii)"/>
      <sheetName val="Sch XI(b)(iii)"/>
      <sheetName val="Sch XI(b)(iv)"/>
      <sheetName val="Sch XI(b)(v)"/>
      <sheetName val="Sch XI(b)(vi)"/>
      <sheetName val="Sch XI(b)(vii)"/>
      <sheetName val="Sch XI(b)(viii)"/>
      <sheetName val="Schedule XI(b) (EBS)"/>
      <sheetName val="Sch XI(b)(i) (EBS)"/>
      <sheetName val="Sch XI(b)(ii) (EBS)"/>
      <sheetName val="Sch XI(b)(iii) (EBS)"/>
      <sheetName val="Sch XI(b)(iv) (EBS)"/>
      <sheetName val="Sch XI(b)(v) (EBS)"/>
      <sheetName val="Sch XI(b)(vi) (EBS)"/>
      <sheetName val="Sch XI(b)(vii) (EBS)"/>
      <sheetName val="Sch XI(b)(viii) (EBS)"/>
      <sheetName val="Schedule XII(a)."/>
      <sheetName val="Schedule XII(a)"/>
      <sheetName val="Schedule XII(b)"/>
      <sheetName val="Schedule XVI"/>
      <sheetName val="Schedule XVII"/>
      <sheetName val="Schedule XVIII"/>
      <sheetName val="Schedule XVIII (EBS)"/>
      <sheetName val="Schedule XIX"/>
      <sheetName val="Schedule XX"/>
      <sheetName val="Schedule XXI"/>
      <sheetName val="Corp Gov"/>
      <sheetName val="Risk Man"/>
      <sheetName val="Identification"/>
      <sheetName val="Measurement"/>
      <sheetName val="Response"/>
      <sheetName val="Monitoring &amp; Reporting"/>
      <sheetName val="Op Risk"/>
      <sheetName val="Summary"/>
      <sheetName val="Fixed Income Investments"/>
      <sheetName val="Equity Investments"/>
      <sheetName val="Interest Rate-Liquidity Risk"/>
      <sheetName val="Currency Risk"/>
      <sheetName val="Concentration Risk"/>
      <sheetName val="Geographic Diversification"/>
      <sheetName val="Premium Risk"/>
      <sheetName val="Reserve Risk"/>
      <sheetName val="Credit Risk"/>
      <sheetName val="Catastrophe Risk"/>
      <sheetName val="Company Specific Parameters"/>
      <sheetName val="Crosscheck - SFS"/>
      <sheetName val="Crosscheck-Model"/>
      <sheetName val="Crosscheck - Op Risk"/>
      <sheetName val="prt_res"/>
    </sheetNames>
    <sheetDataSet>
      <sheetData sheetId="0"/>
      <sheetData sheetId="1"/>
      <sheetData sheetId="2"/>
      <sheetData sheetId="3"/>
      <sheetData sheetId="4"/>
      <sheetData sheetId="5"/>
      <sheetData sheetId="6">
        <row r="4014">
          <cell r="G4014">
            <v>285.00180349999994</v>
          </cell>
        </row>
        <row r="4097">
          <cell r="G4097">
            <v>0</v>
          </cell>
        </row>
        <row r="4098">
          <cell r="G4098">
            <v>0</v>
          </cell>
        </row>
        <row r="4099">
          <cell r="G4099">
            <v>0</v>
          </cell>
        </row>
        <row r="4100">
          <cell r="G4100">
            <v>0</v>
          </cell>
        </row>
        <row r="4102">
          <cell r="G4102">
            <v>0</v>
          </cell>
        </row>
        <row r="4103">
          <cell r="G4103">
            <v>0</v>
          </cell>
        </row>
        <row r="4104">
          <cell r="G4104">
            <v>0</v>
          </cell>
        </row>
        <row r="4108">
          <cell r="G4108">
            <v>0</v>
          </cell>
        </row>
        <row r="4109">
          <cell r="G4109">
            <v>0</v>
          </cell>
        </row>
        <row r="4110">
          <cell r="G4110">
            <v>0</v>
          </cell>
        </row>
        <row r="4111">
          <cell r="G4111">
            <v>0</v>
          </cell>
        </row>
        <row r="4113">
          <cell r="G4113">
            <v>0</v>
          </cell>
        </row>
        <row r="4114">
          <cell r="G4114">
            <v>0</v>
          </cell>
        </row>
        <row r="4115">
          <cell r="G4115">
            <v>0</v>
          </cell>
        </row>
      </sheetData>
      <sheetData sheetId="7"/>
      <sheetData sheetId="8"/>
      <sheetData sheetId="9">
        <row r="1">
          <cell r="L1" t="str">
            <v>01/01/2016</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32">
          <cell r="E32" t="str">
            <v>Yes</v>
          </cell>
        </row>
      </sheetData>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21878-6AC4-44AB-AFC3-9D38E6F9F4D5}">
  <sheetPr>
    <tabColor rgb="FFC00000"/>
  </sheetPr>
  <dimension ref="A1:BP196"/>
  <sheetViews>
    <sheetView topLeftCell="A11" workbookViewId="0">
      <selection activeCell="J25" sqref="J25"/>
    </sheetView>
  </sheetViews>
  <sheetFormatPr defaultColWidth="9.109375" defaultRowHeight="13.25" x14ac:dyDescent="0.3"/>
  <cols>
    <col min="1" max="1" width="1.44140625" style="59" customWidth="1"/>
    <col min="2" max="2" width="17" style="59" customWidth="1"/>
    <col min="3" max="3" width="26" style="59" customWidth="1"/>
    <col min="4" max="4" width="15.44140625" style="59" customWidth="1"/>
    <col min="5" max="8" width="21.5546875" style="59" customWidth="1"/>
    <col min="9" max="9" width="6" style="59" customWidth="1"/>
    <col min="10" max="10" width="21.5546875" style="59" customWidth="1"/>
    <col min="11" max="11" width="1.109375" style="59" customWidth="1"/>
    <col min="12" max="12" width="9.109375" style="5"/>
    <col min="13" max="13" width="9.109375" style="16"/>
    <col min="14" max="14" width="9.5546875" style="16" bestFit="1" customWidth="1"/>
    <col min="15" max="15" width="9.109375" style="16"/>
    <col min="16" max="16" width="11" style="16" bestFit="1" customWidth="1"/>
    <col min="17" max="17" width="9.5546875" style="16" bestFit="1" customWidth="1"/>
    <col min="18" max="22" width="9.109375" style="16"/>
    <col min="23" max="68" width="9.109375" style="5"/>
    <col min="69" max="16384" width="9.109375" style="59"/>
  </cols>
  <sheetData>
    <row r="1" spans="1:23" s="5" customFormat="1" ht="75.05" customHeight="1" x14ac:dyDescent="0.35">
      <c r="A1" s="1"/>
      <c r="B1" s="2" t="s">
        <v>0</v>
      </c>
      <c r="C1" s="2"/>
      <c r="D1" s="2"/>
      <c r="E1" s="2"/>
      <c r="F1" s="2"/>
      <c r="G1" s="2"/>
      <c r="H1" s="2"/>
      <c r="I1" s="2"/>
      <c r="J1" s="3" t="str">
        <f>HYPERLINK("#'Index'!A1","Return to Index")</f>
        <v>Return to Index</v>
      </c>
      <c r="K1" s="4"/>
      <c r="M1" s="6"/>
      <c r="N1" s="7"/>
      <c r="O1" s="8"/>
      <c r="P1" s="9"/>
      <c r="Q1" s="8"/>
      <c r="R1" s="8"/>
      <c r="S1" s="10"/>
      <c r="T1" s="11"/>
      <c r="U1" s="11"/>
      <c r="V1" s="11"/>
    </row>
    <row r="2" spans="1:23" s="5" customFormat="1" ht="13.55" customHeight="1" x14ac:dyDescent="0.3">
      <c r="A2" s="12"/>
      <c r="B2" s="13" t="str">
        <f>'[1]Group Information'!C9</f>
        <v>Enter Parent Company Name</v>
      </c>
      <c r="C2" s="14"/>
      <c r="D2" s="14"/>
      <c r="E2" s="14"/>
      <c r="F2" s="14"/>
      <c r="G2" s="14"/>
      <c r="H2" s="14"/>
      <c r="I2" s="14"/>
      <c r="J2" s="14"/>
      <c r="K2" s="15"/>
      <c r="M2" s="6"/>
      <c r="N2" s="7"/>
      <c r="O2" s="8"/>
      <c r="P2" s="8"/>
      <c r="Q2" s="8"/>
      <c r="R2" s="8"/>
      <c r="S2" s="8"/>
      <c r="T2" s="16"/>
      <c r="U2" s="16"/>
      <c r="V2" s="16"/>
    </row>
    <row r="3" spans="1:23" s="5" customFormat="1" ht="13.55" customHeight="1" x14ac:dyDescent="0.3">
      <c r="A3" s="12"/>
      <c r="B3" s="199">
        <f>'[2]Group Information'!C3+1</f>
        <v>46023</v>
      </c>
      <c r="C3" s="199"/>
      <c r="D3" s="14"/>
      <c r="E3" s="14"/>
      <c r="F3" s="14"/>
      <c r="G3" s="14"/>
      <c r="H3" s="14"/>
      <c r="I3" s="14"/>
      <c r="J3" s="17" t="s">
        <v>1</v>
      </c>
      <c r="K3" s="15"/>
      <c r="M3" s="6"/>
      <c r="N3" s="7"/>
      <c r="O3" s="8"/>
      <c r="P3" s="8"/>
      <c r="Q3" s="8"/>
      <c r="R3" s="8"/>
      <c r="S3" s="8"/>
      <c r="T3" s="16"/>
      <c r="U3" s="16"/>
      <c r="V3" s="16"/>
    </row>
    <row r="4" spans="1:23" s="5" customFormat="1" ht="6.8" customHeight="1" x14ac:dyDescent="0.3">
      <c r="A4" s="12"/>
      <c r="B4" s="14"/>
      <c r="C4" s="14"/>
      <c r="D4" s="14"/>
      <c r="E4" s="14"/>
      <c r="F4" s="14"/>
      <c r="G4" s="14"/>
      <c r="H4" s="14"/>
      <c r="I4" s="14"/>
      <c r="J4" s="14"/>
      <c r="K4" s="15"/>
      <c r="M4" s="6"/>
      <c r="N4" s="7"/>
      <c r="O4" s="8"/>
      <c r="P4" s="8"/>
      <c r="Q4" s="18"/>
      <c r="R4" s="8"/>
      <c r="S4" s="8"/>
      <c r="T4" s="16"/>
      <c r="U4" s="16"/>
      <c r="V4" s="16"/>
    </row>
    <row r="5" spans="1:23" s="5" customFormat="1" x14ac:dyDescent="0.3">
      <c r="A5" s="19"/>
      <c r="B5" s="20" t="s">
        <v>2</v>
      </c>
      <c r="C5" s="14"/>
      <c r="D5" s="14"/>
      <c r="E5" s="14"/>
      <c r="F5" s="14"/>
      <c r="G5" s="14"/>
      <c r="H5" s="14"/>
      <c r="I5" s="14"/>
      <c r="J5" s="14"/>
      <c r="K5" s="15"/>
      <c r="M5" s="6"/>
      <c r="N5" s="7"/>
      <c r="O5" s="8"/>
      <c r="P5" s="8"/>
      <c r="Q5" s="8"/>
      <c r="R5" s="8"/>
      <c r="S5" s="8"/>
      <c r="T5" s="16"/>
      <c r="U5" s="16"/>
      <c r="V5" s="16"/>
    </row>
    <row r="6" spans="1:23" s="5" customFormat="1" x14ac:dyDescent="0.3">
      <c r="A6" s="19"/>
      <c r="B6" s="14"/>
      <c r="C6" s="14"/>
      <c r="D6" s="21"/>
      <c r="E6" s="200" t="s">
        <v>3</v>
      </c>
      <c r="F6" s="201"/>
      <c r="G6" s="200" t="s">
        <v>4</v>
      </c>
      <c r="H6" s="201"/>
      <c r="I6" s="14"/>
      <c r="J6" s="14"/>
      <c r="K6" s="15"/>
      <c r="M6" s="6"/>
      <c r="N6" s="7"/>
      <c r="O6" s="8"/>
      <c r="P6" s="8"/>
      <c r="Q6" s="8"/>
      <c r="R6" s="8"/>
      <c r="S6" s="8"/>
      <c r="T6" s="16"/>
      <c r="U6" s="16"/>
      <c r="V6" s="16"/>
    </row>
    <row r="7" spans="1:23" s="5" customFormat="1" ht="55.3" customHeight="1" x14ac:dyDescent="0.3">
      <c r="A7" s="19"/>
      <c r="B7" s="14"/>
      <c r="C7" s="14"/>
      <c r="D7" s="22" t="s">
        <v>5</v>
      </c>
      <c r="E7" s="23" t="s">
        <v>6</v>
      </c>
      <c r="F7" s="23" t="s">
        <v>7</v>
      </c>
      <c r="G7" s="23" t="s">
        <v>8</v>
      </c>
      <c r="H7" s="23" t="s">
        <v>9</v>
      </c>
      <c r="I7" s="14"/>
      <c r="J7" s="14"/>
      <c r="K7" s="15"/>
      <c r="L7" s="25"/>
      <c r="M7" s="6"/>
      <c r="N7" s="7"/>
      <c r="O7" s="8"/>
      <c r="P7" s="8"/>
      <c r="Q7" s="8"/>
      <c r="R7" s="8"/>
      <c r="S7" s="8"/>
      <c r="T7" s="16"/>
      <c r="U7" s="16"/>
      <c r="V7" s="16"/>
    </row>
    <row r="8" spans="1:23" s="5" customFormat="1" x14ac:dyDescent="0.3">
      <c r="A8" s="19"/>
      <c r="B8" s="14"/>
      <c r="C8" s="14"/>
      <c r="D8" s="26"/>
      <c r="E8" s="137" t="s">
        <v>10</v>
      </c>
      <c r="F8" s="137" t="s">
        <v>10</v>
      </c>
      <c r="G8" s="137" t="s">
        <v>10</v>
      </c>
      <c r="H8" s="137" t="s">
        <v>10</v>
      </c>
      <c r="I8" s="14"/>
      <c r="J8" s="14"/>
      <c r="K8" s="15"/>
      <c r="L8" s="25"/>
      <c r="M8" s="6"/>
      <c r="N8" s="7"/>
      <c r="O8" s="18"/>
      <c r="P8" s="18"/>
      <c r="Q8" s="8"/>
      <c r="R8" s="8"/>
      <c r="S8" s="8"/>
      <c r="T8" s="16"/>
      <c r="U8" s="16"/>
      <c r="V8" s="16"/>
    </row>
    <row r="9" spans="1:23" s="5" customFormat="1" x14ac:dyDescent="0.3">
      <c r="A9" s="19"/>
      <c r="B9" s="14"/>
      <c r="C9" s="14"/>
      <c r="D9" s="27">
        <v>50</v>
      </c>
      <c r="E9" s="28" t="s">
        <v>167</v>
      </c>
      <c r="F9" s="28" t="s">
        <v>167</v>
      </c>
      <c r="G9" s="28" t="s">
        <v>167</v>
      </c>
      <c r="H9" s="28" t="s">
        <v>167</v>
      </c>
      <c r="I9" s="14"/>
      <c r="J9" s="14"/>
      <c r="K9" s="15"/>
      <c r="M9" s="6"/>
      <c r="N9" s="7"/>
      <c r="O9" s="8"/>
      <c r="P9" s="8"/>
      <c r="Q9" s="8"/>
      <c r="R9" s="8"/>
      <c r="S9" s="8"/>
      <c r="T9" s="16"/>
      <c r="U9" s="16"/>
      <c r="V9" s="6"/>
    </row>
    <row r="10" spans="1:23" s="5" customFormat="1" x14ac:dyDescent="0.3">
      <c r="A10" s="19"/>
      <c r="B10" s="14"/>
      <c r="C10" s="14"/>
      <c r="D10" s="27">
        <v>100</v>
      </c>
      <c r="E10" s="29" t="s">
        <v>167</v>
      </c>
      <c r="F10" s="29" t="s">
        <v>167</v>
      </c>
      <c r="G10" s="29" t="s">
        <v>167</v>
      </c>
      <c r="H10" s="29" t="s">
        <v>167</v>
      </c>
      <c r="I10" s="14"/>
      <c r="J10" s="14"/>
      <c r="K10" s="15"/>
      <c r="M10" s="6"/>
      <c r="N10" s="7"/>
      <c r="O10" s="8"/>
      <c r="P10" s="8"/>
      <c r="Q10" s="8"/>
      <c r="R10" s="8"/>
      <c r="S10" s="8"/>
      <c r="T10" s="16"/>
      <c r="U10" s="16"/>
      <c r="V10" s="6"/>
    </row>
    <row r="11" spans="1:23" s="5" customFormat="1" x14ac:dyDescent="0.3">
      <c r="A11" s="19"/>
      <c r="B11" s="14"/>
      <c r="C11" s="14"/>
      <c r="D11" s="27">
        <v>250</v>
      </c>
      <c r="E11" s="29" t="s">
        <v>167</v>
      </c>
      <c r="F11" s="29" t="s">
        <v>167</v>
      </c>
      <c r="G11" s="29" t="s">
        <v>167</v>
      </c>
      <c r="H11" s="29" t="s">
        <v>167</v>
      </c>
      <c r="I11" s="14"/>
      <c r="J11" s="14"/>
      <c r="K11" s="15"/>
      <c r="M11" s="6"/>
      <c r="N11" s="7"/>
      <c r="O11" s="8"/>
      <c r="P11" s="8"/>
      <c r="Q11" s="8"/>
      <c r="R11" s="8"/>
      <c r="S11" s="8"/>
      <c r="T11" s="16"/>
      <c r="U11" s="16"/>
      <c r="V11" s="6"/>
    </row>
    <row r="12" spans="1:23" s="5" customFormat="1" x14ac:dyDescent="0.3">
      <c r="A12" s="19"/>
      <c r="B12" s="14"/>
      <c r="C12" s="14"/>
      <c r="D12" s="27">
        <v>500</v>
      </c>
      <c r="E12" s="29" t="s">
        <v>167</v>
      </c>
      <c r="F12" s="29" t="s">
        <v>167</v>
      </c>
      <c r="G12" s="29" t="s">
        <v>167</v>
      </c>
      <c r="H12" s="29" t="s">
        <v>167</v>
      </c>
      <c r="I12" s="14"/>
      <c r="J12" s="14"/>
      <c r="K12" s="15"/>
      <c r="M12" s="6"/>
      <c r="N12" s="7"/>
      <c r="O12" s="8"/>
      <c r="P12" s="8"/>
      <c r="Q12" s="8"/>
      <c r="R12" s="8"/>
      <c r="S12" s="8"/>
      <c r="T12" s="16"/>
      <c r="U12" s="16"/>
      <c r="V12" s="6"/>
    </row>
    <row r="13" spans="1:23" s="5" customFormat="1" x14ac:dyDescent="0.3">
      <c r="A13" s="19"/>
      <c r="B13" s="14"/>
      <c r="C13" s="14"/>
      <c r="D13" s="30">
        <v>1000</v>
      </c>
      <c r="E13" s="31" t="s">
        <v>167</v>
      </c>
      <c r="F13" s="31" t="s">
        <v>167</v>
      </c>
      <c r="G13" s="31" t="s">
        <v>167</v>
      </c>
      <c r="H13" s="31" t="s">
        <v>167</v>
      </c>
      <c r="I13" s="14"/>
      <c r="J13" s="14"/>
      <c r="K13" s="15"/>
      <c r="M13" s="6"/>
      <c r="N13" s="7"/>
      <c r="O13" s="8"/>
      <c r="P13" s="8"/>
      <c r="Q13" s="8"/>
      <c r="R13" s="8"/>
      <c r="S13" s="8"/>
      <c r="T13" s="16"/>
      <c r="U13" s="16"/>
      <c r="V13" s="6"/>
    </row>
    <row r="14" spans="1:23" s="5" customFormat="1" ht="6.8" customHeight="1" x14ac:dyDescent="0.3">
      <c r="A14" s="19"/>
      <c r="B14" s="14"/>
      <c r="C14" s="14"/>
      <c r="D14" s="14"/>
      <c r="E14" s="32"/>
      <c r="F14" s="32"/>
      <c r="G14" s="32"/>
      <c r="H14" s="32"/>
      <c r="I14" s="14"/>
      <c r="J14" s="14"/>
      <c r="K14" s="15"/>
      <c r="M14" s="6"/>
      <c r="N14" s="7"/>
      <c r="O14" s="8"/>
      <c r="P14" s="8"/>
      <c r="Q14" s="8"/>
      <c r="R14" s="8"/>
      <c r="S14" s="8"/>
      <c r="T14" s="16"/>
      <c r="U14" s="16"/>
      <c r="V14" s="6"/>
    </row>
    <row r="15" spans="1:23" s="5" customFormat="1" ht="12.85" customHeight="1" x14ac:dyDescent="0.3">
      <c r="A15" s="19"/>
      <c r="B15" s="14"/>
      <c r="C15" s="14"/>
      <c r="D15" s="14"/>
      <c r="E15" s="137" t="s">
        <v>11</v>
      </c>
      <c r="F15" s="14"/>
      <c r="G15" s="14"/>
      <c r="H15" s="14"/>
      <c r="I15" s="14"/>
      <c r="J15" s="137" t="s">
        <v>12</v>
      </c>
      <c r="K15" s="15"/>
      <c r="M15" s="6"/>
      <c r="N15" s="7"/>
      <c r="O15" s="8"/>
      <c r="P15" s="8"/>
      <c r="Q15" s="8"/>
      <c r="R15" s="8"/>
      <c r="S15" s="8"/>
      <c r="T15" s="16"/>
      <c r="U15" s="16"/>
      <c r="V15" s="6"/>
    </row>
    <row r="16" spans="1:23" s="5" customFormat="1" x14ac:dyDescent="0.3">
      <c r="A16" s="19"/>
      <c r="B16" s="14"/>
      <c r="C16" s="14"/>
      <c r="D16" s="33" t="s">
        <v>13</v>
      </c>
      <c r="E16" s="34" t="s">
        <v>167</v>
      </c>
      <c r="F16" s="14"/>
      <c r="G16" s="14"/>
      <c r="H16" s="14"/>
      <c r="I16" s="33" t="s">
        <v>14</v>
      </c>
      <c r="J16" s="34" t="s">
        <v>167</v>
      </c>
      <c r="K16" s="15"/>
      <c r="M16" s="6"/>
      <c r="N16" s="7"/>
      <c r="O16" s="8"/>
      <c r="P16" s="35"/>
      <c r="Q16" s="7"/>
      <c r="R16" s="8"/>
      <c r="S16" s="8"/>
      <c r="T16" s="16"/>
      <c r="U16" s="16"/>
      <c r="V16" s="6"/>
      <c r="W16" s="8"/>
    </row>
    <row r="17" spans="1:23" s="5" customFormat="1" x14ac:dyDescent="0.3">
      <c r="A17" s="19"/>
      <c r="B17" s="14"/>
      <c r="C17" s="14"/>
      <c r="D17" s="33"/>
      <c r="E17" s="14"/>
      <c r="F17" s="14"/>
      <c r="G17" s="14"/>
      <c r="H17" s="14"/>
      <c r="I17" s="33" t="s">
        <v>15</v>
      </c>
      <c r="J17" s="34" t="s">
        <v>167</v>
      </c>
      <c r="K17" s="15"/>
      <c r="M17" s="6"/>
      <c r="N17" s="7"/>
      <c r="O17" s="8"/>
      <c r="P17" s="35"/>
      <c r="Q17" s="7"/>
      <c r="R17" s="8"/>
      <c r="S17" s="8"/>
      <c r="T17" s="16"/>
      <c r="U17" s="16"/>
      <c r="V17" s="6"/>
      <c r="W17" s="8"/>
    </row>
    <row r="18" spans="1:23" s="5" customFormat="1" x14ac:dyDescent="0.3">
      <c r="A18" s="19"/>
      <c r="B18" s="14"/>
      <c r="C18" s="14"/>
      <c r="D18" s="33" t="s">
        <v>16</v>
      </c>
      <c r="E18" s="34" t="s">
        <v>167</v>
      </c>
      <c r="F18" s="14"/>
      <c r="G18" s="14"/>
      <c r="H18" s="14"/>
      <c r="I18" s="33" t="s">
        <v>17</v>
      </c>
      <c r="J18" s="34" t="s">
        <v>167</v>
      </c>
      <c r="K18" s="15"/>
      <c r="M18" s="6"/>
      <c r="N18" s="7"/>
      <c r="O18" s="8"/>
      <c r="P18" s="35"/>
      <c r="Q18" s="7"/>
      <c r="R18" s="8"/>
      <c r="S18" s="8"/>
      <c r="T18" s="16"/>
      <c r="U18" s="16"/>
      <c r="V18" s="6"/>
      <c r="W18" s="8"/>
    </row>
    <row r="19" spans="1:23" s="5" customFormat="1" x14ac:dyDescent="0.3">
      <c r="A19" s="19"/>
      <c r="B19" s="14"/>
      <c r="C19" s="14"/>
      <c r="D19" s="33"/>
      <c r="E19" s="32"/>
      <c r="F19" s="14"/>
      <c r="G19" s="14"/>
      <c r="H19" s="14"/>
      <c r="I19" s="33"/>
      <c r="J19" s="36"/>
      <c r="K19" s="15"/>
      <c r="M19" s="6"/>
      <c r="N19" s="7"/>
      <c r="O19" s="8"/>
      <c r="P19" s="35"/>
      <c r="Q19" s="7"/>
      <c r="R19" s="8"/>
      <c r="S19" s="8"/>
      <c r="T19" s="16"/>
      <c r="U19" s="16"/>
      <c r="V19" s="6"/>
      <c r="W19" s="8"/>
    </row>
    <row r="20" spans="1:23" s="5" customFormat="1" x14ac:dyDescent="0.3">
      <c r="A20" s="19"/>
      <c r="B20" s="14"/>
      <c r="C20" s="14"/>
      <c r="D20" s="33" t="s">
        <v>18</v>
      </c>
      <c r="E20" s="136"/>
      <c r="F20" s="14"/>
      <c r="G20" s="14"/>
      <c r="H20" s="14"/>
      <c r="I20" s="33" t="s">
        <v>19</v>
      </c>
      <c r="J20" s="136"/>
      <c r="K20" s="15"/>
      <c r="M20" s="6"/>
      <c r="N20" s="7"/>
      <c r="O20" s="8"/>
      <c r="P20" s="35"/>
      <c r="Q20" s="7"/>
      <c r="R20" s="8"/>
      <c r="S20" s="8"/>
      <c r="T20" s="16"/>
      <c r="U20" s="16"/>
      <c r="V20" s="6"/>
      <c r="W20" s="8"/>
    </row>
    <row r="21" spans="1:23" s="5" customFormat="1" x14ac:dyDescent="0.3">
      <c r="A21" s="19"/>
      <c r="B21" s="14"/>
      <c r="C21" s="14"/>
      <c r="D21" s="33" t="s">
        <v>20</v>
      </c>
      <c r="E21" s="136"/>
      <c r="F21" s="14"/>
      <c r="G21" s="14"/>
      <c r="H21" s="14"/>
      <c r="I21" s="33" t="s">
        <v>21</v>
      </c>
      <c r="J21" s="136"/>
      <c r="K21" s="15"/>
      <c r="M21" s="6"/>
      <c r="N21" s="7"/>
      <c r="O21" s="8"/>
      <c r="P21" s="35"/>
      <c r="Q21" s="7"/>
      <c r="R21" s="8"/>
      <c r="S21" s="8"/>
      <c r="T21" s="16"/>
      <c r="U21" s="16"/>
      <c r="V21" s="6"/>
      <c r="W21" s="8"/>
    </row>
    <row r="22" spans="1:23" s="5" customFormat="1" ht="6.8" customHeight="1" x14ac:dyDescent="0.3">
      <c r="A22" s="19"/>
      <c r="B22" s="14"/>
      <c r="C22" s="14"/>
      <c r="D22" s="14"/>
      <c r="E22" s="32"/>
      <c r="F22" s="14"/>
      <c r="G22" s="14"/>
      <c r="H22" s="14"/>
      <c r="I22" s="14"/>
      <c r="J22" s="37"/>
      <c r="K22" s="15"/>
      <c r="M22" s="6"/>
      <c r="N22" s="7"/>
      <c r="O22" s="8"/>
      <c r="P22" s="35"/>
      <c r="Q22" s="7"/>
      <c r="R22" s="8"/>
      <c r="S22" s="8"/>
      <c r="T22" s="16"/>
      <c r="U22" s="16"/>
      <c r="V22" s="6"/>
      <c r="W22" s="8"/>
    </row>
    <row r="23" spans="1:23" s="5" customFormat="1" x14ac:dyDescent="0.3">
      <c r="A23" s="19"/>
      <c r="B23" s="14"/>
      <c r="C23" s="14"/>
      <c r="D23" s="33" t="s">
        <v>22</v>
      </c>
      <c r="E23" s="136"/>
      <c r="F23" s="14"/>
      <c r="G23" s="14"/>
      <c r="H23" s="14"/>
      <c r="I23" s="33" t="s">
        <v>23</v>
      </c>
      <c r="J23" s="136"/>
      <c r="K23" s="15"/>
      <c r="M23" s="6"/>
      <c r="N23" s="7"/>
      <c r="O23" s="8"/>
      <c r="P23" s="35"/>
      <c r="Q23" s="7"/>
      <c r="R23" s="8"/>
      <c r="S23" s="8"/>
      <c r="T23" s="16"/>
      <c r="U23" s="16"/>
      <c r="V23" s="6"/>
      <c r="W23" s="8"/>
    </row>
    <row r="24" spans="1:23" s="5" customFormat="1" x14ac:dyDescent="0.3">
      <c r="A24" s="19"/>
      <c r="B24" s="14"/>
      <c r="C24" s="14"/>
      <c r="D24" s="33" t="s">
        <v>24</v>
      </c>
      <c r="E24" s="136"/>
      <c r="F24" s="14"/>
      <c r="G24" s="14"/>
      <c r="H24" s="14"/>
      <c r="I24" s="33" t="s">
        <v>25</v>
      </c>
      <c r="J24" s="136"/>
      <c r="K24" s="15"/>
      <c r="M24" s="6"/>
      <c r="N24" s="7"/>
      <c r="O24" s="8"/>
      <c r="P24" s="35"/>
      <c r="Q24" s="7"/>
      <c r="R24" s="8"/>
      <c r="S24" s="8"/>
      <c r="T24" s="16"/>
      <c r="U24" s="16"/>
      <c r="V24" s="6"/>
      <c r="W24" s="8"/>
    </row>
    <row r="25" spans="1:23" s="5" customFormat="1" x14ac:dyDescent="0.3">
      <c r="A25" s="19"/>
      <c r="B25" s="14"/>
      <c r="C25" s="14"/>
      <c r="D25" s="33" t="s">
        <v>26</v>
      </c>
      <c r="E25" s="248">
        <v>7349944.8322560899</v>
      </c>
      <c r="F25" s="14"/>
      <c r="G25" s="14"/>
      <c r="H25" s="14"/>
      <c r="I25" s="33" t="s">
        <v>27</v>
      </c>
      <c r="J25" s="248">
        <v>5833901.1744010197</v>
      </c>
      <c r="K25" s="15"/>
      <c r="M25" s="6"/>
      <c r="N25" s="7"/>
      <c r="O25" s="8"/>
      <c r="P25" s="35"/>
      <c r="Q25" s="7"/>
      <c r="R25" s="8"/>
      <c r="S25" s="8"/>
      <c r="T25" s="16"/>
      <c r="U25" s="16"/>
      <c r="V25" s="6"/>
      <c r="W25" s="8"/>
    </row>
    <row r="26" spans="1:23" s="5" customFormat="1" x14ac:dyDescent="0.3">
      <c r="A26" s="19"/>
      <c r="B26" s="14"/>
      <c r="C26" s="14"/>
      <c r="D26" s="33" t="s">
        <v>28</v>
      </c>
      <c r="E26" s="136"/>
      <c r="F26" s="14"/>
      <c r="G26" s="14"/>
      <c r="H26" s="14"/>
      <c r="I26" s="33" t="s">
        <v>29</v>
      </c>
      <c r="J26" s="136"/>
      <c r="K26" s="15"/>
      <c r="M26" s="6"/>
      <c r="N26" s="7"/>
      <c r="O26" s="8"/>
      <c r="P26" s="35"/>
      <c r="Q26" s="7"/>
      <c r="R26" s="8"/>
      <c r="S26" s="8"/>
      <c r="T26" s="16"/>
      <c r="U26" s="16"/>
      <c r="V26" s="6"/>
      <c r="W26" s="8"/>
    </row>
    <row r="27" spans="1:23" s="5" customFormat="1" x14ac:dyDescent="0.3">
      <c r="A27" s="19"/>
      <c r="B27" s="14"/>
      <c r="C27" s="14"/>
      <c r="D27" s="33" t="s">
        <v>30</v>
      </c>
      <c r="E27" s="136"/>
      <c r="F27" s="14"/>
      <c r="G27" s="14"/>
      <c r="H27" s="14"/>
      <c r="I27" s="33" t="s">
        <v>31</v>
      </c>
      <c r="J27" s="136"/>
      <c r="K27" s="15"/>
      <c r="M27" s="6"/>
      <c r="N27" s="7"/>
      <c r="O27" s="8"/>
      <c r="P27" s="35"/>
      <c r="Q27" s="7"/>
      <c r="R27" s="8"/>
      <c r="S27" s="8"/>
      <c r="T27" s="16"/>
      <c r="U27" s="16"/>
      <c r="V27" s="6"/>
      <c r="W27" s="8"/>
    </row>
    <row r="28" spans="1:23" s="5" customFormat="1" x14ac:dyDescent="0.3">
      <c r="A28" s="19"/>
      <c r="B28" s="14"/>
      <c r="C28" s="14"/>
      <c r="D28" s="33" t="s">
        <v>32</v>
      </c>
      <c r="E28" s="136"/>
      <c r="F28" s="14"/>
      <c r="G28" s="14"/>
      <c r="H28" s="14"/>
      <c r="I28" s="33" t="s">
        <v>33</v>
      </c>
      <c r="J28" s="136"/>
      <c r="K28" s="15"/>
      <c r="M28" s="6"/>
      <c r="N28" s="7"/>
      <c r="O28" s="8"/>
      <c r="P28" s="35"/>
      <c r="Q28" s="7"/>
      <c r="R28" s="8"/>
      <c r="S28" s="8"/>
      <c r="T28" s="16"/>
      <c r="U28" s="16"/>
      <c r="V28" s="6"/>
      <c r="W28" s="8"/>
    </row>
    <row r="29" spans="1:23" s="5" customFormat="1" ht="6.8" customHeight="1" x14ac:dyDescent="0.3">
      <c r="A29" s="19"/>
      <c r="B29" s="14"/>
      <c r="C29" s="14"/>
      <c r="D29" s="14"/>
      <c r="E29" s="32"/>
      <c r="F29" s="14"/>
      <c r="G29" s="14"/>
      <c r="H29" s="14"/>
      <c r="I29" s="14"/>
      <c r="J29" s="14"/>
      <c r="K29" s="15"/>
      <c r="M29" s="6"/>
      <c r="N29" s="7"/>
      <c r="O29" s="8"/>
      <c r="P29" s="8"/>
      <c r="Q29" s="8"/>
      <c r="R29" s="8"/>
      <c r="S29" s="8"/>
      <c r="T29" s="16"/>
      <c r="U29" s="16"/>
      <c r="V29" s="6"/>
    </row>
    <row r="30" spans="1:23" s="5" customFormat="1" x14ac:dyDescent="0.3">
      <c r="A30" s="19"/>
      <c r="B30" s="38" t="s">
        <v>34</v>
      </c>
      <c r="C30" s="14"/>
      <c r="D30" s="14"/>
      <c r="E30" s="32"/>
      <c r="F30" s="14"/>
      <c r="G30" s="14"/>
      <c r="H30" s="14"/>
      <c r="I30" s="14"/>
      <c r="J30" s="14"/>
      <c r="K30" s="15"/>
      <c r="M30" s="6"/>
      <c r="N30" s="7"/>
      <c r="O30" s="8"/>
      <c r="P30" s="8"/>
      <c r="Q30" s="8"/>
      <c r="R30" s="8"/>
      <c r="S30" s="8"/>
      <c r="T30" s="16"/>
      <c r="U30" s="16"/>
      <c r="V30" s="6"/>
    </row>
    <row r="31" spans="1:23" s="5" customFormat="1" x14ac:dyDescent="0.3">
      <c r="A31" s="19"/>
      <c r="B31" s="14"/>
      <c r="C31" s="14"/>
      <c r="D31" s="33" t="s">
        <v>35</v>
      </c>
      <c r="E31" s="39"/>
      <c r="F31" s="40"/>
      <c r="G31" s="40"/>
      <c r="H31" s="41" t="str">
        <f>IF(E31="No","If no, why not:","")</f>
        <v/>
      </c>
      <c r="I31" s="197"/>
      <c r="J31" s="197"/>
      <c r="K31" s="198"/>
      <c r="M31" s="6"/>
      <c r="N31" s="7"/>
      <c r="O31" s="8"/>
      <c r="P31" s="8"/>
      <c r="Q31" s="8"/>
      <c r="R31" s="8"/>
      <c r="S31" s="8"/>
      <c r="T31" s="16"/>
      <c r="U31" s="16"/>
      <c r="V31" s="6"/>
    </row>
    <row r="32" spans="1:23" s="5" customFormat="1" x14ac:dyDescent="0.3">
      <c r="A32" s="19"/>
      <c r="B32" s="14"/>
      <c r="C32" s="14"/>
      <c r="D32" s="33" t="s">
        <v>36</v>
      </c>
      <c r="E32" s="39"/>
      <c r="F32" s="40"/>
      <c r="G32" s="40"/>
      <c r="H32" s="41" t="str">
        <f t="shared" ref="H32:H46" si="0">IF(E32="No","If no, why not:","")</f>
        <v/>
      </c>
      <c r="I32" s="197"/>
      <c r="J32" s="197"/>
      <c r="K32" s="198"/>
      <c r="M32" s="6"/>
      <c r="N32" s="7"/>
      <c r="O32" s="8"/>
      <c r="P32" s="8"/>
      <c r="Q32" s="8"/>
      <c r="R32" s="8"/>
      <c r="S32" s="8"/>
      <c r="T32" s="16"/>
      <c r="U32" s="16"/>
      <c r="V32" s="6"/>
    </row>
    <row r="33" spans="1:22" s="5" customFormat="1" x14ac:dyDescent="0.3">
      <c r="A33" s="19"/>
      <c r="B33" s="14"/>
      <c r="C33" s="14"/>
      <c r="D33" s="33" t="s">
        <v>37</v>
      </c>
      <c r="E33" s="39"/>
      <c r="F33" s="40"/>
      <c r="G33" s="40"/>
      <c r="H33" s="41" t="str">
        <f t="shared" si="0"/>
        <v/>
      </c>
      <c r="I33" s="197"/>
      <c r="J33" s="197"/>
      <c r="K33" s="198"/>
      <c r="M33" s="6"/>
      <c r="N33" s="7"/>
      <c r="O33" s="8"/>
      <c r="P33" s="8"/>
      <c r="Q33" s="8"/>
      <c r="R33" s="8"/>
      <c r="S33" s="8"/>
      <c r="T33" s="16"/>
      <c r="U33" s="16"/>
      <c r="V33" s="6"/>
    </row>
    <row r="34" spans="1:22" s="5" customFormat="1" x14ac:dyDescent="0.3">
      <c r="A34" s="19"/>
      <c r="B34" s="14"/>
      <c r="C34" s="14"/>
      <c r="D34" s="33" t="s">
        <v>38</v>
      </c>
      <c r="E34" s="42"/>
      <c r="F34" s="40"/>
      <c r="G34" s="40"/>
      <c r="H34" s="41" t="str">
        <f t="shared" si="0"/>
        <v/>
      </c>
      <c r="I34" s="197"/>
      <c r="J34" s="197"/>
      <c r="K34" s="198"/>
      <c r="M34" s="6"/>
      <c r="N34" s="7"/>
      <c r="O34" s="8"/>
      <c r="P34" s="8"/>
      <c r="Q34" s="8"/>
      <c r="R34" s="8"/>
      <c r="S34" s="8"/>
      <c r="T34" s="16"/>
      <c r="U34" s="16"/>
      <c r="V34" s="6"/>
    </row>
    <row r="35" spans="1:22" s="5" customFormat="1" x14ac:dyDescent="0.3">
      <c r="A35" s="19"/>
      <c r="B35" s="14"/>
      <c r="C35" s="14"/>
      <c r="D35" s="33" t="s">
        <v>39</v>
      </c>
      <c r="E35" s="194"/>
      <c r="F35" s="195"/>
      <c r="G35" s="196"/>
      <c r="H35" s="41" t="str">
        <f t="shared" si="0"/>
        <v/>
      </c>
      <c r="I35" s="197"/>
      <c r="J35" s="197"/>
      <c r="K35" s="198"/>
      <c r="M35" s="6"/>
      <c r="N35" s="7"/>
      <c r="O35" s="8"/>
      <c r="P35" s="8"/>
      <c r="Q35" s="8"/>
      <c r="R35" s="8"/>
      <c r="S35" s="8"/>
      <c r="T35" s="16"/>
      <c r="U35" s="16"/>
      <c r="V35" s="6"/>
    </row>
    <row r="36" spans="1:22" s="5" customFormat="1" x14ac:dyDescent="0.3">
      <c r="A36" s="19"/>
      <c r="B36" s="14"/>
      <c r="C36" s="14"/>
      <c r="D36" s="33" t="s">
        <v>40</v>
      </c>
      <c r="E36" s="194"/>
      <c r="F36" s="195"/>
      <c r="G36" s="196"/>
      <c r="H36" s="41" t="str">
        <f t="shared" si="0"/>
        <v/>
      </c>
      <c r="I36" s="197"/>
      <c r="J36" s="197"/>
      <c r="K36" s="198"/>
      <c r="M36" s="6"/>
      <c r="N36" s="7"/>
      <c r="O36" s="8"/>
      <c r="P36" s="8"/>
      <c r="Q36" s="8"/>
      <c r="R36" s="8"/>
      <c r="S36" s="8"/>
      <c r="T36" s="16"/>
      <c r="U36" s="16"/>
      <c r="V36" s="6"/>
    </row>
    <row r="37" spans="1:22" s="5" customFormat="1" x14ac:dyDescent="0.3">
      <c r="A37" s="19"/>
      <c r="B37" s="14"/>
      <c r="C37" s="14"/>
      <c r="D37" s="33" t="s">
        <v>41</v>
      </c>
      <c r="E37" s="194"/>
      <c r="F37" s="195"/>
      <c r="G37" s="196"/>
      <c r="H37" s="41" t="str">
        <f t="shared" si="0"/>
        <v/>
      </c>
      <c r="I37" s="197"/>
      <c r="J37" s="197"/>
      <c r="K37" s="198"/>
      <c r="M37" s="6"/>
      <c r="N37" s="7"/>
      <c r="O37" s="8"/>
      <c r="P37" s="8"/>
      <c r="Q37" s="8"/>
      <c r="R37" s="8"/>
      <c r="S37" s="8"/>
      <c r="T37" s="16"/>
      <c r="U37" s="16"/>
      <c r="V37" s="6"/>
    </row>
    <row r="38" spans="1:22" s="5" customFormat="1" x14ac:dyDescent="0.3">
      <c r="A38" s="19"/>
      <c r="B38" s="14"/>
      <c r="C38" s="14"/>
      <c r="D38" s="33" t="s">
        <v>42</v>
      </c>
      <c r="E38" s="194"/>
      <c r="F38" s="195"/>
      <c r="G38" s="196"/>
      <c r="H38" s="41" t="str">
        <f t="shared" si="0"/>
        <v/>
      </c>
      <c r="I38" s="197"/>
      <c r="J38" s="197"/>
      <c r="K38" s="198"/>
      <c r="M38" s="6"/>
      <c r="N38" s="7"/>
      <c r="O38" s="8"/>
      <c r="P38" s="8"/>
      <c r="Q38" s="8"/>
      <c r="R38" s="8"/>
      <c r="S38" s="8"/>
      <c r="T38" s="16"/>
      <c r="U38" s="16"/>
      <c r="V38" s="6"/>
    </row>
    <row r="39" spans="1:22" s="5" customFormat="1" x14ac:dyDescent="0.3">
      <c r="A39" s="19"/>
      <c r="B39" s="14"/>
      <c r="C39" s="14"/>
      <c r="D39" s="33" t="s">
        <v>43</v>
      </c>
      <c r="E39" s="194"/>
      <c r="F39" s="195"/>
      <c r="G39" s="196"/>
      <c r="H39" s="41" t="str">
        <f t="shared" si="0"/>
        <v/>
      </c>
      <c r="I39" s="197"/>
      <c r="J39" s="197"/>
      <c r="K39" s="198"/>
      <c r="M39" s="6"/>
      <c r="N39" s="7"/>
      <c r="O39" s="8"/>
      <c r="P39" s="8"/>
      <c r="Q39" s="8"/>
      <c r="R39" s="8"/>
      <c r="S39" s="8"/>
      <c r="T39" s="16"/>
      <c r="U39" s="16"/>
      <c r="V39" s="6"/>
    </row>
    <row r="40" spans="1:22" s="5" customFormat="1" x14ac:dyDescent="0.3">
      <c r="A40" s="19"/>
      <c r="B40" s="14"/>
      <c r="C40" s="14"/>
      <c r="D40" s="33" t="s">
        <v>44</v>
      </c>
      <c r="E40" s="194"/>
      <c r="F40" s="195"/>
      <c r="G40" s="196"/>
      <c r="H40" s="41" t="str">
        <f t="shared" si="0"/>
        <v/>
      </c>
      <c r="I40" s="197"/>
      <c r="J40" s="197"/>
      <c r="K40" s="198"/>
      <c r="M40" s="6"/>
      <c r="N40" s="7"/>
      <c r="O40" s="8"/>
      <c r="P40" s="8"/>
      <c r="Q40" s="8"/>
      <c r="R40" s="8"/>
      <c r="S40" s="8"/>
      <c r="T40" s="16"/>
      <c r="U40" s="16"/>
      <c r="V40" s="6"/>
    </row>
    <row r="41" spans="1:22" s="5" customFormat="1" x14ac:dyDescent="0.3">
      <c r="A41" s="19"/>
      <c r="B41" s="14"/>
      <c r="C41" s="14"/>
      <c r="D41" s="33" t="s">
        <v>45</v>
      </c>
      <c r="E41" s="194"/>
      <c r="F41" s="195"/>
      <c r="G41" s="196"/>
      <c r="H41" s="41" t="str">
        <f t="shared" si="0"/>
        <v/>
      </c>
      <c r="I41" s="197"/>
      <c r="J41" s="197"/>
      <c r="K41" s="198"/>
      <c r="M41" s="6"/>
      <c r="N41" s="7"/>
      <c r="O41" s="8"/>
      <c r="P41" s="8"/>
      <c r="Q41" s="8"/>
      <c r="R41" s="8"/>
      <c r="S41" s="8"/>
      <c r="T41" s="16"/>
      <c r="U41" s="16"/>
      <c r="V41" s="6"/>
    </row>
    <row r="42" spans="1:22" s="5" customFormat="1" x14ac:dyDescent="0.3">
      <c r="A42" s="19"/>
      <c r="B42" s="14"/>
      <c r="C42" s="14"/>
      <c r="D42" s="33" t="s">
        <v>46</v>
      </c>
      <c r="E42" s="194"/>
      <c r="F42" s="195"/>
      <c r="G42" s="196"/>
      <c r="H42" s="41" t="str">
        <f t="shared" si="0"/>
        <v/>
      </c>
      <c r="I42" s="197"/>
      <c r="J42" s="197"/>
      <c r="K42" s="198"/>
      <c r="M42" s="6"/>
      <c r="N42" s="7"/>
      <c r="O42" s="8"/>
      <c r="P42" s="8"/>
      <c r="Q42" s="8"/>
      <c r="R42" s="8"/>
      <c r="S42" s="8"/>
      <c r="T42" s="16"/>
      <c r="U42" s="16"/>
      <c r="V42" s="6"/>
    </row>
    <row r="43" spans="1:22" s="5" customFormat="1" x14ac:dyDescent="0.3">
      <c r="A43" s="19"/>
      <c r="B43" s="14"/>
      <c r="C43" s="14"/>
      <c r="D43" s="33" t="s">
        <v>47</v>
      </c>
      <c r="E43" s="194"/>
      <c r="F43" s="195"/>
      <c r="G43" s="196"/>
      <c r="H43" s="41" t="str">
        <f t="shared" si="0"/>
        <v/>
      </c>
      <c r="I43" s="197"/>
      <c r="J43" s="197"/>
      <c r="K43" s="198"/>
      <c r="M43" s="6"/>
      <c r="N43" s="7"/>
      <c r="O43" s="8"/>
      <c r="P43" s="8"/>
      <c r="Q43" s="8"/>
      <c r="R43" s="8"/>
      <c r="S43" s="8"/>
      <c r="T43" s="16"/>
      <c r="U43" s="16"/>
      <c r="V43" s="6"/>
    </row>
    <row r="44" spans="1:22" s="5" customFormat="1" x14ac:dyDescent="0.3">
      <c r="A44" s="19"/>
      <c r="B44" s="14"/>
      <c r="C44" s="14"/>
      <c r="D44" s="33" t="s">
        <v>48</v>
      </c>
      <c r="E44" s="194"/>
      <c r="F44" s="195"/>
      <c r="G44" s="196"/>
      <c r="H44" s="41" t="str">
        <f t="shared" si="0"/>
        <v/>
      </c>
      <c r="I44" s="197"/>
      <c r="J44" s="197"/>
      <c r="K44" s="198"/>
      <c r="M44" s="6"/>
      <c r="N44" s="7"/>
      <c r="O44" s="8"/>
      <c r="P44" s="8"/>
      <c r="Q44" s="8"/>
      <c r="R44" s="8"/>
      <c r="S44" s="8"/>
      <c r="T44" s="16"/>
      <c r="U44" s="16"/>
      <c r="V44" s="6"/>
    </row>
    <row r="45" spans="1:22" s="5" customFormat="1" x14ac:dyDescent="0.3">
      <c r="A45" s="19"/>
      <c r="B45" s="14"/>
      <c r="C45" s="14"/>
      <c r="D45" s="33" t="s">
        <v>49</v>
      </c>
      <c r="E45" s="194"/>
      <c r="F45" s="195"/>
      <c r="G45" s="196"/>
      <c r="H45" s="41" t="str">
        <f t="shared" si="0"/>
        <v/>
      </c>
      <c r="I45" s="197"/>
      <c r="J45" s="197"/>
      <c r="K45" s="198"/>
      <c r="M45" s="6"/>
      <c r="N45" s="7"/>
      <c r="O45" s="8"/>
      <c r="P45" s="8"/>
      <c r="Q45" s="8"/>
      <c r="R45" s="8"/>
      <c r="S45" s="8"/>
      <c r="T45" s="16"/>
      <c r="U45" s="16"/>
      <c r="V45" s="6"/>
    </row>
    <row r="46" spans="1:22" s="5" customFormat="1" x14ac:dyDescent="0.3">
      <c r="A46" s="19"/>
      <c r="B46" s="14"/>
      <c r="C46" s="14"/>
      <c r="D46" s="33" t="s">
        <v>50</v>
      </c>
      <c r="E46" s="194"/>
      <c r="F46" s="195"/>
      <c r="G46" s="196"/>
      <c r="H46" s="41" t="str">
        <f t="shared" si="0"/>
        <v/>
      </c>
      <c r="I46" s="197"/>
      <c r="J46" s="197"/>
      <c r="K46" s="198"/>
      <c r="M46" s="6"/>
      <c r="N46" s="7"/>
      <c r="O46" s="8"/>
      <c r="P46" s="8"/>
      <c r="Q46" s="8"/>
      <c r="R46" s="8"/>
      <c r="S46" s="8"/>
      <c r="T46" s="16"/>
      <c r="U46" s="16"/>
      <c r="V46" s="6"/>
    </row>
    <row r="47" spans="1:22" s="5" customFormat="1" ht="6.8" customHeight="1" x14ac:dyDescent="0.3">
      <c r="A47" s="19"/>
      <c r="B47" s="14"/>
      <c r="C47" s="14"/>
      <c r="D47" s="14"/>
      <c r="E47" s="43"/>
      <c r="F47" s="41"/>
      <c r="G47" s="41"/>
      <c r="H47" s="41"/>
      <c r="I47" s="44"/>
      <c r="J47" s="44"/>
      <c r="K47" s="45"/>
      <c r="M47" s="6"/>
      <c r="N47" s="7"/>
      <c r="O47" s="8"/>
      <c r="P47" s="8"/>
      <c r="Q47" s="8"/>
      <c r="R47" s="8"/>
      <c r="S47" s="8"/>
      <c r="T47" s="16"/>
      <c r="U47" s="16"/>
      <c r="V47" s="6"/>
    </row>
    <row r="48" spans="1:22" s="5" customFormat="1" x14ac:dyDescent="0.3">
      <c r="A48" s="19"/>
      <c r="B48" s="38" t="s">
        <v>51</v>
      </c>
      <c r="C48" s="14"/>
      <c r="D48" s="14"/>
      <c r="E48" s="43"/>
      <c r="F48" s="41"/>
      <c r="G48" s="41"/>
      <c r="H48" s="41"/>
      <c r="I48" s="44"/>
      <c r="J48" s="44"/>
      <c r="K48" s="45"/>
      <c r="M48" s="6"/>
      <c r="N48" s="7"/>
      <c r="O48" s="8"/>
      <c r="P48" s="8"/>
      <c r="Q48" s="8"/>
      <c r="R48" s="8"/>
      <c r="S48" s="8"/>
      <c r="T48" s="16"/>
      <c r="U48" s="16"/>
      <c r="V48" s="6"/>
    </row>
    <row r="49" spans="1:22" s="5" customFormat="1" x14ac:dyDescent="0.3">
      <c r="A49" s="19"/>
      <c r="B49" s="14"/>
      <c r="C49" s="14"/>
      <c r="D49" s="33" t="s">
        <v>52</v>
      </c>
      <c r="E49" s="194"/>
      <c r="F49" s="195"/>
      <c r="G49" s="196"/>
      <c r="H49" s="41" t="str">
        <f>IF(E49="No","If no, why not:","")</f>
        <v/>
      </c>
      <c r="I49" s="197"/>
      <c r="J49" s="197"/>
      <c r="K49" s="198"/>
      <c r="M49" s="6"/>
      <c r="N49" s="7"/>
      <c r="O49" s="8"/>
      <c r="P49" s="8"/>
      <c r="Q49" s="8"/>
      <c r="R49" s="8"/>
      <c r="S49" s="8"/>
      <c r="T49" s="16"/>
      <c r="U49" s="16"/>
      <c r="V49" s="6"/>
    </row>
    <row r="50" spans="1:22" s="5" customFormat="1" x14ac:dyDescent="0.3">
      <c r="A50" s="19"/>
      <c r="B50" s="14"/>
      <c r="C50" s="14"/>
      <c r="D50" s="33" t="s">
        <v>53</v>
      </c>
      <c r="E50" s="194"/>
      <c r="F50" s="195"/>
      <c r="G50" s="196"/>
      <c r="H50" s="41" t="str">
        <f>IF(E50="No","If no, why not:","")</f>
        <v/>
      </c>
      <c r="I50" s="197"/>
      <c r="J50" s="197"/>
      <c r="K50" s="198"/>
      <c r="M50" s="6"/>
      <c r="N50" s="7"/>
      <c r="O50" s="8"/>
      <c r="P50" s="8"/>
      <c r="Q50" s="8"/>
      <c r="R50" s="8"/>
      <c r="S50" s="8"/>
      <c r="T50" s="16"/>
      <c r="U50" s="16"/>
      <c r="V50" s="6"/>
    </row>
    <row r="51" spans="1:22" s="5" customFormat="1" x14ac:dyDescent="0.3">
      <c r="A51" s="19"/>
      <c r="B51" s="14"/>
      <c r="C51" s="14"/>
      <c r="D51" s="33" t="s">
        <v>54</v>
      </c>
      <c r="E51" s="194"/>
      <c r="F51" s="195"/>
      <c r="G51" s="196"/>
      <c r="H51" s="41" t="str">
        <f>IF(E51="No","If no, why not:","")</f>
        <v/>
      </c>
      <c r="I51" s="197"/>
      <c r="J51" s="197"/>
      <c r="K51" s="198"/>
      <c r="M51" s="6"/>
      <c r="N51" s="7"/>
      <c r="O51" s="8"/>
      <c r="P51" s="8"/>
      <c r="Q51" s="8"/>
      <c r="R51" s="8"/>
      <c r="S51" s="8"/>
      <c r="T51" s="16"/>
      <c r="U51" s="16"/>
      <c r="V51" s="6"/>
    </row>
    <row r="52" spans="1:22" s="5" customFormat="1" x14ac:dyDescent="0.3">
      <c r="A52" s="19"/>
      <c r="B52" s="14"/>
      <c r="C52" s="14"/>
      <c r="D52" s="33" t="s">
        <v>55</v>
      </c>
      <c r="E52" s="194"/>
      <c r="F52" s="195"/>
      <c r="G52" s="196"/>
      <c r="H52" s="41" t="str">
        <f>IF(E52="No","If no, why not:","")</f>
        <v/>
      </c>
      <c r="I52" s="197"/>
      <c r="J52" s="197"/>
      <c r="K52" s="198"/>
      <c r="M52" s="6"/>
      <c r="N52" s="7"/>
      <c r="O52" s="8"/>
      <c r="P52" s="8"/>
      <c r="Q52" s="8"/>
      <c r="R52" s="8"/>
      <c r="S52" s="8"/>
      <c r="T52" s="16"/>
      <c r="U52" s="16"/>
      <c r="V52" s="6"/>
    </row>
    <row r="53" spans="1:22" s="5" customFormat="1" x14ac:dyDescent="0.3">
      <c r="A53" s="19"/>
      <c r="B53" s="14"/>
      <c r="C53" s="14"/>
      <c r="D53" s="33" t="s">
        <v>56</v>
      </c>
      <c r="E53" s="194"/>
      <c r="F53" s="195"/>
      <c r="G53" s="196"/>
      <c r="H53" s="41" t="str">
        <f>IF(E53="No","If no, why not:","")</f>
        <v/>
      </c>
      <c r="I53" s="197"/>
      <c r="J53" s="197"/>
      <c r="K53" s="198"/>
      <c r="M53" s="6"/>
      <c r="N53" s="7"/>
      <c r="O53" s="8"/>
      <c r="P53" s="8"/>
      <c r="Q53" s="8"/>
      <c r="R53" s="8"/>
      <c r="S53" s="8"/>
      <c r="T53" s="16"/>
      <c r="U53" s="16"/>
      <c r="V53" s="6"/>
    </row>
    <row r="54" spans="1:22" s="5" customFormat="1" ht="6.8" customHeight="1" x14ac:dyDescent="0.3">
      <c r="A54" s="19"/>
      <c r="B54" s="14"/>
      <c r="C54" s="14"/>
      <c r="D54" s="33"/>
      <c r="E54" s="41"/>
      <c r="F54" s="41"/>
      <c r="G54" s="41"/>
      <c r="H54" s="41"/>
      <c r="I54" s="46"/>
      <c r="J54" s="46"/>
      <c r="K54" s="47"/>
      <c r="M54" s="6"/>
      <c r="N54" s="7"/>
      <c r="O54" s="8"/>
      <c r="P54" s="8"/>
      <c r="Q54" s="8"/>
      <c r="R54" s="8"/>
      <c r="S54" s="8"/>
      <c r="T54" s="16"/>
      <c r="U54" s="16"/>
      <c r="V54" s="6"/>
    </row>
    <row r="55" spans="1:22" s="5" customFormat="1" x14ac:dyDescent="0.3">
      <c r="A55" s="19"/>
      <c r="B55" s="38" t="s">
        <v>57</v>
      </c>
      <c r="C55" s="14"/>
      <c r="D55" s="33"/>
      <c r="E55" s="43"/>
      <c r="F55" s="41"/>
      <c r="G55" s="41"/>
      <c r="H55" s="41"/>
      <c r="I55" s="44"/>
      <c r="J55" s="44"/>
      <c r="K55" s="45"/>
      <c r="M55" s="6"/>
      <c r="N55" s="7"/>
      <c r="O55" s="8"/>
      <c r="P55" s="8"/>
      <c r="Q55" s="8"/>
      <c r="R55" s="8"/>
      <c r="S55" s="8"/>
      <c r="T55" s="16"/>
      <c r="U55" s="16"/>
      <c r="V55" s="6"/>
    </row>
    <row r="56" spans="1:22" s="5" customFormat="1" x14ac:dyDescent="0.3">
      <c r="A56" s="19"/>
      <c r="B56" s="48"/>
      <c r="C56" s="14"/>
      <c r="D56" s="33" t="s">
        <v>58</v>
      </c>
      <c r="E56" s="194"/>
      <c r="F56" s="195"/>
      <c r="G56" s="196"/>
      <c r="H56" s="41" t="str">
        <f>IF(E56="No","If no, why not:","")</f>
        <v/>
      </c>
      <c r="I56" s="197"/>
      <c r="J56" s="197"/>
      <c r="K56" s="198"/>
      <c r="M56" s="6"/>
      <c r="N56" s="7"/>
      <c r="O56" s="8"/>
      <c r="P56" s="8"/>
      <c r="Q56" s="8"/>
      <c r="R56" s="8"/>
      <c r="S56" s="8"/>
      <c r="T56" s="16"/>
      <c r="U56" s="16"/>
      <c r="V56" s="6"/>
    </row>
    <row r="57" spans="1:22" s="5" customFormat="1" x14ac:dyDescent="0.3">
      <c r="A57" s="19"/>
      <c r="B57" s="48"/>
      <c r="C57" s="14"/>
      <c r="D57" s="33" t="s">
        <v>59</v>
      </c>
      <c r="E57" s="194"/>
      <c r="F57" s="195"/>
      <c r="G57" s="196"/>
      <c r="H57" s="41" t="str">
        <f>IF(E57="No","If no, why not:","")</f>
        <v/>
      </c>
      <c r="I57" s="197"/>
      <c r="J57" s="197"/>
      <c r="K57" s="198"/>
      <c r="M57" s="6"/>
      <c r="N57" s="7"/>
      <c r="O57" s="8"/>
      <c r="P57" s="8"/>
      <c r="Q57" s="8"/>
      <c r="R57" s="8"/>
      <c r="S57" s="8"/>
      <c r="T57" s="16"/>
      <c r="U57" s="16"/>
      <c r="V57" s="6"/>
    </row>
    <row r="58" spans="1:22" s="5" customFormat="1" ht="6.8" customHeight="1" x14ac:dyDescent="0.3">
      <c r="A58" s="19"/>
      <c r="B58" s="14"/>
      <c r="C58" s="14"/>
      <c r="D58" s="33"/>
      <c r="E58" s="41"/>
      <c r="F58" s="41"/>
      <c r="G58" s="41"/>
      <c r="H58" s="41"/>
      <c r="I58" s="44"/>
      <c r="J58" s="44"/>
      <c r="K58" s="45"/>
      <c r="M58" s="6"/>
      <c r="N58" s="7"/>
      <c r="O58" s="8"/>
      <c r="P58" s="8"/>
      <c r="Q58" s="8"/>
      <c r="R58" s="8"/>
      <c r="S58" s="8"/>
      <c r="T58" s="16"/>
      <c r="U58" s="16"/>
      <c r="V58" s="6"/>
    </row>
    <row r="59" spans="1:22" s="5" customFormat="1" x14ac:dyDescent="0.3">
      <c r="A59" s="19"/>
      <c r="B59" s="38" t="s">
        <v>60</v>
      </c>
      <c r="C59" s="14"/>
      <c r="D59" s="33"/>
      <c r="E59" s="43"/>
      <c r="F59" s="41"/>
      <c r="G59" s="41"/>
      <c r="H59" s="41"/>
      <c r="I59" s="44"/>
      <c r="J59" s="44"/>
      <c r="K59" s="45"/>
      <c r="M59" s="6"/>
      <c r="N59" s="7"/>
      <c r="O59" s="8"/>
      <c r="P59" s="8"/>
      <c r="Q59" s="8"/>
      <c r="R59" s="8"/>
      <c r="S59" s="8"/>
      <c r="T59" s="16"/>
      <c r="U59" s="16"/>
      <c r="V59" s="6"/>
    </row>
    <row r="60" spans="1:22" s="5" customFormat="1" x14ac:dyDescent="0.3">
      <c r="A60" s="19"/>
      <c r="B60" s="14"/>
      <c r="C60" s="14"/>
      <c r="D60" s="33" t="s">
        <v>61</v>
      </c>
      <c r="E60" s="194"/>
      <c r="F60" s="195"/>
      <c r="G60" s="196"/>
      <c r="H60" s="41" t="str">
        <f>IF(E60="No","If no, why not:","")</f>
        <v/>
      </c>
      <c r="I60" s="197"/>
      <c r="J60" s="197"/>
      <c r="K60" s="198"/>
      <c r="M60" s="6"/>
      <c r="N60" s="7"/>
      <c r="O60" s="8"/>
      <c r="P60" s="8"/>
      <c r="Q60" s="8"/>
      <c r="R60" s="8"/>
      <c r="S60" s="8"/>
      <c r="T60" s="16"/>
      <c r="U60" s="16"/>
      <c r="V60" s="6"/>
    </row>
    <row r="61" spans="1:22" s="5" customFormat="1" x14ac:dyDescent="0.3">
      <c r="A61" s="19"/>
      <c r="B61" s="14"/>
      <c r="C61" s="14"/>
      <c r="D61" s="33" t="s">
        <v>62</v>
      </c>
      <c r="E61" s="194"/>
      <c r="F61" s="195"/>
      <c r="G61" s="196"/>
      <c r="H61" s="41" t="str">
        <f>IF(E61="No","If no, why not:","")</f>
        <v/>
      </c>
      <c r="I61" s="197"/>
      <c r="J61" s="197"/>
      <c r="K61" s="198"/>
      <c r="M61" s="6"/>
      <c r="N61" s="7"/>
      <c r="O61" s="8"/>
      <c r="P61" s="8"/>
      <c r="Q61" s="8"/>
      <c r="R61" s="8"/>
      <c r="S61" s="8"/>
      <c r="T61" s="16"/>
      <c r="U61" s="16"/>
      <c r="V61" s="6"/>
    </row>
    <row r="62" spans="1:22" s="5" customFormat="1" x14ac:dyDescent="0.3">
      <c r="A62" s="19"/>
      <c r="B62" s="14"/>
      <c r="C62" s="14"/>
      <c r="D62" s="33" t="s">
        <v>63</v>
      </c>
      <c r="E62" s="194"/>
      <c r="F62" s="195"/>
      <c r="G62" s="196"/>
      <c r="H62" s="41" t="str">
        <f>IF(E62="No","If no, why not:","")</f>
        <v/>
      </c>
      <c r="I62" s="197"/>
      <c r="J62" s="197"/>
      <c r="K62" s="198"/>
      <c r="M62" s="6"/>
      <c r="N62" s="7"/>
      <c r="O62" s="8"/>
      <c r="P62" s="8"/>
      <c r="Q62" s="8"/>
      <c r="R62" s="8"/>
      <c r="S62" s="8"/>
      <c r="T62" s="16"/>
      <c r="U62" s="16"/>
      <c r="V62" s="6"/>
    </row>
    <row r="63" spans="1:22" s="5" customFormat="1" x14ac:dyDescent="0.3">
      <c r="A63" s="19"/>
      <c r="B63" s="14"/>
      <c r="C63" s="14"/>
      <c r="D63" s="33" t="s">
        <v>64</v>
      </c>
      <c r="E63" s="194"/>
      <c r="F63" s="195"/>
      <c r="G63" s="196"/>
      <c r="H63" s="41" t="str">
        <f>IF(E63="No","If no, why not:","")</f>
        <v/>
      </c>
      <c r="I63" s="197"/>
      <c r="J63" s="197"/>
      <c r="K63" s="198"/>
      <c r="M63" s="6"/>
      <c r="N63" s="7"/>
      <c r="O63" s="8"/>
      <c r="P63" s="8"/>
      <c r="Q63" s="8"/>
      <c r="R63" s="8"/>
      <c r="S63" s="8"/>
      <c r="T63" s="16"/>
      <c r="U63" s="16"/>
      <c r="V63" s="6"/>
    </row>
    <row r="64" spans="1:22" s="5" customFormat="1" x14ac:dyDescent="0.3">
      <c r="A64" s="19"/>
      <c r="B64" s="14"/>
      <c r="C64" s="14"/>
      <c r="D64" s="33" t="s">
        <v>65</v>
      </c>
      <c r="E64" s="194"/>
      <c r="F64" s="195"/>
      <c r="G64" s="196"/>
      <c r="H64" s="41" t="str">
        <f>IF(E64="No","If no, why not:","")</f>
        <v/>
      </c>
      <c r="I64" s="197"/>
      <c r="J64" s="197"/>
      <c r="K64" s="198"/>
      <c r="M64" s="6"/>
      <c r="N64" s="7"/>
      <c r="O64" s="8"/>
      <c r="P64" s="8"/>
      <c r="Q64" s="8"/>
      <c r="R64" s="8"/>
      <c r="S64" s="8"/>
      <c r="T64" s="16"/>
      <c r="U64" s="16"/>
      <c r="V64" s="6"/>
    </row>
    <row r="65" spans="1:22" s="5" customFormat="1" x14ac:dyDescent="0.3">
      <c r="A65" s="19"/>
      <c r="B65" s="14"/>
      <c r="C65" s="14"/>
      <c r="D65" s="33" t="s">
        <v>66</v>
      </c>
      <c r="E65" s="39"/>
      <c r="F65" s="40"/>
      <c r="G65" s="40"/>
      <c r="H65" s="41" t="str">
        <f>IF(E65="Long-term frequency","If long-term frequency, why:","")</f>
        <v/>
      </c>
      <c r="I65" s="197"/>
      <c r="J65" s="197"/>
      <c r="K65" s="198"/>
      <c r="M65" s="6"/>
      <c r="N65" s="7"/>
      <c r="O65" s="8"/>
      <c r="P65" s="8"/>
      <c r="Q65" s="8"/>
      <c r="R65" s="8"/>
      <c r="S65" s="8"/>
      <c r="T65" s="16"/>
      <c r="U65" s="16"/>
      <c r="V65" s="6"/>
    </row>
    <row r="66" spans="1:22" s="5" customFormat="1" ht="6.8" customHeight="1" x14ac:dyDescent="0.3">
      <c r="A66" s="19"/>
      <c r="B66" s="14"/>
      <c r="C66" s="14"/>
      <c r="D66" s="33"/>
      <c r="E66" s="41"/>
      <c r="F66" s="41"/>
      <c r="G66" s="41"/>
      <c r="H66" s="41"/>
      <c r="I66" s="44"/>
      <c r="J66" s="44"/>
      <c r="K66" s="45"/>
      <c r="M66" s="6"/>
      <c r="N66" s="7"/>
      <c r="O66" s="8"/>
      <c r="P66" s="8"/>
      <c r="Q66" s="8"/>
      <c r="R66" s="8"/>
      <c r="S66" s="8"/>
      <c r="T66" s="16"/>
      <c r="U66" s="16"/>
      <c r="V66" s="6"/>
    </row>
    <row r="67" spans="1:22" s="5" customFormat="1" x14ac:dyDescent="0.3">
      <c r="A67" s="19"/>
      <c r="B67" s="38" t="s">
        <v>67</v>
      </c>
      <c r="C67" s="14"/>
      <c r="D67" s="33"/>
      <c r="E67" s="43"/>
      <c r="F67" s="41"/>
      <c r="G67" s="41"/>
      <c r="H67" s="41"/>
      <c r="I67" s="44"/>
      <c r="J67" s="44"/>
      <c r="K67" s="45"/>
      <c r="M67" s="6"/>
      <c r="N67" s="7"/>
      <c r="O67" s="8"/>
      <c r="P67" s="8"/>
      <c r="Q67" s="8"/>
      <c r="R67" s="8"/>
      <c r="S67" s="8"/>
      <c r="T67" s="16"/>
      <c r="U67" s="16"/>
      <c r="V67" s="6"/>
    </row>
    <row r="68" spans="1:22" s="5" customFormat="1" x14ac:dyDescent="0.3">
      <c r="A68" s="19"/>
      <c r="B68" s="14"/>
      <c r="C68" s="14"/>
      <c r="D68" s="33" t="s">
        <v>68</v>
      </c>
      <c r="E68" s="39"/>
      <c r="F68" s="40"/>
      <c r="G68" s="41"/>
      <c r="H68" s="41" t="str">
        <f t="shared" ref="H68:H75" si="1">IF(E68="No","If no, why not:","")</f>
        <v/>
      </c>
      <c r="I68" s="197"/>
      <c r="J68" s="197"/>
      <c r="K68" s="198"/>
      <c r="M68" s="6"/>
      <c r="N68" s="7"/>
      <c r="O68" s="8"/>
      <c r="P68" s="8"/>
      <c r="Q68" s="8"/>
      <c r="R68" s="8"/>
      <c r="S68" s="8"/>
      <c r="T68" s="16"/>
      <c r="U68" s="16"/>
      <c r="V68" s="6"/>
    </row>
    <row r="69" spans="1:22" s="5" customFormat="1" x14ac:dyDescent="0.3">
      <c r="A69" s="19"/>
      <c r="B69" s="14"/>
      <c r="C69" s="14"/>
      <c r="D69" s="33" t="s">
        <v>69</v>
      </c>
      <c r="E69" s="39"/>
      <c r="F69" s="40"/>
      <c r="G69" s="41"/>
      <c r="H69" s="41" t="str">
        <f t="shared" si="1"/>
        <v/>
      </c>
      <c r="I69" s="197"/>
      <c r="J69" s="197"/>
      <c r="K69" s="198"/>
      <c r="M69" s="6"/>
      <c r="N69" s="7"/>
      <c r="O69" s="8"/>
      <c r="P69" s="8"/>
      <c r="Q69" s="8"/>
      <c r="R69" s="8"/>
      <c r="S69" s="8"/>
      <c r="T69" s="16"/>
      <c r="U69" s="16"/>
      <c r="V69" s="6"/>
    </row>
    <row r="70" spans="1:22" s="5" customFormat="1" x14ac:dyDescent="0.3">
      <c r="A70" s="19"/>
      <c r="B70" s="14"/>
      <c r="C70" s="14"/>
      <c r="D70" s="33" t="s">
        <v>70</v>
      </c>
      <c r="E70" s="42"/>
      <c r="F70" s="40"/>
      <c r="G70" s="41"/>
      <c r="H70" s="41" t="str">
        <f t="shared" si="1"/>
        <v/>
      </c>
      <c r="I70" s="197"/>
      <c r="J70" s="197"/>
      <c r="K70" s="198"/>
      <c r="M70" s="6"/>
      <c r="N70" s="7"/>
      <c r="O70" s="8"/>
      <c r="P70" s="8"/>
      <c r="Q70" s="8"/>
      <c r="R70" s="8"/>
      <c r="S70" s="8"/>
      <c r="T70" s="16"/>
      <c r="U70" s="16"/>
      <c r="V70" s="6"/>
    </row>
    <row r="71" spans="1:22" s="5" customFormat="1" x14ac:dyDescent="0.3">
      <c r="A71" s="19"/>
      <c r="B71" s="14"/>
      <c r="C71" s="14"/>
      <c r="D71" s="33" t="s">
        <v>71</v>
      </c>
      <c r="E71" s="42"/>
      <c r="F71" s="40"/>
      <c r="G71" s="41"/>
      <c r="H71" s="41" t="str">
        <f t="shared" si="1"/>
        <v/>
      </c>
      <c r="I71" s="197"/>
      <c r="J71" s="197"/>
      <c r="K71" s="198"/>
      <c r="M71" s="6"/>
      <c r="N71" s="7"/>
      <c r="O71" s="8"/>
      <c r="P71" s="8"/>
      <c r="Q71" s="8"/>
      <c r="R71" s="8"/>
      <c r="S71" s="8"/>
      <c r="T71" s="16"/>
      <c r="U71" s="16"/>
      <c r="V71" s="6"/>
    </row>
    <row r="72" spans="1:22" s="5" customFormat="1" x14ac:dyDescent="0.3">
      <c r="A72" s="19"/>
      <c r="B72" s="14"/>
      <c r="C72" s="14"/>
      <c r="D72" s="33" t="s">
        <v>72</v>
      </c>
      <c r="E72" s="194"/>
      <c r="F72" s="196"/>
      <c r="G72" s="41"/>
      <c r="H72" s="41" t="str">
        <f t="shared" si="1"/>
        <v/>
      </c>
      <c r="I72" s="197"/>
      <c r="J72" s="197"/>
      <c r="K72" s="198"/>
      <c r="M72" s="6"/>
      <c r="N72" s="7"/>
      <c r="O72" s="8"/>
      <c r="P72" s="8"/>
      <c r="Q72" s="8"/>
      <c r="R72" s="8"/>
      <c r="S72" s="8"/>
      <c r="T72" s="16"/>
      <c r="U72" s="16"/>
      <c r="V72" s="6"/>
    </row>
    <row r="73" spans="1:22" s="5" customFormat="1" x14ac:dyDescent="0.3">
      <c r="A73" s="19"/>
      <c r="B73" s="14"/>
      <c r="C73" s="14"/>
      <c r="D73" s="33" t="s">
        <v>73</v>
      </c>
      <c r="E73" s="194"/>
      <c r="F73" s="196"/>
      <c r="G73" s="41"/>
      <c r="H73" s="41" t="str">
        <f t="shared" si="1"/>
        <v/>
      </c>
      <c r="I73" s="197"/>
      <c r="J73" s="197"/>
      <c r="K73" s="198"/>
      <c r="M73" s="6"/>
      <c r="N73" s="7"/>
      <c r="O73" s="8"/>
      <c r="P73" s="8"/>
      <c r="Q73" s="8"/>
      <c r="R73" s="8"/>
      <c r="S73" s="8"/>
      <c r="T73" s="16"/>
      <c r="U73" s="16"/>
      <c r="V73" s="6"/>
    </row>
    <row r="74" spans="1:22" s="5" customFormat="1" x14ac:dyDescent="0.3">
      <c r="A74" s="19"/>
      <c r="B74" s="14"/>
      <c r="C74" s="14"/>
      <c r="D74" s="33" t="s">
        <v>74</v>
      </c>
      <c r="E74" s="39"/>
      <c r="F74" s="40"/>
      <c r="G74" s="41"/>
      <c r="H74" s="41" t="str">
        <f t="shared" si="1"/>
        <v/>
      </c>
      <c r="I74" s="197"/>
      <c r="J74" s="197"/>
      <c r="K74" s="198"/>
      <c r="M74" s="6"/>
      <c r="N74" s="7"/>
      <c r="O74" s="8"/>
      <c r="P74" s="8"/>
      <c r="Q74" s="8"/>
      <c r="R74" s="8"/>
      <c r="S74" s="8"/>
      <c r="T74" s="16"/>
      <c r="U74" s="16"/>
      <c r="V74" s="6"/>
    </row>
    <row r="75" spans="1:22" s="5" customFormat="1" x14ac:dyDescent="0.3">
      <c r="A75" s="19"/>
      <c r="B75" s="14"/>
      <c r="C75" s="14"/>
      <c r="D75" s="33" t="s">
        <v>75</v>
      </c>
      <c r="E75" s="39"/>
      <c r="F75" s="40"/>
      <c r="G75" s="41"/>
      <c r="H75" s="41" t="str">
        <f t="shared" si="1"/>
        <v/>
      </c>
      <c r="I75" s="197"/>
      <c r="J75" s="197"/>
      <c r="K75" s="198"/>
      <c r="M75" s="6"/>
      <c r="N75" s="7"/>
      <c r="O75" s="8"/>
      <c r="P75" s="8"/>
      <c r="Q75" s="8"/>
      <c r="R75" s="8"/>
      <c r="S75" s="8"/>
      <c r="T75" s="16"/>
      <c r="U75" s="16"/>
      <c r="V75" s="6"/>
    </row>
    <row r="76" spans="1:22" s="5" customFormat="1" ht="6.8" customHeight="1" x14ac:dyDescent="0.3">
      <c r="A76" s="19"/>
      <c r="B76" s="14"/>
      <c r="C76" s="14"/>
      <c r="D76" s="14"/>
      <c r="E76" s="49"/>
      <c r="F76" s="14"/>
      <c r="G76" s="50"/>
      <c r="H76" s="50"/>
      <c r="I76" s="44"/>
      <c r="J76" s="44"/>
      <c r="K76" s="45"/>
      <c r="M76" s="6"/>
      <c r="N76" s="7"/>
      <c r="O76" s="8"/>
      <c r="P76" s="8"/>
      <c r="Q76" s="8"/>
      <c r="R76" s="8"/>
      <c r="S76" s="8"/>
      <c r="T76" s="16"/>
      <c r="U76" s="16"/>
      <c r="V76" s="6"/>
    </row>
    <row r="77" spans="1:22" s="5" customFormat="1" x14ac:dyDescent="0.3">
      <c r="A77" s="19"/>
      <c r="B77" s="14"/>
      <c r="C77" s="14"/>
      <c r="D77" s="14"/>
      <c r="E77" s="14"/>
      <c r="F77" s="33" t="s">
        <v>76</v>
      </c>
      <c r="G77" s="51"/>
      <c r="H77" s="40"/>
      <c r="I77" s="44"/>
      <c r="J77" s="44"/>
      <c r="K77" s="45"/>
      <c r="M77" s="6"/>
      <c r="N77" s="7"/>
      <c r="O77" s="8"/>
      <c r="P77" s="8"/>
      <c r="Q77" s="8"/>
      <c r="R77" s="8"/>
      <c r="S77" s="8"/>
      <c r="T77" s="16"/>
      <c r="U77" s="16"/>
      <c r="V77" s="6"/>
    </row>
    <row r="78" spans="1:22" s="5" customFormat="1" x14ac:dyDescent="0.3">
      <c r="A78" s="19"/>
      <c r="B78" s="14"/>
      <c r="C78" s="14"/>
      <c r="D78" s="14"/>
      <c r="E78" s="14"/>
      <c r="F78" s="33" t="s">
        <v>77</v>
      </c>
      <c r="G78" s="39"/>
      <c r="H78" s="40"/>
      <c r="I78" s="44"/>
      <c r="J78" s="44"/>
      <c r="K78" s="45"/>
      <c r="M78" s="6"/>
      <c r="N78" s="7"/>
      <c r="O78" s="8"/>
      <c r="P78" s="8"/>
      <c r="Q78" s="8"/>
      <c r="R78" s="8"/>
      <c r="S78" s="8"/>
      <c r="T78" s="16"/>
      <c r="U78" s="16"/>
      <c r="V78" s="6"/>
    </row>
    <row r="79" spans="1:22" s="5" customFormat="1" ht="6.8" customHeight="1" x14ac:dyDescent="0.3">
      <c r="A79" s="19"/>
      <c r="B79" s="14"/>
      <c r="C79" s="14"/>
      <c r="D79" s="14"/>
      <c r="E79" s="14"/>
      <c r="F79" s="14"/>
      <c r="G79" s="40"/>
      <c r="H79" s="40"/>
      <c r="I79" s="44"/>
      <c r="J79" s="44"/>
      <c r="K79" s="45"/>
      <c r="M79" s="6"/>
      <c r="N79" s="7"/>
      <c r="O79" s="8"/>
      <c r="P79" s="8"/>
      <c r="Q79" s="8"/>
      <c r="R79" s="16"/>
      <c r="S79" s="16"/>
      <c r="T79" s="16"/>
      <c r="U79" s="16"/>
      <c r="V79" s="6"/>
    </row>
    <row r="80" spans="1:22" s="5" customFormat="1" x14ac:dyDescent="0.3">
      <c r="A80" s="19"/>
      <c r="B80" s="14"/>
      <c r="C80" s="14"/>
      <c r="D80" s="14"/>
      <c r="E80" s="14"/>
      <c r="F80" s="33" t="s">
        <v>78</v>
      </c>
      <c r="G80" s="42"/>
      <c r="H80" s="40"/>
      <c r="I80" s="44"/>
      <c r="J80" s="44"/>
      <c r="K80" s="45"/>
      <c r="M80" s="6"/>
      <c r="N80" s="7"/>
      <c r="O80" s="8"/>
      <c r="P80" s="8"/>
      <c r="Q80" s="8"/>
      <c r="R80" s="16"/>
      <c r="S80" s="16"/>
      <c r="T80" s="16"/>
      <c r="U80" s="16"/>
      <c r="V80" s="6"/>
    </row>
    <row r="81" spans="1:22" s="5" customFormat="1" x14ac:dyDescent="0.3">
      <c r="A81" s="19"/>
      <c r="B81" s="14"/>
      <c r="C81" s="14"/>
      <c r="D81" s="14"/>
      <c r="E81" s="14"/>
      <c r="F81" s="33" t="s">
        <v>79</v>
      </c>
      <c r="G81" s="202"/>
      <c r="H81" s="203"/>
      <c r="I81" s="14"/>
      <c r="J81" s="14"/>
      <c r="K81" s="15"/>
      <c r="M81" s="6"/>
      <c r="N81" s="7"/>
      <c r="O81" s="8"/>
      <c r="P81" s="8"/>
      <c r="Q81" s="8"/>
      <c r="R81" s="16"/>
      <c r="S81" s="16"/>
      <c r="T81" s="16"/>
      <c r="U81" s="16"/>
      <c r="V81" s="6"/>
    </row>
    <row r="82" spans="1:22" s="5" customFormat="1" x14ac:dyDescent="0.3">
      <c r="A82" s="19"/>
      <c r="B82" s="14"/>
      <c r="C82" s="14"/>
      <c r="D82" s="14"/>
      <c r="E82" s="14"/>
      <c r="F82" s="14"/>
      <c r="G82" s="204"/>
      <c r="H82" s="205"/>
      <c r="I82" s="14"/>
      <c r="J82" s="14"/>
      <c r="K82" s="15"/>
      <c r="M82" s="8"/>
      <c r="N82" s="8"/>
      <c r="O82" s="8"/>
      <c r="P82" s="8"/>
      <c r="Q82" s="8"/>
      <c r="R82" s="16"/>
      <c r="S82" s="16"/>
      <c r="T82" s="16"/>
      <c r="U82" s="16"/>
      <c r="V82" s="16"/>
    </row>
    <row r="83" spans="1:22" s="5" customFormat="1" ht="6.8" customHeight="1" x14ac:dyDescent="0.3">
      <c r="A83" s="52"/>
      <c r="B83" s="53"/>
      <c r="C83" s="53"/>
      <c r="D83" s="53"/>
      <c r="E83" s="53"/>
      <c r="F83" s="53"/>
      <c r="G83" s="54"/>
      <c r="H83" s="54"/>
      <c r="I83" s="53"/>
      <c r="J83" s="53"/>
      <c r="K83" s="55"/>
      <c r="M83" s="8"/>
      <c r="N83" s="8"/>
      <c r="O83" s="8"/>
      <c r="P83" s="8"/>
      <c r="Q83" s="8"/>
      <c r="R83" s="16"/>
      <c r="S83" s="16"/>
      <c r="T83" s="16"/>
      <c r="U83" s="16"/>
      <c r="V83" s="16"/>
    </row>
    <row r="84" spans="1:22" s="5" customFormat="1" x14ac:dyDescent="0.3">
      <c r="M84" s="16"/>
      <c r="N84" s="16"/>
      <c r="O84" s="16"/>
      <c r="P84" s="16"/>
      <c r="Q84" s="16"/>
      <c r="R84" s="16"/>
      <c r="S84" s="16"/>
      <c r="T84" s="16"/>
      <c r="U84" s="16"/>
      <c r="V84" s="16"/>
    </row>
    <row r="85" spans="1:22" s="16" customFormat="1" x14ac:dyDescent="0.3"/>
    <row r="86" spans="1:22" s="16" customFormat="1" x14ac:dyDescent="0.3">
      <c r="E86" s="6"/>
      <c r="F86" s="6"/>
      <c r="G86" s="6"/>
      <c r="H86" s="6"/>
    </row>
    <row r="87" spans="1:22" s="16" customFormat="1" x14ac:dyDescent="0.3">
      <c r="E87" s="7"/>
      <c r="F87" s="7"/>
      <c r="G87" s="7"/>
      <c r="H87" s="7"/>
      <c r="I87" s="7"/>
    </row>
    <row r="88" spans="1:22" s="16" customFormat="1" x14ac:dyDescent="0.3">
      <c r="E88" s="7"/>
      <c r="F88" s="7"/>
      <c r="G88" s="7"/>
      <c r="H88" s="7"/>
    </row>
    <row r="89" spans="1:22" s="16" customFormat="1" x14ac:dyDescent="0.3">
      <c r="E89" s="7"/>
      <c r="F89" s="7"/>
      <c r="G89" s="7"/>
      <c r="H89" s="7"/>
    </row>
    <row r="90" spans="1:22" s="16" customFormat="1" x14ac:dyDescent="0.3">
      <c r="E90" s="7"/>
      <c r="F90" s="7"/>
      <c r="G90" s="7"/>
      <c r="H90" s="7"/>
    </row>
    <row r="91" spans="1:22" s="16" customFormat="1" x14ac:dyDescent="0.3">
      <c r="E91" s="7"/>
      <c r="F91" s="7"/>
      <c r="G91" s="7"/>
      <c r="H91" s="7"/>
    </row>
    <row r="92" spans="1:22" s="16" customFormat="1" x14ac:dyDescent="0.3"/>
    <row r="93" spans="1:22" s="16" customFormat="1" x14ac:dyDescent="0.3"/>
    <row r="94" spans="1:22" s="16" customFormat="1" x14ac:dyDescent="0.3"/>
    <row r="95" spans="1:22" s="16" customFormat="1" x14ac:dyDescent="0.3"/>
    <row r="96" spans="1:22" s="16" customFormat="1" x14ac:dyDescent="0.3"/>
    <row r="97" spans="1:22" s="5" customFormat="1" x14ac:dyDescent="0.3">
      <c r="M97" s="16"/>
      <c r="N97" s="16"/>
      <c r="O97" s="16"/>
      <c r="P97" s="16"/>
      <c r="Q97" s="16"/>
      <c r="R97" s="16"/>
      <c r="S97" s="16"/>
      <c r="T97" s="16"/>
      <c r="U97" s="16"/>
      <c r="V97" s="16"/>
    </row>
    <row r="98" spans="1:22" s="5" customFormat="1" x14ac:dyDescent="0.3">
      <c r="M98" s="16"/>
      <c r="N98" s="16"/>
      <c r="O98" s="16"/>
      <c r="P98" s="16"/>
      <c r="Q98" s="16"/>
      <c r="R98" s="16"/>
      <c r="S98" s="16"/>
      <c r="T98" s="16"/>
      <c r="U98" s="16"/>
      <c r="V98" s="16"/>
    </row>
    <row r="99" spans="1:22" s="5" customFormat="1" x14ac:dyDescent="0.3">
      <c r="E99" s="6"/>
      <c r="F99" s="6"/>
      <c r="G99" s="6"/>
      <c r="H99" s="6"/>
      <c r="I99" s="16"/>
      <c r="M99" s="16"/>
      <c r="N99" s="16"/>
      <c r="O99" s="16"/>
      <c r="P99" s="16"/>
      <c r="Q99" s="16"/>
      <c r="R99" s="16"/>
      <c r="S99" s="16"/>
      <c r="T99" s="16"/>
      <c r="U99" s="16"/>
      <c r="V99" s="16"/>
    </row>
    <row r="100" spans="1:22" s="5" customFormat="1" x14ac:dyDescent="0.3">
      <c r="M100" s="16"/>
      <c r="N100" s="16"/>
      <c r="O100" s="16"/>
      <c r="P100" s="16"/>
      <c r="Q100" s="16"/>
      <c r="R100" s="16"/>
      <c r="S100" s="16"/>
      <c r="T100" s="16"/>
      <c r="U100" s="16"/>
      <c r="V100" s="16"/>
    </row>
    <row r="101" spans="1:22" s="5" customFormat="1" x14ac:dyDescent="0.3">
      <c r="M101" s="16"/>
      <c r="N101" s="16"/>
      <c r="O101" s="16"/>
      <c r="P101" s="16"/>
      <c r="Q101" s="16"/>
      <c r="R101" s="16"/>
      <c r="S101" s="16"/>
      <c r="T101" s="16"/>
      <c r="U101" s="16"/>
      <c r="V101" s="16"/>
    </row>
    <row r="102" spans="1:22" s="5" customFormat="1" x14ac:dyDescent="0.3">
      <c r="M102" s="16"/>
      <c r="N102" s="16"/>
      <c r="O102" s="16"/>
      <c r="P102" s="16"/>
      <c r="Q102" s="16"/>
      <c r="R102" s="16"/>
      <c r="S102" s="16"/>
      <c r="T102" s="16"/>
      <c r="U102" s="16"/>
      <c r="V102" s="16"/>
    </row>
    <row r="103" spans="1:22" s="5" customFormat="1" x14ac:dyDescent="0.3">
      <c r="A103" s="56"/>
      <c r="B103" s="56"/>
      <c r="C103" s="56"/>
      <c r="D103" s="56"/>
      <c r="E103" s="56"/>
      <c r="F103" s="56"/>
      <c r="G103" s="56"/>
      <c r="H103" s="56"/>
      <c r="I103" s="56"/>
      <c r="J103" s="56"/>
      <c r="K103" s="56"/>
      <c r="M103" s="16"/>
      <c r="N103" s="16"/>
      <c r="O103" s="16"/>
      <c r="P103" s="16"/>
      <c r="Q103" s="16"/>
      <c r="R103" s="16"/>
      <c r="S103" s="16"/>
      <c r="T103" s="16"/>
      <c r="U103" s="16"/>
      <c r="V103" s="16"/>
    </row>
    <row r="104" spans="1:22" s="5" customFormat="1" x14ac:dyDescent="0.3">
      <c r="A104" s="56"/>
      <c r="B104" s="56"/>
      <c r="C104" s="56"/>
      <c r="D104" s="56"/>
      <c r="E104" s="56"/>
      <c r="F104" s="56"/>
      <c r="G104" s="56"/>
      <c r="H104" s="56"/>
      <c r="I104" s="56"/>
      <c r="J104" s="56"/>
      <c r="K104" s="56"/>
      <c r="M104" s="16"/>
      <c r="N104" s="16"/>
      <c r="O104" s="16"/>
      <c r="P104" s="16"/>
      <c r="Q104" s="16"/>
      <c r="R104" s="16"/>
      <c r="S104" s="16"/>
      <c r="T104" s="16"/>
      <c r="U104" s="16"/>
      <c r="V104" s="16"/>
    </row>
    <row r="105" spans="1:22" s="5" customFormat="1" x14ac:dyDescent="0.3">
      <c r="A105" s="56"/>
      <c r="B105" s="56"/>
      <c r="C105" s="56"/>
      <c r="D105" s="56"/>
      <c r="E105" s="56"/>
      <c r="F105" s="56"/>
      <c r="G105" s="56"/>
      <c r="H105" s="56"/>
      <c r="I105" s="56"/>
      <c r="J105" s="56"/>
      <c r="K105" s="56"/>
      <c r="M105" s="16"/>
      <c r="N105" s="16"/>
      <c r="O105" s="16"/>
      <c r="P105" s="16"/>
      <c r="Q105" s="16"/>
      <c r="R105" s="16"/>
      <c r="S105" s="16"/>
      <c r="T105" s="16"/>
      <c r="U105" s="16"/>
      <c r="V105" s="16"/>
    </row>
    <row r="106" spans="1:22" s="5" customFormat="1" x14ac:dyDescent="0.3">
      <c r="A106" s="56"/>
      <c r="B106" s="56"/>
      <c r="C106" s="56"/>
      <c r="D106" s="56"/>
      <c r="E106" s="56"/>
      <c r="F106" s="56"/>
      <c r="G106" s="56"/>
      <c r="H106" s="56"/>
      <c r="I106" s="56"/>
      <c r="J106" s="56"/>
      <c r="K106" s="56"/>
      <c r="M106" s="16"/>
      <c r="N106" s="16"/>
      <c r="O106" s="16"/>
      <c r="P106" s="16"/>
      <c r="Q106" s="16"/>
      <c r="R106" s="16"/>
      <c r="S106" s="16"/>
      <c r="T106" s="16"/>
      <c r="U106" s="16"/>
      <c r="V106" s="16"/>
    </row>
    <row r="107" spans="1:22" s="5" customFormat="1" x14ac:dyDescent="0.3">
      <c r="A107" s="56"/>
      <c r="B107" s="56"/>
      <c r="C107" s="56"/>
      <c r="D107" s="56"/>
      <c r="E107" s="56"/>
      <c r="F107" s="56"/>
      <c r="G107" s="56"/>
      <c r="H107" s="56"/>
      <c r="I107" s="56"/>
      <c r="J107" s="56"/>
      <c r="K107" s="56"/>
      <c r="M107" s="16"/>
      <c r="N107" s="16"/>
      <c r="O107" s="16"/>
      <c r="P107" s="16"/>
      <c r="Q107" s="16"/>
      <c r="R107" s="16"/>
      <c r="S107" s="16"/>
      <c r="T107" s="16"/>
      <c r="U107" s="16"/>
      <c r="V107" s="16"/>
    </row>
    <row r="108" spans="1:22" s="5" customFormat="1" x14ac:dyDescent="0.3">
      <c r="A108" s="56"/>
      <c r="B108" s="56"/>
      <c r="C108" s="56"/>
      <c r="D108" s="56"/>
      <c r="E108" s="56"/>
      <c r="F108" s="56"/>
      <c r="G108" s="56"/>
      <c r="H108" s="56"/>
      <c r="I108" s="56"/>
      <c r="J108" s="56"/>
      <c r="K108" s="56"/>
      <c r="M108" s="16"/>
      <c r="N108" s="16"/>
      <c r="O108" s="16"/>
      <c r="P108" s="16"/>
      <c r="Q108" s="16"/>
      <c r="R108" s="16"/>
      <c r="S108" s="16"/>
      <c r="T108" s="16"/>
      <c r="U108" s="16"/>
      <c r="V108" s="16"/>
    </row>
    <row r="109" spans="1:22" s="5" customFormat="1" x14ac:dyDescent="0.3">
      <c r="A109" s="56"/>
      <c r="B109" s="56"/>
      <c r="C109" s="56"/>
      <c r="D109" s="56"/>
      <c r="E109" s="56"/>
      <c r="F109" s="56"/>
      <c r="G109" s="56"/>
      <c r="H109" s="56"/>
      <c r="I109" s="56"/>
      <c r="J109" s="56"/>
      <c r="K109" s="56"/>
      <c r="M109" s="16"/>
      <c r="N109" s="16"/>
      <c r="O109" s="16"/>
      <c r="P109" s="16"/>
      <c r="Q109" s="16"/>
      <c r="R109" s="16"/>
      <c r="S109" s="16"/>
      <c r="T109" s="16"/>
      <c r="U109" s="16"/>
      <c r="V109" s="16"/>
    </row>
    <row r="110" spans="1:22" s="5" customFormat="1" x14ac:dyDescent="0.3">
      <c r="A110" s="56"/>
      <c r="B110" s="56"/>
      <c r="C110" s="56"/>
      <c r="D110" s="56"/>
      <c r="E110" s="56"/>
      <c r="F110" s="56"/>
      <c r="G110" s="56"/>
      <c r="H110" s="56"/>
      <c r="I110" s="56"/>
      <c r="J110" s="56"/>
      <c r="K110" s="56"/>
      <c r="M110" s="16"/>
      <c r="N110" s="16"/>
      <c r="O110" s="16"/>
      <c r="P110" s="16"/>
      <c r="Q110" s="16"/>
      <c r="R110" s="16"/>
      <c r="S110" s="16"/>
      <c r="T110" s="16"/>
      <c r="U110" s="16"/>
      <c r="V110" s="16"/>
    </row>
    <row r="111" spans="1:22" s="5" customFormat="1" x14ac:dyDescent="0.3">
      <c r="A111" s="56"/>
      <c r="B111" s="56"/>
      <c r="C111" s="56"/>
      <c r="D111" s="56"/>
      <c r="E111" s="56"/>
      <c r="F111" s="56"/>
      <c r="G111" s="56"/>
      <c r="H111" s="56"/>
      <c r="I111" s="56"/>
      <c r="J111" s="56"/>
      <c r="K111" s="56"/>
      <c r="M111" s="16"/>
      <c r="N111" s="16"/>
      <c r="O111" s="16"/>
      <c r="P111" s="16"/>
      <c r="Q111" s="16"/>
      <c r="R111" s="16"/>
      <c r="S111" s="16"/>
      <c r="T111" s="16"/>
      <c r="U111" s="16"/>
      <c r="V111" s="16"/>
    </row>
    <row r="112" spans="1:22" s="5" customFormat="1" x14ac:dyDescent="0.3">
      <c r="A112" s="56"/>
      <c r="B112" s="56"/>
      <c r="C112" s="56"/>
      <c r="D112" s="56"/>
      <c r="E112" s="56"/>
      <c r="F112" s="56"/>
      <c r="G112" s="56"/>
      <c r="H112" s="56"/>
      <c r="I112" s="56"/>
      <c r="J112" s="56"/>
      <c r="K112" s="56"/>
      <c r="M112" s="16"/>
      <c r="N112" s="16"/>
      <c r="O112" s="16"/>
      <c r="P112" s="16"/>
      <c r="Q112" s="16"/>
      <c r="R112" s="16"/>
      <c r="S112" s="16"/>
      <c r="T112" s="16"/>
      <c r="U112" s="16"/>
      <c r="V112" s="16"/>
    </row>
    <row r="113" spans="1:22" s="5" customFormat="1" x14ac:dyDescent="0.3">
      <c r="A113" s="56"/>
      <c r="B113" s="56"/>
      <c r="C113" s="56"/>
      <c r="D113" s="56"/>
      <c r="E113" s="56"/>
      <c r="F113" s="56"/>
      <c r="G113" s="56"/>
      <c r="H113" s="56"/>
      <c r="I113" s="56"/>
      <c r="J113" s="56"/>
      <c r="K113" s="56"/>
      <c r="M113" s="16"/>
      <c r="N113" s="16"/>
      <c r="O113" s="16"/>
      <c r="P113" s="16"/>
      <c r="Q113" s="16"/>
      <c r="R113" s="16"/>
      <c r="S113" s="16"/>
      <c r="T113" s="16"/>
      <c r="U113" s="16"/>
      <c r="V113" s="16"/>
    </row>
    <row r="114" spans="1:22" s="5" customFormat="1" x14ac:dyDescent="0.3">
      <c r="A114" s="56"/>
      <c r="B114" s="56"/>
      <c r="C114" s="56"/>
      <c r="D114" s="56"/>
      <c r="E114" s="56"/>
      <c r="F114" s="56"/>
      <c r="G114" s="56"/>
      <c r="H114" s="56"/>
      <c r="I114" s="56"/>
      <c r="J114" s="56"/>
      <c r="K114" s="56"/>
      <c r="M114" s="16"/>
      <c r="N114" s="16"/>
      <c r="O114" s="16"/>
      <c r="P114" s="16"/>
      <c r="Q114" s="16"/>
      <c r="R114" s="16"/>
      <c r="S114" s="16"/>
      <c r="T114" s="16"/>
      <c r="U114" s="16"/>
      <c r="V114" s="16"/>
    </row>
    <row r="115" spans="1:22" s="5" customFormat="1" x14ac:dyDescent="0.3">
      <c r="A115" s="56"/>
      <c r="B115" s="56"/>
      <c r="C115" s="56"/>
      <c r="D115" s="56"/>
      <c r="E115" s="56"/>
      <c r="F115" s="56"/>
      <c r="G115" s="56"/>
      <c r="H115" s="56"/>
      <c r="I115" s="56"/>
      <c r="J115" s="56"/>
      <c r="K115" s="56"/>
      <c r="M115" s="16"/>
      <c r="N115" s="16"/>
      <c r="O115" s="16"/>
      <c r="P115" s="16"/>
      <c r="Q115" s="16"/>
      <c r="R115" s="16"/>
      <c r="S115" s="16"/>
      <c r="T115" s="16"/>
      <c r="U115" s="16"/>
      <c r="V115" s="16"/>
    </row>
    <row r="116" spans="1:22" s="5" customFormat="1" x14ac:dyDescent="0.3">
      <c r="A116" s="56"/>
      <c r="B116" s="56"/>
      <c r="C116" s="56"/>
      <c r="D116" s="56"/>
      <c r="E116" s="56"/>
      <c r="F116" s="56"/>
      <c r="G116" s="56"/>
      <c r="H116" s="56"/>
      <c r="I116" s="56"/>
      <c r="J116" s="56"/>
      <c r="K116" s="56"/>
      <c r="M116" s="16"/>
      <c r="N116" s="16"/>
      <c r="O116" s="16"/>
      <c r="P116" s="16"/>
      <c r="Q116" s="16"/>
      <c r="R116" s="16"/>
      <c r="S116" s="16"/>
      <c r="T116" s="16"/>
      <c r="U116" s="16"/>
      <c r="V116" s="16"/>
    </row>
    <row r="117" spans="1:22" s="5" customFormat="1" x14ac:dyDescent="0.3">
      <c r="A117" s="56"/>
      <c r="B117" s="56"/>
      <c r="C117" s="56"/>
      <c r="D117" s="56"/>
      <c r="E117" s="56"/>
      <c r="F117" s="56"/>
      <c r="G117" s="56"/>
      <c r="H117" s="56"/>
      <c r="I117" s="56"/>
      <c r="J117" s="56"/>
      <c r="K117" s="56"/>
      <c r="M117" s="16"/>
      <c r="N117" s="16"/>
      <c r="O117" s="16"/>
      <c r="P117" s="16"/>
      <c r="Q117" s="16"/>
      <c r="R117" s="16"/>
      <c r="S117" s="16"/>
      <c r="T117" s="16"/>
      <c r="U117" s="16"/>
      <c r="V117" s="16"/>
    </row>
    <row r="118" spans="1:22" s="5" customFormat="1" x14ac:dyDescent="0.3">
      <c r="A118" s="56"/>
      <c r="B118" s="56"/>
      <c r="C118" s="56"/>
      <c r="D118" s="56"/>
      <c r="E118" s="56"/>
      <c r="F118" s="56"/>
      <c r="G118" s="56"/>
      <c r="H118" s="56"/>
      <c r="I118" s="56"/>
      <c r="J118" s="56"/>
      <c r="K118" s="56"/>
      <c r="M118" s="16"/>
      <c r="N118" s="16"/>
      <c r="O118" s="16"/>
      <c r="P118" s="16"/>
      <c r="Q118" s="16"/>
      <c r="R118" s="16"/>
      <c r="S118" s="16"/>
      <c r="T118" s="16"/>
      <c r="U118" s="16"/>
      <c r="V118" s="16"/>
    </row>
    <row r="119" spans="1:22" s="5" customFormat="1" x14ac:dyDescent="0.3">
      <c r="A119" s="56"/>
      <c r="B119" s="56"/>
      <c r="C119" s="56"/>
      <c r="D119" s="56"/>
      <c r="E119" s="56"/>
      <c r="F119" s="56"/>
      <c r="G119" s="56"/>
      <c r="H119" s="56"/>
      <c r="I119" s="56"/>
      <c r="J119" s="56"/>
      <c r="K119" s="56"/>
      <c r="M119" s="16"/>
      <c r="N119" s="16"/>
      <c r="O119" s="16"/>
      <c r="P119" s="16"/>
      <c r="Q119" s="16"/>
      <c r="R119" s="16"/>
      <c r="S119" s="16"/>
      <c r="T119" s="16"/>
      <c r="U119" s="16"/>
      <c r="V119" s="16"/>
    </row>
    <row r="120" spans="1:22" s="5" customFormat="1" x14ac:dyDescent="0.3">
      <c r="A120" s="56"/>
      <c r="B120" s="56"/>
      <c r="C120" s="56"/>
      <c r="D120" s="56"/>
      <c r="E120" s="56"/>
      <c r="F120" s="56"/>
      <c r="G120" s="56"/>
      <c r="H120" s="56"/>
      <c r="I120" s="56"/>
      <c r="J120" s="56"/>
      <c r="K120" s="56"/>
      <c r="M120" s="16"/>
      <c r="N120" s="16"/>
      <c r="O120" s="16"/>
      <c r="P120" s="16"/>
      <c r="Q120" s="16"/>
      <c r="R120" s="16"/>
      <c r="S120" s="16"/>
      <c r="T120" s="16"/>
      <c r="U120" s="16"/>
      <c r="V120" s="16"/>
    </row>
    <row r="121" spans="1:22" s="5" customFormat="1" x14ac:dyDescent="0.3">
      <c r="A121" s="56"/>
      <c r="B121" s="56"/>
      <c r="C121" s="56"/>
      <c r="D121" s="56"/>
      <c r="E121" s="56"/>
      <c r="F121" s="56"/>
      <c r="G121" s="56"/>
      <c r="H121" s="56"/>
      <c r="I121" s="56"/>
      <c r="J121" s="56"/>
      <c r="K121" s="56"/>
      <c r="M121" s="16"/>
      <c r="N121" s="16"/>
      <c r="O121" s="16"/>
      <c r="P121" s="16"/>
      <c r="Q121" s="16"/>
      <c r="R121" s="16"/>
      <c r="S121" s="16"/>
      <c r="T121" s="16"/>
      <c r="U121" s="16"/>
      <c r="V121" s="16"/>
    </row>
    <row r="122" spans="1:22" s="5" customFormat="1" x14ac:dyDescent="0.3">
      <c r="A122" s="56"/>
      <c r="B122" s="56"/>
      <c r="C122" s="56"/>
      <c r="D122" s="56"/>
      <c r="E122" s="56"/>
      <c r="F122" s="56"/>
      <c r="G122" s="56"/>
      <c r="H122" s="56"/>
      <c r="I122" s="56"/>
      <c r="J122" s="56"/>
      <c r="K122" s="56"/>
      <c r="M122" s="16"/>
      <c r="N122" s="16"/>
      <c r="O122" s="16"/>
      <c r="P122" s="16"/>
      <c r="Q122" s="16"/>
      <c r="R122" s="16"/>
      <c r="S122" s="16"/>
      <c r="T122" s="16"/>
      <c r="U122" s="16"/>
      <c r="V122" s="16"/>
    </row>
    <row r="123" spans="1:22" s="5" customFormat="1" x14ac:dyDescent="0.3">
      <c r="A123" s="56"/>
      <c r="B123" s="56"/>
      <c r="C123" s="56"/>
      <c r="D123" s="56"/>
      <c r="E123" s="56"/>
      <c r="F123" s="56"/>
      <c r="G123" s="56"/>
      <c r="H123" s="56"/>
      <c r="I123" s="56"/>
      <c r="J123" s="56"/>
      <c r="K123" s="56"/>
      <c r="M123" s="16"/>
      <c r="N123" s="16"/>
      <c r="O123" s="16"/>
      <c r="P123" s="16"/>
      <c r="Q123" s="16"/>
      <c r="R123" s="16"/>
      <c r="S123" s="16"/>
      <c r="T123" s="16"/>
      <c r="U123" s="16"/>
      <c r="V123" s="16"/>
    </row>
    <row r="124" spans="1:22" s="5" customFormat="1" x14ac:dyDescent="0.3">
      <c r="A124" s="56"/>
      <c r="B124" s="56"/>
      <c r="C124" s="56"/>
      <c r="D124" s="56"/>
      <c r="E124" s="56"/>
      <c r="F124" s="56"/>
      <c r="G124" s="56"/>
      <c r="H124" s="56"/>
      <c r="I124" s="56"/>
      <c r="J124" s="56"/>
      <c r="K124" s="56"/>
      <c r="M124" s="16"/>
      <c r="N124" s="16"/>
      <c r="O124" s="16"/>
      <c r="P124" s="16"/>
      <c r="Q124" s="16"/>
      <c r="R124" s="16"/>
      <c r="S124" s="16"/>
      <c r="T124" s="16"/>
      <c r="U124" s="16"/>
      <c r="V124" s="16"/>
    </row>
    <row r="125" spans="1:22" s="5" customFormat="1" x14ac:dyDescent="0.3">
      <c r="A125" s="56"/>
      <c r="B125" s="56"/>
      <c r="C125" s="56"/>
      <c r="D125" s="56"/>
      <c r="E125" s="56"/>
      <c r="F125" s="56"/>
      <c r="G125" s="56"/>
      <c r="H125" s="56"/>
      <c r="I125" s="56"/>
      <c r="J125" s="56"/>
      <c r="K125" s="56"/>
      <c r="M125" s="16"/>
      <c r="N125" s="16"/>
      <c r="O125" s="16"/>
      <c r="P125" s="16"/>
      <c r="Q125" s="16"/>
      <c r="R125" s="16"/>
      <c r="S125" s="16"/>
      <c r="T125" s="16"/>
      <c r="U125" s="16"/>
      <c r="V125" s="16"/>
    </row>
    <row r="126" spans="1:22" s="5" customFormat="1" x14ac:dyDescent="0.3">
      <c r="A126" s="56"/>
      <c r="B126" s="56"/>
      <c r="C126" s="56"/>
      <c r="D126" s="56"/>
      <c r="E126" s="56"/>
      <c r="F126" s="56"/>
      <c r="G126" s="56"/>
      <c r="H126" s="56"/>
      <c r="I126" s="56"/>
      <c r="J126" s="56"/>
      <c r="K126" s="56"/>
      <c r="M126" s="16"/>
      <c r="N126" s="16"/>
      <c r="O126" s="16"/>
      <c r="P126" s="16"/>
      <c r="Q126" s="16"/>
      <c r="R126" s="16"/>
      <c r="S126" s="16"/>
      <c r="T126" s="16"/>
      <c r="U126" s="16"/>
      <c r="V126" s="16"/>
    </row>
    <row r="127" spans="1:22" s="5" customFormat="1" x14ac:dyDescent="0.3">
      <c r="A127" s="56"/>
      <c r="B127" s="56"/>
      <c r="C127" s="56"/>
      <c r="D127" s="56"/>
      <c r="E127" s="56"/>
      <c r="F127" s="56"/>
      <c r="G127" s="56"/>
      <c r="H127" s="56"/>
      <c r="I127" s="56"/>
      <c r="J127" s="56"/>
      <c r="K127" s="56"/>
      <c r="M127" s="16"/>
      <c r="N127" s="16"/>
      <c r="O127" s="16"/>
      <c r="P127" s="16"/>
      <c r="Q127" s="16"/>
      <c r="R127" s="16"/>
      <c r="S127" s="16"/>
      <c r="T127" s="16"/>
      <c r="U127" s="16"/>
      <c r="V127" s="16"/>
    </row>
    <row r="128" spans="1:22" s="5" customFormat="1" x14ac:dyDescent="0.3">
      <c r="A128" s="56"/>
      <c r="B128" s="56"/>
      <c r="C128" s="56"/>
      <c r="D128" s="56"/>
      <c r="E128" s="56"/>
      <c r="F128" s="56"/>
      <c r="G128" s="56"/>
      <c r="H128" s="56"/>
      <c r="I128" s="56"/>
      <c r="J128" s="56"/>
      <c r="K128" s="56"/>
      <c r="M128" s="16"/>
      <c r="N128" s="16"/>
      <c r="O128" s="16"/>
      <c r="P128" s="16"/>
      <c r="Q128" s="16"/>
      <c r="R128" s="16"/>
      <c r="S128" s="16"/>
      <c r="T128" s="16"/>
      <c r="U128" s="16"/>
      <c r="V128" s="16"/>
    </row>
    <row r="129" spans="1:22" s="5" customFormat="1" x14ac:dyDescent="0.3">
      <c r="A129" s="56"/>
      <c r="B129" s="56"/>
      <c r="C129" s="56"/>
      <c r="D129" s="56"/>
      <c r="E129" s="56"/>
      <c r="F129" s="56"/>
      <c r="G129" s="56"/>
      <c r="H129" s="56"/>
      <c r="I129" s="56"/>
      <c r="J129" s="56"/>
      <c r="K129" s="56"/>
      <c r="M129" s="16"/>
      <c r="N129" s="16"/>
      <c r="O129" s="16"/>
      <c r="P129" s="16"/>
      <c r="Q129" s="16"/>
      <c r="R129" s="16"/>
      <c r="S129" s="16"/>
      <c r="T129" s="16"/>
      <c r="U129" s="16"/>
      <c r="V129" s="16"/>
    </row>
    <row r="130" spans="1:22" s="5" customFormat="1" x14ac:dyDescent="0.3">
      <c r="A130" s="56"/>
      <c r="B130" s="56"/>
      <c r="C130" s="56"/>
      <c r="D130" s="56"/>
      <c r="E130" s="56"/>
      <c r="F130" s="56"/>
      <c r="G130" s="56"/>
      <c r="H130" s="56"/>
      <c r="I130" s="56"/>
      <c r="J130" s="56"/>
      <c r="K130" s="56"/>
      <c r="M130" s="16"/>
      <c r="N130" s="16"/>
      <c r="O130" s="16"/>
      <c r="P130" s="16"/>
      <c r="Q130" s="16"/>
      <c r="R130" s="16"/>
      <c r="S130" s="16"/>
      <c r="T130" s="16"/>
      <c r="U130" s="16"/>
      <c r="V130" s="16"/>
    </row>
    <row r="131" spans="1:22" s="5" customFormat="1" x14ac:dyDescent="0.3">
      <c r="A131" s="56"/>
      <c r="B131" s="56"/>
      <c r="C131" s="56"/>
      <c r="D131" s="56"/>
      <c r="E131" s="56"/>
      <c r="F131" s="56"/>
      <c r="G131" s="56"/>
      <c r="H131" s="56"/>
      <c r="I131" s="56"/>
      <c r="J131" s="56"/>
      <c r="K131" s="56"/>
      <c r="M131" s="16"/>
      <c r="N131" s="16"/>
      <c r="O131" s="16"/>
      <c r="P131" s="16"/>
      <c r="Q131" s="16"/>
      <c r="R131" s="16"/>
      <c r="S131" s="16"/>
      <c r="T131" s="16"/>
      <c r="U131" s="16"/>
      <c r="V131" s="16"/>
    </row>
    <row r="132" spans="1:22" s="5" customFormat="1" x14ac:dyDescent="0.3">
      <c r="A132" s="56"/>
      <c r="B132" s="56"/>
      <c r="C132" s="56"/>
      <c r="D132" s="56"/>
      <c r="E132" s="56"/>
      <c r="F132" s="56"/>
      <c r="G132" s="56"/>
      <c r="H132" s="56"/>
      <c r="I132" s="56"/>
      <c r="J132" s="56"/>
      <c r="K132" s="56"/>
      <c r="M132" s="16"/>
      <c r="N132" s="16"/>
      <c r="O132" s="16"/>
      <c r="P132" s="16"/>
      <c r="Q132" s="16"/>
      <c r="R132" s="16"/>
      <c r="S132" s="16"/>
      <c r="T132" s="16"/>
      <c r="U132" s="16"/>
      <c r="V132" s="16"/>
    </row>
    <row r="133" spans="1:22" s="5" customFormat="1" x14ac:dyDescent="0.3">
      <c r="A133" s="56"/>
      <c r="B133" s="56"/>
      <c r="C133" s="56"/>
      <c r="D133" s="56"/>
      <c r="E133" s="56"/>
      <c r="F133" s="56"/>
      <c r="G133" s="56"/>
      <c r="H133" s="56"/>
      <c r="I133" s="56"/>
      <c r="J133" s="56"/>
      <c r="K133" s="56"/>
      <c r="M133" s="16"/>
      <c r="N133" s="16"/>
      <c r="O133" s="16"/>
      <c r="P133" s="16"/>
      <c r="Q133" s="16"/>
      <c r="R133" s="16"/>
      <c r="S133" s="16"/>
      <c r="T133" s="16"/>
      <c r="U133" s="16"/>
      <c r="V133" s="16"/>
    </row>
    <row r="134" spans="1:22" s="5" customFormat="1" x14ac:dyDescent="0.3">
      <c r="A134" s="56"/>
      <c r="B134" s="56"/>
      <c r="C134" s="56"/>
      <c r="D134" s="56"/>
      <c r="E134" s="56"/>
      <c r="F134" s="56"/>
      <c r="G134" s="56"/>
      <c r="H134" s="56"/>
      <c r="I134" s="56"/>
      <c r="J134" s="56"/>
      <c r="K134" s="56"/>
      <c r="M134" s="16"/>
      <c r="N134" s="16"/>
      <c r="O134" s="16"/>
      <c r="P134" s="16"/>
      <c r="Q134" s="16"/>
      <c r="R134" s="16"/>
      <c r="S134" s="16"/>
      <c r="T134" s="16"/>
      <c r="U134" s="16"/>
      <c r="V134" s="16"/>
    </row>
    <row r="135" spans="1:22" s="5" customFormat="1" x14ac:dyDescent="0.3">
      <c r="A135" s="56"/>
      <c r="B135" s="56"/>
      <c r="C135" s="56"/>
      <c r="D135" s="56"/>
      <c r="E135" s="56"/>
      <c r="F135" s="56"/>
      <c r="G135" s="56"/>
      <c r="H135" s="56"/>
      <c r="I135" s="56"/>
      <c r="J135" s="56"/>
      <c r="K135" s="56"/>
      <c r="M135" s="16"/>
      <c r="N135" s="16"/>
      <c r="O135" s="16"/>
      <c r="P135" s="16"/>
      <c r="Q135" s="16"/>
      <c r="R135" s="16"/>
      <c r="S135" s="16"/>
      <c r="T135" s="16"/>
      <c r="U135" s="16"/>
      <c r="V135" s="16"/>
    </row>
    <row r="136" spans="1:22" s="5" customFormat="1" x14ac:dyDescent="0.3">
      <c r="A136" s="56"/>
      <c r="B136" s="56"/>
      <c r="C136" s="56"/>
      <c r="D136" s="56"/>
      <c r="E136" s="56"/>
      <c r="F136" s="56"/>
      <c r="G136" s="56"/>
      <c r="H136" s="56"/>
      <c r="I136" s="56"/>
      <c r="J136" s="56"/>
      <c r="K136" s="56"/>
      <c r="M136" s="16"/>
      <c r="N136" s="16"/>
      <c r="O136" s="16"/>
      <c r="P136" s="16"/>
      <c r="Q136" s="16"/>
      <c r="R136" s="16"/>
      <c r="S136" s="16"/>
      <c r="T136" s="16"/>
      <c r="U136" s="16"/>
      <c r="V136" s="16"/>
    </row>
    <row r="137" spans="1:22" s="5" customFormat="1" x14ac:dyDescent="0.3">
      <c r="A137" s="56"/>
      <c r="B137" s="56"/>
      <c r="C137" s="56"/>
      <c r="D137" s="56"/>
      <c r="E137" s="56"/>
      <c r="F137" s="56"/>
      <c r="G137" s="56"/>
      <c r="H137" s="56"/>
      <c r="I137" s="56"/>
      <c r="J137" s="56"/>
      <c r="K137" s="56"/>
      <c r="M137" s="16"/>
      <c r="N137" s="16"/>
      <c r="O137" s="16"/>
      <c r="P137" s="16"/>
      <c r="Q137" s="16"/>
      <c r="R137" s="16"/>
      <c r="S137" s="16"/>
      <c r="T137" s="16"/>
      <c r="U137" s="16"/>
      <c r="V137" s="16"/>
    </row>
    <row r="138" spans="1:22" s="5" customFormat="1" x14ac:dyDescent="0.3">
      <c r="A138" s="56"/>
      <c r="B138" s="56"/>
      <c r="C138" s="56"/>
      <c r="D138" s="56"/>
      <c r="E138" s="56"/>
      <c r="F138" s="56"/>
      <c r="G138" s="56"/>
      <c r="H138" s="56"/>
      <c r="I138" s="56"/>
      <c r="J138" s="56"/>
      <c r="K138" s="56"/>
      <c r="M138" s="16"/>
      <c r="N138" s="16"/>
      <c r="O138" s="16"/>
      <c r="P138" s="16"/>
      <c r="Q138" s="16"/>
      <c r="R138" s="16"/>
      <c r="S138" s="16"/>
      <c r="T138" s="16"/>
      <c r="U138" s="16"/>
      <c r="V138" s="16"/>
    </row>
    <row r="139" spans="1:22" s="5" customFormat="1" x14ac:dyDescent="0.3">
      <c r="A139" s="56"/>
      <c r="B139" s="56"/>
      <c r="C139" s="56"/>
      <c r="D139" s="56"/>
      <c r="E139" s="56"/>
      <c r="F139" s="56"/>
      <c r="G139" s="56"/>
      <c r="H139" s="56"/>
      <c r="I139" s="56"/>
      <c r="J139" s="56"/>
      <c r="K139" s="56"/>
      <c r="M139" s="16"/>
      <c r="N139" s="16"/>
      <c r="O139" s="16"/>
      <c r="P139" s="16"/>
      <c r="Q139" s="16"/>
      <c r="R139" s="16"/>
      <c r="S139" s="16"/>
      <c r="T139" s="16"/>
      <c r="U139" s="16"/>
      <c r="V139" s="16"/>
    </row>
    <row r="140" spans="1:22" s="5" customFormat="1" x14ac:dyDescent="0.3">
      <c r="A140" s="56"/>
      <c r="B140" s="56"/>
      <c r="C140" s="56"/>
      <c r="D140" s="56"/>
      <c r="E140" s="56"/>
      <c r="F140" s="56"/>
      <c r="G140" s="56"/>
      <c r="H140" s="56"/>
      <c r="I140" s="56"/>
      <c r="J140" s="56"/>
      <c r="K140" s="56"/>
      <c r="M140" s="16"/>
      <c r="N140" s="16"/>
      <c r="O140" s="16"/>
      <c r="P140" s="16"/>
      <c r="Q140" s="16"/>
      <c r="R140" s="16"/>
      <c r="S140" s="16"/>
      <c r="T140" s="16"/>
      <c r="U140" s="16"/>
      <c r="V140" s="16"/>
    </row>
    <row r="141" spans="1:22" s="5" customFormat="1" x14ac:dyDescent="0.3">
      <c r="A141" s="56"/>
      <c r="B141" s="56"/>
      <c r="C141" s="56"/>
      <c r="D141" s="56"/>
      <c r="E141" s="56"/>
      <c r="F141" s="56"/>
      <c r="G141" s="56"/>
      <c r="H141" s="56"/>
      <c r="I141" s="56"/>
      <c r="J141" s="56"/>
      <c r="K141" s="56"/>
      <c r="M141" s="16"/>
      <c r="N141" s="16"/>
      <c r="O141" s="16"/>
      <c r="P141" s="16"/>
      <c r="Q141" s="16"/>
      <c r="R141" s="16"/>
      <c r="S141" s="16"/>
      <c r="T141" s="16"/>
      <c r="U141" s="16"/>
      <c r="V141" s="16"/>
    </row>
    <row r="142" spans="1:22" s="5" customFormat="1" x14ac:dyDescent="0.3">
      <c r="A142" s="56"/>
      <c r="B142" s="56"/>
      <c r="C142" s="56"/>
      <c r="D142" s="56"/>
      <c r="E142" s="56"/>
      <c r="F142" s="56"/>
      <c r="G142" s="56"/>
      <c r="H142" s="56"/>
      <c r="I142" s="56"/>
      <c r="J142" s="56"/>
      <c r="K142" s="56"/>
      <c r="M142" s="16"/>
      <c r="N142" s="16"/>
      <c r="O142" s="16"/>
      <c r="P142" s="16"/>
      <c r="Q142" s="16"/>
      <c r="R142" s="16"/>
      <c r="S142" s="16"/>
      <c r="T142" s="16"/>
      <c r="U142" s="16"/>
      <c r="V142" s="16"/>
    </row>
    <row r="143" spans="1:22" s="5" customFormat="1" x14ac:dyDescent="0.3">
      <c r="A143" s="56"/>
      <c r="B143" s="56"/>
      <c r="C143" s="56"/>
      <c r="D143" s="56"/>
      <c r="E143" s="56"/>
      <c r="F143" s="56"/>
      <c r="G143" s="56"/>
      <c r="H143" s="56"/>
      <c r="I143" s="56"/>
      <c r="J143" s="56"/>
      <c r="K143" s="56"/>
      <c r="M143" s="16"/>
      <c r="N143" s="16"/>
      <c r="O143" s="16"/>
      <c r="P143" s="16"/>
      <c r="Q143" s="16"/>
      <c r="R143" s="16"/>
      <c r="S143" s="16"/>
      <c r="T143" s="16"/>
      <c r="U143" s="16"/>
      <c r="V143" s="16"/>
    </row>
    <row r="144" spans="1:22" s="5" customFormat="1" x14ac:dyDescent="0.3">
      <c r="A144" s="56"/>
      <c r="B144" s="56"/>
      <c r="C144" s="56"/>
      <c r="D144" s="56"/>
      <c r="E144" s="56"/>
      <c r="F144" s="56"/>
      <c r="G144" s="56"/>
      <c r="H144" s="56"/>
      <c r="I144" s="56"/>
      <c r="J144" s="56"/>
      <c r="K144" s="56"/>
      <c r="M144" s="16"/>
      <c r="N144" s="16"/>
      <c r="O144" s="16"/>
      <c r="P144" s="16"/>
      <c r="Q144" s="16"/>
      <c r="R144" s="16"/>
      <c r="S144" s="16"/>
      <c r="T144" s="16"/>
      <c r="U144" s="16"/>
      <c r="V144" s="16"/>
    </row>
    <row r="145" spans="1:22" s="5" customFormat="1" x14ac:dyDescent="0.3">
      <c r="A145" s="56"/>
      <c r="B145" s="56"/>
      <c r="C145" s="56"/>
      <c r="D145" s="56"/>
      <c r="E145" s="56"/>
      <c r="F145" s="56"/>
      <c r="G145" s="56"/>
      <c r="H145" s="56"/>
      <c r="I145" s="56"/>
      <c r="J145" s="56"/>
      <c r="K145" s="56"/>
      <c r="M145" s="16"/>
      <c r="N145" s="16"/>
      <c r="O145" s="16"/>
      <c r="P145" s="16"/>
      <c r="Q145" s="16"/>
      <c r="R145" s="16"/>
      <c r="S145" s="16"/>
      <c r="T145" s="16"/>
      <c r="U145" s="16"/>
      <c r="V145" s="16"/>
    </row>
    <row r="146" spans="1:22" s="5" customFormat="1" x14ac:dyDescent="0.3">
      <c r="A146" s="56"/>
      <c r="B146" s="56"/>
      <c r="C146" s="56"/>
      <c r="D146" s="56"/>
      <c r="E146" s="56"/>
      <c r="F146" s="56"/>
      <c r="G146" s="56"/>
      <c r="H146" s="56"/>
      <c r="I146" s="56"/>
      <c r="J146" s="56"/>
      <c r="K146" s="56"/>
      <c r="M146" s="16"/>
      <c r="N146" s="16"/>
      <c r="O146" s="16"/>
      <c r="P146" s="16"/>
      <c r="Q146" s="16"/>
      <c r="R146" s="16"/>
      <c r="S146" s="16"/>
      <c r="T146" s="16"/>
      <c r="U146" s="16"/>
      <c r="V146" s="16"/>
    </row>
    <row r="147" spans="1:22" s="5" customFormat="1" x14ac:dyDescent="0.3">
      <c r="A147" s="56"/>
      <c r="B147" s="56"/>
      <c r="C147" s="56"/>
      <c r="D147" s="56"/>
      <c r="E147" s="56"/>
      <c r="F147" s="56"/>
      <c r="G147" s="56"/>
      <c r="H147" s="56"/>
      <c r="I147" s="56"/>
      <c r="J147" s="56"/>
      <c r="K147" s="56"/>
      <c r="M147" s="16"/>
      <c r="N147" s="16"/>
      <c r="O147" s="16"/>
      <c r="P147" s="16"/>
      <c r="Q147" s="16"/>
      <c r="R147" s="16"/>
      <c r="S147" s="16"/>
      <c r="T147" s="16"/>
      <c r="U147" s="16"/>
      <c r="V147" s="16"/>
    </row>
    <row r="148" spans="1:22" s="5" customFormat="1" x14ac:dyDescent="0.3">
      <c r="A148" s="56"/>
      <c r="B148" s="56"/>
      <c r="C148" s="56"/>
      <c r="D148" s="56"/>
      <c r="E148" s="56"/>
      <c r="F148" s="56"/>
      <c r="G148" s="56"/>
      <c r="H148" s="56"/>
      <c r="I148" s="56"/>
      <c r="J148" s="56"/>
      <c r="K148" s="56"/>
      <c r="M148" s="16"/>
      <c r="N148" s="16"/>
      <c r="O148" s="16"/>
      <c r="P148" s="16"/>
      <c r="Q148" s="16"/>
      <c r="R148" s="16"/>
      <c r="S148" s="16"/>
      <c r="T148" s="16"/>
      <c r="U148" s="16"/>
      <c r="V148" s="16"/>
    </row>
    <row r="149" spans="1:22" s="5" customFormat="1" x14ac:dyDescent="0.3">
      <c r="A149" s="56"/>
      <c r="B149" s="56"/>
      <c r="C149" s="56"/>
      <c r="D149" s="56"/>
      <c r="E149" s="56"/>
      <c r="F149" s="56"/>
      <c r="G149" s="56"/>
      <c r="H149" s="56"/>
      <c r="I149" s="56"/>
      <c r="J149" s="56"/>
      <c r="K149" s="56"/>
      <c r="M149" s="16"/>
      <c r="N149" s="16"/>
      <c r="O149" s="16"/>
      <c r="P149" s="16"/>
      <c r="Q149" s="16"/>
      <c r="R149" s="16"/>
      <c r="S149" s="16"/>
      <c r="T149" s="16"/>
      <c r="U149" s="16"/>
      <c r="V149" s="16"/>
    </row>
    <row r="150" spans="1:22" s="5" customFormat="1" x14ac:dyDescent="0.3">
      <c r="A150" s="56"/>
      <c r="B150" s="56"/>
      <c r="C150" s="56"/>
      <c r="D150" s="56"/>
      <c r="E150" s="56"/>
      <c r="F150" s="56"/>
      <c r="G150" s="56"/>
      <c r="H150" s="56"/>
      <c r="I150" s="56"/>
      <c r="J150" s="56"/>
      <c r="K150" s="56"/>
      <c r="M150" s="16"/>
      <c r="N150" s="16"/>
      <c r="O150" s="16"/>
      <c r="P150" s="16"/>
      <c r="Q150" s="16"/>
      <c r="R150" s="16"/>
      <c r="S150" s="16"/>
      <c r="T150" s="16"/>
      <c r="U150" s="16"/>
      <c r="V150" s="16"/>
    </row>
    <row r="151" spans="1:22" s="5" customFormat="1" x14ac:dyDescent="0.3">
      <c r="A151" s="56"/>
      <c r="B151" s="56"/>
      <c r="C151" s="56"/>
      <c r="D151" s="56"/>
      <c r="E151" s="56"/>
      <c r="F151" s="56"/>
      <c r="G151" s="56"/>
      <c r="H151" s="56"/>
      <c r="I151" s="56"/>
      <c r="J151" s="56"/>
      <c r="K151" s="56"/>
      <c r="M151" s="16"/>
      <c r="N151" s="16"/>
      <c r="O151" s="16"/>
      <c r="P151" s="16"/>
      <c r="Q151" s="16"/>
      <c r="R151" s="16"/>
      <c r="S151" s="16"/>
      <c r="T151" s="16"/>
      <c r="U151" s="16"/>
      <c r="V151" s="16"/>
    </row>
    <row r="152" spans="1:22" s="5" customFormat="1" x14ac:dyDescent="0.3">
      <c r="A152" s="56"/>
      <c r="B152" s="56"/>
      <c r="C152" s="56"/>
      <c r="D152" s="56"/>
      <c r="E152" s="56"/>
      <c r="F152" s="56"/>
      <c r="G152" s="56"/>
      <c r="H152" s="56"/>
      <c r="I152" s="56"/>
      <c r="J152" s="56"/>
      <c r="K152" s="56"/>
      <c r="M152" s="16"/>
      <c r="N152" s="16"/>
      <c r="O152" s="16"/>
      <c r="P152" s="16"/>
      <c r="Q152" s="16"/>
      <c r="R152" s="16"/>
      <c r="S152" s="16"/>
      <c r="T152" s="16"/>
      <c r="U152" s="16"/>
      <c r="V152" s="16"/>
    </row>
    <row r="153" spans="1:22" s="5" customFormat="1" x14ac:dyDescent="0.3">
      <c r="A153" s="56"/>
      <c r="B153" s="56"/>
      <c r="C153" s="56"/>
      <c r="D153" s="56"/>
      <c r="E153" s="56"/>
      <c r="F153" s="56"/>
      <c r="G153" s="56"/>
      <c r="H153" s="56"/>
      <c r="I153" s="56"/>
      <c r="J153" s="56"/>
      <c r="K153" s="56"/>
      <c r="M153" s="16"/>
      <c r="N153" s="16"/>
      <c r="O153" s="16"/>
      <c r="P153" s="16"/>
      <c r="Q153" s="16"/>
      <c r="R153" s="16"/>
      <c r="S153" s="16"/>
      <c r="T153" s="16"/>
      <c r="U153" s="16"/>
      <c r="V153" s="16"/>
    </row>
    <row r="154" spans="1:22" s="5" customFormat="1" x14ac:dyDescent="0.3">
      <c r="A154" s="56"/>
      <c r="B154" s="56"/>
      <c r="C154" s="56"/>
      <c r="D154" s="56"/>
      <c r="E154" s="56"/>
      <c r="F154" s="56"/>
      <c r="G154" s="56"/>
      <c r="H154" s="56"/>
      <c r="I154" s="56"/>
      <c r="J154" s="56"/>
      <c r="K154" s="56"/>
      <c r="M154" s="16"/>
      <c r="N154" s="16"/>
      <c r="O154" s="16"/>
      <c r="P154" s="16"/>
      <c r="Q154" s="16"/>
      <c r="R154" s="16"/>
      <c r="S154" s="16"/>
      <c r="T154" s="16"/>
      <c r="U154" s="16"/>
      <c r="V154" s="16"/>
    </row>
    <row r="155" spans="1:22" s="5" customFormat="1" x14ac:dyDescent="0.3">
      <c r="A155" s="56"/>
      <c r="B155" s="56"/>
      <c r="C155" s="56"/>
      <c r="D155" s="56"/>
      <c r="E155" s="56"/>
      <c r="F155" s="56"/>
      <c r="G155" s="56"/>
      <c r="H155" s="56"/>
      <c r="I155" s="56"/>
      <c r="J155" s="56"/>
      <c r="K155" s="56"/>
      <c r="M155" s="16"/>
      <c r="N155" s="16"/>
      <c r="O155" s="16"/>
      <c r="P155" s="16"/>
      <c r="Q155" s="16"/>
      <c r="R155" s="16"/>
      <c r="S155" s="16"/>
      <c r="T155" s="16"/>
      <c r="U155" s="16"/>
      <c r="V155" s="16"/>
    </row>
    <row r="156" spans="1:22" s="5" customFormat="1" x14ac:dyDescent="0.3">
      <c r="A156" s="56"/>
      <c r="B156" s="56"/>
      <c r="C156" s="56"/>
      <c r="D156" s="56"/>
      <c r="E156" s="56"/>
      <c r="F156" s="56"/>
      <c r="G156" s="56"/>
      <c r="H156" s="56"/>
      <c r="I156" s="56"/>
      <c r="J156" s="56"/>
      <c r="K156" s="56"/>
      <c r="M156" s="16"/>
      <c r="N156" s="16"/>
      <c r="O156" s="16"/>
      <c r="P156" s="16"/>
      <c r="Q156" s="16"/>
      <c r="R156" s="16"/>
      <c r="S156" s="16"/>
      <c r="T156" s="16"/>
      <c r="U156" s="16"/>
      <c r="V156" s="16"/>
    </row>
    <row r="157" spans="1:22" s="5" customFormat="1" x14ac:dyDescent="0.3">
      <c r="A157" s="56"/>
      <c r="B157" s="56"/>
      <c r="C157" s="56"/>
      <c r="D157" s="56"/>
      <c r="E157" s="56"/>
      <c r="F157" s="56"/>
      <c r="G157" s="56"/>
      <c r="H157" s="56"/>
      <c r="I157" s="56"/>
      <c r="J157" s="56"/>
      <c r="K157" s="56"/>
      <c r="M157" s="16"/>
      <c r="N157" s="16"/>
      <c r="O157" s="16"/>
      <c r="P157" s="16"/>
      <c r="Q157" s="16"/>
      <c r="R157" s="16"/>
      <c r="S157" s="16"/>
      <c r="T157" s="16"/>
      <c r="U157" s="16"/>
      <c r="V157" s="16"/>
    </row>
    <row r="158" spans="1:22" s="5" customFormat="1" x14ac:dyDescent="0.3">
      <c r="A158" s="56"/>
      <c r="B158" s="56"/>
      <c r="C158" s="56"/>
      <c r="D158" s="56"/>
      <c r="E158" s="56"/>
      <c r="F158" s="56"/>
      <c r="G158" s="56"/>
      <c r="H158" s="56"/>
      <c r="I158" s="56"/>
      <c r="J158" s="56"/>
      <c r="K158" s="56"/>
      <c r="M158" s="16"/>
      <c r="N158" s="16"/>
      <c r="O158" s="16"/>
      <c r="P158" s="16"/>
      <c r="Q158" s="16"/>
      <c r="R158" s="16"/>
      <c r="S158" s="16"/>
      <c r="T158" s="16"/>
      <c r="U158" s="16"/>
      <c r="V158" s="16"/>
    </row>
    <row r="159" spans="1:22" s="5" customFormat="1" x14ac:dyDescent="0.3">
      <c r="A159" s="56"/>
      <c r="B159" s="56"/>
      <c r="C159" s="56"/>
      <c r="D159" s="56"/>
      <c r="E159" s="56"/>
      <c r="F159" s="56"/>
      <c r="G159" s="56"/>
      <c r="H159" s="56"/>
      <c r="I159" s="56"/>
      <c r="J159" s="56"/>
      <c r="K159" s="56"/>
      <c r="M159" s="16"/>
      <c r="N159" s="16"/>
      <c r="O159" s="16"/>
      <c r="P159" s="16"/>
      <c r="Q159" s="16"/>
      <c r="R159" s="16"/>
      <c r="S159" s="16"/>
      <c r="T159" s="16"/>
      <c r="U159" s="16"/>
      <c r="V159" s="16"/>
    </row>
    <row r="160" spans="1:22" s="5" customFormat="1" x14ac:dyDescent="0.3">
      <c r="A160" s="56"/>
      <c r="B160" s="56"/>
      <c r="C160" s="56"/>
      <c r="D160" s="56"/>
      <c r="E160" s="56"/>
      <c r="F160" s="56"/>
      <c r="G160" s="56"/>
      <c r="H160" s="56"/>
      <c r="I160" s="56"/>
      <c r="J160" s="56"/>
      <c r="K160" s="56"/>
      <c r="M160" s="16"/>
      <c r="N160" s="16"/>
      <c r="O160" s="16"/>
      <c r="P160" s="16"/>
      <c r="Q160" s="16"/>
      <c r="R160" s="16"/>
      <c r="S160" s="16"/>
      <c r="T160" s="16"/>
      <c r="U160" s="16"/>
      <c r="V160" s="16"/>
    </row>
    <row r="161" spans="1:22" s="5" customFormat="1" x14ac:dyDescent="0.3">
      <c r="A161" s="56"/>
      <c r="B161" s="56"/>
      <c r="C161" s="56"/>
      <c r="D161" s="56"/>
      <c r="E161" s="56"/>
      <c r="F161" s="56"/>
      <c r="G161" s="56"/>
      <c r="H161" s="56"/>
      <c r="I161" s="56"/>
      <c r="J161" s="56"/>
      <c r="K161" s="56"/>
      <c r="M161" s="16"/>
      <c r="N161" s="16"/>
      <c r="O161" s="16"/>
      <c r="P161" s="16"/>
      <c r="Q161" s="16"/>
      <c r="R161" s="16"/>
      <c r="S161" s="16"/>
      <c r="T161" s="16"/>
      <c r="U161" s="16"/>
      <c r="V161" s="16"/>
    </row>
    <row r="162" spans="1:22" s="5" customFormat="1" x14ac:dyDescent="0.3">
      <c r="A162" s="56"/>
      <c r="B162" s="56"/>
      <c r="C162" s="56"/>
      <c r="D162" s="56"/>
      <c r="E162" s="56"/>
      <c r="F162" s="56"/>
      <c r="G162" s="56"/>
      <c r="H162" s="56"/>
      <c r="I162" s="56"/>
      <c r="J162" s="56"/>
      <c r="K162" s="56"/>
      <c r="M162" s="16"/>
      <c r="N162" s="16"/>
      <c r="O162" s="16"/>
      <c r="P162" s="16"/>
      <c r="Q162" s="16"/>
      <c r="R162" s="16"/>
      <c r="S162" s="16"/>
      <c r="T162" s="16"/>
      <c r="U162" s="16"/>
      <c r="V162" s="16"/>
    </row>
    <row r="163" spans="1:22" s="5" customFormat="1" x14ac:dyDescent="0.3">
      <c r="A163" s="56"/>
      <c r="B163" s="56"/>
      <c r="C163" s="56"/>
      <c r="D163" s="56"/>
      <c r="E163" s="56"/>
      <c r="F163" s="56"/>
      <c r="G163" s="56"/>
      <c r="H163" s="56"/>
      <c r="I163" s="56"/>
      <c r="J163" s="56"/>
      <c r="K163" s="56"/>
      <c r="M163" s="16"/>
      <c r="N163" s="16"/>
      <c r="O163" s="16"/>
      <c r="P163" s="16"/>
      <c r="Q163" s="16"/>
      <c r="R163" s="16"/>
      <c r="S163" s="16"/>
      <c r="T163" s="16"/>
      <c r="U163" s="16"/>
      <c r="V163" s="16"/>
    </row>
    <row r="164" spans="1:22" s="5" customFormat="1" x14ac:dyDescent="0.3">
      <c r="A164" s="56"/>
      <c r="B164" s="56"/>
      <c r="C164" s="56"/>
      <c r="D164" s="56"/>
      <c r="E164" s="56"/>
      <c r="F164" s="56"/>
      <c r="G164" s="56"/>
      <c r="H164" s="56"/>
      <c r="I164" s="56"/>
      <c r="J164" s="56"/>
      <c r="K164" s="56"/>
      <c r="M164" s="16"/>
      <c r="N164" s="16"/>
      <c r="O164" s="16"/>
      <c r="P164" s="16"/>
      <c r="Q164" s="16"/>
      <c r="R164" s="16"/>
      <c r="S164" s="16"/>
      <c r="T164" s="16"/>
      <c r="U164" s="16"/>
      <c r="V164" s="16"/>
    </row>
    <row r="165" spans="1:22" s="5" customFormat="1" x14ac:dyDescent="0.3">
      <c r="A165" s="56"/>
      <c r="B165" s="56"/>
      <c r="C165" s="56"/>
      <c r="D165" s="56"/>
      <c r="E165" s="56"/>
      <c r="F165" s="56"/>
      <c r="G165" s="56"/>
      <c r="H165" s="56"/>
      <c r="I165" s="56"/>
      <c r="J165" s="56"/>
      <c r="K165" s="56"/>
      <c r="M165" s="16"/>
      <c r="N165" s="16"/>
      <c r="O165" s="16"/>
      <c r="P165" s="16"/>
      <c r="Q165" s="16"/>
      <c r="R165" s="16"/>
      <c r="S165" s="16"/>
      <c r="T165" s="16"/>
      <c r="U165" s="16"/>
      <c r="V165" s="16"/>
    </row>
    <row r="166" spans="1:22" s="5" customFormat="1" x14ac:dyDescent="0.3">
      <c r="A166" s="56"/>
      <c r="B166" s="56"/>
      <c r="C166" s="56"/>
      <c r="D166" s="56"/>
      <c r="E166" s="56"/>
      <c r="F166" s="56"/>
      <c r="G166" s="56"/>
      <c r="H166" s="56"/>
      <c r="I166" s="56"/>
      <c r="J166" s="56"/>
      <c r="K166" s="56"/>
      <c r="M166" s="16"/>
      <c r="N166" s="16"/>
      <c r="O166" s="16"/>
      <c r="P166" s="16"/>
      <c r="Q166" s="16"/>
      <c r="R166" s="16"/>
      <c r="S166" s="16"/>
      <c r="T166" s="16"/>
      <c r="U166" s="16"/>
      <c r="V166" s="16"/>
    </row>
    <row r="167" spans="1:22" s="5" customFormat="1" x14ac:dyDescent="0.3">
      <c r="A167" s="56"/>
      <c r="B167" s="56"/>
      <c r="C167" s="56"/>
      <c r="D167" s="56"/>
      <c r="E167" s="56"/>
      <c r="F167" s="56"/>
      <c r="G167" s="56"/>
      <c r="H167" s="56"/>
      <c r="I167" s="56"/>
      <c r="J167" s="56"/>
      <c r="K167" s="56"/>
      <c r="M167" s="16"/>
      <c r="N167" s="16"/>
      <c r="O167" s="16"/>
      <c r="P167" s="16"/>
      <c r="Q167" s="16"/>
      <c r="R167" s="16"/>
      <c r="S167" s="16"/>
      <c r="T167" s="16"/>
      <c r="U167" s="16"/>
      <c r="V167" s="16"/>
    </row>
    <row r="168" spans="1:22" s="5" customFormat="1" x14ac:dyDescent="0.3">
      <c r="A168" s="56"/>
      <c r="B168" s="56"/>
      <c r="C168" s="56"/>
      <c r="D168" s="56"/>
      <c r="E168" s="56"/>
      <c r="F168" s="56"/>
      <c r="G168" s="56"/>
      <c r="H168" s="56"/>
      <c r="I168" s="56"/>
      <c r="J168" s="56"/>
      <c r="K168" s="56"/>
      <c r="M168" s="16"/>
      <c r="N168" s="16"/>
      <c r="O168" s="16"/>
      <c r="P168" s="16"/>
      <c r="Q168" s="16"/>
      <c r="R168" s="16"/>
      <c r="S168" s="16"/>
      <c r="T168" s="16"/>
      <c r="U168" s="16"/>
      <c r="V168" s="16"/>
    </row>
    <row r="169" spans="1:22" s="5" customFormat="1" x14ac:dyDescent="0.3">
      <c r="A169" s="56"/>
      <c r="B169" s="56"/>
      <c r="C169" s="56"/>
      <c r="D169" s="56"/>
      <c r="E169" s="56"/>
      <c r="F169" s="56"/>
      <c r="G169" s="56"/>
      <c r="H169" s="56"/>
      <c r="I169" s="56"/>
      <c r="J169" s="56"/>
      <c r="K169" s="56"/>
      <c r="M169" s="16"/>
      <c r="N169" s="16"/>
      <c r="O169" s="16"/>
      <c r="P169" s="16"/>
      <c r="Q169" s="16"/>
      <c r="R169" s="16"/>
      <c r="S169" s="16"/>
      <c r="T169" s="16"/>
      <c r="U169" s="16"/>
      <c r="V169" s="16"/>
    </row>
    <row r="170" spans="1:22" s="5" customFormat="1" x14ac:dyDescent="0.3">
      <c r="A170" s="56"/>
      <c r="B170" s="56"/>
      <c r="C170" s="56"/>
      <c r="D170" s="56"/>
      <c r="E170" s="56"/>
      <c r="F170" s="56"/>
      <c r="G170" s="56"/>
      <c r="H170" s="56"/>
      <c r="I170" s="56"/>
      <c r="J170" s="56"/>
      <c r="K170" s="56"/>
      <c r="M170" s="16"/>
      <c r="N170" s="16"/>
      <c r="O170" s="16"/>
      <c r="P170" s="16"/>
      <c r="Q170" s="16"/>
      <c r="R170" s="16"/>
      <c r="S170" s="16"/>
      <c r="T170" s="16"/>
      <c r="U170" s="16"/>
      <c r="V170" s="16"/>
    </row>
    <row r="171" spans="1:22" s="5" customFormat="1" x14ac:dyDescent="0.3">
      <c r="A171" s="56"/>
      <c r="B171" s="56"/>
      <c r="C171" s="56"/>
      <c r="D171" s="56"/>
      <c r="E171" s="56"/>
      <c r="F171" s="56"/>
      <c r="G171" s="56"/>
      <c r="H171" s="56"/>
      <c r="I171" s="56"/>
      <c r="J171" s="56"/>
      <c r="K171" s="56"/>
      <c r="M171" s="16"/>
      <c r="N171" s="16"/>
      <c r="O171" s="16"/>
      <c r="P171" s="16"/>
      <c r="Q171" s="16"/>
      <c r="R171" s="16"/>
      <c r="S171" s="16"/>
      <c r="T171" s="16"/>
      <c r="U171" s="16"/>
      <c r="V171" s="16"/>
    </row>
    <row r="172" spans="1:22" s="5" customFormat="1" x14ac:dyDescent="0.3">
      <c r="A172" s="56"/>
      <c r="B172" s="56"/>
      <c r="C172" s="56"/>
      <c r="D172" s="56"/>
      <c r="E172" s="56"/>
      <c r="F172" s="56"/>
      <c r="G172" s="56"/>
      <c r="H172" s="56"/>
      <c r="I172" s="56"/>
      <c r="J172" s="56"/>
      <c r="K172" s="56"/>
      <c r="M172" s="16"/>
      <c r="N172" s="16"/>
      <c r="O172" s="16"/>
      <c r="P172" s="16"/>
      <c r="Q172" s="16"/>
      <c r="R172" s="16"/>
      <c r="S172" s="16"/>
      <c r="T172" s="16"/>
      <c r="U172" s="16"/>
      <c r="V172" s="16"/>
    </row>
    <row r="173" spans="1:22" s="5" customFormat="1" x14ac:dyDescent="0.3">
      <c r="A173" s="56"/>
      <c r="B173" s="56"/>
      <c r="C173" s="56"/>
      <c r="D173" s="56"/>
      <c r="E173" s="56"/>
      <c r="F173" s="56"/>
      <c r="G173" s="56"/>
      <c r="H173" s="56"/>
      <c r="I173" s="56"/>
      <c r="J173" s="56"/>
      <c r="K173" s="56"/>
      <c r="M173" s="16"/>
      <c r="N173" s="16"/>
      <c r="O173" s="16"/>
      <c r="P173" s="16"/>
      <c r="Q173" s="16"/>
      <c r="R173" s="16"/>
      <c r="S173" s="16"/>
      <c r="T173" s="16"/>
      <c r="U173" s="16"/>
      <c r="V173" s="16"/>
    </row>
    <row r="174" spans="1:22" s="5" customFormat="1" x14ac:dyDescent="0.3">
      <c r="A174" s="56"/>
      <c r="B174" s="56"/>
      <c r="C174" s="56"/>
      <c r="D174" s="56"/>
      <c r="E174" s="56"/>
      <c r="F174" s="56"/>
      <c r="G174" s="56"/>
      <c r="H174" s="56"/>
      <c r="I174" s="56"/>
      <c r="J174" s="56"/>
      <c r="K174" s="56"/>
      <c r="M174" s="16"/>
      <c r="N174" s="16"/>
      <c r="O174" s="16"/>
      <c r="P174" s="16"/>
      <c r="Q174" s="16"/>
      <c r="R174" s="16"/>
      <c r="S174" s="16"/>
      <c r="T174" s="16"/>
      <c r="U174" s="16"/>
      <c r="V174" s="16"/>
    </row>
    <row r="175" spans="1:22" s="5" customFormat="1" x14ac:dyDescent="0.3">
      <c r="A175" s="56"/>
      <c r="B175" s="56"/>
      <c r="C175" s="56"/>
      <c r="D175" s="56"/>
      <c r="E175" s="56"/>
      <c r="F175" s="56"/>
      <c r="G175" s="56"/>
      <c r="H175" s="56"/>
      <c r="I175" s="56"/>
      <c r="J175" s="56"/>
      <c r="K175" s="56"/>
      <c r="M175" s="16"/>
      <c r="N175" s="16"/>
      <c r="O175" s="16"/>
      <c r="P175" s="16"/>
      <c r="Q175" s="16"/>
      <c r="R175" s="16"/>
      <c r="S175" s="16"/>
      <c r="T175" s="16"/>
      <c r="U175" s="16"/>
      <c r="V175" s="16"/>
    </row>
    <row r="176" spans="1:22" s="5" customFormat="1" x14ac:dyDescent="0.3">
      <c r="A176" s="56"/>
      <c r="B176" s="56"/>
      <c r="C176" s="56"/>
      <c r="D176" s="56"/>
      <c r="E176" s="56"/>
      <c r="F176" s="56"/>
      <c r="G176" s="56"/>
      <c r="H176" s="56"/>
      <c r="I176" s="56"/>
      <c r="J176" s="56"/>
      <c r="K176" s="56"/>
      <c r="M176" s="16"/>
      <c r="N176" s="16"/>
      <c r="O176" s="16"/>
      <c r="P176" s="16"/>
      <c r="Q176" s="16"/>
      <c r="R176" s="16"/>
      <c r="S176" s="16"/>
      <c r="T176" s="16"/>
      <c r="U176" s="16"/>
      <c r="V176" s="16"/>
    </row>
    <row r="177" spans="1:22" s="5" customFormat="1" x14ac:dyDescent="0.3">
      <c r="A177" s="56"/>
      <c r="B177" s="56"/>
      <c r="C177" s="56"/>
      <c r="D177" s="56"/>
      <c r="E177" s="56"/>
      <c r="F177" s="56"/>
      <c r="G177" s="56"/>
      <c r="H177" s="56"/>
      <c r="I177" s="56"/>
      <c r="J177" s="56"/>
      <c r="K177" s="56"/>
      <c r="M177" s="16"/>
      <c r="N177" s="16"/>
      <c r="O177" s="16"/>
      <c r="P177" s="16"/>
      <c r="Q177" s="16"/>
      <c r="R177" s="16"/>
      <c r="S177" s="16"/>
      <c r="T177" s="16"/>
      <c r="U177" s="16"/>
      <c r="V177" s="16"/>
    </row>
    <row r="178" spans="1:22" s="5" customFormat="1" x14ac:dyDescent="0.3">
      <c r="A178" s="56"/>
      <c r="B178" s="56"/>
      <c r="C178" s="56"/>
      <c r="D178" s="56"/>
      <c r="E178" s="56"/>
      <c r="F178" s="56"/>
      <c r="G178" s="56"/>
      <c r="H178" s="56"/>
      <c r="I178" s="56"/>
      <c r="J178" s="56"/>
      <c r="K178" s="56"/>
      <c r="M178" s="16"/>
      <c r="N178" s="16"/>
      <c r="O178" s="16"/>
      <c r="P178" s="16"/>
      <c r="Q178" s="16"/>
      <c r="R178" s="16"/>
      <c r="S178" s="16"/>
      <c r="T178" s="16"/>
      <c r="U178" s="16"/>
      <c r="V178" s="16"/>
    </row>
    <row r="179" spans="1:22" s="5" customFormat="1" x14ac:dyDescent="0.3">
      <c r="A179" s="56"/>
      <c r="B179" s="56"/>
      <c r="C179" s="56"/>
      <c r="D179" s="56"/>
      <c r="E179" s="56"/>
      <c r="F179" s="56"/>
      <c r="G179" s="56"/>
      <c r="H179" s="56"/>
      <c r="I179" s="56"/>
      <c r="J179" s="56"/>
      <c r="K179" s="56"/>
      <c r="M179" s="16"/>
      <c r="N179" s="16"/>
      <c r="O179" s="16"/>
      <c r="P179" s="16"/>
      <c r="Q179" s="16"/>
      <c r="R179" s="16"/>
      <c r="S179" s="16"/>
      <c r="T179" s="16"/>
      <c r="U179" s="16"/>
      <c r="V179" s="16"/>
    </row>
    <row r="180" spans="1:22" s="5" customFormat="1" x14ac:dyDescent="0.3">
      <c r="A180" s="56"/>
      <c r="B180" s="56"/>
      <c r="C180" s="56"/>
      <c r="D180" s="56"/>
      <c r="E180" s="56"/>
      <c r="F180" s="56"/>
      <c r="G180" s="56"/>
      <c r="H180" s="56"/>
      <c r="I180" s="56"/>
      <c r="J180" s="56"/>
      <c r="K180" s="56"/>
      <c r="M180" s="16"/>
      <c r="N180" s="16"/>
      <c r="O180" s="16"/>
      <c r="P180" s="16"/>
      <c r="Q180" s="16"/>
      <c r="R180" s="16"/>
      <c r="S180" s="16"/>
      <c r="T180" s="16"/>
      <c r="U180" s="16"/>
      <c r="V180" s="16"/>
    </row>
    <row r="181" spans="1:22" s="5" customFormat="1" x14ac:dyDescent="0.3">
      <c r="A181" s="56"/>
      <c r="B181" s="56"/>
      <c r="C181" s="56"/>
      <c r="D181" s="56"/>
      <c r="E181" s="56"/>
      <c r="F181" s="56"/>
      <c r="G181" s="56"/>
      <c r="H181" s="56"/>
      <c r="I181" s="56"/>
      <c r="J181" s="56"/>
      <c r="K181" s="56"/>
      <c r="M181" s="16"/>
      <c r="N181" s="16"/>
      <c r="O181" s="16"/>
      <c r="P181" s="16"/>
      <c r="Q181" s="16"/>
      <c r="R181" s="16"/>
      <c r="S181" s="16"/>
      <c r="T181" s="16"/>
      <c r="U181" s="16"/>
      <c r="V181" s="16"/>
    </row>
    <row r="182" spans="1:22" s="5" customFormat="1" x14ac:dyDescent="0.3">
      <c r="A182" s="56"/>
      <c r="B182" s="56"/>
      <c r="C182" s="56"/>
      <c r="D182" s="56"/>
      <c r="E182" s="56"/>
      <c r="F182" s="56"/>
      <c r="G182" s="56"/>
      <c r="H182" s="56"/>
      <c r="I182" s="56"/>
      <c r="J182" s="56"/>
      <c r="K182" s="56"/>
      <c r="M182" s="16"/>
      <c r="N182" s="16"/>
      <c r="O182" s="16"/>
      <c r="P182" s="16"/>
      <c r="Q182" s="16"/>
      <c r="R182" s="16"/>
      <c r="S182" s="16"/>
      <c r="T182" s="16"/>
      <c r="U182" s="16"/>
      <c r="V182" s="16"/>
    </row>
    <row r="183" spans="1:22" s="5" customFormat="1" x14ac:dyDescent="0.3">
      <c r="A183" s="56"/>
      <c r="B183" s="56"/>
      <c r="C183" s="56"/>
      <c r="D183" s="56"/>
      <c r="E183" s="57" t="s">
        <v>80</v>
      </c>
      <c r="F183" s="56"/>
      <c r="G183" s="56"/>
      <c r="H183" s="56"/>
      <c r="I183" s="56"/>
      <c r="J183" s="56"/>
      <c r="K183" s="56"/>
      <c r="M183" s="16"/>
      <c r="N183" s="16"/>
      <c r="O183" s="16"/>
      <c r="P183" s="16"/>
      <c r="Q183" s="16"/>
      <c r="R183" s="16"/>
      <c r="S183" s="16"/>
      <c r="T183" s="16"/>
      <c r="U183" s="16"/>
      <c r="V183" s="16"/>
    </row>
    <row r="184" spans="1:22" s="5" customFormat="1" x14ac:dyDescent="0.3">
      <c r="A184" s="56"/>
      <c r="B184" s="56"/>
      <c r="C184" s="56"/>
      <c r="D184" s="56"/>
      <c r="E184" s="58" t="s">
        <v>81</v>
      </c>
      <c r="F184" s="56"/>
      <c r="G184" s="56"/>
      <c r="H184" s="56"/>
      <c r="I184" s="56"/>
      <c r="J184" s="56"/>
      <c r="K184" s="56"/>
      <c r="M184" s="16"/>
      <c r="N184" s="16"/>
      <c r="O184" s="16"/>
      <c r="P184" s="16"/>
      <c r="Q184" s="16"/>
      <c r="R184" s="16"/>
      <c r="S184" s="16"/>
      <c r="T184" s="16"/>
      <c r="U184" s="16"/>
      <c r="V184" s="16"/>
    </row>
    <row r="185" spans="1:22" s="5" customFormat="1" x14ac:dyDescent="0.3">
      <c r="A185" s="56"/>
      <c r="B185" s="56"/>
      <c r="C185" s="56"/>
      <c r="D185" s="56"/>
      <c r="E185" s="58" t="s">
        <v>82</v>
      </c>
      <c r="F185" s="56"/>
      <c r="G185" s="56"/>
      <c r="H185" s="56"/>
      <c r="I185" s="56"/>
      <c r="J185" s="56"/>
      <c r="K185" s="56"/>
      <c r="M185" s="16"/>
      <c r="N185" s="16"/>
      <c r="O185" s="16"/>
      <c r="P185" s="16"/>
      <c r="Q185" s="16"/>
      <c r="R185" s="16"/>
      <c r="S185" s="16"/>
      <c r="T185" s="16"/>
      <c r="U185" s="16"/>
      <c r="V185" s="16"/>
    </row>
    <row r="186" spans="1:22" s="5" customFormat="1" x14ac:dyDescent="0.3">
      <c r="A186" s="56"/>
      <c r="B186" s="56"/>
      <c r="C186" s="56"/>
      <c r="D186" s="56"/>
      <c r="E186" s="58" t="s">
        <v>83</v>
      </c>
      <c r="F186" s="56"/>
      <c r="G186" s="56"/>
      <c r="H186" s="56"/>
      <c r="I186" s="56"/>
      <c r="J186" s="56"/>
      <c r="K186" s="56"/>
      <c r="M186" s="16"/>
      <c r="N186" s="16"/>
      <c r="O186" s="16"/>
      <c r="P186" s="16"/>
      <c r="Q186" s="16"/>
      <c r="R186" s="16"/>
      <c r="S186" s="16"/>
      <c r="T186" s="16"/>
      <c r="U186" s="16"/>
      <c r="V186" s="16"/>
    </row>
    <row r="187" spans="1:22" s="5" customFormat="1" x14ac:dyDescent="0.3">
      <c r="A187" s="56"/>
      <c r="B187" s="56"/>
      <c r="C187" s="56"/>
      <c r="D187" s="56"/>
      <c r="E187" s="58" t="s">
        <v>84</v>
      </c>
      <c r="F187" s="56"/>
      <c r="G187" s="56"/>
      <c r="H187" s="56"/>
      <c r="I187" s="56"/>
      <c r="J187" s="56"/>
      <c r="K187" s="56"/>
      <c r="M187" s="16"/>
      <c r="N187" s="16"/>
      <c r="O187" s="16"/>
      <c r="P187" s="16"/>
      <c r="Q187" s="16"/>
      <c r="R187" s="16"/>
      <c r="S187" s="16"/>
      <c r="T187" s="16"/>
      <c r="U187" s="16"/>
      <c r="V187" s="16"/>
    </row>
    <row r="188" spans="1:22" s="5" customFormat="1" x14ac:dyDescent="0.3">
      <c r="A188" s="56"/>
      <c r="B188" s="56"/>
      <c r="C188" s="56"/>
      <c r="D188" s="56"/>
      <c r="E188" s="58" t="s">
        <v>85</v>
      </c>
      <c r="F188" s="56"/>
      <c r="G188" s="56"/>
      <c r="H188" s="56"/>
      <c r="I188" s="56"/>
      <c r="J188" s="56"/>
      <c r="K188" s="56"/>
      <c r="M188" s="16"/>
      <c r="N188" s="16"/>
      <c r="O188" s="16"/>
      <c r="P188" s="16"/>
      <c r="Q188" s="16"/>
      <c r="R188" s="16"/>
      <c r="S188" s="16"/>
      <c r="T188" s="16"/>
      <c r="U188" s="16"/>
      <c r="V188" s="16"/>
    </row>
    <row r="189" spans="1:22" s="5" customFormat="1" x14ac:dyDescent="0.3">
      <c r="A189" s="56"/>
      <c r="B189" s="56"/>
      <c r="C189" s="56"/>
      <c r="D189" s="56"/>
      <c r="E189" s="58" t="s">
        <v>86</v>
      </c>
      <c r="F189" s="56"/>
      <c r="G189" s="56"/>
      <c r="H189" s="56"/>
      <c r="I189" s="56"/>
      <c r="J189" s="56"/>
      <c r="K189" s="56"/>
      <c r="M189" s="16"/>
      <c r="N189" s="16"/>
      <c r="O189" s="16"/>
      <c r="P189" s="16"/>
      <c r="Q189" s="16"/>
      <c r="R189" s="16"/>
      <c r="S189" s="16"/>
      <c r="T189" s="16"/>
      <c r="U189" s="16"/>
      <c r="V189" s="16"/>
    </row>
    <row r="190" spans="1:22" s="5" customFormat="1" x14ac:dyDescent="0.3">
      <c r="A190" s="56"/>
      <c r="B190" s="56"/>
      <c r="C190" s="56"/>
      <c r="D190" s="56"/>
      <c r="E190" s="58" t="s">
        <v>87</v>
      </c>
      <c r="F190" s="56"/>
      <c r="G190" s="56"/>
      <c r="H190" s="56"/>
      <c r="I190" s="56"/>
      <c r="J190" s="56"/>
      <c r="K190" s="56"/>
      <c r="M190" s="16"/>
      <c r="N190" s="16"/>
      <c r="O190" s="16"/>
      <c r="P190" s="16"/>
      <c r="Q190" s="16"/>
      <c r="R190" s="16"/>
      <c r="S190" s="16"/>
      <c r="T190" s="16"/>
      <c r="U190" s="16"/>
      <c r="V190" s="16"/>
    </row>
    <row r="191" spans="1:22" s="5" customFormat="1" x14ac:dyDescent="0.3">
      <c r="A191" s="56"/>
      <c r="B191" s="56"/>
      <c r="C191" s="56"/>
      <c r="D191" s="56"/>
      <c r="E191" s="56"/>
      <c r="F191" s="56"/>
      <c r="G191" s="56"/>
      <c r="H191" s="56"/>
      <c r="I191" s="56"/>
      <c r="J191" s="56"/>
      <c r="K191" s="56"/>
      <c r="M191" s="16"/>
      <c r="N191" s="16"/>
      <c r="O191" s="16"/>
      <c r="P191" s="16"/>
      <c r="Q191" s="16"/>
      <c r="R191" s="16"/>
      <c r="S191" s="16"/>
      <c r="T191" s="16"/>
      <c r="U191" s="16"/>
      <c r="V191" s="16"/>
    </row>
    <row r="192" spans="1:22" s="5" customFormat="1" x14ac:dyDescent="0.3">
      <c r="A192" s="56"/>
      <c r="B192" s="56"/>
      <c r="C192" s="56"/>
      <c r="D192" s="56"/>
      <c r="E192" s="56"/>
      <c r="F192" s="56"/>
      <c r="G192" s="56"/>
      <c r="H192" s="56"/>
      <c r="I192" s="56"/>
      <c r="J192" s="56"/>
      <c r="K192" s="56"/>
      <c r="M192" s="16"/>
      <c r="N192" s="16"/>
      <c r="O192" s="16"/>
      <c r="P192" s="16"/>
      <c r="Q192" s="16"/>
      <c r="R192" s="16"/>
      <c r="S192" s="16"/>
      <c r="T192" s="16"/>
      <c r="U192" s="16"/>
      <c r="V192" s="16"/>
    </row>
    <row r="193" spans="1:22" s="5" customFormat="1" x14ac:dyDescent="0.3">
      <c r="A193" s="56"/>
      <c r="B193" s="56"/>
      <c r="C193" s="56"/>
      <c r="D193" s="56"/>
      <c r="E193" s="56"/>
      <c r="F193" s="56"/>
      <c r="G193" s="56"/>
      <c r="H193" s="56"/>
      <c r="I193" s="56"/>
      <c r="J193" s="56"/>
      <c r="K193" s="56"/>
      <c r="M193" s="16"/>
      <c r="N193" s="16"/>
      <c r="O193" s="16"/>
      <c r="P193" s="16"/>
      <c r="Q193" s="16"/>
      <c r="R193" s="16"/>
      <c r="S193" s="16"/>
      <c r="T193" s="16"/>
      <c r="U193" s="16"/>
      <c r="V193" s="16"/>
    </row>
    <row r="194" spans="1:22" s="5" customFormat="1" x14ac:dyDescent="0.3">
      <c r="A194" s="56"/>
      <c r="B194" s="56"/>
      <c r="C194" s="56"/>
      <c r="D194" s="56"/>
      <c r="E194" s="56"/>
      <c r="F194" s="56"/>
      <c r="G194" s="56"/>
      <c r="H194" s="56"/>
      <c r="I194" s="56"/>
      <c r="J194" s="56"/>
      <c r="K194" s="56"/>
      <c r="M194" s="16"/>
      <c r="N194" s="16"/>
      <c r="O194" s="16"/>
      <c r="P194" s="16"/>
      <c r="Q194" s="16"/>
      <c r="R194" s="16"/>
      <c r="S194" s="16"/>
      <c r="T194" s="16"/>
      <c r="U194" s="16"/>
      <c r="V194" s="16"/>
    </row>
    <row r="195" spans="1:22" s="5" customFormat="1" x14ac:dyDescent="0.3">
      <c r="A195" s="56"/>
      <c r="B195" s="56"/>
      <c r="C195" s="56"/>
      <c r="D195" s="56"/>
      <c r="E195" s="56"/>
      <c r="F195" s="56"/>
      <c r="G195" s="56"/>
      <c r="H195" s="56"/>
      <c r="I195" s="56"/>
      <c r="J195" s="56"/>
      <c r="K195" s="56"/>
      <c r="M195" s="16"/>
      <c r="N195" s="16"/>
      <c r="O195" s="16"/>
      <c r="P195" s="16"/>
      <c r="Q195" s="16"/>
      <c r="R195" s="16"/>
      <c r="S195" s="16"/>
      <c r="T195" s="16"/>
      <c r="U195" s="16"/>
      <c r="V195" s="16"/>
    </row>
    <row r="196" spans="1:22" s="5" customFormat="1" ht="14.25" customHeight="1" x14ac:dyDescent="0.3">
      <c r="A196" s="59"/>
      <c r="B196" s="59"/>
      <c r="C196" s="59"/>
      <c r="D196" s="59"/>
      <c r="E196" s="59"/>
      <c r="F196" s="59"/>
      <c r="G196" s="59"/>
      <c r="H196" s="59"/>
      <c r="I196" s="59"/>
      <c r="J196" s="59"/>
      <c r="K196" s="59"/>
      <c r="M196" s="16"/>
      <c r="N196" s="16"/>
      <c r="O196" s="16"/>
      <c r="P196" s="16"/>
      <c r="Q196" s="16"/>
      <c r="R196" s="16"/>
      <c r="S196" s="16"/>
      <c r="T196" s="16"/>
      <c r="U196" s="16"/>
      <c r="V196" s="16"/>
    </row>
  </sheetData>
  <mergeCells count="67">
    <mergeCell ref="E73:F73"/>
    <mergeCell ref="I73:K73"/>
    <mergeCell ref="I74:K74"/>
    <mergeCell ref="I75:K75"/>
    <mergeCell ref="G81:H82"/>
    <mergeCell ref="E72:F72"/>
    <mergeCell ref="I72:K72"/>
    <mergeCell ref="E62:G62"/>
    <mergeCell ref="I62:K62"/>
    <mergeCell ref="E63:G63"/>
    <mergeCell ref="I63:K63"/>
    <mergeCell ref="E64:G64"/>
    <mergeCell ref="I64:K64"/>
    <mergeCell ref="I65:K65"/>
    <mergeCell ref="I68:K68"/>
    <mergeCell ref="I69:K69"/>
    <mergeCell ref="I70:K70"/>
    <mergeCell ref="I71:K71"/>
    <mergeCell ref="E57:G57"/>
    <mergeCell ref="I57:K57"/>
    <mergeCell ref="E60:G60"/>
    <mergeCell ref="I60:K60"/>
    <mergeCell ref="E61:G61"/>
    <mergeCell ref="I61:K61"/>
    <mergeCell ref="E52:G52"/>
    <mergeCell ref="I52:K52"/>
    <mergeCell ref="E53:G53"/>
    <mergeCell ref="I53:K53"/>
    <mergeCell ref="E56:G56"/>
    <mergeCell ref="I56:K56"/>
    <mergeCell ref="E49:G49"/>
    <mergeCell ref="I49:K49"/>
    <mergeCell ref="E50:G50"/>
    <mergeCell ref="I50:K50"/>
    <mergeCell ref="E51:G51"/>
    <mergeCell ref="I51:K51"/>
    <mergeCell ref="E44:G44"/>
    <mergeCell ref="I44:K44"/>
    <mergeCell ref="E45:G45"/>
    <mergeCell ref="I45:K45"/>
    <mergeCell ref="E46:G46"/>
    <mergeCell ref="I46:K46"/>
    <mergeCell ref="E41:G41"/>
    <mergeCell ref="I41:K41"/>
    <mergeCell ref="E42:G42"/>
    <mergeCell ref="I42:K42"/>
    <mergeCell ref="E43:G43"/>
    <mergeCell ref="I43:K43"/>
    <mergeCell ref="E38:G38"/>
    <mergeCell ref="I38:K38"/>
    <mergeCell ref="E39:G39"/>
    <mergeCell ref="I39:K39"/>
    <mergeCell ref="E40:G40"/>
    <mergeCell ref="I40:K40"/>
    <mergeCell ref="E37:G37"/>
    <mergeCell ref="I37:K37"/>
    <mergeCell ref="B3:C3"/>
    <mergeCell ref="E6:F6"/>
    <mergeCell ref="G6:H6"/>
    <mergeCell ref="I31:K31"/>
    <mergeCell ref="I32:K32"/>
    <mergeCell ref="I33:K33"/>
    <mergeCell ref="I34:K34"/>
    <mergeCell ref="E35:G35"/>
    <mergeCell ref="I35:K35"/>
    <mergeCell ref="E36:G36"/>
    <mergeCell ref="I36:K36"/>
  </mergeCells>
  <conditionalFormatting sqref="I31:K46 I49:K54 I56:K57 I60:K64 I68:K75">
    <cfRule type="expression" dxfId="3" priority="1" stopIfTrue="1">
      <formula>$E31="No"</formula>
    </cfRule>
    <cfRule type="expression" priority="2" stopIfTrue="1">
      <formula>$E31&lt;&gt;"No"</formula>
    </cfRule>
  </conditionalFormatting>
  <conditionalFormatting sqref="I65:K65">
    <cfRule type="expression" dxfId="2" priority="3" stopIfTrue="1">
      <formula>$E65="Long-term frequency"</formula>
    </cfRule>
    <cfRule type="expression" priority="4" stopIfTrue="1">
      <formula>$E65&lt;&gt;"Long-term frequency"</formula>
    </cfRule>
  </conditionalFormatting>
  <dataValidations count="8">
    <dataValidation type="list" allowBlank="1" showInputMessage="1" showErrorMessage="1" sqref="E42:E46 E56:E57 E49:E51" xr:uid="{7423568C-C1AC-4F02-8408-B1BA175B1BC6}">
      <formula1>"Yes,No - not material or applicable,No"</formula1>
    </dataValidation>
    <dataValidation type="list" allowBlank="1" showInputMessage="1" showErrorMessage="1" sqref="E35:E41 E60:E64 E52:E53" xr:uid="{B4E59E15-A979-4B6B-A140-EC656605E9DC}">
      <formula1>"Yes - supplementing vendor models where required,Yes - only where vendor models incorporate,No - not material or applicable,No"</formula1>
    </dataValidation>
    <dataValidation type="list" allowBlank="1" showInputMessage="1" showErrorMessage="1" sqref="E65" xr:uid="{8BEE6B81-6085-4AB2-838D-644B6CCA1DA1}">
      <formula1>"Near-term frequency,Long-term frequency"</formula1>
    </dataValidation>
    <dataValidation type="list" allowBlank="1" showInputMessage="1" showErrorMessage="1" sqref="G78" xr:uid="{948CF873-1046-4B3C-B9A0-37DDB06A28AA}">
      <formula1>"Detemined analytically,Estimated"</formula1>
    </dataValidation>
    <dataValidation type="list" allowBlank="1" showInputMessage="1" showErrorMessage="1" sqref="E73" xr:uid="{D5F9AC00-AD42-41AC-99CA-A762A2AB50D4}">
      <formula1>"Yes - increase frequency,Yes - decrease frequency,Yes - variable impact on frequency,No"</formula1>
    </dataValidation>
    <dataValidation type="list" allowBlank="1" showInputMessage="1" showErrorMessage="1" sqref="E72" xr:uid="{15B2D07D-3E53-42AC-A33F-874FC897AF9A}">
      <formula1>"Yes - increase severity,Yes - decrease severity,Yes - variable impact on severity,No"</formula1>
    </dataValidation>
    <dataValidation type="list" allowBlank="1" showInputMessage="1" showErrorMessage="1" sqref="E74:E75 E31:E34 E68:E71" xr:uid="{2F3BA98D-D521-431B-93E5-F85D071FA53E}">
      <formula1>"Yes,No"</formula1>
    </dataValidation>
    <dataValidation type="list" allowBlank="1" showInputMessage="1" showErrorMessage="1" sqref="G80" xr:uid="{DA3EFD43-1700-408B-8FAE-DD25436E5743}">
      <formula1>$E$184:$E$190</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7B599-4C78-47B1-92F0-FE3989ECAA80}">
  <sheetPr>
    <tabColor rgb="FFC00000"/>
  </sheetPr>
  <dimension ref="A1:HB199"/>
  <sheetViews>
    <sheetView topLeftCell="A13" zoomScale="115" zoomScaleNormal="115" workbookViewId="0">
      <selection activeCell="F17" sqref="F17"/>
    </sheetView>
  </sheetViews>
  <sheetFormatPr defaultColWidth="9.109375" defaultRowHeight="13.25" x14ac:dyDescent="0.3"/>
  <cols>
    <col min="1" max="1" width="1.44140625" style="59" customWidth="1"/>
    <col min="2" max="2" width="17" style="59" customWidth="1"/>
    <col min="3" max="3" width="26" style="59" customWidth="1"/>
    <col min="4" max="4" width="15.44140625" style="59" customWidth="1"/>
    <col min="5" max="8" width="21.5546875" style="59" customWidth="1"/>
    <col min="9" max="9" width="6" style="59" customWidth="1"/>
    <col min="10" max="10" width="21.5546875" style="59" customWidth="1"/>
    <col min="11" max="11" width="1.44140625" style="59" customWidth="1"/>
    <col min="12" max="12" width="9.109375" style="5"/>
    <col min="13" max="13" width="10.5546875" style="16" customWidth="1"/>
    <col min="14" max="14" width="9.5546875" style="16" customWidth="1"/>
    <col min="15" max="15" width="7.5546875" style="16" customWidth="1"/>
    <col min="16" max="16" width="13" style="16" customWidth="1"/>
    <col min="17" max="17" width="9.44140625" style="16" bestFit="1" customWidth="1"/>
    <col min="18" max="210" width="9.109375" style="5"/>
    <col min="211" max="16384" width="9.109375" style="59"/>
  </cols>
  <sheetData>
    <row r="1" spans="1:22" s="5" customFormat="1" ht="75.05" customHeight="1" x14ac:dyDescent="0.35">
      <c r="A1" s="60"/>
      <c r="B1" s="2" t="s">
        <v>88</v>
      </c>
      <c r="C1" s="61"/>
      <c r="D1" s="61"/>
      <c r="E1" s="61"/>
      <c r="F1" s="61"/>
      <c r="G1" s="61"/>
      <c r="H1" s="61"/>
      <c r="I1" s="61"/>
      <c r="J1" s="3" t="str">
        <f>HYPERLINK("#'Index'!A1","Return to Index")</f>
        <v>Return to Index</v>
      </c>
      <c r="K1" s="62"/>
      <c r="M1" s="8"/>
      <c r="N1" s="8"/>
      <c r="O1" s="8"/>
      <c r="P1" s="9"/>
      <c r="Q1" s="8"/>
    </row>
    <row r="2" spans="1:22" s="5" customFormat="1" ht="13.55" customHeight="1" x14ac:dyDescent="0.3">
      <c r="A2" s="19"/>
      <c r="B2" s="13" t="str">
        <f>'[1]Group Information'!C9</f>
        <v>Enter Parent Company Name</v>
      </c>
      <c r="C2" s="14"/>
      <c r="D2" s="14"/>
      <c r="E2" s="14"/>
      <c r="F2" s="14"/>
      <c r="G2" s="14"/>
      <c r="H2" s="14"/>
      <c r="I2" s="14"/>
      <c r="J2" s="14"/>
      <c r="K2" s="15"/>
      <c r="M2" s="8"/>
      <c r="N2" s="8"/>
      <c r="O2" s="8"/>
      <c r="P2" s="8"/>
      <c r="Q2" s="8"/>
    </row>
    <row r="3" spans="1:22" s="5" customFormat="1" ht="13.55" customHeight="1" x14ac:dyDescent="0.3">
      <c r="A3" s="19"/>
      <c r="B3" s="63">
        <f>'[2]Group Information'!C3+1</f>
        <v>46023</v>
      </c>
      <c r="C3" s="14"/>
      <c r="D3" s="14"/>
      <c r="E3" s="14"/>
      <c r="F3" s="14"/>
      <c r="G3" s="14"/>
      <c r="H3" s="14"/>
      <c r="I3" s="14"/>
      <c r="J3" s="17" t="s">
        <v>89</v>
      </c>
      <c r="K3" s="15"/>
      <c r="M3" s="8"/>
      <c r="N3" s="8"/>
      <c r="O3" s="8"/>
      <c r="P3" s="8"/>
      <c r="Q3" s="8"/>
    </row>
    <row r="4" spans="1:22" s="5" customFormat="1" ht="6.8" customHeight="1" x14ac:dyDescent="0.3">
      <c r="A4" s="19"/>
      <c r="B4" s="64"/>
      <c r="C4" s="14"/>
      <c r="D4" s="14"/>
      <c r="E4" s="14"/>
      <c r="F4" s="14"/>
      <c r="G4" s="14"/>
      <c r="H4" s="14"/>
      <c r="I4" s="14"/>
      <c r="J4" s="14"/>
      <c r="K4" s="15"/>
      <c r="M4" s="8"/>
      <c r="N4" s="8"/>
      <c r="O4" s="8"/>
      <c r="P4" s="8"/>
      <c r="Q4" s="8"/>
    </row>
    <row r="5" spans="1:22" s="5" customFormat="1" x14ac:dyDescent="0.3">
      <c r="A5" s="19"/>
      <c r="B5" s="65" t="s">
        <v>90</v>
      </c>
      <c r="C5" s="65"/>
      <c r="D5" s="65"/>
      <c r="E5" s="65"/>
      <c r="F5" s="65"/>
      <c r="G5" s="65"/>
      <c r="H5" s="14"/>
      <c r="I5" s="14"/>
      <c r="J5" s="14"/>
      <c r="K5" s="15"/>
      <c r="M5" s="8"/>
      <c r="N5" s="8"/>
      <c r="O5" s="8"/>
      <c r="P5" s="8"/>
      <c r="Q5" s="8"/>
    </row>
    <row r="6" spans="1:22" s="5" customFormat="1" ht="6.8" customHeight="1" x14ac:dyDescent="0.3">
      <c r="A6" s="19"/>
      <c r="B6" s="65"/>
      <c r="C6" s="65"/>
      <c r="D6" s="65"/>
      <c r="E6" s="65"/>
      <c r="F6" s="65"/>
      <c r="G6" s="65"/>
      <c r="H6" s="14"/>
      <c r="I6" s="14"/>
      <c r="J6" s="14"/>
      <c r="K6" s="15"/>
      <c r="M6" s="8"/>
      <c r="N6" s="8"/>
      <c r="O6" s="8"/>
      <c r="P6" s="8"/>
      <c r="Q6" s="8"/>
    </row>
    <row r="7" spans="1:22" s="5" customFormat="1" x14ac:dyDescent="0.3">
      <c r="A7" s="19"/>
      <c r="B7" s="14"/>
      <c r="C7" s="38" t="s">
        <v>2</v>
      </c>
      <c r="D7" s="14"/>
      <c r="E7" s="14"/>
      <c r="F7" s="14"/>
      <c r="G7" s="14"/>
      <c r="H7" s="14"/>
      <c r="I7" s="14"/>
      <c r="J7" s="14"/>
      <c r="K7" s="15"/>
      <c r="M7" s="6"/>
      <c r="N7" s="8"/>
      <c r="O7" s="8"/>
      <c r="P7" s="8"/>
      <c r="Q7" s="8"/>
    </row>
    <row r="8" spans="1:22" s="5" customFormat="1" x14ac:dyDescent="0.3">
      <c r="A8" s="19"/>
      <c r="B8" s="14"/>
      <c r="C8" s="14"/>
      <c r="D8" s="21"/>
      <c r="E8" s="200" t="s">
        <v>91</v>
      </c>
      <c r="F8" s="201"/>
      <c r="G8" s="200" t="s">
        <v>92</v>
      </c>
      <c r="H8" s="201"/>
      <c r="I8" s="14"/>
      <c r="J8" s="14"/>
      <c r="K8" s="15"/>
      <c r="M8" s="8"/>
      <c r="N8" s="8"/>
      <c r="O8" s="8"/>
      <c r="P8" s="8"/>
      <c r="Q8" s="8"/>
    </row>
    <row r="9" spans="1:22" s="5" customFormat="1" ht="42.05" customHeight="1" x14ac:dyDescent="0.3">
      <c r="A9" s="19"/>
      <c r="B9" s="14"/>
      <c r="C9" s="14"/>
      <c r="D9" s="22" t="s">
        <v>5</v>
      </c>
      <c r="E9" s="23" t="s">
        <v>6</v>
      </c>
      <c r="F9" s="23" t="s">
        <v>7</v>
      </c>
      <c r="G9" s="24" t="s">
        <v>8</v>
      </c>
      <c r="H9" s="66" t="s">
        <v>9</v>
      </c>
      <c r="I9" s="14"/>
      <c r="J9" s="14"/>
      <c r="K9" s="15"/>
      <c r="L9" s="25"/>
      <c r="M9" s="8"/>
      <c r="N9" s="8"/>
      <c r="O9" s="8"/>
      <c r="P9" s="8"/>
      <c r="Q9" s="8"/>
    </row>
    <row r="10" spans="1:22" s="5" customFormat="1" x14ac:dyDescent="0.3">
      <c r="A10" s="19"/>
      <c r="B10" s="14"/>
      <c r="C10" s="14"/>
      <c r="D10" s="26"/>
      <c r="E10" s="138" t="s">
        <v>168</v>
      </c>
      <c r="F10" s="138" t="s">
        <v>168</v>
      </c>
      <c r="G10" s="138" t="s">
        <v>168</v>
      </c>
      <c r="H10" s="138" t="s">
        <v>168</v>
      </c>
      <c r="I10" s="14"/>
      <c r="J10" s="14"/>
      <c r="K10" s="15"/>
      <c r="L10" s="25"/>
      <c r="M10" s="18"/>
      <c r="N10" s="18"/>
      <c r="O10" s="18"/>
      <c r="P10" s="18"/>
      <c r="Q10" s="18"/>
    </row>
    <row r="11" spans="1:22" s="5" customFormat="1" x14ac:dyDescent="0.3">
      <c r="A11" s="19"/>
      <c r="B11" s="14"/>
      <c r="C11" s="14"/>
      <c r="D11" s="27">
        <v>50</v>
      </c>
      <c r="E11" s="28" t="s">
        <v>167</v>
      </c>
      <c r="F11" s="28" t="s">
        <v>167</v>
      </c>
      <c r="G11" s="28" t="s">
        <v>167</v>
      </c>
      <c r="H11" s="28" t="s">
        <v>167</v>
      </c>
      <c r="I11" s="14"/>
      <c r="J11" s="14"/>
      <c r="K11" s="15"/>
      <c r="M11" s="6"/>
      <c r="N11" s="8"/>
      <c r="O11" s="8"/>
      <c r="P11" s="8"/>
      <c r="Q11" s="8"/>
      <c r="V11" s="8"/>
    </row>
    <row r="12" spans="1:22" s="5" customFormat="1" x14ac:dyDescent="0.3">
      <c r="A12" s="19"/>
      <c r="B12" s="14"/>
      <c r="C12" s="14"/>
      <c r="D12" s="27">
        <v>100</v>
      </c>
      <c r="E12" s="28" t="s">
        <v>167</v>
      </c>
      <c r="F12" s="28" t="s">
        <v>167</v>
      </c>
      <c r="G12" s="28" t="s">
        <v>167</v>
      </c>
      <c r="H12" s="28" t="s">
        <v>167</v>
      </c>
      <c r="I12" s="14"/>
      <c r="J12" s="14"/>
      <c r="K12" s="15"/>
      <c r="M12" s="6"/>
      <c r="N12" s="8"/>
      <c r="O12" s="8"/>
      <c r="P12" s="8"/>
      <c r="Q12" s="8"/>
      <c r="V12" s="8"/>
    </row>
    <row r="13" spans="1:22" s="5" customFormat="1" x14ac:dyDescent="0.3">
      <c r="A13" s="19"/>
      <c r="B13" s="14"/>
      <c r="C13" s="14"/>
      <c r="D13" s="27">
        <v>250</v>
      </c>
      <c r="E13" s="28" t="s">
        <v>167</v>
      </c>
      <c r="F13" s="28" t="s">
        <v>167</v>
      </c>
      <c r="G13" s="28" t="s">
        <v>167</v>
      </c>
      <c r="H13" s="28" t="s">
        <v>167</v>
      </c>
      <c r="I13" s="14"/>
      <c r="J13" s="14"/>
      <c r="K13" s="15"/>
      <c r="M13" s="6"/>
      <c r="N13" s="8"/>
      <c r="O13" s="8"/>
      <c r="P13" s="8"/>
      <c r="Q13" s="8"/>
      <c r="V13" s="8"/>
    </row>
    <row r="14" spans="1:22" s="5" customFormat="1" x14ac:dyDescent="0.3">
      <c r="A14" s="19"/>
      <c r="B14" s="14"/>
      <c r="C14" s="14"/>
      <c r="D14" s="27">
        <v>500</v>
      </c>
      <c r="E14" s="28" t="s">
        <v>167</v>
      </c>
      <c r="F14" s="28" t="s">
        <v>167</v>
      </c>
      <c r="G14" s="28" t="s">
        <v>167</v>
      </c>
      <c r="H14" s="28" t="s">
        <v>167</v>
      </c>
      <c r="I14" s="14"/>
      <c r="J14" s="14"/>
      <c r="K14" s="15"/>
      <c r="M14" s="6"/>
      <c r="N14" s="8"/>
      <c r="O14" s="8"/>
      <c r="P14" s="8"/>
      <c r="Q14" s="8"/>
      <c r="V14" s="8"/>
    </row>
    <row r="15" spans="1:22" s="5" customFormat="1" x14ac:dyDescent="0.3">
      <c r="A15" s="19"/>
      <c r="B15" s="14"/>
      <c r="C15" s="14"/>
      <c r="D15" s="30">
        <v>1000</v>
      </c>
      <c r="E15" s="28" t="s">
        <v>167</v>
      </c>
      <c r="F15" s="28" t="s">
        <v>167</v>
      </c>
      <c r="G15" s="28" t="s">
        <v>167</v>
      </c>
      <c r="H15" s="28" t="s">
        <v>167</v>
      </c>
      <c r="I15" s="14"/>
      <c r="J15" s="14"/>
      <c r="K15" s="15"/>
      <c r="M15" s="6"/>
      <c r="N15" s="8"/>
      <c r="O15" s="8"/>
      <c r="P15" s="8"/>
      <c r="Q15" s="8"/>
      <c r="V15" s="8"/>
    </row>
    <row r="16" spans="1:22" s="5" customFormat="1" ht="6.8" customHeight="1" x14ac:dyDescent="0.3">
      <c r="A16" s="19"/>
      <c r="B16" s="14"/>
      <c r="C16" s="14"/>
      <c r="D16" s="14"/>
      <c r="E16" s="14"/>
      <c r="F16" s="14"/>
      <c r="G16" s="14"/>
      <c r="H16" s="14"/>
      <c r="I16" s="14"/>
      <c r="J16" s="14"/>
      <c r="K16" s="15"/>
      <c r="M16" s="35"/>
      <c r="N16" s="8"/>
      <c r="O16" s="8"/>
      <c r="P16" s="8"/>
      <c r="Q16" s="8"/>
      <c r="V16" s="8"/>
    </row>
    <row r="17" spans="1:23" s="5" customFormat="1" x14ac:dyDescent="0.3">
      <c r="A17" s="19"/>
      <c r="B17" s="14"/>
      <c r="C17" s="14"/>
      <c r="D17" s="14"/>
      <c r="E17" s="138" t="s">
        <v>169</v>
      </c>
      <c r="F17" s="14"/>
      <c r="G17" s="14"/>
      <c r="H17" s="14"/>
      <c r="I17" s="14"/>
      <c r="J17" s="138" t="s">
        <v>170</v>
      </c>
      <c r="K17" s="15"/>
      <c r="M17" s="35"/>
      <c r="N17" s="8"/>
      <c r="O17" s="8"/>
      <c r="P17" s="8"/>
      <c r="Q17" s="8"/>
      <c r="V17" s="8"/>
    </row>
    <row r="18" spans="1:23" s="5" customFormat="1" x14ac:dyDescent="0.3">
      <c r="A18" s="19"/>
      <c r="B18" s="14"/>
      <c r="C18" s="14"/>
      <c r="D18" s="33" t="s">
        <v>93</v>
      </c>
      <c r="E18" s="28" t="s">
        <v>167</v>
      </c>
      <c r="F18" s="14"/>
      <c r="G18" s="14"/>
      <c r="H18" s="14"/>
      <c r="I18" s="33" t="s">
        <v>14</v>
      </c>
      <c r="J18" s="28" t="s">
        <v>167</v>
      </c>
      <c r="K18" s="15"/>
      <c r="M18" s="35"/>
      <c r="N18" s="7"/>
      <c r="O18" s="8"/>
      <c r="P18" s="16"/>
      <c r="Q18" s="7"/>
      <c r="V18" s="8"/>
      <c r="W18" s="8"/>
    </row>
    <row r="19" spans="1:23" s="5" customFormat="1" x14ac:dyDescent="0.3">
      <c r="A19" s="19"/>
      <c r="B19" s="14"/>
      <c r="C19" s="14"/>
      <c r="D19" s="33"/>
      <c r="E19" s="139"/>
      <c r="F19" s="14"/>
      <c r="G19" s="14"/>
      <c r="H19" s="14"/>
      <c r="I19" s="33" t="s">
        <v>15</v>
      </c>
      <c r="J19" s="28" t="s">
        <v>167</v>
      </c>
      <c r="K19" s="15"/>
      <c r="M19" s="35"/>
      <c r="N19" s="7"/>
      <c r="O19" s="8"/>
      <c r="P19" s="16"/>
      <c r="Q19" s="7"/>
      <c r="V19" s="8"/>
      <c r="W19" s="8"/>
    </row>
    <row r="20" spans="1:23" s="5" customFormat="1" x14ac:dyDescent="0.3">
      <c r="A20" s="19"/>
      <c r="B20" s="14"/>
      <c r="C20" s="14"/>
      <c r="D20" s="33" t="s">
        <v>94</v>
      </c>
      <c r="E20" s="28" t="s">
        <v>167</v>
      </c>
      <c r="F20" s="14"/>
      <c r="G20" s="14"/>
      <c r="H20" s="14"/>
      <c r="I20" s="33" t="s">
        <v>17</v>
      </c>
      <c r="J20" s="28" t="s">
        <v>167</v>
      </c>
      <c r="K20" s="15"/>
      <c r="M20" s="35"/>
      <c r="N20" s="7"/>
      <c r="O20" s="8"/>
      <c r="P20" s="16"/>
      <c r="Q20" s="7"/>
      <c r="V20" s="8"/>
      <c r="W20" s="8"/>
    </row>
    <row r="21" spans="1:23" s="5" customFormat="1" ht="6.8" customHeight="1" x14ac:dyDescent="0.3">
      <c r="A21" s="19"/>
      <c r="B21" s="14"/>
      <c r="C21" s="14"/>
      <c r="D21" s="33"/>
      <c r="E21" s="140"/>
      <c r="F21" s="14"/>
      <c r="G21" s="14"/>
      <c r="H21" s="14"/>
      <c r="I21" s="33"/>
      <c r="J21" s="141"/>
      <c r="K21" s="15"/>
      <c r="M21" s="35"/>
      <c r="N21" s="7"/>
      <c r="O21" s="8"/>
      <c r="P21" s="16"/>
      <c r="Q21" s="7"/>
      <c r="V21" s="8"/>
      <c r="W21" s="8"/>
    </row>
    <row r="22" spans="1:23" s="5" customFormat="1" x14ac:dyDescent="0.3">
      <c r="A22" s="19"/>
      <c r="B22" s="14"/>
      <c r="C22" s="14"/>
      <c r="D22" s="33" t="s">
        <v>18</v>
      </c>
      <c r="E22" s="136">
        <f>[3]Import!G4097</f>
        <v>0</v>
      </c>
      <c r="F22" s="14"/>
      <c r="G22" s="14"/>
      <c r="H22" s="14"/>
      <c r="I22" s="33" t="s">
        <v>19</v>
      </c>
      <c r="J22" s="136">
        <f>[3]Import!G4108</f>
        <v>0</v>
      </c>
      <c r="K22" s="15"/>
      <c r="M22" s="35"/>
      <c r="N22" s="7"/>
      <c r="O22" s="8"/>
      <c r="P22" s="16"/>
      <c r="Q22" s="7"/>
      <c r="V22" s="8"/>
      <c r="W22" s="8"/>
    </row>
    <row r="23" spans="1:23" s="5" customFormat="1" x14ac:dyDescent="0.3">
      <c r="A23" s="19"/>
      <c r="B23" s="14"/>
      <c r="C23" s="14"/>
      <c r="D23" s="33" t="s">
        <v>95</v>
      </c>
      <c r="E23" s="136">
        <f>[3]Import!G4098</f>
        <v>0</v>
      </c>
      <c r="F23" s="14"/>
      <c r="G23" s="14"/>
      <c r="H23" s="14"/>
      <c r="I23" s="33" t="s">
        <v>21</v>
      </c>
      <c r="J23" s="136">
        <f>[3]Import!G4109</f>
        <v>0</v>
      </c>
      <c r="K23" s="15"/>
      <c r="M23" s="35"/>
      <c r="N23" s="7"/>
      <c r="O23" s="8"/>
      <c r="P23" s="16"/>
      <c r="Q23" s="7"/>
      <c r="V23" s="8"/>
      <c r="W23" s="8"/>
    </row>
    <row r="24" spans="1:23" s="5" customFormat="1" ht="6.8" customHeight="1" x14ac:dyDescent="0.3">
      <c r="A24" s="19"/>
      <c r="B24" s="14"/>
      <c r="C24" s="14"/>
      <c r="D24" s="14"/>
      <c r="E24" s="140"/>
      <c r="F24" s="14"/>
      <c r="G24" s="14"/>
      <c r="H24" s="14"/>
      <c r="I24" s="14"/>
      <c r="J24" s="140"/>
      <c r="K24" s="15"/>
      <c r="M24" s="35"/>
      <c r="N24" s="7"/>
      <c r="O24" s="8"/>
      <c r="P24" s="16"/>
      <c r="Q24" s="7"/>
      <c r="V24" s="8"/>
      <c r="W24" s="8"/>
    </row>
    <row r="25" spans="1:23" s="5" customFormat="1" x14ac:dyDescent="0.3">
      <c r="A25" s="19"/>
      <c r="B25" s="14"/>
      <c r="C25" s="14"/>
      <c r="D25" s="33" t="s">
        <v>22</v>
      </c>
      <c r="E25" s="136">
        <f>[3]Import!G4099</f>
        <v>0</v>
      </c>
      <c r="F25" s="14"/>
      <c r="G25" s="14"/>
      <c r="H25" s="14"/>
      <c r="I25" s="33" t="s">
        <v>23</v>
      </c>
      <c r="J25" s="136">
        <f>[3]Import!G4110</f>
        <v>0</v>
      </c>
      <c r="K25" s="15"/>
      <c r="M25" s="35"/>
      <c r="N25" s="7"/>
      <c r="O25" s="8"/>
      <c r="P25" s="16"/>
      <c r="Q25" s="7"/>
      <c r="V25" s="8"/>
      <c r="W25" s="8"/>
    </row>
    <row r="26" spans="1:23" s="5" customFormat="1" x14ac:dyDescent="0.3">
      <c r="A26" s="19"/>
      <c r="B26" s="14"/>
      <c r="C26" s="14"/>
      <c r="D26" s="33" t="s">
        <v>24</v>
      </c>
      <c r="E26" s="136">
        <f>[3]Import!G4100</f>
        <v>0</v>
      </c>
      <c r="F26" s="14"/>
      <c r="G26" s="14"/>
      <c r="H26" s="14"/>
      <c r="I26" s="33" t="s">
        <v>25</v>
      </c>
      <c r="J26" s="136">
        <f>[3]Import!G4111</f>
        <v>0</v>
      </c>
      <c r="K26" s="15"/>
      <c r="M26" s="35"/>
      <c r="N26" s="7"/>
      <c r="O26" s="8"/>
      <c r="P26" s="16"/>
      <c r="Q26" s="7"/>
      <c r="V26" s="8"/>
      <c r="W26" s="8"/>
    </row>
    <row r="27" spans="1:23" s="5" customFormat="1" x14ac:dyDescent="0.3">
      <c r="A27" s="19"/>
      <c r="B27" s="14"/>
      <c r="C27" s="14"/>
      <c r="D27" s="33" t="s">
        <v>96</v>
      </c>
      <c r="E27" s="248">
        <v>7349944.8322560899</v>
      </c>
      <c r="F27" s="14"/>
      <c r="G27" s="14"/>
      <c r="H27" s="14"/>
      <c r="I27" s="33" t="s">
        <v>27</v>
      </c>
      <c r="J27" s="248">
        <v>5833901.1744010197</v>
      </c>
      <c r="K27" s="15"/>
      <c r="M27" s="35"/>
      <c r="N27" s="7"/>
      <c r="O27" s="8"/>
      <c r="P27" s="16"/>
      <c r="Q27" s="7"/>
      <c r="V27" s="8"/>
      <c r="W27" s="8"/>
    </row>
    <row r="28" spans="1:23" s="5" customFormat="1" x14ac:dyDescent="0.3">
      <c r="A28" s="19"/>
      <c r="B28" s="14"/>
      <c r="C28" s="14"/>
      <c r="D28" s="33" t="s">
        <v>97</v>
      </c>
      <c r="E28" s="136">
        <f>[3]Import!G4102</f>
        <v>0</v>
      </c>
      <c r="F28" s="14"/>
      <c r="G28" s="14"/>
      <c r="H28" s="14"/>
      <c r="I28" s="33" t="s">
        <v>29</v>
      </c>
      <c r="J28" s="136">
        <f>[3]Import!G4113</f>
        <v>0</v>
      </c>
      <c r="K28" s="15"/>
      <c r="M28" s="35"/>
      <c r="N28" s="7"/>
      <c r="O28" s="8"/>
      <c r="P28" s="16"/>
      <c r="Q28" s="7"/>
      <c r="V28" s="8"/>
      <c r="W28" s="8"/>
    </row>
    <row r="29" spans="1:23" s="5" customFormat="1" x14ac:dyDescent="0.3">
      <c r="A29" s="19"/>
      <c r="B29" s="14"/>
      <c r="C29" s="14"/>
      <c r="D29" s="33" t="s">
        <v>98</v>
      </c>
      <c r="E29" s="136">
        <f>[3]Import!G4103</f>
        <v>0</v>
      </c>
      <c r="F29" s="14"/>
      <c r="G29" s="14"/>
      <c r="H29" s="14"/>
      <c r="I29" s="33" t="s">
        <v>31</v>
      </c>
      <c r="J29" s="136">
        <f>[3]Import!G4114</f>
        <v>0</v>
      </c>
      <c r="K29" s="15"/>
      <c r="M29" s="35"/>
      <c r="N29" s="7"/>
      <c r="O29" s="8"/>
      <c r="P29" s="16"/>
      <c r="Q29" s="7"/>
      <c r="V29" s="8"/>
      <c r="W29" s="8"/>
    </row>
    <row r="30" spans="1:23" s="5" customFormat="1" x14ac:dyDescent="0.3">
      <c r="A30" s="19"/>
      <c r="B30" s="14"/>
      <c r="C30" s="14"/>
      <c r="D30" s="33" t="s">
        <v>99</v>
      </c>
      <c r="E30" s="136">
        <f>[3]Import!G4104</f>
        <v>0</v>
      </c>
      <c r="F30" s="14"/>
      <c r="G30" s="14"/>
      <c r="H30" s="14"/>
      <c r="I30" s="33" t="s">
        <v>33</v>
      </c>
      <c r="J30" s="136">
        <f>[3]Import!G4115</f>
        <v>0</v>
      </c>
      <c r="K30" s="15"/>
      <c r="M30" s="35"/>
      <c r="N30" s="7"/>
      <c r="O30" s="8"/>
      <c r="P30" s="16"/>
      <c r="Q30" s="7"/>
      <c r="V30" s="8"/>
      <c r="W30" s="8"/>
    </row>
    <row r="31" spans="1:23" s="5" customFormat="1" ht="6.8" customHeight="1" x14ac:dyDescent="0.3">
      <c r="A31" s="19"/>
      <c r="B31" s="14"/>
      <c r="C31" s="14"/>
      <c r="D31" s="14"/>
      <c r="E31" s="14"/>
      <c r="F31" s="14"/>
      <c r="G31" s="14"/>
      <c r="H31" s="14"/>
      <c r="I31" s="14"/>
      <c r="J31" s="37"/>
      <c r="K31" s="15"/>
      <c r="M31" s="35"/>
      <c r="N31" s="7"/>
      <c r="O31" s="8"/>
      <c r="P31" s="8"/>
      <c r="Q31" s="8"/>
      <c r="V31" s="8"/>
    </row>
    <row r="32" spans="1:23" s="5" customFormat="1" x14ac:dyDescent="0.3">
      <c r="A32" s="19"/>
      <c r="B32" s="14"/>
      <c r="C32" s="38" t="s">
        <v>100</v>
      </c>
      <c r="D32" s="14"/>
      <c r="E32" s="14"/>
      <c r="F32" s="14"/>
      <c r="G32" s="14"/>
      <c r="H32" s="14"/>
      <c r="I32" s="44"/>
      <c r="J32" s="67"/>
      <c r="K32" s="45"/>
      <c r="M32" s="35"/>
      <c r="N32" s="7"/>
      <c r="O32" s="8"/>
      <c r="P32" s="8"/>
      <c r="Q32" s="8"/>
      <c r="V32" s="8"/>
    </row>
    <row r="33" spans="1:22" s="5" customFormat="1" x14ac:dyDescent="0.3">
      <c r="A33" s="19"/>
      <c r="B33" s="14"/>
      <c r="C33" s="14"/>
      <c r="D33" s="33" t="s">
        <v>35</v>
      </c>
      <c r="E33" s="39"/>
      <c r="F33" s="40"/>
      <c r="G33" s="40"/>
      <c r="H33" s="68" t="str">
        <f>IF(E33="No","If no, why not:","")</f>
        <v/>
      </c>
      <c r="I33" s="197" t="e">
        <f>IF(+#REF!="","",+#REF!)</f>
        <v>#REF!</v>
      </c>
      <c r="J33" s="197"/>
      <c r="K33" s="198"/>
      <c r="M33" s="35"/>
      <c r="N33" s="7"/>
      <c r="O33" s="8"/>
      <c r="P33" s="8"/>
      <c r="Q33" s="8"/>
      <c r="V33" s="8"/>
    </row>
    <row r="34" spans="1:22" s="5" customFormat="1" x14ac:dyDescent="0.3">
      <c r="A34" s="19"/>
      <c r="B34" s="14"/>
      <c r="C34" s="14"/>
      <c r="D34" s="33" t="s">
        <v>36</v>
      </c>
      <c r="E34" s="39"/>
      <c r="F34" s="40"/>
      <c r="G34" s="40"/>
      <c r="H34" s="68" t="str">
        <f t="shared" ref="H34:H48" si="0">IF(E34="No","If no, why not:","")</f>
        <v/>
      </c>
      <c r="I34" s="197" t="e">
        <f>IF(+#REF!="","",+#REF!)</f>
        <v>#REF!</v>
      </c>
      <c r="J34" s="197"/>
      <c r="K34" s="198"/>
      <c r="M34" s="35"/>
      <c r="N34" s="7"/>
      <c r="O34" s="8"/>
      <c r="P34" s="8"/>
      <c r="Q34" s="8"/>
      <c r="V34" s="8"/>
    </row>
    <row r="35" spans="1:22" s="5" customFormat="1" x14ac:dyDescent="0.3">
      <c r="A35" s="19"/>
      <c r="B35" s="14"/>
      <c r="C35" s="14"/>
      <c r="D35" s="33" t="s">
        <v>37</v>
      </c>
      <c r="E35" s="39"/>
      <c r="F35" s="40"/>
      <c r="G35" s="40"/>
      <c r="H35" s="68" t="str">
        <f t="shared" si="0"/>
        <v/>
      </c>
      <c r="I35" s="197" t="e">
        <f>IF(+#REF!="","",+#REF!)</f>
        <v>#REF!</v>
      </c>
      <c r="J35" s="197"/>
      <c r="K35" s="198"/>
      <c r="M35" s="35"/>
      <c r="N35" s="7"/>
      <c r="O35" s="8"/>
      <c r="P35" s="8"/>
      <c r="Q35" s="8"/>
      <c r="V35" s="8"/>
    </row>
    <row r="36" spans="1:22" s="5" customFormat="1" x14ac:dyDescent="0.3">
      <c r="A36" s="19"/>
      <c r="B36" s="14"/>
      <c r="C36" s="14"/>
      <c r="D36" s="33" t="s">
        <v>38</v>
      </c>
      <c r="E36" s="42"/>
      <c r="F36" s="40"/>
      <c r="G36" s="40"/>
      <c r="H36" s="68" t="str">
        <f t="shared" si="0"/>
        <v/>
      </c>
      <c r="I36" s="197" t="e">
        <f>IF(+#REF!="","",+#REF!)</f>
        <v>#REF!</v>
      </c>
      <c r="J36" s="197"/>
      <c r="K36" s="198"/>
      <c r="M36" s="35"/>
      <c r="N36" s="7"/>
      <c r="O36" s="8"/>
      <c r="P36" s="8"/>
      <c r="Q36" s="8"/>
      <c r="V36" s="8"/>
    </row>
    <row r="37" spans="1:22" s="5" customFormat="1" x14ac:dyDescent="0.3">
      <c r="A37" s="19"/>
      <c r="B37" s="14"/>
      <c r="C37" s="14"/>
      <c r="D37" s="33" t="s">
        <v>39</v>
      </c>
      <c r="E37" s="194"/>
      <c r="F37" s="195"/>
      <c r="G37" s="196"/>
      <c r="H37" s="68" t="str">
        <f t="shared" si="0"/>
        <v/>
      </c>
      <c r="I37" s="197" t="e">
        <f>IF(+#REF!="","",+#REF!)</f>
        <v>#REF!</v>
      </c>
      <c r="J37" s="197"/>
      <c r="K37" s="198"/>
      <c r="M37" s="35"/>
      <c r="N37" s="7"/>
      <c r="O37" s="8"/>
      <c r="P37" s="8"/>
      <c r="Q37" s="8"/>
      <c r="V37" s="8"/>
    </row>
    <row r="38" spans="1:22" s="5" customFormat="1" x14ac:dyDescent="0.3">
      <c r="A38" s="19"/>
      <c r="B38" s="14"/>
      <c r="C38" s="14"/>
      <c r="D38" s="33" t="s">
        <v>40</v>
      </c>
      <c r="E38" s="194"/>
      <c r="F38" s="195"/>
      <c r="G38" s="196"/>
      <c r="H38" s="68" t="str">
        <f t="shared" si="0"/>
        <v/>
      </c>
      <c r="I38" s="197" t="e">
        <f>IF(+#REF!="","",+#REF!)</f>
        <v>#REF!</v>
      </c>
      <c r="J38" s="197"/>
      <c r="K38" s="198"/>
      <c r="M38" s="35"/>
      <c r="N38" s="7"/>
      <c r="O38" s="8"/>
      <c r="P38" s="8"/>
      <c r="Q38" s="8"/>
      <c r="V38" s="8"/>
    </row>
    <row r="39" spans="1:22" s="5" customFormat="1" x14ac:dyDescent="0.3">
      <c r="A39" s="19"/>
      <c r="B39" s="14"/>
      <c r="C39" s="14"/>
      <c r="D39" s="33" t="s">
        <v>41</v>
      </c>
      <c r="E39" s="194"/>
      <c r="F39" s="195"/>
      <c r="G39" s="196"/>
      <c r="H39" s="68" t="str">
        <f t="shared" si="0"/>
        <v/>
      </c>
      <c r="I39" s="197" t="e">
        <f>IF(+#REF!="","",+#REF!)</f>
        <v>#REF!</v>
      </c>
      <c r="J39" s="197"/>
      <c r="K39" s="198"/>
      <c r="M39" s="35"/>
      <c r="N39" s="7"/>
      <c r="O39" s="8"/>
      <c r="P39" s="8"/>
      <c r="Q39" s="8"/>
      <c r="V39" s="8"/>
    </row>
    <row r="40" spans="1:22" s="5" customFormat="1" x14ac:dyDescent="0.3">
      <c r="A40" s="19"/>
      <c r="B40" s="14"/>
      <c r="C40" s="14"/>
      <c r="D40" s="33" t="s">
        <v>42</v>
      </c>
      <c r="E40" s="194"/>
      <c r="F40" s="195"/>
      <c r="G40" s="196"/>
      <c r="H40" s="68" t="str">
        <f t="shared" si="0"/>
        <v/>
      </c>
      <c r="I40" s="197" t="e">
        <f>IF(+#REF!="","",+#REF!)</f>
        <v>#REF!</v>
      </c>
      <c r="J40" s="197"/>
      <c r="K40" s="198"/>
      <c r="M40" s="35"/>
      <c r="N40" s="7"/>
      <c r="O40" s="8"/>
      <c r="P40" s="8"/>
      <c r="Q40" s="8"/>
      <c r="V40" s="8"/>
    </row>
    <row r="41" spans="1:22" s="5" customFormat="1" x14ac:dyDescent="0.3">
      <c r="A41" s="19"/>
      <c r="B41" s="14"/>
      <c r="C41" s="14"/>
      <c r="D41" s="33" t="s">
        <v>43</v>
      </c>
      <c r="E41" s="194"/>
      <c r="F41" s="195"/>
      <c r="G41" s="196"/>
      <c r="H41" s="68" t="str">
        <f t="shared" si="0"/>
        <v/>
      </c>
      <c r="I41" s="197" t="e">
        <f>IF(+#REF!="","",+#REF!)</f>
        <v>#REF!</v>
      </c>
      <c r="J41" s="197"/>
      <c r="K41" s="198"/>
      <c r="M41" s="35"/>
      <c r="N41" s="7"/>
      <c r="O41" s="8"/>
      <c r="P41" s="8"/>
      <c r="Q41" s="8"/>
      <c r="V41" s="8"/>
    </row>
    <row r="42" spans="1:22" s="5" customFormat="1" x14ac:dyDescent="0.3">
      <c r="A42" s="19"/>
      <c r="B42" s="14"/>
      <c r="C42" s="14"/>
      <c r="D42" s="33" t="s">
        <v>101</v>
      </c>
      <c r="E42" s="194"/>
      <c r="F42" s="195"/>
      <c r="G42" s="196"/>
      <c r="H42" s="68" t="str">
        <f t="shared" si="0"/>
        <v/>
      </c>
      <c r="I42" s="197" t="e">
        <f>IF(+#REF!="","",+#REF!)</f>
        <v>#REF!</v>
      </c>
      <c r="J42" s="197"/>
      <c r="K42" s="198"/>
      <c r="M42" s="35"/>
      <c r="N42" s="7"/>
      <c r="O42" s="8"/>
      <c r="P42" s="8"/>
      <c r="Q42" s="8"/>
      <c r="V42" s="8"/>
    </row>
    <row r="43" spans="1:22" s="5" customFormat="1" x14ac:dyDescent="0.3">
      <c r="A43" s="19"/>
      <c r="B43" s="14"/>
      <c r="C43" s="14"/>
      <c r="D43" s="33" t="s">
        <v>102</v>
      </c>
      <c r="E43" s="194"/>
      <c r="F43" s="195"/>
      <c r="G43" s="196"/>
      <c r="H43" s="68" t="str">
        <f t="shared" si="0"/>
        <v/>
      </c>
      <c r="I43" s="197" t="e">
        <f>IF(+#REF!="","",+#REF!)</f>
        <v>#REF!</v>
      </c>
      <c r="J43" s="197"/>
      <c r="K43" s="198"/>
      <c r="M43" s="35"/>
      <c r="N43" s="7"/>
      <c r="O43" s="8"/>
      <c r="P43" s="8"/>
      <c r="Q43" s="8"/>
      <c r="V43" s="8"/>
    </row>
    <row r="44" spans="1:22" s="5" customFormat="1" x14ac:dyDescent="0.3">
      <c r="A44" s="19"/>
      <c r="B44" s="14"/>
      <c r="C44" s="14"/>
      <c r="D44" s="33" t="s">
        <v>46</v>
      </c>
      <c r="E44" s="194"/>
      <c r="F44" s="195"/>
      <c r="G44" s="196"/>
      <c r="H44" s="68" t="str">
        <f t="shared" si="0"/>
        <v/>
      </c>
      <c r="I44" s="197" t="e">
        <f>IF(+#REF!="","",+#REF!)</f>
        <v>#REF!</v>
      </c>
      <c r="J44" s="197"/>
      <c r="K44" s="198"/>
      <c r="M44" s="35"/>
      <c r="N44" s="7"/>
      <c r="O44" s="8"/>
      <c r="P44" s="8"/>
      <c r="Q44" s="8"/>
      <c r="V44" s="8"/>
    </row>
    <row r="45" spans="1:22" s="5" customFormat="1" x14ac:dyDescent="0.3">
      <c r="A45" s="19"/>
      <c r="B45" s="14"/>
      <c r="C45" s="14"/>
      <c r="D45" s="33" t="s">
        <v>47</v>
      </c>
      <c r="E45" s="194"/>
      <c r="F45" s="195"/>
      <c r="G45" s="196"/>
      <c r="H45" s="68" t="str">
        <f t="shared" si="0"/>
        <v/>
      </c>
      <c r="I45" s="197" t="e">
        <f>IF(+#REF!="","",+#REF!)</f>
        <v>#REF!</v>
      </c>
      <c r="J45" s="197"/>
      <c r="K45" s="198"/>
      <c r="M45" s="35"/>
      <c r="N45" s="7"/>
      <c r="O45" s="8"/>
      <c r="P45" s="8"/>
      <c r="Q45" s="8"/>
      <c r="V45" s="8"/>
    </row>
    <row r="46" spans="1:22" s="5" customFormat="1" x14ac:dyDescent="0.3">
      <c r="A46" s="19"/>
      <c r="B46" s="14"/>
      <c r="C46" s="14"/>
      <c r="D46" s="33" t="s">
        <v>48</v>
      </c>
      <c r="E46" s="194"/>
      <c r="F46" s="195"/>
      <c r="G46" s="196"/>
      <c r="H46" s="68" t="str">
        <f t="shared" si="0"/>
        <v/>
      </c>
      <c r="I46" s="197" t="e">
        <f>IF(+#REF!="","",+#REF!)</f>
        <v>#REF!</v>
      </c>
      <c r="J46" s="197"/>
      <c r="K46" s="198"/>
      <c r="M46" s="35"/>
      <c r="N46" s="7"/>
      <c r="O46" s="8"/>
      <c r="P46" s="8"/>
      <c r="Q46" s="8"/>
      <c r="V46" s="8"/>
    </row>
    <row r="47" spans="1:22" s="5" customFormat="1" x14ac:dyDescent="0.3">
      <c r="A47" s="19"/>
      <c r="B47" s="14"/>
      <c r="C47" s="14"/>
      <c r="D47" s="33" t="s">
        <v>49</v>
      </c>
      <c r="E47" s="194"/>
      <c r="F47" s="195"/>
      <c r="G47" s="196"/>
      <c r="H47" s="68" t="str">
        <f t="shared" si="0"/>
        <v/>
      </c>
      <c r="I47" s="197" t="e">
        <f>IF(+#REF!="","",+#REF!)</f>
        <v>#REF!</v>
      </c>
      <c r="J47" s="197"/>
      <c r="K47" s="198"/>
      <c r="M47" s="35"/>
      <c r="N47" s="7"/>
      <c r="O47" s="8"/>
      <c r="P47" s="8"/>
      <c r="Q47" s="8"/>
      <c r="V47" s="8"/>
    </row>
    <row r="48" spans="1:22" s="5" customFormat="1" x14ac:dyDescent="0.3">
      <c r="A48" s="19"/>
      <c r="B48" s="14"/>
      <c r="C48" s="14"/>
      <c r="D48" s="33" t="s">
        <v>50</v>
      </c>
      <c r="E48" s="194"/>
      <c r="F48" s="195"/>
      <c r="G48" s="196"/>
      <c r="H48" s="68" t="str">
        <f t="shared" si="0"/>
        <v/>
      </c>
      <c r="I48" s="197" t="e">
        <f>IF(+#REF!="","",+#REF!)</f>
        <v>#REF!</v>
      </c>
      <c r="J48" s="197"/>
      <c r="K48" s="198"/>
      <c r="M48" s="35"/>
      <c r="N48" s="7"/>
      <c r="O48" s="8"/>
      <c r="P48" s="8"/>
      <c r="Q48" s="8"/>
      <c r="V48" s="8"/>
    </row>
    <row r="49" spans="1:22" s="5" customFormat="1" ht="6.8" customHeight="1" x14ac:dyDescent="0.3">
      <c r="A49" s="19"/>
      <c r="B49" s="14"/>
      <c r="C49" s="14"/>
      <c r="D49" s="14"/>
      <c r="E49" s="40"/>
      <c r="F49" s="40"/>
      <c r="G49" s="40"/>
      <c r="H49" s="68"/>
      <c r="I49" s="69"/>
      <c r="J49" s="69"/>
      <c r="K49" s="70"/>
      <c r="M49" s="35"/>
      <c r="N49" s="7"/>
      <c r="O49" s="8"/>
      <c r="P49" s="8"/>
      <c r="Q49" s="8"/>
      <c r="V49" s="8"/>
    </row>
    <row r="50" spans="1:22" s="5" customFormat="1" x14ac:dyDescent="0.3">
      <c r="A50" s="19"/>
      <c r="B50" s="14"/>
      <c r="C50" s="38" t="s">
        <v>51</v>
      </c>
      <c r="D50" s="14"/>
      <c r="E50" s="40"/>
      <c r="F50" s="40"/>
      <c r="G50" s="40"/>
      <c r="H50" s="68"/>
      <c r="I50" s="69"/>
      <c r="J50" s="69"/>
      <c r="K50" s="70"/>
      <c r="M50" s="35"/>
      <c r="N50" s="7"/>
      <c r="O50" s="8"/>
      <c r="P50" s="8"/>
      <c r="Q50" s="8"/>
      <c r="V50" s="8"/>
    </row>
    <row r="51" spans="1:22" s="5" customFormat="1" x14ac:dyDescent="0.3">
      <c r="A51" s="19"/>
      <c r="B51" s="14"/>
      <c r="C51" s="14"/>
      <c r="D51" s="33" t="s">
        <v>52</v>
      </c>
      <c r="E51" s="194"/>
      <c r="F51" s="195"/>
      <c r="G51" s="196"/>
      <c r="H51" s="68" t="str">
        <f>IF(E51="No","If no, why not:","")</f>
        <v/>
      </c>
      <c r="I51" s="197" t="e">
        <f>IF(+#REF!="","",+#REF!)</f>
        <v>#REF!</v>
      </c>
      <c r="J51" s="197"/>
      <c r="K51" s="198"/>
      <c r="M51" s="35"/>
      <c r="N51" s="7"/>
      <c r="O51" s="8"/>
      <c r="P51" s="8"/>
      <c r="Q51" s="8"/>
      <c r="V51" s="8"/>
    </row>
    <row r="52" spans="1:22" s="5" customFormat="1" x14ac:dyDescent="0.3">
      <c r="A52" s="19"/>
      <c r="B52" s="14"/>
      <c r="C52" s="14"/>
      <c r="D52" s="33" t="s">
        <v>53</v>
      </c>
      <c r="E52" s="194"/>
      <c r="F52" s="195"/>
      <c r="G52" s="196"/>
      <c r="H52" s="68" t="str">
        <f>IF(E52="No","If no, why not:","")</f>
        <v/>
      </c>
      <c r="I52" s="197" t="e">
        <f>IF(+#REF!="","",+#REF!)</f>
        <v>#REF!</v>
      </c>
      <c r="J52" s="197"/>
      <c r="K52" s="198"/>
      <c r="M52" s="35"/>
      <c r="N52" s="7"/>
      <c r="O52" s="8"/>
      <c r="P52" s="8"/>
      <c r="Q52" s="8"/>
      <c r="V52" s="8"/>
    </row>
    <row r="53" spans="1:22" s="5" customFormat="1" x14ac:dyDescent="0.3">
      <c r="A53" s="19"/>
      <c r="B53" s="14"/>
      <c r="C53" s="14"/>
      <c r="D53" s="33" t="s">
        <v>54</v>
      </c>
      <c r="E53" s="194"/>
      <c r="F53" s="195"/>
      <c r="G53" s="196"/>
      <c r="H53" s="68" t="str">
        <f>IF(E53="No","If no, why not:","")</f>
        <v/>
      </c>
      <c r="I53" s="197" t="e">
        <f>IF(+#REF!="","",+#REF!)</f>
        <v>#REF!</v>
      </c>
      <c r="J53" s="197"/>
      <c r="K53" s="198"/>
      <c r="M53" s="35"/>
      <c r="N53" s="7"/>
      <c r="O53" s="8"/>
      <c r="P53" s="8"/>
      <c r="Q53" s="8"/>
      <c r="V53" s="8"/>
    </row>
    <row r="54" spans="1:22" s="5" customFormat="1" x14ac:dyDescent="0.3">
      <c r="A54" s="19"/>
      <c r="B54" s="14"/>
      <c r="C54" s="14"/>
      <c r="D54" s="33" t="s">
        <v>55</v>
      </c>
      <c r="E54" s="194"/>
      <c r="F54" s="195"/>
      <c r="G54" s="196"/>
      <c r="H54" s="68" t="str">
        <f>IF(E54="No","If no, why not:","")</f>
        <v/>
      </c>
      <c r="I54" s="197" t="e">
        <f>IF(+#REF!="","",+#REF!)</f>
        <v>#REF!</v>
      </c>
      <c r="J54" s="197"/>
      <c r="K54" s="198"/>
      <c r="M54" s="35"/>
      <c r="N54" s="7"/>
      <c r="O54" s="8"/>
      <c r="P54" s="8"/>
      <c r="Q54" s="8"/>
      <c r="V54" s="8"/>
    </row>
    <row r="55" spans="1:22" s="5" customFormat="1" x14ac:dyDescent="0.3">
      <c r="A55" s="19"/>
      <c r="B55" s="14"/>
      <c r="C55" s="14"/>
      <c r="D55" s="33" t="s">
        <v>56</v>
      </c>
      <c r="E55" s="194"/>
      <c r="F55" s="195"/>
      <c r="G55" s="196"/>
      <c r="H55" s="68" t="str">
        <f>IF(E55="No","If no, why not:","")</f>
        <v/>
      </c>
      <c r="I55" s="197" t="e">
        <f>IF(+#REF!="","",+#REF!)</f>
        <v>#REF!</v>
      </c>
      <c r="J55" s="197"/>
      <c r="K55" s="198"/>
      <c r="M55" s="35"/>
      <c r="N55" s="7"/>
      <c r="O55" s="8"/>
      <c r="P55" s="8"/>
      <c r="Q55" s="8"/>
      <c r="V55" s="8"/>
    </row>
    <row r="56" spans="1:22" s="5" customFormat="1" ht="6.8" customHeight="1" x14ac:dyDescent="0.3">
      <c r="A56" s="19"/>
      <c r="B56" s="14"/>
      <c r="C56" s="14"/>
      <c r="D56" s="33"/>
      <c r="E56" s="40"/>
      <c r="F56" s="40"/>
      <c r="G56" s="40"/>
      <c r="H56" s="68"/>
      <c r="I56" s="46"/>
      <c r="J56" s="46"/>
      <c r="K56" s="47"/>
      <c r="M56" s="35"/>
      <c r="N56" s="7"/>
      <c r="O56" s="8"/>
      <c r="P56" s="8"/>
      <c r="Q56" s="8"/>
      <c r="V56" s="8"/>
    </row>
    <row r="57" spans="1:22" s="5" customFormat="1" x14ac:dyDescent="0.3">
      <c r="A57" s="19"/>
      <c r="B57" s="14"/>
      <c r="C57" s="38" t="s">
        <v>57</v>
      </c>
      <c r="D57" s="33"/>
      <c r="E57" s="40"/>
      <c r="F57" s="40"/>
      <c r="G57" s="40"/>
      <c r="H57" s="68"/>
      <c r="I57" s="69"/>
      <c r="J57" s="69"/>
      <c r="K57" s="70"/>
      <c r="M57" s="35"/>
      <c r="N57" s="7"/>
      <c r="O57" s="8"/>
      <c r="P57" s="8"/>
      <c r="Q57" s="8"/>
      <c r="V57" s="8"/>
    </row>
    <row r="58" spans="1:22" s="5" customFormat="1" x14ac:dyDescent="0.3">
      <c r="A58" s="19"/>
      <c r="B58" s="14"/>
      <c r="C58" s="48"/>
      <c r="D58" s="33" t="s">
        <v>58</v>
      </c>
      <c r="E58" s="194"/>
      <c r="F58" s="195"/>
      <c r="G58" s="196"/>
      <c r="H58" s="68" t="str">
        <f>IF(E58="No","If no, why not:","")</f>
        <v/>
      </c>
      <c r="I58" s="197" t="e">
        <f>IF(+#REF!="","",+#REF!)</f>
        <v>#REF!</v>
      </c>
      <c r="J58" s="197"/>
      <c r="K58" s="198"/>
      <c r="M58" s="35"/>
      <c r="N58" s="7"/>
      <c r="O58" s="8"/>
      <c r="P58" s="8"/>
      <c r="Q58" s="8"/>
      <c r="V58" s="8"/>
    </row>
    <row r="59" spans="1:22" s="5" customFormat="1" x14ac:dyDescent="0.3">
      <c r="A59" s="19"/>
      <c r="B59" s="14"/>
      <c r="C59" s="48"/>
      <c r="D59" s="33" t="s">
        <v>59</v>
      </c>
      <c r="E59" s="194"/>
      <c r="F59" s="195"/>
      <c r="G59" s="196"/>
      <c r="H59" s="68" t="str">
        <f>IF(E59="No","If no, why not:","")</f>
        <v/>
      </c>
      <c r="I59" s="197" t="e">
        <f>IF(+#REF!="","",+#REF!)</f>
        <v>#REF!</v>
      </c>
      <c r="J59" s="197"/>
      <c r="K59" s="198"/>
      <c r="M59" s="35"/>
      <c r="N59" s="7"/>
      <c r="O59" s="8"/>
      <c r="P59" s="8"/>
      <c r="Q59" s="8"/>
      <c r="V59" s="8"/>
    </row>
    <row r="60" spans="1:22" s="5" customFormat="1" ht="6.8" customHeight="1" x14ac:dyDescent="0.3">
      <c r="A60" s="19"/>
      <c r="B60" s="14"/>
      <c r="C60" s="14"/>
      <c r="D60" s="33"/>
      <c r="E60" s="40"/>
      <c r="F60" s="40"/>
      <c r="G60" s="40"/>
      <c r="H60" s="68"/>
      <c r="I60" s="69"/>
      <c r="J60" s="69"/>
      <c r="K60" s="70"/>
      <c r="M60" s="35"/>
      <c r="N60" s="7"/>
      <c r="O60" s="8"/>
      <c r="P60" s="8"/>
      <c r="Q60" s="8"/>
      <c r="V60" s="8"/>
    </row>
    <row r="61" spans="1:22" s="5" customFormat="1" x14ac:dyDescent="0.3">
      <c r="A61" s="19"/>
      <c r="B61" s="14"/>
      <c r="C61" s="38" t="s">
        <v>60</v>
      </c>
      <c r="D61" s="33"/>
      <c r="E61" s="40"/>
      <c r="F61" s="40"/>
      <c r="G61" s="40"/>
      <c r="H61" s="68"/>
      <c r="I61" s="69"/>
      <c r="J61" s="69"/>
      <c r="K61" s="70"/>
      <c r="M61" s="35"/>
      <c r="N61" s="7"/>
      <c r="O61" s="8"/>
      <c r="P61" s="8"/>
      <c r="Q61" s="8"/>
      <c r="V61" s="8"/>
    </row>
    <row r="62" spans="1:22" s="5" customFormat="1" x14ac:dyDescent="0.3">
      <c r="A62" s="19"/>
      <c r="B62" s="14"/>
      <c r="C62" s="14"/>
      <c r="D62" s="33" t="s">
        <v>61</v>
      </c>
      <c r="E62" s="194"/>
      <c r="F62" s="195"/>
      <c r="G62" s="196"/>
      <c r="H62" s="68" t="str">
        <f>IF(E62="No","If no, why not:","")</f>
        <v/>
      </c>
      <c r="I62" s="197" t="e">
        <f>IF(+#REF!="","",+#REF!)</f>
        <v>#REF!</v>
      </c>
      <c r="J62" s="197"/>
      <c r="K62" s="198"/>
      <c r="M62" s="35"/>
      <c r="N62" s="7"/>
      <c r="O62" s="8"/>
      <c r="P62" s="8"/>
      <c r="Q62" s="8"/>
      <c r="V62" s="8"/>
    </row>
    <row r="63" spans="1:22" s="5" customFormat="1" x14ac:dyDescent="0.3">
      <c r="A63" s="19"/>
      <c r="B63" s="14"/>
      <c r="C63" s="14"/>
      <c r="D63" s="33" t="s">
        <v>62</v>
      </c>
      <c r="E63" s="194"/>
      <c r="F63" s="195"/>
      <c r="G63" s="196"/>
      <c r="H63" s="68" t="str">
        <f>IF(E63="No","If no, why not:","")</f>
        <v/>
      </c>
      <c r="I63" s="197" t="e">
        <f>IF(+#REF!="","",+#REF!)</f>
        <v>#REF!</v>
      </c>
      <c r="J63" s="197"/>
      <c r="K63" s="198"/>
      <c r="M63" s="35"/>
      <c r="N63" s="7"/>
      <c r="O63" s="8"/>
      <c r="P63" s="8"/>
      <c r="Q63" s="8"/>
      <c r="V63" s="8"/>
    </row>
    <row r="64" spans="1:22" s="5" customFormat="1" x14ac:dyDescent="0.3">
      <c r="A64" s="19"/>
      <c r="B64" s="14"/>
      <c r="C64" s="14"/>
      <c r="D64" s="33" t="s">
        <v>63</v>
      </c>
      <c r="E64" s="194"/>
      <c r="F64" s="195"/>
      <c r="G64" s="196"/>
      <c r="H64" s="68" t="str">
        <f>IF(E64="No","If no, why not:","")</f>
        <v/>
      </c>
      <c r="I64" s="197" t="e">
        <f>IF(+#REF!="","",+#REF!)</f>
        <v>#REF!</v>
      </c>
      <c r="J64" s="197"/>
      <c r="K64" s="198"/>
      <c r="M64" s="35"/>
      <c r="N64" s="7"/>
      <c r="O64" s="8"/>
      <c r="P64" s="8"/>
      <c r="Q64" s="8"/>
      <c r="V64" s="8"/>
    </row>
    <row r="65" spans="1:22" s="5" customFormat="1" x14ac:dyDescent="0.3">
      <c r="A65" s="19"/>
      <c r="B65" s="14"/>
      <c r="C65" s="14"/>
      <c r="D65" s="33" t="s">
        <v>64</v>
      </c>
      <c r="E65" s="194"/>
      <c r="F65" s="195"/>
      <c r="G65" s="196"/>
      <c r="H65" s="68" t="str">
        <f>IF(E65="No","If no, why not:","")</f>
        <v/>
      </c>
      <c r="I65" s="197" t="e">
        <f>IF(+#REF!="","",+#REF!)</f>
        <v>#REF!</v>
      </c>
      <c r="J65" s="197"/>
      <c r="K65" s="198"/>
      <c r="M65" s="35"/>
      <c r="N65" s="7"/>
      <c r="O65" s="8"/>
      <c r="P65" s="8"/>
      <c r="Q65" s="8"/>
      <c r="V65" s="8"/>
    </row>
    <row r="66" spans="1:22" s="5" customFormat="1" x14ac:dyDescent="0.3">
      <c r="A66" s="19"/>
      <c r="B66" s="14"/>
      <c r="C66" s="14"/>
      <c r="D66" s="33" t="s">
        <v>65</v>
      </c>
      <c r="E66" s="194"/>
      <c r="F66" s="195"/>
      <c r="G66" s="196"/>
      <c r="H66" s="68" t="str">
        <f>IF(E66="No","If no, why not:","")</f>
        <v/>
      </c>
      <c r="I66" s="197" t="e">
        <f>IF(+#REF!="","",+#REF!)</f>
        <v>#REF!</v>
      </c>
      <c r="J66" s="197"/>
      <c r="K66" s="198"/>
      <c r="M66" s="35"/>
      <c r="N66" s="7"/>
      <c r="O66" s="8"/>
      <c r="P66" s="8"/>
      <c r="Q66" s="8"/>
      <c r="V66" s="8"/>
    </row>
    <row r="67" spans="1:22" s="5" customFormat="1" x14ac:dyDescent="0.3">
      <c r="A67" s="19"/>
      <c r="B67" s="14"/>
      <c r="C67" s="14"/>
      <c r="D67" s="33" t="s">
        <v>66</v>
      </c>
      <c r="E67" s="39"/>
      <c r="F67" s="40" t="e">
        <f>IF(+#REF!="","",+#REF!)</f>
        <v>#REF!</v>
      </c>
      <c r="G67" s="40" t="e">
        <f>IF(+#REF!="","",+#REF!)</f>
        <v>#REF!</v>
      </c>
      <c r="H67" s="68" t="str">
        <f>IF(E67="Long-term frequency","If long-term frequency, why:","")</f>
        <v/>
      </c>
      <c r="I67" s="197" t="e">
        <f>IF(+#REF!="","",+#REF!)</f>
        <v>#REF!</v>
      </c>
      <c r="J67" s="197"/>
      <c r="K67" s="198"/>
      <c r="M67" s="35"/>
      <c r="N67" s="7"/>
      <c r="O67" s="8"/>
      <c r="P67" s="8"/>
      <c r="Q67" s="8"/>
      <c r="V67" s="8"/>
    </row>
    <row r="68" spans="1:22" s="5" customFormat="1" ht="6.8" customHeight="1" x14ac:dyDescent="0.3">
      <c r="A68" s="19"/>
      <c r="B68" s="14"/>
      <c r="C68" s="14"/>
      <c r="D68" s="33"/>
      <c r="E68" s="40"/>
      <c r="F68" s="40"/>
      <c r="G68" s="40"/>
      <c r="H68" s="68"/>
      <c r="I68" s="69"/>
      <c r="J68" s="69"/>
      <c r="K68" s="70"/>
      <c r="M68" s="35"/>
      <c r="N68" s="7"/>
      <c r="O68" s="8"/>
      <c r="P68" s="8"/>
      <c r="Q68" s="8"/>
      <c r="V68" s="8"/>
    </row>
    <row r="69" spans="1:22" s="5" customFormat="1" x14ac:dyDescent="0.3">
      <c r="A69" s="19"/>
      <c r="B69" s="14"/>
      <c r="C69" s="38" t="s">
        <v>67</v>
      </c>
      <c r="D69" s="33"/>
      <c r="E69" s="40"/>
      <c r="F69" s="40"/>
      <c r="G69" s="40"/>
      <c r="H69" s="68"/>
      <c r="I69" s="69"/>
      <c r="J69" s="69"/>
      <c r="K69" s="70"/>
      <c r="M69" s="35"/>
      <c r="N69" s="7"/>
      <c r="O69" s="8"/>
      <c r="P69" s="8"/>
      <c r="Q69" s="8"/>
      <c r="V69" s="8"/>
    </row>
    <row r="70" spans="1:22" s="5" customFormat="1" x14ac:dyDescent="0.3">
      <c r="A70" s="19"/>
      <c r="B70" s="14"/>
      <c r="C70" s="14"/>
      <c r="D70" s="33" t="s">
        <v>68</v>
      </c>
      <c r="E70" s="39"/>
      <c r="F70" s="40"/>
      <c r="G70" s="40"/>
      <c r="H70" s="68" t="str">
        <f t="shared" ref="H70:H77" si="1">IF(E70="No","If no, why not:","")</f>
        <v/>
      </c>
      <c r="I70" s="197" t="e">
        <f>IF(+#REF!="","",+#REF!)</f>
        <v>#REF!</v>
      </c>
      <c r="J70" s="197"/>
      <c r="K70" s="198"/>
      <c r="M70" s="35"/>
      <c r="N70" s="7"/>
      <c r="O70" s="8"/>
      <c r="P70" s="8"/>
      <c r="Q70" s="8"/>
      <c r="V70" s="8"/>
    </row>
    <row r="71" spans="1:22" s="5" customFormat="1" x14ac:dyDescent="0.3">
      <c r="A71" s="19"/>
      <c r="B71" s="14"/>
      <c r="C71" s="14"/>
      <c r="D71" s="33" t="s">
        <v>69</v>
      </c>
      <c r="E71" s="39"/>
      <c r="F71" s="40"/>
      <c r="G71" s="40"/>
      <c r="H71" s="68" t="str">
        <f t="shared" si="1"/>
        <v/>
      </c>
      <c r="I71" s="197" t="e">
        <f>IF(+#REF!="","",+#REF!)</f>
        <v>#REF!</v>
      </c>
      <c r="J71" s="197"/>
      <c r="K71" s="198"/>
      <c r="M71" s="35"/>
      <c r="N71" s="7"/>
      <c r="O71" s="8"/>
      <c r="P71" s="8"/>
      <c r="Q71" s="8"/>
      <c r="V71" s="8"/>
    </row>
    <row r="72" spans="1:22" s="5" customFormat="1" x14ac:dyDescent="0.3">
      <c r="A72" s="19"/>
      <c r="B72" s="14"/>
      <c r="C72" s="14"/>
      <c r="D72" s="33" t="s">
        <v>70</v>
      </c>
      <c r="E72" s="42"/>
      <c r="F72" s="40"/>
      <c r="G72" s="40"/>
      <c r="H72" s="68" t="str">
        <f t="shared" si="1"/>
        <v/>
      </c>
      <c r="I72" s="197" t="e">
        <f>IF(+#REF!="","",+#REF!)</f>
        <v>#REF!</v>
      </c>
      <c r="J72" s="197"/>
      <c r="K72" s="198"/>
      <c r="M72" s="35"/>
      <c r="N72" s="7"/>
      <c r="O72" s="8"/>
      <c r="P72" s="8"/>
      <c r="Q72" s="8"/>
      <c r="V72" s="8"/>
    </row>
    <row r="73" spans="1:22" s="5" customFormat="1" x14ac:dyDescent="0.3">
      <c r="A73" s="19"/>
      <c r="B73" s="14"/>
      <c r="C73" s="14"/>
      <c r="D73" s="33" t="s">
        <v>71</v>
      </c>
      <c r="E73" s="42"/>
      <c r="F73" s="40"/>
      <c r="G73" s="40"/>
      <c r="H73" s="68" t="str">
        <f t="shared" si="1"/>
        <v/>
      </c>
      <c r="I73" s="197" t="e">
        <f>IF(+#REF!="","",+#REF!)</f>
        <v>#REF!</v>
      </c>
      <c r="J73" s="197"/>
      <c r="K73" s="198"/>
      <c r="M73" s="35"/>
      <c r="N73" s="7"/>
      <c r="O73" s="8"/>
      <c r="P73" s="8"/>
      <c r="Q73" s="8"/>
      <c r="V73" s="8"/>
    </row>
    <row r="74" spans="1:22" s="5" customFormat="1" x14ac:dyDescent="0.3">
      <c r="A74" s="19"/>
      <c r="B74" s="14"/>
      <c r="C74" s="14"/>
      <c r="D74" s="33" t="s">
        <v>72</v>
      </c>
      <c r="E74" s="194"/>
      <c r="F74" s="196"/>
      <c r="G74" s="40"/>
      <c r="H74" s="68" t="str">
        <f t="shared" si="1"/>
        <v/>
      </c>
      <c r="I74" s="197" t="e">
        <f>IF(+#REF!="","",+#REF!)</f>
        <v>#REF!</v>
      </c>
      <c r="J74" s="197"/>
      <c r="K74" s="198"/>
      <c r="M74" s="35"/>
      <c r="N74" s="7"/>
      <c r="O74" s="8"/>
      <c r="P74" s="8"/>
      <c r="Q74" s="8"/>
      <c r="V74" s="8"/>
    </row>
    <row r="75" spans="1:22" s="5" customFormat="1" x14ac:dyDescent="0.3">
      <c r="A75" s="19"/>
      <c r="B75" s="14"/>
      <c r="C75" s="14"/>
      <c r="D75" s="33" t="s">
        <v>73</v>
      </c>
      <c r="E75" s="194"/>
      <c r="F75" s="196"/>
      <c r="G75" s="40"/>
      <c r="H75" s="68" t="str">
        <f t="shared" si="1"/>
        <v/>
      </c>
      <c r="I75" s="197" t="e">
        <f>IF(+#REF!="","",+#REF!)</f>
        <v>#REF!</v>
      </c>
      <c r="J75" s="197"/>
      <c r="K75" s="198"/>
      <c r="M75" s="35"/>
      <c r="N75" s="7"/>
      <c r="O75" s="8"/>
      <c r="P75" s="8"/>
      <c r="Q75" s="8"/>
      <c r="V75" s="8"/>
    </row>
    <row r="76" spans="1:22" s="5" customFormat="1" x14ac:dyDescent="0.3">
      <c r="A76" s="19"/>
      <c r="B76" s="14"/>
      <c r="C76" s="14"/>
      <c r="D76" s="33" t="s">
        <v>74</v>
      </c>
      <c r="E76" s="39"/>
      <c r="F76" s="40"/>
      <c r="G76" s="40"/>
      <c r="H76" s="68" t="str">
        <f t="shared" si="1"/>
        <v/>
      </c>
      <c r="I76" s="197" t="e">
        <f>IF(+#REF!="","",+#REF!)</f>
        <v>#REF!</v>
      </c>
      <c r="J76" s="197"/>
      <c r="K76" s="198"/>
      <c r="M76" s="35"/>
      <c r="N76" s="7"/>
      <c r="O76" s="8"/>
      <c r="P76" s="8"/>
      <c r="Q76" s="8"/>
      <c r="V76" s="8"/>
    </row>
    <row r="77" spans="1:22" s="5" customFormat="1" x14ac:dyDescent="0.3">
      <c r="A77" s="19"/>
      <c r="B77" s="14"/>
      <c r="C77" s="14"/>
      <c r="D77" s="33" t="s">
        <v>75</v>
      </c>
      <c r="E77" s="39"/>
      <c r="F77" s="40"/>
      <c r="G77" s="40"/>
      <c r="H77" s="68" t="str">
        <f t="shared" si="1"/>
        <v/>
      </c>
      <c r="I77" s="197" t="e">
        <f>IF(+#REF!="","",+#REF!)</f>
        <v>#REF!</v>
      </c>
      <c r="J77" s="197"/>
      <c r="K77" s="198"/>
      <c r="M77" s="35"/>
      <c r="N77" s="7"/>
      <c r="O77" s="8"/>
      <c r="P77" s="8"/>
      <c r="Q77" s="8"/>
      <c r="V77" s="8"/>
    </row>
    <row r="78" spans="1:22" s="5" customFormat="1" ht="6.8" customHeight="1" x14ac:dyDescent="0.3">
      <c r="A78" s="19"/>
      <c r="B78" s="14"/>
      <c r="C78" s="14"/>
      <c r="D78" s="14"/>
      <c r="E78" s="68"/>
      <c r="F78" s="68"/>
      <c r="G78" s="71"/>
      <c r="H78" s="71"/>
      <c r="I78" s="44"/>
      <c r="J78" s="44"/>
      <c r="K78" s="45"/>
      <c r="M78" s="35"/>
      <c r="N78" s="7"/>
      <c r="O78" s="8"/>
      <c r="P78" s="8"/>
      <c r="Q78" s="8"/>
      <c r="V78" s="8"/>
    </row>
    <row r="79" spans="1:22" s="5" customFormat="1" x14ac:dyDescent="0.3">
      <c r="A79" s="19"/>
      <c r="B79" s="14"/>
      <c r="C79" s="14"/>
      <c r="D79" s="14"/>
      <c r="E79" s="68"/>
      <c r="F79" s="33" t="s">
        <v>103</v>
      </c>
      <c r="G79" s="72"/>
      <c r="H79" s="71"/>
      <c r="I79" s="44"/>
      <c r="J79" s="44"/>
      <c r="K79" s="45"/>
      <c r="M79" s="35"/>
      <c r="N79" s="7"/>
      <c r="O79" s="8"/>
      <c r="P79" s="8"/>
      <c r="Q79" s="8"/>
      <c r="V79" s="8"/>
    </row>
    <row r="80" spans="1:22" s="5" customFormat="1" x14ac:dyDescent="0.3">
      <c r="A80" s="19"/>
      <c r="B80" s="14"/>
      <c r="C80" s="14"/>
      <c r="D80" s="14"/>
      <c r="E80" s="68"/>
      <c r="F80" s="33" t="s">
        <v>77</v>
      </c>
      <c r="G80" s="73"/>
      <c r="H80" s="71"/>
      <c r="I80" s="44"/>
      <c r="J80" s="44"/>
      <c r="K80" s="45"/>
      <c r="M80" s="35"/>
      <c r="N80" s="7"/>
      <c r="O80" s="8"/>
      <c r="P80" s="8"/>
      <c r="Q80" s="8"/>
      <c r="V80" s="8"/>
    </row>
    <row r="81" spans="1:22" s="5" customFormat="1" ht="6.8" customHeight="1" x14ac:dyDescent="0.3">
      <c r="A81" s="19"/>
      <c r="B81" s="14"/>
      <c r="C81" s="14"/>
      <c r="D81" s="14"/>
      <c r="E81" s="68"/>
      <c r="F81" s="74"/>
      <c r="G81" s="71"/>
      <c r="H81" s="71"/>
      <c r="I81" s="44"/>
      <c r="J81" s="44"/>
      <c r="K81" s="45"/>
      <c r="M81" s="35"/>
      <c r="N81" s="7"/>
      <c r="O81" s="8"/>
      <c r="P81" s="8"/>
      <c r="Q81" s="8"/>
      <c r="V81" s="8"/>
    </row>
    <row r="82" spans="1:22" s="5" customFormat="1" x14ac:dyDescent="0.3">
      <c r="A82" s="19"/>
      <c r="B82" s="14"/>
      <c r="C82" s="14"/>
      <c r="D82" s="14"/>
      <c r="E82" s="68"/>
      <c r="F82" s="33" t="s">
        <v>104</v>
      </c>
      <c r="G82" s="75"/>
      <c r="H82" s="71"/>
      <c r="I82" s="44"/>
      <c r="J82" s="44"/>
      <c r="K82" s="45"/>
      <c r="M82" s="35"/>
      <c r="N82" s="7"/>
      <c r="O82" s="8"/>
      <c r="P82" s="8"/>
      <c r="Q82" s="8"/>
      <c r="V82" s="8"/>
    </row>
    <row r="83" spans="1:22" s="5" customFormat="1" x14ac:dyDescent="0.3">
      <c r="A83" s="19"/>
      <c r="B83" s="14"/>
      <c r="C83" s="14"/>
      <c r="D83" s="14"/>
      <c r="E83" s="68"/>
      <c r="F83" s="33" t="s">
        <v>105</v>
      </c>
      <c r="G83" s="206"/>
      <c r="H83" s="207"/>
      <c r="I83" s="14"/>
      <c r="J83" s="14"/>
      <c r="K83" s="15"/>
      <c r="M83" s="35"/>
      <c r="N83" s="7"/>
      <c r="O83" s="8"/>
      <c r="P83" s="8"/>
      <c r="Q83" s="8"/>
      <c r="V83" s="8"/>
    </row>
    <row r="84" spans="1:22" s="5" customFormat="1" x14ac:dyDescent="0.3">
      <c r="A84" s="19"/>
      <c r="B84" s="14"/>
      <c r="C84" s="14"/>
      <c r="D84" s="14"/>
      <c r="E84" s="68"/>
      <c r="F84" s="68"/>
      <c r="G84" s="208"/>
      <c r="H84" s="209"/>
      <c r="I84" s="14"/>
      <c r="J84" s="14"/>
      <c r="K84" s="15"/>
      <c r="M84" s="8"/>
      <c r="N84" s="8"/>
      <c r="O84" s="8"/>
      <c r="P84" s="8"/>
      <c r="Q84" s="8"/>
    </row>
    <row r="85" spans="1:22" s="5" customFormat="1" ht="6.8" customHeight="1" x14ac:dyDescent="0.3">
      <c r="A85" s="52"/>
      <c r="B85" s="53"/>
      <c r="C85" s="53"/>
      <c r="D85" s="53"/>
      <c r="E85" s="53"/>
      <c r="F85" s="53"/>
      <c r="G85" s="76"/>
      <c r="H85" s="76"/>
      <c r="I85" s="53"/>
      <c r="J85" s="53"/>
      <c r="K85" s="55"/>
      <c r="M85" s="16"/>
      <c r="N85" s="16"/>
      <c r="O85" s="16"/>
      <c r="P85" s="16"/>
      <c r="Q85" s="16"/>
    </row>
    <row r="86" spans="1:22" s="5" customFormat="1" x14ac:dyDescent="0.3">
      <c r="G86" s="77"/>
      <c r="H86" s="77"/>
      <c r="M86" s="16"/>
      <c r="N86" s="16"/>
      <c r="O86" s="16"/>
      <c r="P86" s="16"/>
      <c r="Q86" s="16"/>
    </row>
    <row r="87" spans="1:22" s="5" customFormat="1" x14ac:dyDescent="0.3">
      <c r="M87" s="16"/>
      <c r="N87" s="16"/>
      <c r="O87" s="16"/>
      <c r="P87" s="16"/>
      <c r="Q87" s="16"/>
    </row>
    <row r="88" spans="1:22" s="5" customFormat="1" x14ac:dyDescent="0.3">
      <c r="M88" s="16"/>
      <c r="N88" s="16"/>
      <c r="O88" s="16"/>
      <c r="P88" s="16"/>
      <c r="Q88" s="16"/>
    </row>
    <row r="89" spans="1:22" s="5" customFormat="1" x14ac:dyDescent="0.3">
      <c r="M89" s="16"/>
      <c r="N89" s="16"/>
      <c r="O89" s="16"/>
      <c r="P89" s="16"/>
      <c r="Q89" s="16"/>
    </row>
    <row r="90" spans="1:22" s="5" customFormat="1" x14ac:dyDescent="0.3">
      <c r="M90" s="16"/>
      <c r="N90" s="16"/>
      <c r="O90" s="16"/>
      <c r="P90" s="16"/>
      <c r="Q90" s="16"/>
    </row>
    <row r="91" spans="1:22" s="5" customFormat="1" x14ac:dyDescent="0.3">
      <c r="M91" s="16"/>
      <c r="N91" s="16"/>
      <c r="O91" s="16"/>
      <c r="P91" s="16"/>
      <c r="Q91" s="16"/>
    </row>
    <row r="92" spans="1:22" s="16" customFormat="1" x14ac:dyDescent="0.3">
      <c r="E92" s="6"/>
      <c r="F92" s="6"/>
      <c r="G92" s="6"/>
      <c r="H92" s="6"/>
    </row>
    <row r="93" spans="1:22" s="16" customFormat="1" x14ac:dyDescent="0.3">
      <c r="E93" s="7"/>
      <c r="F93" s="7"/>
      <c r="G93" s="7"/>
      <c r="H93" s="7"/>
    </row>
    <row r="94" spans="1:22" s="16" customFormat="1" x14ac:dyDescent="0.3">
      <c r="E94" s="7"/>
      <c r="F94" s="7"/>
      <c r="G94" s="7"/>
      <c r="H94" s="7"/>
    </row>
    <row r="95" spans="1:22" s="16" customFormat="1" x14ac:dyDescent="0.3">
      <c r="E95" s="7"/>
      <c r="F95" s="7"/>
      <c r="G95" s="7"/>
      <c r="H95" s="7"/>
    </row>
    <row r="96" spans="1:22" s="16" customFormat="1" x14ac:dyDescent="0.3">
      <c r="E96" s="7"/>
      <c r="F96" s="7"/>
      <c r="G96" s="7"/>
      <c r="H96" s="7"/>
    </row>
    <row r="97" spans="5:17" s="16" customFormat="1" x14ac:dyDescent="0.3">
      <c r="E97" s="7"/>
      <c r="F97" s="7"/>
      <c r="G97" s="7"/>
      <c r="H97" s="7"/>
    </row>
    <row r="98" spans="5:17" s="16" customFormat="1" x14ac:dyDescent="0.3"/>
    <row r="99" spans="5:17" s="16" customFormat="1" x14ac:dyDescent="0.3"/>
    <row r="100" spans="5:17" s="5" customFormat="1" x14ac:dyDescent="0.3">
      <c r="M100" s="16"/>
      <c r="N100" s="16"/>
      <c r="O100" s="16"/>
      <c r="P100" s="16"/>
      <c r="Q100" s="16"/>
    </row>
    <row r="101" spans="5:17" s="5" customFormat="1" x14ac:dyDescent="0.3">
      <c r="M101" s="16"/>
      <c r="N101" s="16"/>
      <c r="O101" s="16"/>
      <c r="P101" s="16"/>
      <c r="Q101" s="16"/>
    </row>
    <row r="102" spans="5:17" s="5" customFormat="1" x14ac:dyDescent="0.3">
      <c r="M102" s="16"/>
      <c r="N102" s="16"/>
      <c r="O102" s="16"/>
      <c r="P102" s="16"/>
      <c r="Q102" s="16"/>
    </row>
    <row r="103" spans="5:17" s="5" customFormat="1" x14ac:dyDescent="0.3">
      <c r="M103" s="16"/>
      <c r="N103" s="16"/>
      <c r="O103" s="16"/>
      <c r="P103" s="16"/>
      <c r="Q103" s="16"/>
    </row>
    <row r="104" spans="5:17" s="5" customFormat="1" x14ac:dyDescent="0.3">
      <c r="E104" s="8"/>
      <c r="F104" s="8"/>
      <c r="G104" s="8"/>
      <c r="H104" s="8"/>
      <c r="M104" s="16"/>
      <c r="N104" s="16"/>
      <c r="O104" s="16"/>
      <c r="P104" s="16"/>
      <c r="Q104" s="16"/>
    </row>
    <row r="105" spans="5:17" s="5" customFormat="1" x14ac:dyDescent="0.3">
      <c r="M105" s="16"/>
      <c r="N105" s="16"/>
      <c r="O105" s="16"/>
      <c r="P105" s="16"/>
      <c r="Q105" s="16"/>
    </row>
    <row r="106" spans="5:17" s="5" customFormat="1" x14ac:dyDescent="0.3">
      <c r="M106" s="16"/>
      <c r="N106" s="16"/>
      <c r="O106" s="16"/>
      <c r="P106" s="16"/>
      <c r="Q106" s="16"/>
    </row>
    <row r="107" spans="5:17" s="5" customFormat="1" x14ac:dyDescent="0.3">
      <c r="M107" s="16"/>
      <c r="N107" s="16"/>
      <c r="O107" s="16"/>
      <c r="P107" s="16"/>
      <c r="Q107" s="16"/>
    </row>
    <row r="108" spans="5:17" s="5" customFormat="1" x14ac:dyDescent="0.3">
      <c r="M108" s="16"/>
      <c r="N108" s="16"/>
      <c r="O108" s="16"/>
      <c r="P108" s="16"/>
      <c r="Q108" s="16"/>
    </row>
    <row r="109" spans="5:17" s="5" customFormat="1" x14ac:dyDescent="0.3">
      <c r="M109" s="16"/>
      <c r="N109" s="16"/>
      <c r="O109" s="16"/>
      <c r="P109" s="16"/>
      <c r="Q109" s="16"/>
    </row>
    <row r="110" spans="5:17" s="5" customFormat="1" x14ac:dyDescent="0.3">
      <c r="M110" s="16"/>
      <c r="N110" s="16"/>
      <c r="O110" s="16"/>
      <c r="P110" s="16"/>
      <c r="Q110" s="16"/>
    </row>
    <row r="111" spans="5:17" s="5" customFormat="1" x14ac:dyDescent="0.3">
      <c r="M111" s="16"/>
      <c r="N111" s="16"/>
      <c r="O111" s="16"/>
      <c r="P111" s="16"/>
      <c r="Q111" s="16"/>
    </row>
    <row r="112" spans="5:17" s="5" customFormat="1" x14ac:dyDescent="0.3">
      <c r="M112" s="16"/>
      <c r="N112" s="16"/>
      <c r="O112" s="16"/>
      <c r="P112" s="16"/>
      <c r="Q112" s="16"/>
    </row>
    <row r="113" spans="13:17" s="5" customFormat="1" x14ac:dyDescent="0.3">
      <c r="M113" s="16"/>
      <c r="N113" s="16"/>
      <c r="O113" s="16"/>
      <c r="P113" s="16"/>
      <c r="Q113" s="16"/>
    </row>
    <row r="114" spans="13:17" s="5" customFormat="1" x14ac:dyDescent="0.3">
      <c r="M114" s="16"/>
      <c r="N114" s="16"/>
      <c r="O114" s="16"/>
      <c r="P114" s="16"/>
      <c r="Q114" s="16"/>
    </row>
    <row r="115" spans="13:17" s="5" customFormat="1" x14ac:dyDescent="0.3">
      <c r="M115" s="16"/>
      <c r="N115" s="16"/>
      <c r="O115" s="16"/>
      <c r="P115" s="16"/>
      <c r="Q115" s="16"/>
    </row>
    <row r="116" spans="13:17" s="5" customFormat="1" x14ac:dyDescent="0.3">
      <c r="M116" s="16"/>
      <c r="N116" s="16"/>
      <c r="O116" s="16"/>
      <c r="P116" s="16"/>
      <c r="Q116" s="16"/>
    </row>
    <row r="117" spans="13:17" s="5" customFormat="1" x14ac:dyDescent="0.3">
      <c r="M117" s="16"/>
      <c r="N117" s="16"/>
      <c r="O117" s="16"/>
      <c r="P117" s="16"/>
      <c r="Q117" s="16"/>
    </row>
    <row r="118" spans="13:17" s="5" customFormat="1" x14ac:dyDescent="0.3">
      <c r="M118" s="16"/>
      <c r="N118" s="16"/>
      <c r="O118" s="16"/>
      <c r="P118" s="16"/>
      <c r="Q118" s="16"/>
    </row>
    <row r="119" spans="13:17" s="5" customFormat="1" x14ac:dyDescent="0.3">
      <c r="M119" s="16"/>
      <c r="N119" s="16"/>
      <c r="O119" s="16"/>
      <c r="P119" s="16"/>
      <c r="Q119" s="16"/>
    </row>
    <row r="120" spans="13:17" s="5" customFormat="1" x14ac:dyDescent="0.3">
      <c r="M120" s="16"/>
      <c r="N120" s="16"/>
      <c r="O120" s="16"/>
      <c r="P120" s="16"/>
      <c r="Q120" s="16"/>
    </row>
    <row r="121" spans="13:17" s="5" customFormat="1" x14ac:dyDescent="0.3">
      <c r="M121" s="16"/>
      <c r="N121" s="16"/>
      <c r="O121" s="16"/>
      <c r="P121" s="16"/>
      <c r="Q121" s="16"/>
    </row>
    <row r="122" spans="13:17" s="5" customFormat="1" x14ac:dyDescent="0.3">
      <c r="M122" s="16"/>
      <c r="N122" s="16"/>
      <c r="O122" s="16"/>
      <c r="P122" s="16"/>
      <c r="Q122" s="16"/>
    </row>
    <row r="123" spans="13:17" s="5" customFormat="1" x14ac:dyDescent="0.3">
      <c r="M123" s="16"/>
      <c r="N123" s="16"/>
      <c r="O123" s="16"/>
      <c r="P123" s="16"/>
      <c r="Q123" s="16"/>
    </row>
    <row r="124" spans="13:17" s="5" customFormat="1" x14ac:dyDescent="0.3">
      <c r="M124" s="16"/>
      <c r="N124" s="16"/>
      <c r="O124" s="16"/>
      <c r="P124" s="16"/>
      <c r="Q124" s="16"/>
    </row>
    <row r="125" spans="13:17" s="5" customFormat="1" x14ac:dyDescent="0.3">
      <c r="M125" s="16"/>
      <c r="N125" s="16"/>
      <c r="O125" s="16"/>
      <c r="P125" s="16"/>
      <c r="Q125" s="16"/>
    </row>
    <row r="126" spans="13:17" s="5" customFormat="1" x14ac:dyDescent="0.3">
      <c r="M126" s="16"/>
      <c r="N126" s="16"/>
      <c r="O126" s="16"/>
      <c r="P126" s="16"/>
      <c r="Q126" s="16"/>
    </row>
    <row r="127" spans="13:17" s="5" customFormat="1" x14ac:dyDescent="0.3">
      <c r="M127" s="16"/>
      <c r="N127" s="16"/>
      <c r="O127" s="16"/>
      <c r="P127" s="16"/>
      <c r="Q127" s="16"/>
    </row>
    <row r="128" spans="13:17" s="5" customFormat="1" x14ac:dyDescent="0.3">
      <c r="M128" s="16"/>
      <c r="N128" s="16"/>
      <c r="O128" s="16"/>
      <c r="P128" s="16"/>
      <c r="Q128" s="16"/>
    </row>
    <row r="129" spans="13:17" s="5" customFormat="1" x14ac:dyDescent="0.3">
      <c r="M129" s="16"/>
      <c r="N129" s="16"/>
      <c r="O129" s="16"/>
      <c r="P129" s="16"/>
      <c r="Q129" s="16"/>
    </row>
    <row r="130" spans="13:17" s="5" customFormat="1" x14ac:dyDescent="0.3">
      <c r="M130" s="16"/>
      <c r="N130" s="16"/>
      <c r="O130" s="16"/>
      <c r="P130" s="16"/>
      <c r="Q130" s="16"/>
    </row>
    <row r="131" spans="13:17" s="5" customFormat="1" x14ac:dyDescent="0.3">
      <c r="M131" s="16"/>
      <c r="N131" s="16"/>
      <c r="O131" s="16"/>
      <c r="P131" s="16"/>
      <c r="Q131" s="16"/>
    </row>
    <row r="132" spans="13:17" s="5" customFormat="1" x14ac:dyDescent="0.3">
      <c r="M132" s="16"/>
      <c r="N132" s="16"/>
      <c r="O132" s="16"/>
      <c r="P132" s="16"/>
      <c r="Q132" s="16"/>
    </row>
    <row r="133" spans="13:17" s="5" customFormat="1" x14ac:dyDescent="0.3">
      <c r="M133" s="16"/>
      <c r="N133" s="16"/>
      <c r="O133" s="16"/>
      <c r="P133" s="16"/>
      <c r="Q133" s="16"/>
    </row>
    <row r="134" spans="13:17" s="5" customFormat="1" x14ac:dyDescent="0.3">
      <c r="M134" s="16"/>
      <c r="N134" s="16"/>
      <c r="O134" s="16"/>
      <c r="P134" s="16"/>
      <c r="Q134" s="16"/>
    </row>
    <row r="135" spans="13:17" s="5" customFormat="1" x14ac:dyDescent="0.3">
      <c r="M135" s="16"/>
      <c r="N135" s="16"/>
      <c r="O135" s="16"/>
      <c r="P135" s="16"/>
      <c r="Q135" s="16"/>
    </row>
    <row r="136" spans="13:17" s="5" customFormat="1" x14ac:dyDescent="0.3">
      <c r="M136" s="16"/>
      <c r="N136" s="16"/>
      <c r="O136" s="16"/>
      <c r="P136" s="16"/>
      <c r="Q136" s="16"/>
    </row>
    <row r="137" spans="13:17" s="5" customFormat="1" x14ac:dyDescent="0.3">
      <c r="M137" s="16"/>
      <c r="N137" s="16"/>
      <c r="O137" s="16"/>
      <c r="P137" s="16"/>
      <c r="Q137" s="16"/>
    </row>
    <row r="138" spans="13:17" s="5" customFormat="1" x14ac:dyDescent="0.3">
      <c r="M138" s="16"/>
      <c r="N138" s="16"/>
      <c r="O138" s="16"/>
      <c r="P138" s="16"/>
      <c r="Q138" s="16"/>
    </row>
    <row r="139" spans="13:17" s="5" customFormat="1" x14ac:dyDescent="0.3">
      <c r="M139" s="16"/>
      <c r="N139" s="16"/>
      <c r="O139" s="16"/>
      <c r="P139" s="16"/>
      <c r="Q139" s="16"/>
    </row>
    <row r="140" spans="13:17" s="5" customFormat="1" x14ac:dyDescent="0.3">
      <c r="M140" s="16"/>
      <c r="N140" s="16"/>
      <c r="O140" s="16"/>
      <c r="P140" s="16"/>
      <c r="Q140" s="16"/>
    </row>
    <row r="141" spans="13:17" s="5" customFormat="1" x14ac:dyDescent="0.3">
      <c r="M141" s="16"/>
      <c r="N141" s="16"/>
      <c r="O141" s="16"/>
      <c r="P141" s="16"/>
      <c r="Q141" s="16"/>
    </row>
    <row r="142" spans="13:17" s="5" customFormat="1" x14ac:dyDescent="0.3">
      <c r="M142" s="16"/>
      <c r="N142" s="16"/>
      <c r="O142" s="16"/>
      <c r="P142" s="16"/>
      <c r="Q142" s="16"/>
    </row>
    <row r="143" spans="13:17" s="5" customFormat="1" x14ac:dyDescent="0.3">
      <c r="M143" s="16"/>
      <c r="N143" s="16"/>
      <c r="O143" s="16"/>
      <c r="P143" s="16"/>
      <c r="Q143" s="16"/>
    </row>
    <row r="144" spans="13:17" s="5" customFormat="1" x14ac:dyDescent="0.3">
      <c r="M144" s="16"/>
      <c r="N144" s="16"/>
      <c r="O144" s="16"/>
      <c r="P144" s="16"/>
      <c r="Q144" s="16"/>
    </row>
    <row r="145" spans="13:17" s="5" customFormat="1" x14ac:dyDescent="0.3">
      <c r="M145" s="16"/>
      <c r="N145" s="16"/>
      <c r="O145" s="16"/>
      <c r="P145" s="16"/>
      <c r="Q145" s="16"/>
    </row>
    <row r="146" spans="13:17" s="5" customFormat="1" x14ac:dyDescent="0.3">
      <c r="M146" s="16"/>
      <c r="N146" s="16"/>
      <c r="O146" s="16"/>
      <c r="P146" s="16"/>
      <c r="Q146" s="16"/>
    </row>
    <row r="147" spans="13:17" s="5" customFormat="1" x14ac:dyDescent="0.3">
      <c r="M147" s="16"/>
      <c r="N147" s="16"/>
      <c r="O147" s="16"/>
      <c r="P147" s="16"/>
      <c r="Q147" s="16"/>
    </row>
    <row r="148" spans="13:17" s="5" customFormat="1" x14ac:dyDescent="0.3">
      <c r="M148" s="16"/>
      <c r="N148" s="16"/>
      <c r="O148" s="16"/>
      <c r="P148" s="16"/>
      <c r="Q148" s="16"/>
    </row>
    <row r="149" spans="13:17" s="5" customFormat="1" x14ac:dyDescent="0.3">
      <c r="M149" s="16"/>
      <c r="N149" s="16"/>
      <c r="O149" s="16"/>
      <c r="P149" s="16"/>
      <c r="Q149" s="16"/>
    </row>
    <row r="150" spans="13:17" s="5" customFormat="1" x14ac:dyDescent="0.3">
      <c r="M150" s="16"/>
      <c r="N150" s="16"/>
      <c r="O150" s="16"/>
      <c r="P150" s="16"/>
      <c r="Q150" s="16"/>
    </row>
    <row r="151" spans="13:17" s="5" customFormat="1" x14ac:dyDescent="0.3">
      <c r="M151" s="16"/>
      <c r="N151" s="16"/>
      <c r="O151" s="16"/>
      <c r="P151" s="16"/>
      <c r="Q151" s="16"/>
    </row>
    <row r="152" spans="13:17" s="5" customFormat="1" x14ac:dyDescent="0.3">
      <c r="M152" s="16"/>
      <c r="N152" s="16"/>
      <c r="O152" s="16"/>
      <c r="P152" s="16"/>
      <c r="Q152" s="16"/>
    </row>
    <row r="153" spans="13:17" s="5" customFormat="1" x14ac:dyDescent="0.3">
      <c r="M153" s="16"/>
      <c r="N153" s="16"/>
      <c r="O153" s="16"/>
      <c r="P153" s="16"/>
      <c r="Q153" s="16"/>
    </row>
    <row r="154" spans="13:17" s="5" customFormat="1" x14ac:dyDescent="0.3">
      <c r="M154" s="16"/>
      <c r="N154" s="16"/>
      <c r="O154" s="16"/>
      <c r="P154" s="16"/>
      <c r="Q154" s="16"/>
    </row>
    <row r="155" spans="13:17" s="5" customFormat="1" x14ac:dyDescent="0.3">
      <c r="M155" s="16"/>
      <c r="N155" s="16"/>
      <c r="O155" s="16"/>
      <c r="P155" s="16"/>
      <c r="Q155" s="16"/>
    </row>
    <row r="156" spans="13:17" s="5" customFormat="1" x14ac:dyDescent="0.3">
      <c r="M156" s="16"/>
      <c r="N156" s="16"/>
      <c r="O156" s="16"/>
      <c r="P156" s="16"/>
      <c r="Q156" s="16"/>
    </row>
    <row r="157" spans="13:17" s="5" customFormat="1" x14ac:dyDescent="0.3">
      <c r="M157" s="16"/>
      <c r="N157" s="16"/>
      <c r="O157" s="16"/>
      <c r="P157" s="16"/>
      <c r="Q157" s="16"/>
    </row>
    <row r="158" spans="13:17" s="5" customFormat="1" x14ac:dyDescent="0.3">
      <c r="M158" s="16"/>
      <c r="N158" s="16"/>
      <c r="O158" s="16"/>
      <c r="P158" s="16"/>
      <c r="Q158" s="16"/>
    </row>
    <row r="159" spans="13:17" s="5" customFormat="1" x14ac:dyDescent="0.3">
      <c r="M159" s="16"/>
      <c r="N159" s="16"/>
      <c r="O159" s="16"/>
      <c r="P159" s="16"/>
      <c r="Q159" s="16"/>
    </row>
    <row r="160" spans="13:17" s="5" customFormat="1" x14ac:dyDescent="0.3">
      <c r="M160" s="16"/>
      <c r="N160" s="16"/>
      <c r="O160" s="16"/>
      <c r="P160" s="16"/>
      <c r="Q160" s="16"/>
    </row>
    <row r="161" spans="13:17" s="5" customFormat="1" x14ac:dyDescent="0.3">
      <c r="M161" s="16"/>
      <c r="N161" s="16"/>
      <c r="O161" s="16"/>
      <c r="P161" s="16"/>
      <c r="Q161" s="16"/>
    </row>
    <row r="162" spans="13:17" s="5" customFormat="1" x14ac:dyDescent="0.3">
      <c r="M162" s="16"/>
      <c r="N162" s="16"/>
      <c r="O162" s="16"/>
      <c r="P162" s="16"/>
      <c r="Q162" s="16"/>
    </row>
    <row r="163" spans="13:17" s="5" customFormat="1" x14ac:dyDescent="0.3">
      <c r="M163" s="16"/>
      <c r="N163" s="16"/>
      <c r="O163" s="16"/>
      <c r="P163" s="16"/>
      <c r="Q163" s="16"/>
    </row>
    <row r="164" spans="13:17" s="5" customFormat="1" x14ac:dyDescent="0.3">
      <c r="M164" s="16"/>
      <c r="N164" s="16"/>
      <c r="O164" s="16"/>
      <c r="P164" s="16"/>
      <c r="Q164" s="16"/>
    </row>
    <row r="165" spans="13:17" s="5" customFormat="1" x14ac:dyDescent="0.3">
      <c r="M165" s="16"/>
      <c r="N165" s="16"/>
      <c r="O165" s="16"/>
      <c r="P165" s="16"/>
      <c r="Q165" s="16"/>
    </row>
    <row r="166" spans="13:17" s="5" customFormat="1" x14ac:dyDescent="0.3">
      <c r="M166" s="16"/>
      <c r="N166" s="16"/>
      <c r="O166" s="16"/>
      <c r="P166" s="16"/>
      <c r="Q166" s="16"/>
    </row>
    <row r="167" spans="13:17" s="5" customFormat="1" x14ac:dyDescent="0.3">
      <c r="M167" s="16"/>
      <c r="N167" s="16"/>
      <c r="O167" s="16"/>
      <c r="P167" s="16"/>
      <c r="Q167" s="16"/>
    </row>
    <row r="168" spans="13:17" s="5" customFormat="1" x14ac:dyDescent="0.3">
      <c r="M168" s="16"/>
      <c r="N168" s="16"/>
      <c r="O168" s="16"/>
      <c r="P168" s="16"/>
      <c r="Q168" s="16"/>
    </row>
    <row r="169" spans="13:17" s="5" customFormat="1" x14ac:dyDescent="0.3">
      <c r="M169" s="16"/>
      <c r="N169" s="16"/>
      <c r="O169" s="16"/>
      <c r="P169" s="16"/>
      <c r="Q169" s="16"/>
    </row>
    <row r="170" spans="13:17" s="5" customFormat="1" x14ac:dyDescent="0.3">
      <c r="M170" s="16"/>
      <c r="N170" s="16"/>
      <c r="O170" s="16"/>
      <c r="P170" s="16"/>
      <c r="Q170" s="16"/>
    </row>
    <row r="171" spans="13:17" s="5" customFormat="1" x14ac:dyDescent="0.3">
      <c r="M171" s="16"/>
      <c r="N171" s="16"/>
      <c r="O171" s="16"/>
      <c r="P171" s="16"/>
      <c r="Q171" s="16"/>
    </row>
    <row r="172" spans="13:17" s="5" customFormat="1" x14ac:dyDescent="0.3">
      <c r="M172" s="16"/>
      <c r="N172" s="16"/>
      <c r="O172" s="16"/>
      <c r="P172" s="16"/>
      <c r="Q172" s="16"/>
    </row>
    <row r="173" spans="13:17" s="5" customFormat="1" x14ac:dyDescent="0.3">
      <c r="M173" s="16"/>
      <c r="N173" s="16"/>
      <c r="O173" s="16"/>
      <c r="P173" s="16"/>
      <c r="Q173" s="16"/>
    </row>
    <row r="174" spans="13:17" s="5" customFormat="1" x14ac:dyDescent="0.3">
      <c r="M174" s="16"/>
      <c r="N174" s="16"/>
      <c r="O174" s="16"/>
      <c r="P174" s="16"/>
      <c r="Q174" s="16"/>
    </row>
    <row r="175" spans="13:17" s="5" customFormat="1" x14ac:dyDescent="0.3">
      <c r="M175" s="16"/>
      <c r="N175" s="16"/>
      <c r="O175" s="16"/>
      <c r="P175" s="16"/>
      <c r="Q175" s="16"/>
    </row>
    <row r="176" spans="13:17" s="5" customFormat="1" x14ac:dyDescent="0.3">
      <c r="M176" s="16"/>
      <c r="N176" s="16"/>
      <c r="O176" s="16"/>
      <c r="P176" s="16"/>
      <c r="Q176" s="16"/>
    </row>
    <row r="177" spans="1:17" s="5" customFormat="1" x14ac:dyDescent="0.3">
      <c r="M177" s="16"/>
      <c r="N177" s="16"/>
      <c r="O177" s="16"/>
      <c r="P177" s="16"/>
      <c r="Q177" s="16"/>
    </row>
    <row r="178" spans="1:17" s="5" customFormat="1" x14ac:dyDescent="0.3">
      <c r="M178" s="16"/>
      <c r="N178" s="16"/>
      <c r="O178" s="16"/>
      <c r="P178" s="16"/>
      <c r="Q178" s="16"/>
    </row>
    <row r="179" spans="1:17" s="5" customFormat="1" x14ac:dyDescent="0.3">
      <c r="M179" s="16"/>
      <c r="N179" s="16"/>
      <c r="O179" s="16"/>
      <c r="P179" s="16"/>
      <c r="Q179" s="16"/>
    </row>
    <row r="180" spans="1:17" s="5" customFormat="1" x14ac:dyDescent="0.3">
      <c r="M180" s="16"/>
      <c r="N180" s="16"/>
      <c r="O180" s="16"/>
      <c r="P180" s="16"/>
      <c r="Q180" s="16"/>
    </row>
    <row r="181" spans="1:17" s="5" customFormat="1" x14ac:dyDescent="0.3">
      <c r="M181" s="16"/>
      <c r="N181" s="16"/>
      <c r="O181" s="16"/>
      <c r="P181" s="16"/>
      <c r="Q181" s="16"/>
    </row>
    <row r="182" spans="1:17" s="5" customFormat="1" x14ac:dyDescent="0.3">
      <c r="M182" s="16"/>
      <c r="N182" s="16"/>
      <c r="O182" s="16"/>
      <c r="P182" s="16"/>
      <c r="Q182" s="16"/>
    </row>
    <row r="183" spans="1:17" s="5" customFormat="1" x14ac:dyDescent="0.3">
      <c r="M183" s="16"/>
      <c r="N183" s="16"/>
      <c r="O183" s="16"/>
      <c r="P183" s="16"/>
      <c r="Q183" s="16"/>
    </row>
    <row r="184" spans="1:17" s="5" customFormat="1" x14ac:dyDescent="0.3">
      <c r="M184" s="16"/>
      <c r="N184" s="16"/>
      <c r="O184" s="16"/>
      <c r="P184" s="16"/>
      <c r="Q184" s="16"/>
    </row>
    <row r="185" spans="1:17" s="5" customFormat="1" x14ac:dyDescent="0.3">
      <c r="E185" s="78"/>
      <c r="M185" s="16"/>
      <c r="N185" s="16"/>
      <c r="O185" s="16"/>
      <c r="P185" s="16"/>
      <c r="Q185" s="16"/>
    </row>
    <row r="186" spans="1:17" s="5" customFormat="1" x14ac:dyDescent="0.3">
      <c r="M186" s="16"/>
      <c r="N186" s="16"/>
      <c r="O186" s="16"/>
      <c r="P186" s="16"/>
      <c r="Q186" s="16"/>
    </row>
    <row r="187" spans="1:17" s="5" customFormat="1" x14ac:dyDescent="0.3">
      <c r="M187" s="16"/>
      <c r="N187" s="16"/>
      <c r="O187" s="16"/>
      <c r="P187" s="16"/>
      <c r="Q187" s="16"/>
    </row>
    <row r="188" spans="1:17" s="5" customFormat="1" x14ac:dyDescent="0.3">
      <c r="M188" s="16"/>
      <c r="N188" s="16"/>
      <c r="O188" s="16"/>
      <c r="P188" s="16"/>
      <c r="Q188" s="16"/>
    </row>
    <row r="189" spans="1:17" s="5" customFormat="1" x14ac:dyDescent="0.3">
      <c r="M189" s="16"/>
      <c r="N189" s="16"/>
      <c r="O189" s="16"/>
      <c r="P189" s="16"/>
      <c r="Q189" s="16"/>
    </row>
    <row r="190" spans="1:17" s="5" customFormat="1" x14ac:dyDescent="0.3">
      <c r="M190" s="16"/>
      <c r="N190" s="16"/>
      <c r="O190" s="16"/>
      <c r="P190" s="16"/>
      <c r="Q190" s="16"/>
    </row>
    <row r="191" spans="1:17" s="5" customFormat="1" x14ac:dyDescent="0.3">
      <c r="M191" s="16"/>
      <c r="N191" s="16"/>
      <c r="O191" s="16"/>
      <c r="P191" s="16"/>
      <c r="Q191" s="16"/>
    </row>
    <row r="192" spans="1:17" s="5" customFormat="1" x14ac:dyDescent="0.3">
      <c r="A192" s="56"/>
      <c r="B192" s="56"/>
      <c r="C192" s="56"/>
      <c r="D192" s="56"/>
      <c r="E192" s="56" t="s">
        <v>87</v>
      </c>
      <c r="F192" s="56"/>
      <c r="G192" s="56"/>
      <c r="H192" s="56"/>
      <c r="I192" s="56"/>
      <c r="J192" s="56"/>
      <c r="K192" s="56"/>
      <c r="M192" s="16"/>
      <c r="N192" s="16"/>
      <c r="O192" s="16"/>
      <c r="P192" s="16"/>
      <c r="Q192" s="16"/>
    </row>
    <row r="193" spans="1:17" s="5" customFormat="1" x14ac:dyDescent="0.3">
      <c r="A193" s="56"/>
      <c r="B193" s="56"/>
      <c r="C193" s="56"/>
      <c r="D193" s="56"/>
      <c r="E193" s="56"/>
      <c r="F193" s="56"/>
      <c r="G193" s="56"/>
      <c r="H193" s="56"/>
      <c r="I193" s="56"/>
      <c r="J193" s="56"/>
      <c r="K193" s="56"/>
      <c r="M193" s="16"/>
      <c r="N193" s="16"/>
      <c r="O193" s="16"/>
      <c r="P193" s="16"/>
      <c r="Q193" s="16"/>
    </row>
    <row r="194" spans="1:17" s="5" customFormat="1" x14ac:dyDescent="0.3">
      <c r="A194" s="56"/>
      <c r="B194" s="56"/>
      <c r="C194" s="56"/>
      <c r="D194" s="56"/>
      <c r="E194" s="56"/>
      <c r="F194" s="56"/>
      <c r="G194" s="56"/>
      <c r="H194" s="56"/>
      <c r="I194" s="56"/>
      <c r="J194" s="56"/>
      <c r="K194" s="56"/>
      <c r="M194" s="16"/>
      <c r="N194" s="16"/>
      <c r="O194" s="16"/>
      <c r="P194" s="16"/>
      <c r="Q194" s="16"/>
    </row>
    <row r="195" spans="1:17" s="5" customFormat="1" x14ac:dyDescent="0.3">
      <c r="A195" s="56"/>
      <c r="B195" s="56"/>
      <c r="C195" s="56"/>
      <c r="D195" s="56"/>
      <c r="E195" s="56"/>
      <c r="F195" s="56"/>
      <c r="G195" s="56"/>
      <c r="H195" s="56"/>
      <c r="I195" s="56"/>
      <c r="J195" s="56"/>
      <c r="K195" s="56"/>
      <c r="M195" s="16"/>
      <c r="N195" s="16"/>
      <c r="O195" s="16"/>
      <c r="P195" s="16"/>
      <c r="Q195" s="16"/>
    </row>
    <row r="196" spans="1:17" s="5" customFormat="1" x14ac:dyDescent="0.3">
      <c r="A196" s="56"/>
      <c r="B196" s="56"/>
      <c r="C196" s="56"/>
      <c r="D196" s="56"/>
      <c r="E196" s="56"/>
      <c r="F196" s="56"/>
      <c r="G196" s="56"/>
      <c r="H196" s="56"/>
      <c r="I196" s="56"/>
      <c r="J196" s="56"/>
      <c r="K196" s="56"/>
      <c r="M196" s="16"/>
      <c r="N196" s="16"/>
      <c r="O196" s="16"/>
      <c r="P196" s="16"/>
      <c r="Q196" s="16"/>
    </row>
    <row r="197" spans="1:17" s="5" customFormat="1" x14ac:dyDescent="0.3">
      <c r="A197" s="56"/>
      <c r="B197" s="56"/>
      <c r="C197" s="56"/>
      <c r="D197" s="56"/>
      <c r="E197" s="56"/>
      <c r="F197" s="56"/>
      <c r="G197" s="56"/>
      <c r="H197" s="56"/>
      <c r="I197" s="56"/>
      <c r="J197" s="56"/>
      <c r="K197" s="56"/>
      <c r="M197" s="16"/>
      <c r="N197" s="16"/>
      <c r="O197" s="16"/>
      <c r="P197" s="16"/>
      <c r="Q197" s="16"/>
    </row>
    <row r="198" spans="1:17" s="5" customFormat="1" x14ac:dyDescent="0.3">
      <c r="A198" s="56"/>
      <c r="B198" s="56"/>
      <c r="C198" s="56"/>
      <c r="D198" s="56"/>
      <c r="E198" s="56"/>
      <c r="F198" s="56"/>
      <c r="G198" s="56"/>
      <c r="H198" s="56"/>
      <c r="I198" s="56"/>
      <c r="J198" s="56"/>
      <c r="K198" s="56"/>
      <c r="M198" s="16"/>
      <c r="N198" s="16"/>
      <c r="O198" s="16"/>
      <c r="P198" s="16"/>
      <c r="Q198" s="16"/>
    </row>
    <row r="199" spans="1:17" s="5" customFormat="1" x14ac:dyDescent="0.3">
      <c r="A199" s="56"/>
      <c r="B199" s="56"/>
      <c r="C199" s="56"/>
      <c r="D199" s="56"/>
      <c r="E199" s="56"/>
      <c r="F199" s="56"/>
      <c r="G199" s="56"/>
      <c r="H199" s="56"/>
      <c r="I199" s="56"/>
      <c r="J199" s="56"/>
      <c r="K199" s="56"/>
      <c r="M199" s="16"/>
      <c r="N199" s="16"/>
      <c r="O199" s="16"/>
      <c r="P199" s="16"/>
      <c r="Q199" s="16"/>
    </row>
  </sheetData>
  <mergeCells count="66">
    <mergeCell ref="E75:F75"/>
    <mergeCell ref="I75:K75"/>
    <mergeCell ref="I76:K76"/>
    <mergeCell ref="I77:K77"/>
    <mergeCell ref="G83:H84"/>
    <mergeCell ref="E74:F74"/>
    <mergeCell ref="I74:K74"/>
    <mergeCell ref="E64:G64"/>
    <mergeCell ref="I64:K64"/>
    <mergeCell ref="E65:G65"/>
    <mergeCell ref="I65:K65"/>
    <mergeCell ref="E66:G66"/>
    <mergeCell ref="I66:K66"/>
    <mergeCell ref="I67:K67"/>
    <mergeCell ref="I70:K70"/>
    <mergeCell ref="I71:K71"/>
    <mergeCell ref="I72:K72"/>
    <mergeCell ref="I73:K73"/>
    <mergeCell ref="E59:G59"/>
    <mergeCell ref="I59:K59"/>
    <mergeCell ref="E62:G62"/>
    <mergeCell ref="I62:K62"/>
    <mergeCell ref="E63:G63"/>
    <mergeCell ref="I63:K63"/>
    <mergeCell ref="E54:G54"/>
    <mergeCell ref="I54:K54"/>
    <mergeCell ref="E55:G55"/>
    <mergeCell ref="I55:K55"/>
    <mergeCell ref="E58:G58"/>
    <mergeCell ref="I58:K58"/>
    <mergeCell ref="E51:G51"/>
    <mergeCell ref="I51:K51"/>
    <mergeCell ref="E52:G52"/>
    <mergeCell ref="I52:K52"/>
    <mergeCell ref="E53:G53"/>
    <mergeCell ref="I53:K53"/>
    <mergeCell ref="E46:G46"/>
    <mergeCell ref="I46:K46"/>
    <mergeCell ref="E47:G47"/>
    <mergeCell ref="I47:K47"/>
    <mergeCell ref="E48:G48"/>
    <mergeCell ref="I48:K48"/>
    <mergeCell ref="E43:G43"/>
    <mergeCell ref="I43:K43"/>
    <mergeCell ref="E44:G44"/>
    <mergeCell ref="I44:K44"/>
    <mergeCell ref="E45:G45"/>
    <mergeCell ref="I45:K45"/>
    <mergeCell ref="E40:G40"/>
    <mergeCell ref="I40:K40"/>
    <mergeCell ref="E41:G41"/>
    <mergeCell ref="I41:K41"/>
    <mergeCell ref="E42:G42"/>
    <mergeCell ref="I42:K42"/>
    <mergeCell ref="E37:G37"/>
    <mergeCell ref="I37:K37"/>
    <mergeCell ref="E38:G38"/>
    <mergeCell ref="I38:K38"/>
    <mergeCell ref="E39:G39"/>
    <mergeCell ref="I39:K39"/>
    <mergeCell ref="I36:K36"/>
    <mergeCell ref="E8:F8"/>
    <mergeCell ref="G8:H8"/>
    <mergeCell ref="I33:K33"/>
    <mergeCell ref="I34:K34"/>
    <mergeCell ref="I35:K35"/>
  </mergeCells>
  <conditionalFormatting sqref="I33:I48 I51:I56 J56:K56 I58:I59 I62:I66 I70:I77">
    <cfRule type="expression" dxfId="1" priority="1" stopIfTrue="1">
      <formula>$E33="No"</formula>
    </cfRule>
    <cfRule type="expression" priority="2" stopIfTrue="1">
      <formula>$E33&lt;&gt;"No"</formula>
    </cfRule>
  </conditionalFormatting>
  <conditionalFormatting sqref="I67">
    <cfRule type="expression" dxfId="0" priority="3" stopIfTrue="1">
      <formula>$E67="Long-term frequency"</formula>
    </cfRule>
    <cfRule type="expression" priority="4" stopIfTrue="1">
      <formula>$E67&lt;&gt;"Long-term frequency"</formula>
    </cfRule>
  </conditionalFormatting>
  <dataValidations count="8">
    <dataValidation type="list" allowBlank="1" showInputMessage="1" showErrorMessage="1" sqref="G82" xr:uid="{67D64E84-79DC-48D7-A005-30EEED521B10}">
      <formula1>$E$186:$E$192</formula1>
    </dataValidation>
    <dataValidation type="list" allowBlank="1" showInputMessage="1" showErrorMessage="1" sqref="E76:E77 E70:E73 E33:E36" xr:uid="{232354CF-C32B-403D-94A8-81C0D9E0842A}">
      <formula1>"Yes,No"</formula1>
    </dataValidation>
    <dataValidation type="list" allowBlank="1" showInputMessage="1" showErrorMessage="1" sqref="E74" xr:uid="{3D7F9C0D-3997-4BDE-B0A0-215CDDAC4887}">
      <formula1>"Yes - increase severity,Yes - decrease severity,Yes - variable impact on severity,No"</formula1>
    </dataValidation>
    <dataValidation type="list" allowBlank="1" showInputMessage="1" showErrorMessage="1" sqref="E75" xr:uid="{18DA920D-B95C-4308-9094-31783CBE3F54}">
      <formula1>"Yes - increase frequency,Yes - decrease frequency,Yes - variable impact on frequency,No"</formula1>
    </dataValidation>
    <dataValidation type="list" allowBlank="1" showInputMessage="1" showErrorMessage="1" sqref="G80" xr:uid="{30126A9E-D0E1-4231-8B44-9AD9C227415D}">
      <formula1>"Detemined analytically,Estimated"</formula1>
    </dataValidation>
    <dataValidation type="list" allowBlank="1" showInputMessage="1" showErrorMessage="1" sqref="E67" xr:uid="{83CA3092-6D67-4A41-A73C-4C6FD32A24A7}">
      <formula1>"Near-term frequency,Long-term frequency"</formula1>
    </dataValidation>
    <dataValidation type="list" allowBlank="1" showInputMessage="1" showErrorMessage="1" sqref="E54:E55 E37:E43 E62:E66" xr:uid="{8FEBE86A-61E2-4250-94F9-397609775492}">
      <formula1>"Yes - supplementing vendor models where required,Yes - only where vendor models incorporate,No - not material or applicable,No"</formula1>
    </dataValidation>
    <dataValidation type="list" allowBlank="1" showInputMessage="1" showErrorMessage="1" sqref="E44:E48 E51:E53 E58:E59" xr:uid="{B13B650C-42BB-4E85-8314-A1238B1C828C}">
      <formula1>"Yes,No - not material or applicable,No"</formula1>
    </dataValidation>
  </dataValidation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07F53-C0D5-4D4E-9494-A9DD3BF9B2CE}">
  <sheetPr>
    <tabColor rgb="FFC00000"/>
  </sheetPr>
  <dimension ref="A1:AC357"/>
  <sheetViews>
    <sheetView topLeftCell="A56" zoomScale="85" zoomScaleNormal="85" workbookViewId="0">
      <selection activeCell="E115" sqref="E115:F115"/>
    </sheetView>
  </sheetViews>
  <sheetFormatPr defaultColWidth="9.109375" defaultRowHeight="13.25" x14ac:dyDescent="0.3"/>
  <cols>
    <col min="1" max="1" width="3.44140625" style="102" customWidth="1"/>
    <col min="2" max="3" width="23.5546875" style="102" customWidth="1"/>
    <col min="4" max="7" width="30.5546875" style="102" customWidth="1"/>
    <col min="8" max="8" width="2.44140625" style="102" customWidth="1"/>
    <col min="9" max="11" width="21.5546875" style="16" customWidth="1"/>
    <col min="12" max="23" width="9.109375" style="16"/>
    <col min="24" max="29" width="9.109375" style="102"/>
    <col min="30" max="16384" width="9.109375" style="59"/>
  </cols>
  <sheetData>
    <row r="1" spans="1:29" ht="75.05" customHeight="1" x14ac:dyDescent="0.4">
      <c r="A1" s="79"/>
      <c r="B1" s="212" t="s">
        <v>106</v>
      </c>
      <c r="C1" s="212"/>
      <c r="D1" s="212"/>
      <c r="E1" s="212"/>
      <c r="F1" s="212"/>
      <c r="G1" s="3" t="str">
        <f>HYPERLINK("#'Index'!A1","Return to Index")</f>
        <v>Return to Index</v>
      </c>
      <c r="H1" s="80"/>
      <c r="I1" s="9"/>
      <c r="J1" s="8"/>
      <c r="K1" s="8"/>
      <c r="L1" s="8"/>
      <c r="M1" s="8"/>
      <c r="N1" s="8"/>
      <c r="O1" s="8"/>
      <c r="P1" s="8"/>
      <c r="Q1" s="8"/>
      <c r="R1" s="8"/>
      <c r="S1" s="9"/>
      <c r="U1" s="11"/>
      <c r="V1" s="11"/>
      <c r="W1" s="11"/>
      <c r="X1" s="81"/>
      <c r="Y1" s="81"/>
      <c r="Z1" s="81"/>
      <c r="AA1" s="81"/>
      <c r="AB1" s="81"/>
      <c r="AC1" s="81"/>
    </row>
    <row r="2" spans="1:29" s="87" customFormat="1" ht="13.55" customHeight="1" x14ac:dyDescent="0.35">
      <c r="A2" s="82"/>
      <c r="B2" s="83" t="str">
        <f>'[1]Group Information'!C9</f>
        <v>Enter Parent Company Name</v>
      </c>
      <c r="C2" s="84"/>
      <c r="D2" s="84"/>
      <c r="E2" s="84"/>
      <c r="F2" s="84"/>
      <c r="G2" s="84"/>
      <c r="H2" s="85"/>
      <c r="I2" s="86"/>
      <c r="J2" s="86"/>
      <c r="K2" s="86"/>
      <c r="L2" s="86"/>
      <c r="M2" s="86"/>
      <c r="N2" s="86"/>
      <c r="O2" s="86"/>
      <c r="P2" s="86"/>
      <c r="Q2" s="86"/>
      <c r="R2" s="86"/>
      <c r="S2" s="86"/>
      <c r="T2" s="11"/>
      <c r="U2" s="11"/>
      <c r="V2" s="11"/>
      <c r="W2" s="11"/>
      <c r="X2" s="81"/>
      <c r="Y2" s="81"/>
      <c r="Z2" s="81"/>
      <c r="AA2" s="81"/>
      <c r="AB2" s="81"/>
      <c r="AC2" s="81"/>
    </row>
    <row r="3" spans="1:29" s="87" customFormat="1" ht="13.55" customHeight="1" x14ac:dyDescent="0.35">
      <c r="A3" s="82"/>
      <c r="B3" s="213">
        <f>'[2]Group Information'!C3+1</f>
        <v>46023</v>
      </c>
      <c r="C3" s="213">
        <f>'[2]Group Information'!D3+1</f>
        <v>1</v>
      </c>
      <c r="D3" s="84"/>
      <c r="E3" s="84"/>
      <c r="F3" s="84"/>
      <c r="G3" s="88" t="s">
        <v>107</v>
      </c>
      <c r="H3" s="85"/>
      <c r="I3" s="89"/>
      <c r="J3" s="86"/>
      <c r="K3" s="86"/>
      <c r="L3" s="86"/>
      <c r="M3" s="86"/>
      <c r="N3" s="86"/>
      <c r="O3" s="86"/>
      <c r="P3" s="86"/>
      <c r="Q3" s="86"/>
      <c r="R3" s="86"/>
      <c r="S3" s="86"/>
      <c r="T3" s="11"/>
      <c r="U3" s="11"/>
      <c r="V3" s="11"/>
      <c r="W3" s="11"/>
      <c r="X3" s="81"/>
      <c r="Y3" s="81"/>
      <c r="Z3" s="81"/>
      <c r="AA3" s="81"/>
      <c r="AB3" s="81"/>
      <c r="AC3" s="81"/>
    </row>
    <row r="4" spans="1:29" s="87" customFormat="1" ht="6.8" customHeight="1" x14ac:dyDescent="0.35">
      <c r="A4" s="144"/>
      <c r="B4" s="145"/>
      <c r="C4" s="145"/>
      <c r="D4" s="145"/>
      <c r="E4" s="145"/>
      <c r="F4" s="145"/>
      <c r="G4" s="145"/>
      <c r="H4" s="145"/>
      <c r="I4" s="89"/>
      <c r="J4" s="86"/>
      <c r="K4" s="86"/>
      <c r="L4" s="86"/>
      <c r="M4" s="86"/>
      <c r="N4" s="86"/>
      <c r="O4" s="86"/>
      <c r="P4" s="86"/>
      <c r="Q4" s="86"/>
      <c r="R4" s="86"/>
      <c r="S4" s="86"/>
      <c r="T4" s="11"/>
      <c r="U4" s="11"/>
      <c r="V4" s="11"/>
      <c r="W4" s="11"/>
      <c r="X4" s="81"/>
      <c r="Y4" s="81"/>
      <c r="Z4" s="81"/>
      <c r="AA4" s="81"/>
      <c r="AB4" s="81"/>
      <c r="AC4" s="81"/>
    </row>
    <row r="5" spans="1:29" s="87" customFormat="1" ht="16.600000000000001" customHeight="1" x14ac:dyDescent="0.35">
      <c r="A5" s="147"/>
      <c r="B5" s="145"/>
      <c r="C5" s="221" t="s">
        <v>108</v>
      </c>
      <c r="D5" s="221"/>
      <c r="E5" s="221"/>
      <c r="F5" s="221"/>
      <c r="G5" s="221"/>
      <c r="H5" s="148"/>
      <c r="I5" s="89"/>
      <c r="J5" s="86"/>
      <c r="K5" s="86"/>
      <c r="L5" s="86"/>
      <c r="M5" s="86"/>
      <c r="N5" s="86"/>
      <c r="O5" s="86"/>
      <c r="P5" s="86"/>
      <c r="Q5" s="86"/>
      <c r="R5" s="86"/>
      <c r="S5" s="86"/>
      <c r="T5" s="11"/>
      <c r="U5" s="11"/>
      <c r="V5" s="11"/>
      <c r="W5" s="11"/>
      <c r="X5" s="81"/>
      <c r="Y5" s="81"/>
      <c r="Z5" s="81"/>
      <c r="AA5" s="81"/>
      <c r="AB5" s="81"/>
      <c r="AC5" s="81"/>
    </row>
    <row r="6" spans="1:29" s="87" customFormat="1" ht="6.8" customHeight="1" x14ac:dyDescent="0.35">
      <c r="A6" s="144"/>
      <c r="B6" s="145"/>
      <c r="C6" s="145"/>
      <c r="D6" s="145"/>
      <c r="E6" s="145"/>
      <c r="F6" s="145"/>
      <c r="G6" s="145"/>
      <c r="H6" s="145"/>
      <c r="I6" s="89"/>
      <c r="J6" s="86"/>
      <c r="K6" s="86"/>
      <c r="L6" s="86"/>
      <c r="M6" s="86"/>
      <c r="N6" s="86"/>
      <c r="O6" s="86"/>
      <c r="P6" s="86"/>
      <c r="Q6" s="86"/>
      <c r="R6" s="86"/>
      <c r="S6" s="86"/>
      <c r="T6" s="11"/>
      <c r="U6" s="11"/>
      <c r="V6" s="11"/>
      <c r="W6" s="11"/>
      <c r="X6" s="81"/>
      <c r="Y6" s="81"/>
      <c r="Z6" s="81"/>
      <c r="AA6" s="81"/>
      <c r="AB6" s="81"/>
      <c r="AC6" s="81"/>
    </row>
    <row r="7" spans="1:29" s="87" customFormat="1" ht="16.149999999999999" x14ac:dyDescent="0.35">
      <c r="A7" s="144"/>
      <c r="B7" s="146" t="s">
        <v>109</v>
      </c>
      <c r="C7" s="149" t="s">
        <v>110</v>
      </c>
      <c r="D7" s="145"/>
      <c r="E7" s="145"/>
      <c r="F7" s="145"/>
      <c r="G7" s="145"/>
      <c r="H7" s="145"/>
      <c r="I7" s="90"/>
      <c r="J7" s="86"/>
      <c r="K7" s="86"/>
      <c r="L7" s="86"/>
      <c r="M7" s="86"/>
      <c r="N7" s="86"/>
      <c r="O7" s="86"/>
      <c r="P7" s="86"/>
      <c r="Q7" s="86"/>
      <c r="R7" s="86"/>
      <c r="S7" s="86"/>
      <c r="T7" s="11"/>
      <c r="U7" s="11"/>
      <c r="V7" s="11"/>
      <c r="W7" s="11"/>
      <c r="X7" s="81"/>
      <c r="Y7" s="81"/>
      <c r="Z7" s="81"/>
      <c r="AA7" s="81"/>
      <c r="AB7" s="81"/>
      <c r="AC7" s="81"/>
    </row>
    <row r="8" spans="1:29" s="87" customFormat="1" ht="6.8" customHeight="1" x14ac:dyDescent="0.35">
      <c r="A8" s="144"/>
      <c r="B8" s="146"/>
      <c r="C8" s="149"/>
      <c r="D8" s="145"/>
      <c r="E8" s="145"/>
      <c r="F8" s="145"/>
      <c r="G8" s="145"/>
      <c r="H8" s="145"/>
      <c r="I8" s="89"/>
      <c r="J8" s="86"/>
      <c r="K8" s="86"/>
      <c r="L8" s="86"/>
      <c r="M8" s="86"/>
      <c r="N8" s="86"/>
      <c r="O8" s="86"/>
      <c r="P8" s="86"/>
      <c r="Q8" s="86"/>
      <c r="R8" s="86"/>
      <c r="S8" s="86"/>
      <c r="T8" s="11"/>
      <c r="U8" s="11"/>
      <c r="V8" s="11"/>
      <c r="W8" s="11"/>
      <c r="X8" s="81"/>
      <c r="Y8" s="81"/>
      <c r="Z8" s="81"/>
      <c r="AA8" s="81"/>
      <c r="AB8" s="81"/>
      <c r="AC8" s="81"/>
    </row>
    <row r="9" spans="1:29" s="87" customFormat="1" ht="16.149999999999999" x14ac:dyDescent="0.35">
      <c r="A9" s="144"/>
      <c r="B9" s="150"/>
      <c r="C9" s="145" t="s">
        <v>111</v>
      </c>
      <c r="D9" s="145"/>
      <c r="E9" s="145"/>
      <c r="F9" s="151" t="s">
        <v>84</v>
      </c>
      <c r="G9" s="145"/>
      <c r="H9" s="145"/>
      <c r="I9" s="91"/>
      <c r="J9" s="92"/>
      <c r="K9" s="86"/>
      <c r="L9" s="89"/>
      <c r="M9" s="86"/>
      <c r="N9" s="86"/>
      <c r="O9" s="86"/>
      <c r="P9" s="86"/>
      <c r="Q9" s="86"/>
      <c r="R9" s="86"/>
      <c r="S9" s="86"/>
      <c r="T9" s="89"/>
      <c r="U9" s="11"/>
      <c r="V9" s="11"/>
      <c r="W9" s="11"/>
      <c r="X9" s="81"/>
      <c r="Y9" s="81"/>
      <c r="Z9" s="81"/>
      <c r="AA9" s="81"/>
      <c r="AB9" s="81"/>
      <c r="AC9" s="81"/>
    </row>
    <row r="10" spans="1:29" s="87" customFormat="1" ht="16.149999999999999" x14ac:dyDescent="0.35">
      <c r="A10" s="144"/>
      <c r="B10" s="150"/>
      <c r="C10" s="145" t="s">
        <v>172</v>
      </c>
      <c r="D10" s="145"/>
      <c r="E10" s="145"/>
      <c r="F10" s="93" t="s">
        <v>173</v>
      </c>
      <c r="G10" s="145"/>
      <c r="H10" s="145"/>
      <c r="I10" s="91"/>
      <c r="J10" s="92"/>
      <c r="K10" s="86"/>
      <c r="L10" s="86"/>
      <c r="M10" s="86"/>
      <c r="N10" s="86"/>
      <c r="O10" s="86"/>
      <c r="P10" s="86"/>
      <c r="Q10" s="86"/>
      <c r="R10" s="86"/>
      <c r="S10" s="86"/>
      <c r="T10" s="11"/>
      <c r="U10" s="11"/>
      <c r="V10" s="11"/>
      <c r="W10" s="11"/>
      <c r="X10" s="81"/>
      <c r="Y10" s="81"/>
      <c r="Z10" s="81"/>
      <c r="AA10" s="81"/>
      <c r="AB10" s="81"/>
      <c r="AC10" s="81"/>
    </row>
    <row r="11" spans="1:29" s="87" customFormat="1" ht="6.8" customHeight="1" x14ac:dyDescent="0.35">
      <c r="A11" s="144"/>
      <c r="B11" s="150"/>
      <c r="C11" s="145"/>
      <c r="D11" s="145"/>
      <c r="E11" s="145"/>
      <c r="F11" s="145"/>
      <c r="G11" s="145"/>
      <c r="H11" s="145"/>
      <c r="I11" s="94"/>
      <c r="J11" s="86"/>
      <c r="K11" s="95"/>
      <c r="L11" s="95"/>
      <c r="M11" s="95"/>
      <c r="N11" s="95"/>
      <c r="O11" s="95"/>
      <c r="P11" s="95"/>
      <c r="Q11" s="86"/>
      <c r="R11" s="86"/>
      <c r="S11" s="86"/>
      <c r="T11" s="86"/>
      <c r="U11" s="11"/>
      <c r="V11" s="11"/>
      <c r="W11" s="11"/>
      <c r="X11" s="81"/>
      <c r="Y11" s="81"/>
      <c r="Z11" s="81"/>
      <c r="AA11" s="81"/>
      <c r="AB11" s="81"/>
      <c r="AC11" s="81"/>
    </row>
    <row r="12" spans="1:29" s="87" customFormat="1" ht="16.7" thickBot="1" x14ac:dyDescent="0.4">
      <c r="A12" s="152"/>
      <c r="B12" s="150"/>
      <c r="C12" s="153" t="s">
        <v>112</v>
      </c>
      <c r="D12" s="153"/>
      <c r="E12" s="145"/>
      <c r="F12" s="145"/>
      <c r="G12" s="145"/>
      <c r="H12" s="145"/>
      <c r="I12" s="94"/>
      <c r="J12" s="86"/>
      <c r="K12" s="86"/>
      <c r="L12" s="86"/>
      <c r="M12" s="86"/>
      <c r="N12" s="86"/>
      <c r="O12" s="86"/>
      <c r="P12" s="86"/>
      <c r="Q12" s="86"/>
      <c r="R12" s="86"/>
      <c r="S12" s="86"/>
      <c r="T12" s="86"/>
      <c r="U12" s="11"/>
      <c r="V12" s="11"/>
      <c r="W12" s="11"/>
      <c r="X12" s="81"/>
      <c r="Y12" s="81"/>
      <c r="Z12" s="81"/>
      <c r="AA12" s="81"/>
      <c r="AB12" s="81"/>
      <c r="AC12" s="81"/>
    </row>
    <row r="13" spans="1:29" s="87" customFormat="1" ht="16.149999999999999" x14ac:dyDescent="0.35">
      <c r="A13" s="144"/>
      <c r="B13" s="150"/>
      <c r="C13" s="154"/>
      <c r="D13" s="210" t="s">
        <v>3</v>
      </c>
      <c r="E13" s="214"/>
      <c r="F13" s="210" t="s">
        <v>4</v>
      </c>
      <c r="G13" s="211"/>
      <c r="H13" s="145"/>
      <c r="I13" s="94"/>
      <c r="J13" s="86"/>
      <c r="K13" s="86"/>
      <c r="L13" s="86"/>
      <c r="M13" s="86"/>
      <c r="N13" s="86"/>
      <c r="O13" s="86"/>
      <c r="P13" s="86"/>
      <c r="Q13" s="86"/>
      <c r="R13" s="86"/>
      <c r="S13" s="86"/>
      <c r="T13" s="86"/>
      <c r="U13" s="11"/>
      <c r="V13" s="11"/>
      <c r="W13" s="11"/>
      <c r="X13" s="81"/>
      <c r="Y13" s="81"/>
      <c r="Z13" s="81"/>
      <c r="AA13" s="81"/>
      <c r="AB13" s="81"/>
      <c r="AC13" s="81"/>
    </row>
    <row r="14" spans="1:29" s="87" customFormat="1" ht="32.25" x14ac:dyDescent="0.35">
      <c r="A14" s="144"/>
      <c r="B14" s="150"/>
      <c r="C14" s="155" t="s">
        <v>5</v>
      </c>
      <c r="D14" s="156" t="s">
        <v>6</v>
      </c>
      <c r="E14" s="157" t="s">
        <v>113</v>
      </c>
      <c r="F14" s="157" t="s">
        <v>8</v>
      </c>
      <c r="G14" s="158" t="s">
        <v>174</v>
      </c>
      <c r="H14" s="145"/>
      <c r="I14" s="94"/>
      <c r="J14" s="86"/>
      <c r="K14" s="86"/>
      <c r="L14" s="86"/>
      <c r="M14" s="86"/>
      <c r="N14" s="86"/>
      <c r="O14" s="86"/>
      <c r="P14" s="86"/>
      <c r="Q14" s="86"/>
      <c r="R14" s="86"/>
      <c r="S14" s="86"/>
      <c r="T14" s="86"/>
      <c r="U14" s="11"/>
      <c r="V14" s="11"/>
      <c r="W14" s="11"/>
      <c r="X14" s="81"/>
      <c r="Y14" s="81"/>
      <c r="Z14" s="81"/>
      <c r="AA14" s="81"/>
      <c r="AB14" s="81"/>
      <c r="AC14" s="81"/>
    </row>
    <row r="15" spans="1:29" s="87" customFormat="1" ht="16.149999999999999" x14ac:dyDescent="0.35">
      <c r="A15" s="144"/>
      <c r="B15" s="150"/>
      <c r="C15" s="159"/>
      <c r="D15" s="160" t="s">
        <v>168</v>
      </c>
      <c r="E15" s="160" t="s">
        <v>175</v>
      </c>
      <c r="F15" s="160" t="s">
        <v>175</v>
      </c>
      <c r="G15" s="161" t="s">
        <v>168</v>
      </c>
      <c r="H15" s="145"/>
      <c r="I15" s="89"/>
      <c r="J15" s="86"/>
      <c r="K15" s="86"/>
      <c r="L15" s="86"/>
      <c r="M15" s="86"/>
      <c r="N15" s="86"/>
      <c r="O15" s="86"/>
      <c r="P15" s="86"/>
      <c r="Q15" s="86"/>
      <c r="R15" s="86"/>
      <c r="S15" s="86"/>
      <c r="T15" s="89"/>
      <c r="U15" s="11"/>
      <c r="V15" s="11"/>
      <c r="W15" s="11"/>
      <c r="X15" s="81"/>
      <c r="Y15" s="81"/>
      <c r="Z15" s="81"/>
      <c r="AA15" s="81"/>
      <c r="AB15" s="81"/>
      <c r="AC15" s="81"/>
    </row>
    <row r="16" spans="1:29" s="87" customFormat="1" ht="16.149999999999999" x14ac:dyDescent="0.35">
      <c r="A16" s="144"/>
      <c r="B16" s="150"/>
      <c r="C16" s="162">
        <v>50</v>
      </c>
      <c r="D16" s="100" t="s">
        <v>167</v>
      </c>
      <c r="E16" s="100" t="s">
        <v>167</v>
      </c>
      <c r="F16" s="100" t="s">
        <v>167</v>
      </c>
      <c r="G16" s="100" t="s">
        <v>167</v>
      </c>
      <c r="H16" s="145"/>
      <c r="I16" s="89"/>
      <c r="J16" s="86"/>
      <c r="K16" s="86"/>
      <c r="L16" s="86"/>
      <c r="M16" s="86"/>
      <c r="N16" s="86"/>
      <c r="O16" s="86"/>
      <c r="P16" s="86"/>
      <c r="Q16" s="86"/>
      <c r="R16" s="86"/>
      <c r="S16" s="86"/>
      <c r="T16" s="89"/>
      <c r="U16" s="11"/>
      <c r="V16" s="11"/>
      <c r="W16" s="11"/>
      <c r="X16" s="81"/>
      <c r="Y16" s="81"/>
      <c r="Z16" s="81"/>
      <c r="AA16" s="81"/>
      <c r="AB16" s="81"/>
      <c r="AC16" s="81"/>
    </row>
    <row r="17" spans="1:29" s="87" customFormat="1" ht="16.149999999999999" x14ac:dyDescent="0.35">
      <c r="A17" s="144"/>
      <c r="B17" s="150"/>
      <c r="C17" s="162">
        <v>100</v>
      </c>
      <c r="D17" s="100" t="s">
        <v>167</v>
      </c>
      <c r="E17" s="100" t="s">
        <v>167</v>
      </c>
      <c r="F17" s="100" t="s">
        <v>167</v>
      </c>
      <c r="G17" s="100" t="s">
        <v>167</v>
      </c>
      <c r="H17" s="145"/>
      <c r="I17" s="89"/>
      <c r="J17" s="86"/>
      <c r="K17" s="86"/>
      <c r="L17" s="86"/>
      <c r="M17" s="86"/>
      <c r="N17" s="86"/>
      <c r="O17" s="86"/>
      <c r="P17" s="86"/>
      <c r="Q17" s="86"/>
      <c r="R17" s="86"/>
      <c r="S17" s="86"/>
      <c r="T17" s="89"/>
      <c r="U17" s="11"/>
      <c r="V17" s="11"/>
      <c r="W17" s="11"/>
      <c r="X17" s="81"/>
      <c r="Y17" s="81"/>
      <c r="Z17" s="81"/>
      <c r="AA17" s="81"/>
      <c r="AB17" s="81"/>
      <c r="AC17" s="81"/>
    </row>
    <row r="18" spans="1:29" s="87" customFormat="1" ht="16.149999999999999" x14ac:dyDescent="0.35">
      <c r="A18" s="144"/>
      <c r="B18" s="150"/>
      <c r="C18" s="162">
        <v>250</v>
      </c>
      <c r="D18" s="100" t="s">
        <v>167</v>
      </c>
      <c r="E18" s="100" t="s">
        <v>167</v>
      </c>
      <c r="F18" s="100" t="s">
        <v>167</v>
      </c>
      <c r="G18" s="100" t="s">
        <v>167</v>
      </c>
      <c r="H18" s="145"/>
      <c r="I18" s="89"/>
      <c r="J18" s="86"/>
      <c r="K18" s="86"/>
      <c r="L18" s="86"/>
      <c r="M18" s="86"/>
      <c r="N18" s="86"/>
      <c r="O18" s="86"/>
      <c r="P18" s="86"/>
      <c r="Q18" s="86"/>
      <c r="R18" s="86"/>
      <c r="S18" s="86"/>
      <c r="T18" s="89"/>
      <c r="U18" s="11"/>
      <c r="V18" s="11"/>
      <c r="W18" s="11"/>
      <c r="X18" s="81"/>
      <c r="Y18" s="81"/>
      <c r="Z18" s="81"/>
      <c r="AA18" s="81"/>
      <c r="AB18" s="81"/>
      <c r="AC18" s="81"/>
    </row>
    <row r="19" spans="1:29" s="87" customFormat="1" ht="16.149999999999999" x14ac:dyDescent="0.35">
      <c r="A19" s="144"/>
      <c r="B19" s="150"/>
      <c r="C19" s="162">
        <v>500</v>
      </c>
      <c r="D19" s="100" t="s">
        <v>167</v>
      </c>
      <c r="E19" s="100" t="s">
        <v>167</v>
      </c>
      <c r="F19" s="100" t="s">
        <v>167</v>
      </c>
      <c r="G19" s="100" t="s">
        <v>167</v>
      </c>
      <c r="H19" s="145"/>
      <c r="I19" s="89"/>
      <c r="J19" s="86"/>
      <c r="K19" s="86"/>
      <c r="L19" s="86"/>
      <c r="M19" s="86"/>
      <c r="N19" s="86"/>
      <c r="O19" s="86"/>
      <c r="P19" s="86"/>
      <c r="Q19" s="86"/>
      <c r="R19" s="86"/>
      <c r="S19" s="86"/>
      <c r="T19" s="89"/>
      <c r="U19" s="11"/>
      <c r="V19" s="11"/>
      <c r="W19" s="11"/>
      <c r="X19" s="81"/>
      <c r="Y19" s="81"/>
      <c r="Z19" s="81"/>
      <c r="AA19" s="81"/>
      <c r="AB19" s="81"/>
      <c r="AC19" s="81"/>
    </row>
    <row r="20" spans="1:29" s="87" customFormat="1" ht="16.7" thickBot="1" x14ac:dyDescent="0.4">
      <c r="A20" s="144"/>
      <c r="B20" s="150"/>
      <c r="C20" s="163">
        <v>1000</v>
      </c>
      <c r="D20" s="100" t="s">
        <v>167</v>
      </c>
      <c r="E20" s="100" t="s">
        <v>167</v>
      </c>
      <c r="F20" s="100" t="s">
        <v>167</v>
      </c>
      <c r="G20" s="100" t="s">
        <v>167</v>
      </c>
      <c r="H20" s="145"/>
      <c r="I20" s="89"/>
      <c r="J20" s="86"/>
      <c r="K20" s="86"/>
      <c r="L20" s="86"/>
      <c r="M20" s="86"/>
      <c r="N20" s="86"/>
      <c r="O20" s="86"/>
      <c r="P20" s="86"/>
      <c r="Q20" s="86"/>
      <c r="R20" s="86"/>
      <c r="S20" s="86"/>
      <c r="T20" s="89"/>
      <c r="U20" s="11"/>
      <c r="V20" s="11"/>
      <c r="W20" s="11"/>
      <c r="X20" s="81"/>
      <c r="Y20" s="81"/>
      <c r="Z20" s="81"/>
      <c r="AA20" s="81"/>
      <c r="AB20" s="81"/>
      <c r="AC20" s="81"/>
    </row>
    <row r="21" spans="1:29" s="87" customFormat="1" ht="6.8" customHeight="1" thickBot="1" x14ac:dyDescent="0.4">
      <c r="A21" s="144"/>
      <c r="B21" s="150"/>
      <c r="C21" s="145"/>
      <c r="D21" s="98"/>
      <c r="E21" s="98"/>
      <c r="F21" s="98"/>
      <c r="G21" s="98"/>
      <c r="H21" s="145"/>
      <c r="I21" s="94"/>
      <c r="J21" s="86"/>
      <c r="K21" s="86"/>
      <c r="L21" s="86"/>
      <c r="M21" s="86"/>
      <c r="N21" s="86"/>
      <c r="O21" s="86"/>
      <c r="P21" s="86"/>
      <c r="Q21" s="86"/>
      <c r="R21" s="86"/>
      <c r="S21" s="86"/>
      <c r="T21" s="86"/>
      <c r="U21" s="11"/>
      <c r="V21" s="11"/>
      <c r="W21" s="11"/>
      <c r="X21" s="81"/>
      <c r="Y21" s="81"/>
      <c r="Z21" s="81"/>
      <c r="AA21" s="81"/>
      <c r="AB21" s="81"/>
      <c r="AC21" s="81"/>
    </row>
    <row r="22" spans="1:29" s="87" customFormat="1" ht="27.1" customHeight="1" x14ac:dyDescent="0.35">
      <c r="A22" s="176"/>
      <c r="B22" s="177"/>
      <c r="C22" s="215" t="s">
        <v>114</v>
      </c>
      <c r="D22" s="216"/>
      <c r="E22" s="96" t="s">
        <v>115</v>
      </c>
      <c r="F22" s="97" t="s">
        <v>116</v>
      </c>
      <c r="G22" s="164"/>
      <c r="H22" s="84"/>
      <c r="I22" s="91"/>
      <c r="J22" s="86"/>
      <c r="K22" s="86"/>
      <c r="L22" s="86"/>
      <c r="M22" s="86"/>
      <c r="N22" s="86"/>
      <c r="O22" s="86"/>
      <c r="P22" s="86"/>
      <c r="Q22" s="86"/>
      <c r="R22" s="86"/>
      <c r="S22" s="86"/>
      <c r="T22" s="86"/>
      <c r="U22" s="11"/>
      <c r="V22" s="91"/>
      <c r="W22" s="91"/>
      <c r="X22" s="99"/>
      <c r="Y22" s="99"/>
      <c r="Z22" s="99"/>
      <c r="AA22" s="99"/>
      <c r="AB22" s="99"/>
      <c r="AC22" s="99"/>
    </row>
    <row r="23" spans="1:29" s="87" customFormat="1" ht="16.149999999999999" x14ac:dyDescent="0.35">
      <c r="A23" s="176"/>
      <c r="B23" s="177"/>
      <c r="C23" s="222"/>
      <c r="D23" s="223"/>
      <c r="E23" s="178" t="s">
        <v>168</v>
      </c>
      <c r="F23" s="179" t="s">
        <v>168</v>
      </c>
      <c r="G23" s="164"/>
      <c r="H23" s="84"/>
      <c r="I23" s="91"/>
      <c r="J23" s="86"/>
      <c r="K23" s="86"/>
      <c r="L23" s="86"/>
      <c r="M23" s="86"/>
      <c r="N23" s="86"/>
      <c r="O23" s="86"/>
      <c r="P23" s="86"/>
      <c r="Q23" s="86"/>
      <c r="R23" s="86"/>
      <c r="S23" s="86"/>
      <c r="T23" s="86"/>
      <c r="U23" s="11"/>
      <c r="V23" s="91"/>
      <c r="W23" s="91"/>
      <c r="X23" s="99"/>
      <c r="Y23" s="99"/>
      <c r="Z23" s="99"/>
      <c r="AA23" s="99"/>
      <c r="AB23" s="99"/>
      <c r="AC23" s="99"/>
    </row>
    <row r="24" spans="1:29" s="87" customFormat="1" ht="16.149999999999999" x14ac:dyDescent="0.35">
      <c r="A24" s="176"/>
      <c r="B24" s="177"/>
      <c r="C24" s="217" t="s">
        <v>117</v>
      </c>
      <c r="D24" s="218"/>
      <c r="E24" s="165"/>
      <c r="F24" s="166"/>
      <c r="G24" s="164"/>
      <c r="H24" s="84"/>
      <c r="I24" s="86"/>
      <c r="J24" s="86"/>
      <c r="K24" s="86"/>
      <c r="L24" s="86"/>
      <c r="M24" s="86"/>
      <c r="N24" s="86"/>
      <c r="O24" s="86"/>
      <c r="P24" s="86"/>
      <c r="Q24" s="86"/>
      <c r="R24" s="86"/>
      <c r="S24" s="86"/>
      <c r="T24" s="86"/>
      <c r="U24" s="11"/>
      <c r="V24" s="91"/>
      <c r="W24" s="91"/>
      <c r="X24" s="99"/>
      <c r="Y24" s="99"/>
      <c r="Z24" s="99"/>
      <c r="AA24" s="99"/>
      <c r="AB24" s="99"/>
      <c r="AC24" s="99"/>
    </row>
    <row r="25" spans="1:29" s="87" customFormat="1" ht="16.149999999999999" x14ac:dyDescent="0.35">
      <c r="A25" s="176"/>
      <c r="B25" s="177"/>
      <c r="C25" s="217" t="s">
        <v>118</v>
      </c>
      <c r="D25" s="218"/>
      <c r="E25" s="167"/>
      <c r="F25" s="168"/>
      <c r="G25" s="164"/>
      <c r="H25" s="84"/>
      <c r="I25" s="86"/>
      <c r="J25" s="86"/>
      <c r="K25" s="86"/>
      <c r="L25" s="86"/>
      <c r="M25" s="86"/>
      <c r="N25" s="86"/>
      <c r="O25" s="86"/>
      <c r="P25" s="86"/>
      <c r="Q25" s="86"/>
      <c r="R25" s="86"/>
      <c r="S25" s="86"/>
      <c r="T25" s="86"/>
      <c r="U25" s="11"/>
      <c r="V25" s="91"/>
      <c r="W25" s="91"/>
      <c r="X25" s="99"/>
      <c r="Y25" s="99"/>
      <c r="Z25" s="99"/>
      <c r="AA25" s="99"/>
      <c r="AB25" s="99"/>
      <c r="AC25" s="99"/>
    </row>
    <row r="26" spans="1:29" s="87" customFormat="1" ht="16.149999999999999" x14ac:dyDescent="0.35">
      <c r="A26" s="176"/>
      <c r="B26" s="177"/>
      <c r="C26" s="217" t="s">
        <v>119</v>
      </c>
      <c r="D26" s="218"/>
      <c r="E26" s="167"/>
      <c r="F26" s="168"/>
      <c r="G26" s="164"/>
      <c r="H26" s="84"/>
      <c r="I26" s="86"/>
      <c r="J26" s="86"/>
      <c r="K26" s="86"/>
      <c r="L26" s="86"/>
      <c r="M26" s="86"/>
      <c r="N26" s="86"/>
      <c r="O26" s="86"/>
      <c r="P26" s="86"/>
      <c r="Q26" s="86"/>
      <c r="R26" s="86"/>
      <c r="S26" s="86"/>
      <c r="T26" s="86"/>
      <c r="U26" s="11"/>
      <c r="V26" s="91"/>
      <c r="W26" s="91"/>
      <c r="X26" s="99"/>
      <c r="Y26" s="99"/>
      <c r="Z26" s="99"/>
      <c r="AA26" s="99"/>
      <c r="AB26" s="99"/>
      <c r="AC26" s="99"/>
    </row>
    <row r="27" spans="1:29" s="87" customFormat="1" ht="16.7" thickBot="1" x14ac:dyDescent="0.4">
      <c r="A27" s="176"/>
      <c r="B27" s="177"/>
      <c r="C27" s="219" t="s">
        <v>120</v>
      </c>
      <c r="D27" s="220"/>
      <c r="E27" s="245">
        <v>299151.86557664699</v>
      </c>
      <c r="F27" s="245">
        <v>257947.869350997</v>
      </c>
      <c r="G27" s="164"/>
      <c r="H27" s="84"/>
      <c r="I27" s="86"/>
      <c r="J27" s="86"/>
      <c r="K27" s="86"/>
      <c r="L27" s="86"/>
      <c r="M27" s="86"/>
      <c r="N27" s="86"/>
      <c r="O27" s="86"/>
      <c r="P27" s="86"/>
      <c r="Q27" s="86"/>
      <c r="R27" s="86"/>
      <c r="S27" s="86"/>
      <c r="T27" s="86"/>
      <c r="U27" s="11"/>
      <c r="V27" s="91"/>
      <c r="W27" s="91"/>
      <c r="X27" s="99"/>
      <c r="Y27" s="99"/>
      <c r="Z27" s="99"/>
      <c r="AA27" s="99"/>
      <c r="AB27" s="99"/>
      <c r="AC27" s="99"/>
    </row>
    <row r="28" spans="1:29" s="87" customFormat="1" ht="6.8" customHeight="1" x14ac:dyDescent="0.35">
      <c r="A28" s="144"/>
      <c r="B28" s="150"/>
      <c r="C28" s="145"/>
      <c r="D28" s="164"/>
      <c r="E28" s="164"/>
      <c r="F28" s="164"/>
      <c r="G28" s="164"/>
      <c r="H28" s="145"/>
      <c r="I28" s="94"/>
      <c r="J28" s="86"/>
      <c r="K28" s="86"/>
      <c r="L28" s="86"/>
      <c r="M28" s="86"/>
      <c r="N28" s="86"/>
      <c r="O28" s="86"/>
      <c r="P28" s="86"/>
      <c r="Q28" s="86"/>
      <c r="R28" s="86"/>
      <c r="S28" s="86"/>
      <c r="T28" s="86"/>
      <c r="U28" s="11"/>
      <c r="V28" s="91"/>
      <c r="W28" s="91"/>
      <c r="X28" s="99"/>
      <c r="Y28" s="99"/>
      <c r="Z28" s="99"/>
      <c r="AA28" s="99"/>
      <c r="AB28" s="99"/>
      <c r="AC28" s="99"/>
    </row>
    <row r="29" spans="1:29" s="87" customFormat="1" ht="16.149999999999999" x14ac:dyDescent="0.35">
      <c r="A29" s="144"/>
      <c r="B29" s="146" t="s">
        <v>121</v>
      </c>
      <c r="C29" s="149" t="s">
        <v>176</v>
      </c>
      <c r="D29" s="145"/>
      <c r="E29" s="145"/>
      <c r="F29" s="169"/>
      <c r="G29" s="145"/>
      <c r="H29" s="145"/>
      <c r="I29" s="90"/>
      <c r="J29" s="86"/>
      <c r="K29" s="86"/>
      <c r="L29" s="86"/>
      <c r="M29" s="86"/>
      <c r="N29" s="86"/>
      <c r="O29" s="86"/>
      <c r="P29" s="86"/>
      <c r="Q29" s="86"/>
      <c r="R29" s="86"/>
      <c r="S29" s="86"/>
      <c r="T29" s="89"/>
      <c r="U29" s="11"/>
      <c r="V29" s="11"/>
      <c r="W29" s="11"/>
      <c r="X29" s="81"/>
      <c r="Y29" s="81"/>
      <c r="Z29" s="81"/>
      <c r="AA29" s="81"/>
      <c r="AB29" s="81"/>
      <c r="AC29" s="81"/>
    </row>
    <row r="30" spans="1:29" s="87" customFormat="1" ht="6.8" customHeight="1" x14ac:dyDescent="0.35">
      <c r="A30" s="144"/>
      <c r="B30" s="146"/>
      <c r="C30" s="149"/>
      <c r="D30" s="145"/>
      <c r="E30" s="145"/>
      <c r="F30" s="145"/>
      <c r="G30" s="145"/>
      <c r="H30" s="145"/>
      <c r="I30" s="89"/>
      <c r="J30" s="86"/>
      <c r="K30" s="86"/>
      <c r="L30" s="86"/>
      <c r="M30" s="86"/>
      <c r="N30" s="86"/>
      <c r="O30" s="86"/>
      <c r="P30" s="86"/>
      <c r="Q30" s="86"/>
      <c r="R30" s="86"/>
      <c r="S30" s="86"/>
      <c r="T30" s="89"/>
      <c r="U30" s="11"/>
      <c r="V30" s="11"/>
      <c r="W30" s="11"/>
      <c r="X30" s="81"/>
      <c r="Y30" s="81"/>
      <c r="Z30" s="81"/>
      <c r="AA30" s="81"/>
      <c r="AB30" s="81"/>
      <c r="AC30" s="81"/>
    </row>
    <row r="31" spans="1:29" s="87" customFormat="1" ht="16.149999999999999" x14ac:dyDescent="0.35">
      <c r="A31" s="144"/>
      <c r="B31" s="150"/>
      <c r="C31" s="145" t="s">
        <v>177</v>
      </c>
      <c r="D31" s="145"/>
      <c r="E31" s="145"/>
      <c r="F31" s="151" t="s">
        <v>84</v>
      </c>
      <c r="G31" s="145"/>
      <c r="H31" s="145"/>
      <c r="I31" s="91"/>
      <c r="J31" s="92"/>
      <c r="K31" s="86"/>
      <c r="L31" s="86"/>
      <c r="M31" s="86"/>
      <c r="N31" s="86"/>
      <c r="O31" s="86"/>
      <c r="P31" s="86"/>
      <c r="Q31" s="86"/>
      <c r="R31" s="86"/>
      <c r="S31" s="86"/>
      <c r="T31" s="89"/>
      <c r="U31" s="11"/>
      <c r="V31" s="11"/>
      <c r="W31" s="11"/>
      <c r="X31" s="81"/>
      <c r="Y31" s="81"/>
      <c r="Z31" s="81"/>
      <c r="AA31" s="81"/>
      <c r="AB31" s="81"/>
      <c r="AC31" s="81"/>
    </row>
    <row r="32" spans="1:29" s="87" customFormat="1" ht="16.149999999999999" x14ac:dyDescent="0.35">
      <c r="A32" s="144"/>
      <c r="B32" s="150"/>
      <c r="C32" s="145" t="s">
        <v>172</v>
      </c>
      <c r="D32" s="145"/>
      <c r="E32" s="145"/>
      <c r="F32" s="93" t="s">
        <v>173</v>
      </c>
      <c r="G32" s="145"/>
      <c r="H32" s="145"/>
      <c r="I32" s="91"/>
      <c r="J32" s="92"/>
      <c r="K32" s="86"/>
      <c r="L32" s="86"/>
      <c r="M32" s="86"/>
      <c r="N32" s="86"/>
      <c r="O32" s="86"/>
      <c r="P32" s="86"/>
      <c r="Q32" s="86"/>
      <c r="R32" s="86"/>
      <c r="S32" s="86"/>
      <c r="T32" s="11"/>
      <c r="U32" s="11"/>
      <c r="V32" s="11"/>
      <c r="W32" s="11"/>
      <c r="X32" s="81"/>
      <c r="Y32" s="81"/>
      <c r="Z32" s="81"/>
      <c r="AA32" s="81"/>
      <c r="AB32" s="81"/>
      <c r="AC32" s="81"/>
    </row>
    <row r="33" spans="1:29" s="87" customFormat="1" ht="6.8" customHeight="1" x14ac:dyDescent="0.35">
      <c r="A33" s="144"/>
      <c r="B33" s="150"/>
      <c r="C33" s="145"/>
      <c r="D33" s="145"/>
      <c r="E33" s="145"/>
      <c r="F33" s="145"/>
      <c r="G33" s="145"/>
      <c r="H33" s="145"/>
      <c r="I33" s="94"/>
      <c r="J33" s="86"/>
      <c r="K33" s="86"/>
      <c r="L33" s="86"/>
      <c r="M33" s="86"/>
      <c r="N33" s="86"/>
      <c r="O33" s="86"/>
      <c r="P33" s="86"/>
      <c r="Q33" s="86"/>
      <c r="R33" s="86"/>
      <c r="S33" s="86"/>
      <c r="T33" s="86"/>
      <c r="U33" s="11"/>
      <c r="V33" s="11"/>
      <c r="W33" s="11"/>
      <c r="X33" s="81"/>
      <c r="Y33" s="81"/>
      <c r="Z33" s="81"/>
      <c r="AA33" s="81"/>
      <c r="AB33" s="81"/>
      <c r="AC33" s="81"/>
    </row>
    <row r="34" spans="1:29" s="87" customFormat="1" ht="16.7" thickBot="1" x14ac:dyDescent="0.4">
      <c r="A34" s="144"/>
      <c r="B34" s="150"/>
      <c r="C34" s="153" t="s">
        <v>112</v>
      </c>
      <c r="D34" s="153"/>
      <c r="E34" s="145"/>
      <c r="F34" s="145"/>
      <c r="G34" s="145"/>
      <c r="H34" s="145"/>
      <c r="I34" s="94"/>
      <c r="J34" s="86"/>
      <c r="K34" s="86"/>
      <c r="L34" s="86"/>
      <c r="M34" s="86"/>
      <c r="N34" s="86"/>
      <c r="O34" s="86"/>
      <c r="P34" s="86"/>
      <c r="Q34" s="86"/>
      <c r="R34" s="86"/>
      <c r="S34" s="86"/>
      <c r="T34" s="86"/>
      <c r="U34" s="11"/>
      <c r="V34" s="11"/>
      <c r="W34" s="11"/>
      <c r="X34" s="81"/>
      <c r="Y34" s="81"/>
      <c r="Z34" s="81"/>
      <c r="AA34" s="81"/>
      <c r="AB34" s="81"/>
      <c r="AC34" s="81"/>
    </row>
    <row r="35" spans="1:29" s="87" customFormat="1" ht="16.149999999999999" x14ac:dyDescent="0.35">
      <c r="A35" s="144"/>
      <c r="B35" s="150"/>
      <c r="C35" s="154"/>
      <c r="D35" s="210" t="s">
        <v>3</v>
      </c>
      <c r="E35" s="214"/>
      <c r="F35" s="210" t="s">
        <v>4</v>
      </c>
      <c r="G35" s="211"/>
      <c r="H35" s="145"/>
      <c r="I35" s="94"/>
      <c r="J35" s="86"/>
      <c r="K35" s="86"/>
      <c r="L35" s="86"/>
      <c r="M35" s="86"/>
      <c r="N35" s="86"/>
      <c r="O35" s="86"/>
      <c r="P35" s="86"/>
      <c r="Q35" s="86"/>
      <c r="R35" s="86"/>
      <c r="S35" s="86"/>
      <c r="T35" s="86"/>
      <c r="U35" s="11"/>
      <c r="V35" s="11"/>
      <c r="W35" s="11"/>
      <c r="X35" s="81"/>
      <c r="Y35" s="81"/>
      <c r="Z35" s="81"/>
      <c r="AA35" s="81"/>
      <c r="AB35" s="81"/>
      <c r="AC35" s="81"/>
    </row>
    <row r="36" spans="1:29" s="87" customFormat="1" ht="32.25" x14ac:dyDescent="0.35">
      <c r="A36" s="144"/>
      <c r="B36" s="150"/>
      <c r="C36" s="155" t="s">
        <v>5</v>
      </c>
      <c r="D36" s="156" t="s">
        <v>6</v>
      </c>
      <c r="E36" s="157" t="s">
        <v>113</v>
      </c>
      <c r="F36" s="157" t="s">
        <v>8</v>
      </c>
      <c r="G36" s="158" t="s">
        <v>174</v>
      </c>
      <c r="H36" s="145"/>
      <c r="I36" s="94"/>
      <c r="J36" s="86"/>
      <c r="K36" s="86"/>
      <c r="L36" s="86"/>
      <c r="M36" s="86"/>
      <c r="N36" s="86"/>
      <c r="O36" s="86"/>
      <c r="P36" s="86"/>
      <c r="Q36" s="86"/>
      <c r="R36" s="86"/>
      <c r="S36" s="86"/>
      <c r="T36" s="86"/>
      <c r="U36" s="11"/>
      <c r="V36" s="11"/>
      <c r="W36" s="11"/>
      <c r="X36" s="81"/>
      <c r="Y36" s="81"/>
      <c r="Z36" s="81"/>
      <c r="AA36" s="81"/>
      <c r="AB36" s="81"/>
      <c r="AC36" s="81"/>
    </row>
    <row r="37" spans="1:29" s="87" customFormat="1" ht="16.149999999999999" x14ac:dyDescent="0.35">
      <c r="A37" s="144"/>
      <c r="B37" s="150"/>
      <c r="C37" s="159"/>
      <c r="D37" s="160" t="s">
        <v>168</v>
      </c>
      <c r="E37" s="160" t="s">
        <v>175</v>
      </c>
      <c r="F37" s="160" t="s">
        <v>175</v>
      </c>
      <c r="G37" s="161" t="s">
        <v>168</v>
      </c>
      <c r="H37" s="145"/>
      <c r="I37" s="89"/>
      <c r="J37" s="86"/>
      <c r="K37" s="86"/>
      <c r="L37" s="86"/>
      <c r="M37" s="86"/>
      <c r="N37" s="86"/>
      <c r="O37" s="86"/>
      <c r="P37" s="86"/>
      <c r="Q37" s="86"/>
      <c r="R37" s="86"/>
      <c r="S37" s="86"/>
      <c r="T37" s="89"/>
      <c r="U37" s="11"/>
      <c r="V37" s="11"/>
      <c r="W37" s="11"/>
      <c r="X37" s="81"/>
      <c r="Y37" s="81"/>
      <c r="Z37" s="81"/>
      <c r="AA37" s="81"/>
      <c r="AB37" s="81"/>
      <c r="AC37" s="81"/>
    </row>
    <row r="38" spans="1:29" s="87" customFormat="1" ht="16.149999999999999" x14ac:dyDescent="0.35">
      <c r="A38" s="144"/>
      <c r="B38" s="150"/>
      <c r="C38" s="162">
        <v>50</v>
      </c>
      <c r="D38" s="100" t="s">
        <v>167</v>
      </c>
      <c r="E38" s="100" t="s">
        <v>167</v>
      </c>
      <c r="F38" s="100" t="s">
        <v>167</v>
      </c>
      <c r="G38" s="100" t="s">
        <v>167</v>
      </c>
      <c r="H38" s="145"/>
      <c r="I38" s="89"/>
      <c r="J38" s="86"/>
      <c r="K38" s="86"/>
      <c r="L38" s="86"/>
      <c r="M38" s="86"/>
      <c r="N38" s="86"/>
      <c r="O38" s="86"/>
      <c r="P38" s="86"/>
      <c r="Q38" s="86"/>
      <c r="R38" s="86"/>
      <c r="S38" s="86"/>
      <c r="T38" s="89"/>
      <c r="U38" s="11"/>
      <c r="V38" s="11"/>
      <c r="W38" s="11"/>
      <c r="X38" s="81"/>
      <c r="Y38" s="81"/>
      <c r="Z38" s="81"/>
      <c r="AA38" s="81"/>
      <c r="AB38" s="81"/>
      <c r="AC38" s="81"/>
    </row>
    <row r="39" spans="1:29" s="87" customFormat="1" ht="16.149999999999999" x14ac:dyDescent="0.35">
      <c r="A39" s="144"/>
      <c r="B39" s="150"/>
      <c r="C39" s="162">
        <v>100</v>
      </c>
      <c r="D39" s="100" t="s">
        <v>167</v>
      </c>
      <c r="E39" s="100" t="s">
        <v>167</v>
      </c>
      <c r="F39" s="100" t="s">
        <v>167</v>
      </c>
      <c r="G39" s="100" t="s">
        <v>167</v>
      </c>
      <c r="H39" s="145"/>
      <c r="I39" s="89"/>
      <c r="J39" s="86"/>
      <c r="K39" s="86"/>
      <c r="L39" s="86"/>
      <c r="M39" s="86"/>
      <c r="N39" s="86"/>
      <c r="O39" s="86"/>
      <c r="P39" s="86"/>
      <c r="Q39" s="86"/>
      <c r="R39" s="86"/>
      <c r="S39" s="86"/>
      <c r="T39" s="89"/>
      <c r="U39" s="11"/>
      <c r="V39" s="11"/>
      <c r="W39" s="11"/>
      <c r="X39" s="81"/>
      <c r="Y39" s="81"/>
      <c r="Z39" s="81"/>
      <c r="AA39" s="81"/>
      <c r="AB39" s="81"/>
      <c r="AC39" s="81"/>
    </row>
    <row r="40" spans="1:29" s="87" customFormat="1" ht="16.149999999999999" x14ac:dyDescent="0.35">
      <c r="A40" s="144"/>
      <c r="B40" s="150"/>
      <c r="C40" s="162">
        <v>250</v>
      </c>
      <c r="D40" s="100" t="s">
        <v>167</v>
      </c>
      <c r="E40" s="100" t="s">
        <v>167</v>
      </c>
      <c r="F40" s="100" t="s">
        <v>167</v>
      </c>
      <c r="G40" s="100" t="s">
        <v>167</v>
      </c>
      <c r="H40" s="145"/>
      <c r="I40" s="89"/>
      <c r="J40" s="86"/>
      <c r="K40" s="86"/>
      <c r="L40" s="86"/>
      <c r="M40" s="86"/>
      <c r="N40" s="86"/>
      <c r="O40" s="86"/>
      <c r="P40" s="86"/>
      <c r="Q40" s="86"/>
      <c r="R40" s="86"/>
      <c r="S40" s="86"/>
      <c r="T40" s="89"/>
      <c r="U40" s="11"/>
      <c r="V40" s="11"/>
      <c r="W40" s="11"/>
      <c r="X40" s="81"/>
      <c r="Y40" s="81"/>
      <c r="Z40" s="81"/>
      <c r="AA40" s="81"/>
      <c r="AB40" s="81"/>
      <c r="AC40" s="81"/>
    </row>
    <row r="41" spans="1:29" s="87" customFormat="1" ht="16.149999999999999" x14ac:dyDescent="0.35">
      <c r="A41" s="144"/>
      <c r="B41" s="150"/>
      <c r="C41" s="162">
        <v>500</v>
      </c>
      <c r="D41" s="100" t="s">
        <v>167</v>
      </c>
      <c r="E41" s="100" t="s">
        <v>167</v>
      </c>
      <c r="F41" s="100" t="s">
        <v>167</v>
      </c>
      <c r="G41" s="100" t="s">
        <v>167</v>
      </c>
      <c r="H41" s="145"/>
      <c r="I41" s="89"/>
      <c r="J41" s="86"/>
      <c r="K41" s="86"/>
      <c r="L41" s="86"/>
      <c r="M41" s="86"/>
      <c r="N41" s="86"/>
      <c r="O41" s="86"/>
      <c r="P41" s="86"/>
      <c r="Q41" s="86"/>
      <c r="R41" s="86"/>
      <c r="S41" s="86"/>
      <c r="T41" s="89"/>
      <c r="U41" s="11"/>
      <c r="V41" s="11"/>
      <c r="W41" s="11"/>
      <c r="X41" s="81"/>
      <c r="Y41" s="81"/>
      <c r="Z41" s="81"/>
      <c r="AA41" s="81"/>
      <c r="AB41" s="81"/>
      <c r="AC41" s="81"/>
    </row>
    <row r="42" spans="1:29" s="87" customFormat="1" ht="16.7" thickBot="1" x14ac:dyDescent="0.4">
      <c r="A42" s="144"/>
      <c r="B42" s="150"/>
      <c r="C42" s="163">
        <v>1000</v>
      </c>
      <c r="D42" s="100" t="s">
        <v>167</v>
      </c>
      <c r="E42" s="100" t="s">
        <v>167</v>
      </c>
      <c r="F42" s="100" t="s">
        <v>167</v>
      </c>
      <c r="G42" s="100" t="s">
        <v>167</v>
      </c>
      <c r="H42" s="145"/>
      <c r="I42" s="89"/>
      <c r="J42" s="86"/>
      <c r="K42" s="86"/>
      <c r="L42" s="86"/>
      <c r="M42" s="86"/>
      <c r="N42" s="86"/>
      <c r="O42" s="86"/>
      <c r="P42" s="86"/>
      <c r="Q42" s="86"/>
      <c r="R42" s="86"/>
      <c r="S42" s="86"/>
      <c r="T42" s="89"/>
      <c r="U42" s="11"/>
      <c r="V42" s="11"/>
      <c r="W42" s="11"/>
      <c r="X42" s="81"/>
      <c r="Y42" s="81"/>
      <c r="Z42" s="81"/>
      <c r="AA42" s="81"/>
      <c r="AB42" s="81"/>
      <c r="AC42" s="81"/>
    </row>
    <row r="43" spans="1:29" s="87" customFormat="1" ht="6.8" customHeight="1" thickBot="1" x14ac:dyDescent="0.4">
      <c r="A43" s="144"/>
      <c r="B43" s="150"/>
      <c r="C43" s="145"/>
      <c r="D43" s="98"/>
      <c r="E43" s="98"/>
      <c r="F43" s="98"/>
      <c r="G43" s="98"/>
      <c r="H43" s="145"/>
      <c r="I43" s="94"/>
      <c r="J43" s="86"/>
      <c r="K43" s="86"/>
      <c r="L43" s="86"/>
      <c r="M43" s="86"/>
      <c r="N43" s="86"/>
      <c r="O43" s="86"/>
      <c r="P43" s="86"/>
      <c r="Q43" s="86"/>
      <c r="R43" s="86"/>
      <c r="S43" s="86"/>
      <c r="T43" s="86"/>
      <c r="U43" s="11"/>
      <c r="V43" s="11"/>
      <c r="W43" s="11"/>
      <c r="X43" s="81"/>
      <c r="Y43" s="81"/>
      <c r="Z43" s="81"/>
      <c r="AA43" s="81"/>
      <c r="AB43" s="81"/>
      <c r="AC43" s="81"/>
    </row>
    <row r="44" spans="1:29" s="87" customFormat="1" ht="27.1" customHeight="1" x14ac:dyDescent="0.35">
      <c r="A44" s="176"/>
      <c r="B44" s="177"/>
      <c r="C44" s="215" t="s">
        <v>122</v>
      </c>
      <c r="D44" s="216"/>
      <c r="E44" s="96" t="s">
        <v>115</v>
      </c>
      <c r="F44" s="97" t="s">
        <v>116</v>
      </c>
      <c r="G44" s="164"/>
      <c r="H44" s="84"/>
      <c r="I44" s="91"/>
      <c r="J44" s="86"/>
      <c r="K44" s="86"/>
      <c r="L44" s="86"/>
      <c r="M44" s="86"/>
      <c r="N44" s="86"/>
      <c r="O44" s="86"/>
      <c r="P44" s="86"/>
      <c r="Q44" s="86"/>
      <c r="R44" s="86"/>
      <c r="S44" s="86"/>
      <c r="T44" s="86"/>
      <c r="U44" s="11"/>
      <c r="V44" s="91"/>
      <c r="W44" s="91"/>
      <c r="X44" s="99"/>
      <c r="Y44" s="99"/>
      <c r="Z44" s="99"/>
      <c r="AA44" s="99"/>
      <c r="AB44" s="99"/>
      <c r="AC44" s="99"/>
    </row>
    <row r="45" spans="1:29" s="87" customFormat="1" ht="16.149999999999999" x14ac:dyDescent="0.35">
      <c r="A45" s="176"/>
      <c r="B45" s="177"/>
      <c r="C45" s="222"/>
      <c r="D45" s="223"/>
      <c r="E45" s="178" t="s">
        <v>168</v>
      </c>
      <c r="F45" s="179" t="s">
        <v>168</v>
      </c>
      <c r="G45" s="164"/>
      <c r="H45" s="84"/>
      <c r="I45" s="91"/>
      <c r="J45" s="86"/>
      <c r="K45" s="86"/>
      <c r="L45" s="86"/>
      <c r="M45" s="86"/>
      <c r="N45" s="86"/>
      <c r="O45" s="86"/>
      <c r="P45" s="86"/>
      <c r="Q45" s="86"/>
      <c r="R45" s="86"/>
      <c r="S45" s="86"/>
      <c r="T45" s="86"/>
      <c r="U45" s="11"/>
      <c r="V45" s="91"/>
      <c r="W45" s="91"/>
      <c r="X45" s="99"/>
      <c r="Y45" s="99"/>
      <c r="Z45" s="99"/>
      <c r="AA45" s="99"/>
      <c r="AB45" s="99"/>
      <c r="AC45" s="99"/>
    </row>
    <row r="46" spans="1:29" s="87" customFormat="1" ht="16.149999999999999" x14ac:dyDescent="0.35">
      <c r="A46" s="176"/>
      <c r="B46" s="177"/>
      <c r="C46" s="217" t="s">
        <v>117</v>
      </c>
      <c r="D46" s="218"/>
      <c r="E46" s="165"/>
      <c r="F46" s="166"/>
      <c r="G46" s="164"/>
      <c r="H46" s="84"/>
      <c r="I46" s="86"/>
      <c r="J46" s="86"/>
      <c r="K46" s="86"/>
      <c r="L46" s="86"/>
      <c r="M46" s="86"/>
      <c r="N46" s="86"/>
      <c r="O46" s="86"/>
      <c r="P46" s="86"/>
      <c r="Q46" s="86"/>
      <c r="R46" s="86"/>
      <c r="S46" s="86"/>
      <c r="T46" s="86"/>
      <c r="U46" s="11"/>
      <c r="V46" s="91"/>
      <c r="W46" s="91"/>
      <c r="X46" s="99"/>
      <c r="Y46" s="99"/>
      <c r="Z46" s="99"/>
      <c r="AA46" s="99"/>
      <c r="AB46" s="99"/>
      <c r="AC46" s="99"/>
    </row>
    <row r="47" spans="1:29" s="87" customFormat="1" ht="16.149999999999999" x14ac:dyDescent="0.35">
      <c r="A47" s="176"/>
      <c r="B47" s="177"/>
      <c r="C47" s="217" t="s">
        <v>118</v>
      </c>
      <c r="D47" s="218"/>
      <c r="E47" s="167"/>
      <c r="F47" s="168"/>
      <c r="G47" s="164"/>
      <c r="H47" s="84"/>
      <c r="I47" s="86"/>
      <c r="J47" s="86"/>
      <c r="K47" s="86"/>
      <c r="L47" s="86"/>
      <c r="M47" s="86"/>
      <c r="N47" s="86"/>
      <c r="O47" s="86"/>
      <c r="P47" s="86"/>
      <c r="Q47" s="86"/>
      <c r="R47" s="86"/>
      <c r="S47" s="86"/>
      <c r="T47" s="86"/>
      <c r="U47" s="11"/>
      <c r="V47" s="91"/>
      <c r="W47" s="91"/>
      <c r="X47" s="99"/>
      <c r="Y47" s="99"/>
      <c r="Z47" s="99"/>
      <c r="AA47" s="99"/>
      <c r="AB47" s="99"/>
      <c r="AC47" s="99"/>
    </row>
    <row r="48" spans="1:29" s="87" customFormat="1" ht="16.149999999999999" x14ac:dyDescent="0.35">
      <c r="A48" s="176"/>
      <c r="B48" s="177"/>
      <c r="C48" s="217" t="s">
        <v>119</v>
      </c>
      <c r="D48" s="218"/>
      <c r="E48" s="167"/>
      <c r="F48" s="168"/>
      <c r="G48" s="164"/>
      <c r="H48" s="84"/>
      <c r="I48" s="86"/>
      <c r="J48" s="86"/>
      <c r="K48" s="86"/>
      <c r="L48" s="86"/>
      <c r="M48" s="86"/>
      <c r="N48" s="86"/>
      <c r="O48" s="86"/>
      <c r="P48" s="86"/>
      <c r="Q48" s="86"/>
      <c r="R48" s="86"/>
      <c r="S48" s="86"/>
      <c r="T48" s="86"/>
      <c r="U48" s="11"/>
      <c r="V48" s="91"/>
      <c r="W48" s="91"/>
      <c r="X48" s="99"/>
      <c r="Y48" s="99"/>
      <c r="Z48" s="99"/>
      <c r="AA48" s="99"/>
      <c r="AB48" s="99"/>
      <c r="AC48" s="99"/>
    </row>
    <row r="49" spans="1:29" s="87" customFormat="1" ht="16.7" thickBot="1" x14ac:dyDescent="0.4">
      <c r="A49" s="176"/>
      <c r="B49" s="177"/>
      <c r="C49" s="219" t="s">
        <v>120</v>
      </c>
      <c r="D49" s="220"/>
      <c r="E49" s="246">
        <v>7558.3461603288206</v>
      </c>
      <c r="F49" s="246">
        <v>7558.3461603288206</v>
      </c>
      <c r="G49" s="164"/>
      <c r="H49" s="84"/>
      <c r="I49" s="86"/>
      <c r="J49" s="86"/>
      <c r="K49" s="86"/>
      <c r="L49" s="86"/>
      <c r="M49" s="86"/>
      <c r="N49" s="86"/>
      <c r="O49" s="86"/>
      <c r="P49" s="86"/>
      <c r="Q49" s="86"/>
      <c r="R49" s="86"/>
      <c r="S49" s="86"/>
      <c r="T49" s="86"/>
      <c r="U49" s="11"/>
      <c r="V49" s="91"/>
      <c r="W49" s="91"/>
      <c r="X49" s="99"/>
      <c r="Y49" s="99"/>
      <c r="Z49" s="99"/>
      <c r="AA49" s="99"/>
      <c r="AB49" s="99"/>
      <c r="AC49" s="99"/>
    </row>
    <row r="50" spans="1:29" s="87" customFormat="1" ht="6.8" customHeight="1" x14ac:dyDescent="0.35">
      <c r="A50" s="144"/>
      <c r="B50" s="150"/>
      <c r="C50" s="145"/>
      <c r="D50" s="145"/>
      <c r="E50" s="145"/>
      <c r="F50" s="145"/>
      <c r="G50" s="145"/>
      <c r="H50" s="145"/>
      <c r="I50" s="94"/>
      <c r="J50" s="86"/>
      <c r="K50" s="86"/>
      <c r="L50" s="86"/>
      <c r="M50" s="86"/>
      <c r="N50" s="86"/>
      <c r="O50" s="86"/>
      <c r="P50" s="86"/>
      <c r="Q50" s="86"/>
      <c r="R50" s="86"/>
      <c r="S50" s="86"/>
      <c r="T50" s="86"/>
      <c r="U50" s="11"/>
      <c r="V50" s="91"/>
      <c r="W50" s="91"/>
      <c r="X50" s="99"/>
      <c r="Y50" s="99"/>
      <c r="Z50" s="99"/>
      <c r="AA50" s="99"/>
      <c r="AB50" s="99"/>
      <c r="AC50" s="99"/>
    </row>
    <row r="51" spans="1:29" s="87" customFormat="1" ht="16.149999999999999" x14ac:dyDescent="0.35">
      <c r="A51" s="144"/>
      <c r="B51" s="146" t="s">
        <v>123</v>
      </c>
      <c r="C51" s="149" t="s">
        <v>124</v>
      </c>
      <c r="D51" s="145"/>
      <c r="E51" s="145"/>
      <c r="F51" s="169"/>
      <c r="G51" s="145"/>
      <c r="H51" s="145"/>
      <c r="I51" s="90"/>
      <c r="J51" s="86"/>
      <c r="K51" s="86"/>
      <c r="L51" s="86"/>
      <c r="M51" s="86"/>
      <c r="N51" s="86"/>
      <c r="O51" s="86"/>
      <c r="P51" s="86"/>
      <c r="Q51" s="86"/>
      <c r="R51" s="86"/>
      <c r="S51" s="86"/>
      <c r="T51" s="89"/>
      <c r="U51" s="11"/>
      <c r="V51" s="11"/>
      <c r="W51" s="11"/>
      <c r="X51" s="81"/>
      <c r="Y51" s="81"/>
      <c r="Z51" s="81"/>
      <c r="AA51" s="81"/>
      <c r="AB51" s="81"/>
      <c r="AC51" s="81"/>
    </row>
    <row r="52" spans="1:29" s="87" customFormat="1" ht="6.8" customHeight="1" x14ac:dyDescent="0.35">
      <c r="A52" s="144"/>
      <c r="B52" s="150"/>
      <c r="C52" s="145"/>
      <c r="D52" s="145"/>
      <c r="E52" s="145"/>
      <c r="F52" s="145"/>
      <c r="G52" s="145"/>
      <c r="H52" s="145"/>
      <c r="I52" s="89"/>
      <c r="J52" s="86"/>
      <c r="K52" s="86"/>
      <c r="L52" s="86"/>
      <c r="M52" s="86"/>
      <c r="N52" s="86"/>
      <c r="O52" s="86"/>
      <c r="P52" s="86"/>
      <c r="Q52" s="86"/>
      <c r="R52" s="86"/>
      <c r="S52" s="86"/>
      <c r="T52" s="89"/>
      <c r="U52" s="11"/>
      <c r="V52" s="11"/>
      <c r="W52" s="11"/>
      <c r="X52" s="81"/>
      <c r="Y52" s="81"/>
      <c r="Z52" s="81"/>
      <c r="AA52" s="81"/>
      <c r="AB52" s="81"/>
      <c r="AC52" s="81"/>
    </row>
    <row r="53" spans="1:29" s="87" customFormat="1" ht="16.149999999999999" x14ac:dyDescent="0.35">
      <c r="A53" s="144"/>
      <c r="B53" s="150"/>
      <c r="C53" s="145" t="s">
        <v>125</v>
      </c>
      <c r="D53" s="145"/>
      <c r="E53" s="145"/>
      <c r="F53" s="151" t="s">
        <v>84</v>
      </c>
      <c r="G53" s="145"/>
      <c r="H53" s="145"/>
      <c r="I53" s="91"/>
      <c r="J53" s="92"/>
      <c r="K53" s="86"/>
      <c r="L53" s="86"/>
      <c r="M53" s="86"/>
      <c r="N53" s="86"/>
      <c r="O53" s="86"/>
      <c r="P53" s="86"/>
      <c r="Q53" s="86"/>
      <c r="R53" s="86"/>
      <c r="S53" s="86"/>
      <c r="T53" s="89"/>
      <c r="U53" s="11"/>
      <c r="V53" s="11"/>
      <c r="W53" s="11"/>
      <c r="X53" s="81"/>
      <c r="Y53" s="81"/>
      <c r="Z53" s="81"/>
      <c r="AA53" s="81"/>
      <c r="AB53" s="81"/>
      <c r="AC53" s="81"/>
    </row>
    <row r="54" spans="1:29" s="87" customFormat="1" ht="16.149999999999999" x14ac:dyDescent="0.35">
      <c r="A54" s="144"/>
      <c r="B54" s="150"/>
      <c r="C54" s="145" t="s">
        <v>172</v>
      </c>
      <c r="D54" s="145"/>
      <c r="E54" s="145"/>
      <c r="F54" s="93" t="s">
        <v>173</v>
      </c>
      <c r="G54" s="145"/>
      <c r="H54" s="145"/>
      <c r="I54" s="91"/>
      <c r="J54" s="92"/>
      <c r="K54" s="86"/>
      <c r="L54" s="86"/>
      <c r="M54" s="86"/>
      <c r="N54" s="86"/>
      <c r="O54" s="86"/>
      <c r="P54" s="86"/>
      <c r="Q54" s="86"/>
      <c r="R54" s="86"/>
      <c r="S54" s="86"/>
      <c r="T54" s="11"/>
      <c r="U54" s="11"/>
      <c r="V54" s="11"/>
      <c r="W54" s="11"/>
      <c r="X54" s="81"/>
      <c r="Y54" s="81"/>
      <c r="Z54" s="81"/>
      <c r="AA54" s="81"/>
      <c r="AB54" s="81"/>
      <c r="AC54" s="81"/>
    </row>
    <row r="55" spans="1:29" s="87" customFormat="1" ht="6.8" customHeight="1" x14ac:dyDescent="0.35">
      <c r="A55" s="144"/>
      <c r="B55" s="150"/>
      <c r="C55" s="145"/>
      <c r="D55" s="145"/>
      <c r="E55" s="145"/>
      <c r="F55" s="145"/>
      <c r="G55" s="145"/>
      <c r="H55" s="145"/>
      <c r="I55" s="94"/>
      <c r="J55" s="86"/>
      <c r="K55" s="86"/>
      <c r="L55" s="86"/>
      <c r="M55" s="86"/>
      <c r="N55" s="86"/>
      <c r="O55" s="86"/>
      <c r="P55" s="86"/>
      <c r="Q55" s="86"/>
      <c r="R55" s="86"/>
      <c r="S55" s="86"/>
      <c r="T55" s="86"/>
      <c r="U55" s="11"/>
      <c r="V55" s="11"/>
      <c r="W55" s="11"/>
      <c r="X55" s="81"/>
      <c r="Y55" s="81"/>
      <c r="Z55" s="81"/>
      <c r="AA55" s="81"/>
      <c r="AB55" s="81"/>
      <c r="AC55" s="81"/>
    </row>
    <row r="56" spans="1:29" s="87" customFormat="1" ht="16.7" thickBot="1" x14ac:dyDescent="0.4">
      <c r="A56" s="144"/>
      <c r="B56" s="150"/>
      <c r="C56" s="153" t="s">
        <v>112</v>
      </c>
      <c r="D56" s="153"/>
      <c r="E56" s="145"/>
      <c r="F56" s="145"/>
      <c r="G56" s="145"/>
      <c r="H56" s="145"/>
      <c r="I56" s="94"/>
      <c r="J56" s="86"/>
      <c r="K56" s="86"/>
      <c r="L56" s="86"/>
      <c r="M56" s="86"/>
      <c r="N56" s="86"/>
      <c r="O56" s="86"/>
      <c r="P56" s="86"/>
      <c r="Q56" s="86"/>
      <c r="R56" s="86"/>
      <c r="S56" s="86"/>
      <c r="T56" s="86"/>
      <c r="U56" s="11"/>
      <c r="V56" s="11"/>
      <c r="W56" s="11"/>
      <c r="X56" s="81"/>
      <c r="Y56" s="81"/>
      <c r="Z56" s="81"/>
      <c r="AA56" s="81"/>
      <c r="AB56" s="81"/>
      <c r="AC56" s="81"/>
    </row>
    <row r="57" spans="1:29" s="87" customFormat="1" ht="16.149999999999999" x14ac:dyDescent="0.35">
      <c r="A57" s="144"/>
      <c r="B57" s="150"/>
      <c r="C57" s="154"/>
      <c r="D57" s="210" t="s">
        <v>3</v>
      </c>
      <c r="E57" s="214"/>
      <c r="F57" s="210" t="s">
        <v>4</v>
      </c>
      <c r="G57" s="211"/>
      <c r="H57" s="145"/>
      <c r="I57" s="94"/>
      <c r="J57" s="86"/>
      <c r="K57" s="86"/>
      <c r="L57" s="86"/>
      <c r="M57" s="86"/>
      <c r="N57" s="86"/>
      <c r="O57" s="86"/>
      <c r="P57" s="86"/>
      <c r="Q57" s="86"/>
      <c r="R57" s="86"/>
      <c r="S57" s="86"/>
      <c r="T57" s="86"/>
      <c r="U57" s="11"/>
      <c r="V57" s="11"/>
      <c r="W57" s="11"/>
      <c r="X57" s="81"/>
      <c r="Y57" s="81"/>
      <c r="Z57" s="81"/>
      <c r="AA57" s="81"/>
      <c r="AB57" s="81"/>
      <c r="AC57" s="81"/>
    </row>
    <row r="58" spans="1:29" s="87" customFormat="1" ht="32.25" x14ac:dyDescent="0.35">
      <c r="A58" s="144"/>
      <c r="B58" s="150"/>
      <c r="C58" s="155" t="s">
        <v>5</v>
      </c>
      <c r="D58" s="156" t="s">
        <v>6</v>
      </c>
      <c r="E58" s="157" t="s">
        <v>113</v>
      </c>
      <c r="F58" s="157" t="s">
        <v>8</v>
      </c>
      <c r="G58" s="158" t="s">
        <v>174</v>
      </c>
      <c r="H58" s="145"/>
      <c r="I58" s="94"/>
      <c r="J58" s="86"/>
      <c r="K58" s="86"/>
      <c r="L58" s="86"/>
      <c r="M58" s="86"/>
      <c r="N58" s="86"/>
      <c r="O58" s="86"/>
      <c r="P58" s="86"/>
      <c r="Q58" s="86"/>
      <c r="R58" s="86"/>
      <c r="S58" s="86"/>
      <c r="T58" s="86"/>
      <c r="U58" s="11"/>
      <c r="V58" s="11"/>
      <c r="W58" s="11"/>
      <c r="X58" s="81"/>
      <c r="Y58" s="81"/>
      <c r="Z58" s="81"/>
      <c r="AA58" s="81"/>
      <c r="AB58" s="81"/>
      <c r="AC58" s="81"/>
    </row>
    <row r="59" spans="1:29" s="87" customFormat="1" ht="16.149999999999999" x14ac:dyDescent="0.35">
      <c r="A59" s="144"/>
      <c r="B59" s="150"/>
      <c r="C59" s="159"/>
      <c r="D59" s="160" t="s">
        <v>168</v>
      </c>
      <c r="E59" s="160" t="s">
        <v>175</v>
      </c>
      <c r="F59" s="160" t="s">
        <v>175</v>
      </c>
      <c r="G59" s="161" t="s">
        <v>168</v>
      </c>
      <c r="H59" s="145"/>
      <c r="I59" s="89"/>
      <c r="J59" s="86"/>
      <c r="K59" s="86"/>
      <c r="L59" s="86"/>
      <c r="M59" s="86"/>
      <c r="N59" s="86"/>
      <c r="O59" s="86"/>
      <c r="P59" s="86"/>
      <c r="Q59" s="86"/>
      <c r="R59" s="86"/>
      <c r="S59" s="86"/>
      <c r="T59" s="89"/>
      <c r="U59" s="11"/>
      <c r="V59" s="11"/>
      <c r="W59" s="11"/>
      <c r="X59" s="81"/>
      <c r="Y59" s="81"/>
      <c r="Z59" s="81"/>
      <c r="AA59" s="81"/>
      <c r="AB59" s="81"/>
      <c r="AC59" s="81"/>
    </row>
    <row r="60" spans="1:29" s="87" customFormat="1" ht="16.149999999999999" x14ac:dyDescent="0.35">
      <c r="A60" s="144"/>
      <c r="B60" s="150"/>
      <c r="C60" s="162">
        <v>50</v>
      </c>
      <c r="D60" s="100" t="s">
        <v>167</v>
      </c>
      <c r="E60" s="100" t="s">
        <v>167</v>
      </c>
      <c r="F60" s="100" t="s">
        <v>167</v>
      </c>
      <c r="G60" s="100" t="s">
        <v>167</v>
      </c>
      <c r="H60" s="145"/>
      <c r="I60" s="89"/>
      <c r="J60" s="86"/>
      <c r="K60" s="86"/>
      <c r="L60" s="86"/>
      <c r="M60" s="86"/>
      <c r="N60" s="86"/>
      <c r="O60" s="86"/>
      <c r="P60" s="86"/>
      <c r="Q60" s="86"/>
      <c r="R60" s="86"/>
      <c r="S60" s="86"/>
      <c r="T60" s="89"/>
      <c r="U60" s="11"/>
      <c r="V60" s="11"/>
      <c r="W60" s="11"/>
      <c r="X60" s="81"/>
      <c r="Y60" s="81"/>
      <c r="Z60" s="81"/>
      <c r="AA60" s="81"/>
      <c r="AB60" s="81"/>
      <c r="AC60" s="81"/>
    </row>
    <row r="61" spans="1:29" s="87" customFormat="1" ht="16.149999999999999" x14ac:dyDescent="0.35">
      <c r="A61" s="144"/>
      <c r="B61" s="150"/>
      <c r="C61" s="162">
        <v>100</v>
      </c>
      <c r="D61" s="100" t="s">
        <v>167</v>
      </c>
      <c r="E61" s="100" t="s">
        <v>167</v>
      </c>
      <c r="F61" s="100" t="s">
        <v>167</v>
      </c>
      <c r="G61" s="100" t="s">
        <v>167</v>
      </c>
      <c r="H61" s="145"/>
      <c r="I61" s="89"/>
      <c r="J61" s="86"/>
      <c r="K61" s="86"/>
      <c r="L61" s="86"/>
      <c r="M61" s="86"/>
      <c r="N61" s="86"/>
      <c r="O61" s="86"/>
      <c r="P61" s="86"/>
      <c r="Q61" s="86"/>
      <c r="R61" s="86"/>
      <c r="S61" s="86"/>
      <c r="T61" s="89"/>
      <c r="U61" s="11"/>
      <c r="V61" s="11"/>
      <c r="W61" s="11"/>
      <c r="X61" s="81"/>
      <c r="Y61" s="81"/>
      <c r="Z61" s="81"/>
      <c r="AA61" s="81"/>
      <c r="AB61" s="81"/>
      <c r="AC61" s="81"/>
    </row>
    <row r="62" spans="1:29" s="87" customFormat="1" ht="16.149999999999999" x14ac:dyDescent="0.35">
      <c r="A62" s="144"/>
      <c r="B62" s="150"/>
      <c r="C62" s="162">
        <v>250</v>
      </c>
      <c r="D62" s="100" t="s">
        <v>167</v>
      </c>
      <c r="E62" s="100" t="s">
        <v>167</v>
      </c>
      <c r="F62" s="100" t="s">
        <v>167</v>
      </c>
      <c r="G62" s="100" t="s">
        <v>167</v>
      </c>
      <c r="H62" s="145"/>
      <c r="I62" s="89"/>
      <c r="J62" s="86"/>
      <c r="K62" s="86"/>
      <c r="L62" s="86"/>
      <c r="M62" s="86"/>
      <c r="N62" s="86"/>
      <c r="O62" s="86"/>
      <c r="P62" s="86"/>
      <c r="Q62" s="86"/>
      <c r="R62" s="86"/>
      <c r="S62" s="86"/>
      <c r="T62" s="89"/>
      <c r="U62" s="11"/>
      <c r="V62" s="11"/>
      <c r="W62" s="11"/>
      <c r="X62" s="81"/>
      <c r="Y62" s="81"/>
      <c r="Z62" s="81"/>
      <c r="AA62" s="81"/>
      <c r="AB62" s="81"/>
      <c r="AC62" s="81"/>
    </row>
    <row r="63" spans="1:29" s="87" customFormat="1" ht="16.149999999999999" x14ac:dyDescent="0.35">
      <c r="A63" s="144"/>
      <c r="B63" s="150"/>
      <c r="C63" s="162">
        <v>500</v>
      </c>
      <c r="D63" s="100" t="s">
        <v>167</v>
      </c>
      <c r="E63" s="100" t="s">
        <v>167</v>
      </c>
      <c r="F63" s="100" t="s">
        <v>167</v>
      </c>
      <c r="G63" s="100" t="s">
        <v>167</v>
      </c>
      <c r="H63" s="145"/>
      <c r="I63" s="89"/>
      <c r="J63" s="86"/>
      <c r="K63" s="86"/>
      <c r="L63" s="86"/>
      <c r="M63" s="86"/>
      <c r="N63" s="86"/>
      <c r="O63" s="86"/>
      <c r="P63" s="86"/>
      <c r="Q63" s="86"/>
      <c r="R63" s="86"/>
      <c r="S63" s="86"/>
      <c r="T63" s="89"/>
      <c r="U63" s="11"/>
      <c r="V63" s="11"/>
      <c r="W63" s="11"/>
      <c r="X63" s="81"/>
      <c r="Y63" s="81"/>
      <c r="Z63" s="81"/>
      <c r="AA63" s="81"/>
      <c r="AB63" s="81"/>
      <c r="AC63" s="81"/>
    </row>
    <row r="64" spans="1:29" s="87" customFormat="1" ht="16.7" thickBot="1" x14ac:dyDescent="0.4">
      <c r="A64" s="144"/>
      <c r="B64" s="150"/>
      <c r="C64" s="163">
        <v>1000</v>
      </c>
      <c r="D64" s="100" t="s">
        <v>167</v>
      </c>
      <c r="E64" s="100" t="s">
        <v>167</v>
      </c>
      <c r="F64" s="100" t="s">
        <v>167</v>
      </c>
      <c r="G64" s="100" t="s">
        <v>167</v>
      </c>
      <c r="H64" s="145"/>
      <c r="I64" s="89"/>
      <c r="J64" s="86"/>
      <c r="K64" s="86"/>
      <c r="L64" s="86"/>
      <c r="M64" s="86"/>
      <c r="N64" s="86"/>
      <c r="O64" s="86"/>
      <c r="P64" s="86"/>
      <c r="Q64" s="86"/>
      <c r="R64" s="86"/>
      <c r="S64" s="86"/>
      <c r="T64" s="89"/>
      <c r="U64" s="11"/>
      <c r="V64" s="11"/>
      <c r="W64" s="11"/>
      <c r="X64" s="81"/>
      <c r="Y64" s="81"/>
      <c r="Z64" s="81"/>
      <c r="AA64" s="81"/>
      <c r="AB64" s="81"/>
      <c r="AC64" s="81"/>
    </row>
    <row r="65" spans="1:29" s="87" customFormat="1" ht="6.8" customHeight="1" thickBot="1" x14ac:dyDescent="0.4">
      <c r="A65" s="144"/>
      <c r="B65" s="150"/>
      <c r="C65" s="145"/>
      <c r="D65" s="98"/>
      <c r="E65" s="98"/>
      <c r="F65" s="98"/>
      <c r="G65" s="98"/>
      <c r="H65" s="145"/>
      <c r="I65" s="94"/>
      <c r="J65" s="86"/>
      <c r="K65" s="86"/>
      <c r="L65" s="86"/>
      <c r="M65" s="86"/>
      <c r="N65" s="86"/>
      <c r="O65" s="86"/>
      <c r="P65" s="86"/>
      <c r="Q65" s="86"/>
      <c r="R65" s="86"/>
      <c r="S65" s="86"/>
      <c r="T65" s="86"/>
      <c r="U65" s="11"/>
      <c r="V65" s="11"/>
      <c r="W65" s="11"/>
      <c r="X65" s="81"/>
      <c r="Y65" s="81"/>
      <c r="Z65" s="81"/>
      <c r="AA65" s="81"/>
      <c r="AB65" s="81"/>
      <c r="AC65" s="81"/>
    </row>
    <row r="66" spans="1:29" s="87" customFormat="1" ht="27.1" customHeight="1" x14ac:dyDescent="0.35">
      <c r="A66" s="176"/>
      <c r="B66" s="177"/>
      <c r="C66" s="215" t="s">
        <v>126</v>
      </c>
      <c r="D66" s="216"/>
      <c r="E66" s="96" t="s">
        <v>115</v>
      </c>
      <c r="F66" s="97" t="s">
        <v>116</v>
      </c>
      <c r="G66" s="164"/>
      <c r="H66" s="84"/>
      <c r="I66" s="91"/>
      <c r="J66" s="86"/>
      <c r="K66" s="86"/>
      <c r="L66" s="86"/>
      <c r="M66" s="86"/>
      <c r="N66" s="86"/>
      <c r="O66" s="86"/>
      <c r="P66" s="86"/>
      <c r="Q66" s="86"/>
      <c r="R66" s="86"/>
      <c r="S66" s="86"/>
      <c r="T66" s="86"/>
      <c r="U66" s="11"/>
      <c r="V66" s="91"/>
      <c r="W66" s="91"/>
      <c r="X66" s="99"/>
      <c r="Y66" s="99"/>
      <c r="Z66" s="99"/>
      <c r="AA66" s="99"/>
      <c r="AB66" s="99"/>
      <c r="AC66" s="99"/>
    </row>
    <row r="67" spans="1:29" s="87" customFormat="1" ht="16.149999999999999" x14ac:dyDescent="0.35">
      <c r="A67" s="176"/>
      <c r="B67" s="177"/>
      <c r="C67" s="222"/>
      <c r="D67" s="223"/>
      <c r="E67" s="178" t="s">
        <v>168</v>
      </c>
      <c r="F67" s="179" t="s">
        <v>168</v>
      </c>
      <c r="G67" s="164"/>
      <c r="H67" s="84"/>
      <c r="I67" s="91"/>
      <c r="J67" s="86"/>
      <c r="K67" s="86"/>
      <c r="L67" s="86"/>
      <c r="M67" s="86"/>
      <c r="N67" s="86"/>
      <c r="O67" s="86"/>
      <c r="P67" s="86"/>
      <c r="Q67" s="86"/>
      <c r="R67" s="86"/>
      <c r="S67" s="86"/>
      <c r="T67" s="86"/>
      <c r="U67" s="11"/>
      <c r="V67" s="91"/>
      <c r="W67" s="91"/>
      <c r="X67" s="99"/>
      <c r="Y67" s="99"/>
      <c r="Z67" s="99"/>
      <c r="AA67" s="99"/>
      <c r="AB67" s="99"/>
      <c r="AC67" s="99"/>
    </row>
    <row r="68" spans="1:29" s="87" customFormat="1" ht="16.149999999999999" x14ac:dyDescent="0.35">
      <c r="A68" s="176"/>
      <c r="B68" s="177"/>
      <c r="C68" s="217" t="s">
        <v>117</v>
      </c>
      <c r="D68" s="218"/>
      <c r="E68" s="165"/>
      <c r="F68" s="166"/>
      <c r="G68" s="164"/>
      <c r="H68" s="84"/>
      <c r="I68" s="86"/>
      <c r="J68" s="86"/>
      <c r="K68" s="86"/>
      <c r="L68" s="86"/>
      <c r="M68" s="86"/>
      <c r="N68" s="86"/>
      <c r="O68" s="86"/>
      <c r="P68" s="86"/>
      <c r="Q68" s="86"/>
      <c r="R68" s="86"/>
      <c r="S68" s="86"/>
      <c r="T68" s="86"/>
      <c r="U68" s="11"/>
      <c r="V68" s="91"/>
      <c r="W68" s="91"/>
      <c r="X68" s="99"/>
      <c r="Y68" s="99"/>
      <c r="Z68" s="99"/>
      <c r="AA68" s="99"/>
      <c r="AB68" s="99"/>
      <c r="AC68" s="99"/>
    </row>
    <row r="69" spans="1:29" s="87" customFormat="1" ht="16.149999999999999" x14ac:dyDescent="0.35">
      <c r="A69" s="176"/>
      <c r="B69" s="177"/>
      <c r="C69" s="217" t="s">
        <v>118</v>
      </c>
      <c r="D69" s="218"/>
      <c r="E69" s="167"/>
      <c r="F69" s="168"/>
      <c r="G69" s="164"/>
      <c r="H69" s="84"/>
      <c r="I69" s="86"/>
      <c r="J69" s="86"/>
      <c r="K69" s="86"/>
      <c r="L69" s="86"/>
      <c r="M69" s="86"/>
      <c r="N69" s="86"/>
      <c r="O69" s="86"/>
      <c r="P69" s="86"/>
      <c r="Q69" s="86"/>
      <c r="R69" s="86"/>
      <c r="S69" s="86"/>
      <c r="T69" s="86"/>
      <c r="U69" s="11"/>
      <c r="V69" s="91"/>
      <c r="W69" s="91"/>
      <c r="X69" s="99"/>
      <c r="Y69" s="99"/>
      <c r="Z69" s="99"/>
      <c r="AA69" s="99"/>
      <c r="AB69" s="99"/>
      <c r="AC69" s="99"/>
    </row>
    <row r="70" spans="1:29" s="87" customFormat="1" ht="16.149999999999999" x14ac:dyDescent="0.35">
      <c r="A70" s="176"/>
      <c r="B70" s="177"/>
      <c r="C70" s="217" t="s">
        <v>119</v>
      </c>
      <c r="D70" s="218"/>
      <c r="E70" s="167"/>
      <c r="F70" s="168"/>
      <c r="G70" s="164"/>
      <c r="H70" s="84"/>
      <c r="I70" s="86"/>
      <c r="J70" s="86"/>
      <c r="K70" s="86"/>
      <c r="L70" s="86"/>
      <c r="M70" s="86"/>
      <c r="N70" s="86"/>
      <c r="O70" s="86"/>
      <c r="P70" s="86"/>
      <c r="Q70" s="86"/>
      <c r="R70" s="86"/>
      <c r="S70" s="86"/>
      <c r="T70" s="86"/>
      <c r="U70" s="11"/>
      <c r="V70" s="91"/>
      <c r="W70" s="91"/>
      <c r="X70" s="99"/>
      <c r="Y70" s="99"/>
      <c r="Z70" s="99"/>
      <c r="AA70" s="99"/>
      <c r="AB70" s="99"/>
      <c r="AC70" s="99"/>
    </row>
    <row r="71" spans="1:29" s="87" customFormat="1" ht="16.7" thickBot="1" x14ac:dyDescent="0.4">
      <c r="A71" s="176"/>
      <c r="B71" s="177"/>
      <c r="C71" s="219" t="s">
        <v>120</v>
      </c>
      <c r="D71" s="220"/>
      <c r="E71" s="246">
        <v>2860714.84360022</v>
      </c>
      <c r="F71" s="246">
        <v>2194179.4101039399</v>
      </c>
      <c r="G71" s="164"/>
      <c r="H71" s="84"/>
      <c r="I71" s="86"/>
      <c r="J71" s="86"/>
      <c r="K71" s="86"/>
      <c r="L71" s="86"/>
      <c r="M71" s="86"/>
      <c r="N71" s="86"/>
      <c r="O71" s="86"/>
      <c r="P71" s="86"/>
      <c r="Q71" s="86"/>
      <c r="R71" s="86"/>
      <c r="S71" s="86"/>
      <c r="T71" s="86"/>
      <c r="U71" s="11"/>
      <c r="V71" s="91"/>
      <c r="W71" s="91"/>
      <c r="X71" s="99"/>
      <c r="Y71" s="99"/>
      <c r="Z71" s="99"/>
      <c r="AA71" s="99"/>
      <c r="AB71" s="99"/>
      <c r="AC71" s="99"/>
    </row>
    <row r="72" spans="1:29" s="87" customFormat="1" ht="6.8" customHeight="1" x14ac:dyDescent="0.35">
      <c r="A72" s="144"/>
      <c r="B72" s="150"/>
      <c r="C72" s="145"/>
      <c r="D72" s="145"/>
      <c r="E72" s="145"/>
      <c r="F72" s="145"/>
      <c r="G72" s="145"/>
      <c r="H72" s="145"/>
      <c r="I72" s="94"/>
      <c r="J72" s="86"/>
      <c r="K72" s="86"/>
      <c r="L72" s="86"/>
      <c r="M72" s="86"/>
      <c r="N72" s="86"/>
      <c r="O72" s="86"/>
      <c r="P72" s="86"/>
      <c r="Q72" s="86"/>
      <c r="R72" s="86"/>
      <c r="S72" s="86"/>
      <c r="T72" s="86"/>
      <c r="U72" s="11"/>
      <c r="V72" s="91"/>
      <c r="W72" s="91"/>
      <c r="X72" s="99"/>
      <c r="Y72" s="99"/>
      <c r="Z72" s="99"/>
      <c r="AA72" s="99"/>
      <c r="AB72" s="99"/>
      <c r="AC72" s="99"/>
    </row>
    <row r="73" spans="1:29" s="87" customFormat="1" ht="16.149999999999999" x14ac:dyDescent="0.35">
      <c r="A73" s="144"/>
      <c r="B73" s="146" t="s">
        <v>127</v>
      </c>
      <c r="C73" s="149" t="s">
        <v>128</v>
      </c>
      <c r="D73" s="145"/>
      <c r="E73" s="145"/>
      <c r="F73" s="169"/>
      <c r="G73" s="145"/>
      <c r="H73" s="145"/>
      <c r="I73" s="90"/>
      <c r="J73" s="86"/>
      <c r="K73" s="86"/>
      <c r="L73" s="86"/>
      <c r="M73" s="86"/>
      <c r="N73" s="86"/>
      <c r="O73" s="86"/>
      <c r="P73" s="86"/>
      <c r="Q73" s="86"/>
      <c r="R73" s="86"/>
      <c r="S73" s="86"/>
      <c r="T73" s="89"/>
      <c r="U73" s="11"/>
      <c r="V73" s="11"/>
      <c r="W73" s="11"/>
      <c r="X73" s="81"/>
      <c r="Y73" s="81"/>
      <c r="Z73" s="81"/>
      <c r="AA73" s="81"/>
      <c r="AB73" s="81"/>
      <c r="AC73" s="81"/>
    </row>
    <row r="74" spans="1:29" s="87" customFormat="1" ht="6.8" customHeight="1" x14ac:dyDescent="0.35">
      <c r="A74" s="144"/>
      <c r="B74" s="150"/>
      <c r="C74" s="145"/>
      <c r="D74" s="145"/>
      <c r="E74" s="145"/>
      <c r="F74" s="145"/>
      <c r="G74" s="145"/>
      <c r="H74" s="145"/>
      <c r="I74" s="89"/>
      <c r="J74" s="86"/>
      <c r="K74" s="86"/>
      <c r="L74" s="86"/>
      <c r="M74" s="86"/>
      <c r="N74" s="86"/>
      <c r="O74" s="86"/>
      <c r="P74" s="86"/>
      <c r="Q74" s="86"/>
      <c r="R74" s="86"/>
      <c r="S74" s="86"/>
      <c r="T74" s="89"/>
      <c r="U74" s="11"/>
      <c r="V74" s="11"/>
      <c r="W74" s="11"/>
      <c r="X74" s="81"/>
      <c r="Y74" s="81"/>
      <c r="Z74" s="81"/>
      <c r="AA74" s="81"/>
      <c r="AB74" s="81"/>
      <c r="AC74" s="81"/>
    </row>
    <row r="75" spans="1:29" s="87" customFormat="1" ht="16.149999999999999" x14ac:dyDescent="0.35">
      <c r="A75" s="144"/>
      <c r="B75" s="150"/>
      <c r="C75" s="145" t="s">
        <v>129</v>
      </c>
      <c r="D75" s="145"/>
      <c r="E75" s="145"/>
      <c r="F75" s="151" t="s">
        <v>84</v>
      </c>
      <c r="G75" s="145"/>
      <c r="H75" s="145"/>
      <c r="I75" s="91"/>
      <c r="J75" s="92"/>
      <c r="K75" s="86"/>
      <c r="L75" s="86"/>
      <c r="M75" s="86"/>
      <c r="N75" s="86"/>
      <c r="O75" s="86"/>
      <c r="P75" s="86"/>
      <c r="Q75" s="86"/>
      <c r="R75" s="86"/>
      <c r="S75" s="86"/>
      <c r="T75" s="89"/>
      <c r="U75" s="11"/>
      <c r="V75" s="11"/>
      <c r="W75" s="11"/>
      <c r="X75" s="81"/>
      <c r="Y75" s="81"/>
      <c r="Z75" s="81"/>
      <c r="AA75" s="81"/>
      <c r="AB75" s="81"/>
      <c r="AC75" s="81"/>
    </row>
    <row r="76" spans="1:29" s="87" customFormat="1" ht="16.149999999999999" x14ac:dyDescent="0.35">
      <c r="A76" s="144"/>
      <c r="B76" s="150"/>
      <c r="C76" s="144" t="s">
        <v>172</v>
      </c>
      <c r="D76" s="145"/>
      <c r="E76" s="145"/>
      <c r="F76" s="93" t="s">
        <v>173</v>
      </c>
      <c r="G76" s="145"/>
      <c r="H76" s="145"/>
      <c r="I76" s="91"/>
      <c r="J76" s="92"/>
      <c r="K76" s="86"/>
      <c r="L76" s="86"/>
      <c r="M76" s="86"/>
      <c r="N76" s="86"/>
      <c r="O76" s="86"/>
      <c r="P76" s="86"/>
      <c r="Q76" s="86"/>
      <c r="R76" s="86"/>
      <c r="S76" s="86"/>
      <c r="T76" s="11"/>
      <c r="U76" s="11"/>
      <c r="V76" s="11"/>
      <c r="W76" s="11"/>
      <c r="X76" s="81"/>
      <c r="Y76" s="81"/>
      <c r="Z76" s="81"/>
      <c r="AA76" s="81"/>
      <c r="AB76" s="81"/>
      <c r="AC76" s="81"/>
    </row>
    <row r="77" spans="1:29" s="87" customFormat="1" ht="6.8" customHeight="1" x14ac:dyDescent="0.35">
      <c r="A77" s="144"/>
      <c r="B77" s="150"/>
      <c r="C77" s="145"/>
      <c r="D77" s="145"/>
      <c r="E77" s="145"/>
      <c r="F77" s="145"/>
      <c r="G77" s="145"/>
      <c r="H77" s="145"/>
      <c r="I77" s="94"/>
      <c r="J77" s="86"/>
      <c r="K77" s="86"/>
      <c r="L77" s="86"/>
      <c r="M77" s="86"/>
      <c r="N77" s="86"/>
      <c r="O77" s="86"/>
      <c r="P77" s="86"/>
      <c r="Q77" s="86"/>
      <c r="R77" s="86"/>
      <c r="S77" s="86"/>
      <c r="T77" s="86"/>
      <c r="U77" s="11"/>
      <c r="V77" s="11"/>
      <c r="W77" s="11"/>
      <c r="X77" s="81"/>
      <c r="Y77" s="81"/>
      <c r="Z77" s="81"/>
      <c r="AA77" s="81"/>
      <c r="AB77" s="81"/>
      <c r="AC77" s="81"/>
    </row>
    <row r="78" spans="1:29" s="87" customFormat="1" ht="16.7" thickBot="1" x14ac:dyDescent="0.4">
      <c r="A78" s="144"/>
      <c r="B78" s="150"/>
      <c r="C78" s="153" t="s">
        <v>112</v>
      </c>
      <c r="D78" s="153"/>
      <c r="E78" s="145"/>
      <c r="F78" s="145"/>
      <c r="G78" s="145"/>
      <c r="H78" s="145"/>
      <c r="I78" s="94"/>
      <c r="J78" s="86"/>
      <c r="K78" s="86"/>
      <c r="L78" s="86"/>
      <c r="M78" s="86"/>
      <c r="N78" s="86"/>
      <c r="O78" s="86"/>
      <c r="P78" s="86"/>
      <c r="Q78" s="86"/>
      <c r="R78" s="86"/>
      <c r="S78" s="86"/>
      <c r="T78" s="86"/>
      <c r="U78" s="11"/>
      <c r="V78" s="11"/>
      <c r="W78" s="11"/>
      <c r="X78" s="81"/>
      <c r="Y78" s="81"/>
      <c r="Z78" s="81"/>
      <c r="AA78" s="81"/>
      <c r="AB78" s="81"/>
      <c r="AC78" s="81"/>
    </row>
    <row r="79" spans="1:29" s="87" customFormat="1" ht="16.149999999999999" x14ac:dyDescent="0.35">
      <c r="A79" s="144"/>
      <c r="B79" s="150"/>
      <c r="C79" s="154"/>
      <c r="D79" s="210" t="s">
        <v>3</v>
      </c>
      <c r="E79" s="214"/>
      <c r="F79" s="210" t="s">
        <v>4</v>
      </c>
      <c r="G79" s="211"/>
      <c r="H79" s="145"/>
      <c r="I79" s="94"/>
      <c r="J79" s="86"/>
      <c r="K79" s="86"/>
      <c r="L79" s="86"/>
      <c r="M79" s="86"/>
      <c r="N79" s="86"/>
      <c r="O79" s="86"/>
      <c r="P79" s="86"/>
      <c r="Q79" s="86"/>
      <c r="R79" s="86"/>
      <c r="S79" s="86"/>
      <c r="T79" s="86"/>
      <c r="U79" s="11"/>
      <c r="V79" s="11"/>
      <c r="W79" s="11"/>
      <c r="X79" s="81"/>
      <c r="Y79" s="81"/>
      <c r="Z79" s="81"/>
      <c r="AA79" s="81"/>
      <c r="AB79" s="81"/>
      <c r="AC79" s="81"/>
    </row>
    <row r="80" spans="1:29" s="87" customFormat="1" ht="32.25" x14ac:dyDescent="0.35">
      <c r="A80" s="144"/>
      <c r="B80" s="150"/>
      <c r="C80" s="155" t="s">
        <v>5</v>
      </c>
      <c r="D80" s="156" t="s">
        <v>6</v>
      </c>
      <c r="E80" s="157" t="s">
        <v>113</v>
      </c>
      <c r="F80" s="157" t="s">
        <v>8</v>
      </c>
      <c r="G80" s="158" t="s">
        <v>174</v>
      </c>
      <c r="H80" s="145"/>
      <c r="I80" s="94"/>
      <c r="J80" s="86"/>
      <c r="K80" s="86"/>
      <c r="L80" s="86"/>
      <c r="M80" s="86"/>
      <c r="N80" s="86"/>
      <c r="O80" s="86"/>
      <c r="P80" s="86"/>
      <c r="Q80" s="86"/>
      <c r="R80" s="86"/>
      <c r="S80" s="86"/>
      <c r="T80" s="86"/>
      <c r="U80" s="11"/>
      <c r="V80" s="11"/>
      <c r="W80" s="11"/>
      <c r="X80" s="81"/>
      <c r="Y80" s="81"/>
      <c r="Z80" s="81"/>
      <c r="AA80" s="81"/>
      <c r="AB80" s="81"/>
      <c r="AC80" s="81"/>
    </row>
    <row r="81" spans="1:29" s="87" customFormat="1" ht="16.149999999999999" x14ac:dyDescent="0.35">
      <c r="A81" s="144"/>
      <c r="B81" s="150"/>
      <c r="C81" s="159"/>
      <c r="D81" s="160" t="s">
        <v>168</v>
      </c>
      <c r="E81" s="160" t="s">
        <v>175</v>
      </c>
      <c r="F81" s="160" t="s">
        <v>175</v>
      </c>
      <c r="G81" s="161" t="s">
        <v>168</v>
      </c>
      <c r="H81" s="145"/>
      <c r="I81" s="89"/>
      <c r="J81" s="86"/>
      <c r="K81" s="86"/>
      <c r="L81" s="86"/>
      <c r="M81" s="86"/>
      <c r="N81" s="86"/>
      <c r="O81" s="86"/>
      <c r="P81" s="86"/>
      <c r="Q81" s="86"/>
      <c r="R81" s="86"/>
      <c r="S81" s="86"/>
      <c r="T81" s="89"/>
      <c r="U81" s="11"/>
      <c r="V81" s="11"/>
      <c r="W81" s="11"/>
      <c r="X81" s="81"/>
      <c r="Y81" s="81"/>
      <c r="Z81" s="81"/>
      <c r="AA81" s="81"/>
      <c r="AB81" s="81"/>
      <c r="AC81" s="81"/>
    </row>
    <row r="82" spans="1:29" s="87" customFormat="1" ht="16.149999999999999" x14ac:dyDescent="0.35">
      <c r="A82" s="144"/>
      <c r="B82" s="150"/>
      <c r="C82" s="162">
        <v>50</v>
      </c>
      <c r="D82" s="100" t="s">
        <v>167</v>
      </c>
      <c r="E82" s="100" t="s">
        <v>167</v>
      </c>
      <c r="F82" s="100" t="s">
        <v>167</v>
      </c>
      <c r="G82" s="100" t="s">
        <v>167</v>
      </c>
      <c r="H82" s="145"/>
      <c r="I82" s="89"/>
      <c r="J82" s="86"/>
      <c r="K82" s="86"/>
      <c r="L82" s="86"/>
      <c r="M82" s="86"/>
      <c r="N82" s="86"/>
      <c r="O82" s="86"/>
      <c r="P82" s="86"/>
      <c r="Q82" s="86"/>
      <c r="R82" s="86"/>
      <c r="S82" s="86"/>
      <c r="T82" s="89"/>
      <c r="U82" s="11"/>
      <c r="V82" s="11"/>
      <c r="W82" s="11"/>
      <c r="X82" s="81"/>
      <c r="Y82" s="81"/>
      <c r="Z82" s="81"/>
      <c r="AA82" s="81"/>
      <c r="AB82" s="81"/>
      <c r="AC82" s="81"/>
    </row>
    <row r="83" spans="1:29" s="87" customFormat="1" ht="16.149999999999999" x14ac:dyDescent="0.35">
      <c r="A83" s="144"/>
      <c r="B83" s="150"/>
      <c r="C83" s="162">
        <v>100</v>
      </c>
      <c r="D83" s="100" t="s">
        <v>167</v>
      </c>
      <c r="E83" s="100" t="s">
        <v>167</v>
      </c>
      <c r="F83" s="100" t="s">
        <v>167</v>
      </c>
      <c r="G83" s="100" t="s">
        <v>167</v>
      </c>
      <c r="H83" s="145"/>
      <c r="I83" s="89"/>
      <c r="J83" s="86"/>
      <c r="K83" s="86"/>
      <c r="L83" s="86"/>
      <c r="M83" s="86"/>
      <c r="N83" s="86"/>
      <c r="O83" s="86"/>
      <c r="P83" s="86"/>
      <c r="Q83" s="86"/>
      <c r="R83" s="86"/>
      <c r="S83" s="86"/>
      <c r="T83" s="89"/>
      <c r="U83" s="11"/>
      <c r="V83" s="11"/>
      <c r="W83" s="11"/>
      <c r="X83" s="81"/>
      <c r="Y83" s="81"/>
      <c r="Z83" s="81"/>
      <c r="AA83" s="81"/>
      <c r="AB83" s="81"/>
      <c r="AC83" s="81"/>
    </row>
    <row r="84" spans="1:29" s="87" customFormat="1" ht="16.149999999999999" x14ac:dyDescent="0.35">
      <c r="A84" s="144"/>
      <c r="B84" s="150"/>
      <c r="C84" s="162">
        <v>250</v>
      </c>
      <c r="D84" s="100" t="s">
        <v>167</v>
      </c>
      <c r="E84" s="100" t="s">
        <v>167</v>
      </c>
      <c r="F84" s="100" t="s">
        <v>167</v>
      </c>
      <c r="G84" s="100" t="s">
        <v>167</v>
      </c>
      <c r="H84" s="145"/>
      <c r="I84" s="89"/>
      <c r="J84" s="86"/>
      <c r="K84" s="86"/>
      <c r="L84" s="86"/>
      <c r="M84" s="86"/>
      <c r="N84" s="86"/>
      <c r="O84" s="86"/>
      <c r="P84" s="86"/>
      <c r="Q84" s="86"/>
      <c r="R84" s="86"/>
      <c r="S84" s="86"/>
      <c r="T84" s="89"/>
      <c r="U84" s="11"/>
      <c r="V84" s="11"/>
      <c r="W84" s="11"/>
      <c r="X84" s="81"/>
      <c r="Y84" s="81"/>
      <c r="Z84" s="81"/>
      <c r="AA84" s="81"/>
      <c r="AB84" s="81"/>
      <c r="AC84" s="81"/>
    </row>
    <row r="85" spans="1:29" s="87" customFormat="1" ht="16.149999999999999" x14ac:dyDescent="0.35">
      <c r="A85" s="144"/>
      <c r="B85" s="150"/>
      <c r="C85" s="162">
        <v>500</v>
      </c>
      <c r="D85" s="100" t="s">
        <v>167</v>
      </c>
      <c r="E85" s="100" t="s">
        <v>167</v>
      </c>
      <c r="F85" s="100" t="s">
        <v>167</v>
      </c>
      <c r="G85" s="100" t="s">
        <v>167</v>
      </c>
      <c r="H85" s="145"/>
      <c r="I85" s="89"/>
      <c r="J85" s="86"/>
      <c r="K85" s="86"/>
      <c r="L85" s="86"/>
      <c r="M85" s="86"/>
      <c r="N85" s="86"/>
      <c r="O85" s="86"/>
      <c r="P85" s="86"/>
      <c r="Q85" s="86"/>
      <c r="R85" s="86"/>
      <c r="S85" s="86"/>
      <c r="T85" s="89"/>
      <c r="U85" s="11"/>
      <c r="V85" s="11"/>
      <c r="W85" s="11"/>
      <c r="X85" s="81"/>
      <c r="Y85" s="81"/>
      <c r="Z85" s="81"/>
      <c r="AA85" s="81"/>
      <c r="AB85" s="81"/>
      <c r="AC85" s="81"/>
    </row>
    <row r="86" spans="1:29" s="87" customFormat="1" ht="16.7" thickBot="1" x14ac:dyDescent="0.4">
      <c r="A86" s="144"/>
      <c r="B86" s="150"/>
      <c r="C86" s="163">
        <v>1000</v>
      </c>
      <c r="D86" s="100" t="s">
        <v>167</v>
      </c>
      <c r="E86" s="100" t="s">
        <v>167</v>
      </c>
      <c r="F86" s="100" t="s">
        <v>167</v>
      </c>
      <c r="G86" s="100" t="s">
        <v>167</v>
      </c>
      <c r="H86" s="145"/>
      <c r="I86" s="89"/>
      <c r="J86" s="86"/>
      <c r="K86" s="86"/>
      <c r="L86" s="86"/>
      <c r="M86" s="86"/>
      <c r="N86" s="86"/>
      <c r="O86" s="86"/>
      <c r="P86" s="86"/>
      <c r="Q86" s="86"/>
      <c r="R86" s="86"/>
      <c r="S86" s="86"/>
      <c r="T86" s="89"/>
      <c r="U86" s="11"/>
      <c r="V86" s="11"/>
      <c r="W86" s="11"/>
      <c r="X86" s="81"/>
      <c r="Y86" s="81"/>
      <c r="Z86" s="81"/>
      <c r="AA86" s="81"/>
      <c r="AB86" s="81"/>
      <c r="AC86" s="81"/>
    </row>
    <row r="87" spans="1:29" s="87" customFormat="1" ht="6.8" customHeight="1" thickBot="1" x14ac:dyDescent="0.4">
      <c r="A87" s="144"/>
      <c r="B87" s="150"/>
      <c r="C87" s="145"/>
      <c r="D87" s="98"/>
      <c r="E87" s="98"/>
      <c r="F87" s="98"/>
      <c r="G87" s="98"/>
      <c r="H87" s="145"/>
      <c r="I87" s="94"/>
      <c r="J87" s="86"/>
      <c r="K87" s="86"/>
      <c r="L87" s="86"/>
      <c r="M87" s="86"/>
      <c r="N87" s="86"/>
      <c r="O87" s="86"/>
      <c r="P87" s="86"/>
      <c r="Q87" s="86"/>
      <c r="R87" s="86"/>
      <c r="S87" s="86"/>
      <c r="T87" s="86"/>
      <c r="U87" s="11"/>
      <c r="V87" s="11"/>
      <c r="W87" s="11"/>
      <c r="X87" s="81"/>
      <c r="Y87" s="81"/>
      <c r="Z87" s="81"/>
      <c r="AA87" s="81"/>
      <c r="AB87" s="81"/>
      <c r="AC87" s="81"/>
    </row>
    <row r="88" spans="1:29" s="87" customFormat="1" ht="27.1" customHeight="1" x14ac:dyDescent="0.35">
      <c r="A88" s="176"/>
      <c r="B88" s="177"/>
      <c r="C88" s="215" t="s">
        <v>130</v>
      </c>
      <c r="D88" s="216"/>
      <c r="E88" s="96" t="s">
        <v>115</v>
      </c>
      <c r="F88" s="97" t="s">
        <v>116</v>
      </c>
      <c r="G88" s="164"/>
      <c r="H88" s="84"/>
      <c r="I88" s="91"/>
      <c r="J88" s="86"/>
      <c r="K88" s="86"/>
      <c r="L88" s="86"/>
      <c r="M88" s="86"/>
      <c r="N88" s="86"/>
      <c r="O88" s="86"/>
      <c r="P88" s="86"/>
      <c r="Q88" s="86"/>
      <c r="R88" s="86"/>
      <c r="S88" s="86"/>
      <c r="T88" s="86"/>
      <c r="U88" s="11"/>
      <c r="V88" s="91"/>
      <c r="W88" s="91"/>
      <c r="X88" s="99"/>
      <c r="Y88" s="99"/>
      <c r="Z88" s="99"/>
      <c r="AA88" s="99"/>
      <c r="AB88" s="99"/>
      <c r="AC88" s="99"/>
    </row>
    <row r="89" spans="1:29" s="87" customFormat="1" ht="16.149999999999999" x14ac:dyDescent="0.35">
      <c r="A89" s="176"/>
      <c r="B89" s="177"/>
      <c r="C89" s="222"/>
      <c r="D89" s="223"/>
      <c r="E89" s="178" t="s">
        <v>168</v>
      </c>
      <c r="F89" s="179" t="s">
        <v>168</v>
      </c>
      <c r="G89" s="164"/>
      <c r="H89" s="84"/>
      <c r="I89" s="91"/>
      <c r="J89" s="86"/>
      <c r="K89" s="86"/>
      <c r="L89" s="86"/>
      <c r="M89" s="86"/>
      <c r="N89" s="86"/>
      <c r="O89" s="86"/>
      <c r="P89" s="86"/>
      <c r="Q89" s="86"/>
      <c r="R89" s="86"/>
      <c r="S89" s="86"/>
      <c r="T89" s="86"/>
      <c r="U89" s="11"/>
      <c r="V89" s="91"/>
      <c r="W89" s="91"/>
      <c r="X89" s="99"/>
      <c r="Y89" s="99"/>
      <c r="Z89" s="99"/>
      <c r="AA89" s="99"/>
      <c r="AB89" s="99"/>
      <c r="AC89" s="99"/>
    </row>
    <row r="90" spans="1:29" s="87" customFormat="1" ht="16.149999999999999" x14ac:dyDescent="0.35">
      <c r="A90" s="176"/>
      <c r="B90" s="177"/>
      <c r="C90" s="217" t="s">
        <v>117</v>
      </c>
      <c r="D90" s="218"/>
      <c r="E90" s="165"/>
      <c r="F90" s="166"/>
      <c r="G90" s="164"/>
      <c r="H90" s="84"/>
      <c r="I90" s="86"/>
      <c r="J90" s="86"/>
      <c r="K90" s="86"/>
      <c r="L90" s="86"/>
      <c r="M90" s="86"/>
      <c r="N90" s="86"/>
      <c r="O90" s="86"/>
      <c r="P90" s="86"/>
      <c r="Q90" s="86"/>
      <c r="R90" s="86"/>
      <c r="S90" s="86"/>
      <c r="T90" s="86"/>
      <c r="U90" s="11"/>
      <c r="V90" s="91"/>
      <c r="W90" s="91"/>
      <c r="X90" s="99"/>
      <c r="Y90" s="99"/>
      <c r="Z90" s="99"/>
      <c r="AA90" s="99"/>
      <c r="AB90" s="99"/>
      <c r="AC90" s="99"/>
    </row>
    <row r="91" spans="1:29" s="87" customFormat="1" ht="16.149999999999999" x14ac:dyDescent="0.35">
      <c r="A91" s="176"/>
      <c r="B91" s="177"/>
      <c r="C91" s="217" t="s">
        <v>118</v>
      </c>
      <c r="D91" s="218"/>
      <c r="E91" s="167"/>
      <c r="F91" s="168"/>
      <c r="G91" s="164"/>
      <c r="H91" s="84"/>
      <c r="I91" s="86"/>
      <c r="J91" s="86"/>
      <c r="K91" s="86"/>
      <c r="L91" s="86"/>
      <c r="M91" s="86"/>
      <c r="N91" s="86"/>
      <c r="O91" s="86"/>
      <c r="P91" s="86"/>
      <c r="Q91" s="86"/>
      <c r="R91" s="86"/>
      <c r="S91" s="86"/>
      <c r="T91" s="86"/>
      <c r="U91" s="11"/>
      <c r="V91" s="91"/>
      <c r="W91" s="91"/>
      <c r="X91" s="99"/>
      <c r="Y91" s="99"/>
      <c r="Z91" s="99"/>
      <c r="AA91" s="99"/>
      <c r="AB91" s="99"/>
      <c r="AC91" s="99"/>
    </row>
    <row r="92" spans="1:29" s="87" customFormat="1" ht="16.149999999999999" x14ac:dyDescent="0.35">
      <c r="A92" s="176"/>
      <c r="B92" s="177"/>
      <c r="C92" s="217" t="s">
        <v>119</v>
      </c>
      <c r="D92" s="218"/>
      <c r="E92" s="167"/>
      <c r="F92" s="168"/>
      <c r="G92" s="164"/>
      <c r="H92" s="84"/>
      <c r="I92" s="86"/>
      <c r="J92" s="86"/>
      <c r="K92" s="86"/>
      <c r="L92" s="86"/>
      <c r="M92" s="86"/>
      <c r="N92" s="86"/>
      <c r="O92" s="86"/>
      <c r="P92" s="86"/>
      <c r="Q92" s="86"/>
      <c r="R92" s="86"/>
      <c r="S92" s="86"/>
      <c r="T92" s="86"/>
      <c r="U92" s="11"/>
      <c r="V92" s="91"/>
      <c r="W92" s="91"/>
      <c r="X92" s="99"/>
      <c r="Y92" s="99"/>
      <c r="Z92" s="99"/>
      <c r="AA92" s="99"/>
      <c r="AB92" s="99"/>
      <c r="AC92" s="99"/>
    </row>
    <row r="93" spans="1:29" s="87" customFormat="1" ht="16.7" thickBot="1" x14ac:dyDescent="0.4">
      <c r="A93" s="176"/>
      <c r="B93" s="177"/>
      <c r="C93" s="219" t="s">
        <v>120</v>
      </c>
      <c r="D93" s="220"/>
      <c r="E93" s="245">
        <v>183525.417048993</v>
      </c>
      <c r="F93" s="245">
        <v>107035.05091833501</v>
      </c>
      <c r="G93" s="164"/>
      <c r="H93" s="84"/>
      <c r="I93" s="86"/>
      <c r="J93" s="86"/>
      <c r="K93" s="86"/>
      <c r="L93" s="86"/>
      <c r="M93" s="86"/>
      <c r="N93" s="86"/>
      <c r="O93" s="86"/>
      <c r="P93" s="86"/>
      <c r="Q93" s="86"/>
      <c r="R93" s="86"/>
      <c r="S93" s="86"/>
      <c r="T93" s="86"/>
      <c r="U93" s="11"/>
      <c r="V93" s="91"/>
      <c r="W93" s="91"/>
      <c r="X93" s="99"/>
      <c r="Y93" s="99"/>
      <c r="Z93" s="99"/>
      <c r="AA93" s="99"/>
      <c r="AB93" s="99"/>
      <c r="AC93" s="99"/>
    </row>
    <row r="94" spans="1:29" s="87" customFormat="1" ht="6.8" customHeight="1" x14ac:dyDescent="0.35">
      <c r="A94" s="144"/>
      <c r="B94" s="150"/>
      <c r="C94" s="145"/>
      <c r="D94" s="145"/>
      <c r="E94" s="145"/>
      <c r="F94" s="145"/>
      <c r="G94" s="145"/>
      <c r="H94" s="145"/>
      <c r="I94" s="94"/>
      <c r="J94" s="86"/>
      <c r="K94" s="86"/>
      <c r="L94" s="86"/>
      <c r="M94" s="86"/>
      <c r="N94" s="86"/>
      <c r="O94" s="86"/>
      <c r="P94" s="86"/>
      <c r="Q94" s="86"/>
      <c r="R94" s="86"/>
      <c r="S94" s="86"/>
      <c r="T94" s="86"/>
      <c r="U94" s="11"/>
      <c r="V94" s="91"/>
      <c r="W94" s="91"/>
      <c r="X94" s="99"/>
      <c r="Y94" s="99"/>
      <c r="Z94" s="99"/>
      <c r="AA94" s="99"/>
      <c r="AB94" s="99"/>
      <c r="AC94" s="99"/>
    </row>
    <row r="95" spans="1:29" s="87" customFormat="1" ht="16.149999999999999" x14ac:dyDescent="0.35">
      <c r="A95" s="144"/>
      <c r="B95" s="146" t="s">
        <v>131</v>
      </c>
      <c r="C95" s="149" t="s">
        <v>132</v>
      </c>
      <c r="D95" s="145"/>
      <c r="E95" s="145"/>
      <c r="F95" s="169"/>
      <c r="G95" s="145"/>
      <c r="H95" s="145"/>
      <c r="I95" s="90"/>
      <c r="J95" s="86"/>
      <c r="K95" s="86"/>
      <c r="L95" s="86"/>
      <c r="M95" s="86"/>
      <c r="N95" s="86"/>
      <c r="O95" s="86"/>
      <c r="P95" s="86"/>
      <c r="Q95" s="86"/>
      <c r="R95" s="86"/>
      <c r="S95" s="86"/>
      <c r="T95" s="89"/>
      <c r="U95" s="11"/>
      <c r="V95" s="11"/>
      <c r="W95" s="11"/>
      <c r="X95" s="81"/>
      <c r="Y95" s="81"/>
      <c r="Z95" s="81"/>
      <c r="AA95" s="81"/>
      <c r="AB95" s="81"/>
      <c r="AC95" s="81"/>
    </row>
    <row r="96" spans="1:29" s="87" customFormat="1" ht="6.8" customHeight="1" x14ac:dyDescent="0.35">
      <c r="A96" s="144"/>
      <c r="B96" s="150"/>
      <c r="C96" s="145"/>
      <c r="D96" s="145"/>
      <c r="E96" s="145"/>
      <c r="F96" s="145"/>
      <c r="G96" s="145"/>
      <c r="H96" s="145"/>
      <c r="I96" s="89"/>
      <c r="J96" s="86"/>
      <c r="K96" s="86"/>
      <c r="L96" s="86"/>
      <c r="M96" s="86"/>
      <c r="N96" s="86"/>
      <c r="O96" s="86"/>
      <c r="P96" s="86"/>
      <c r="Q96" s="86"/>
      <c r="R96" s="86"/>
      <c r="S96" s="86"/>
      <c r="T96" s="89"/>
      <c r="U96" s="11"/>
      <c r="V96" s="11"/>
      <c r="W96" s="11"/>
      <c r="X96" s="81"/>
      <c r="Y96" s="81"/>
      <c r="Z96" s="81"/>
      <c r="AA96" s="81"/>
      <c r="AB96" s="81"/>
      <c r="AC96" s="81"/>
    </row>
    <row r="97" spans="1:29" s="87" customFormat="1" ht="16.149999999999999" x14ac:dyDescent="0.35">
      <c r="A97" s="144"/>
      <c r="B97" s="150"/>
      <c r="C97" s="145" t="s">
        <v>133</v>
      </c>
      <c r="D97" s="145"/>
      <c r="E97" s="145"/>
      <c r="F97" s="151" t="s">
        <v>84</v>
      </c>
      <c r="G97" s="145"/>
      <c r="H97" s="145"/>
      <c r="I97" s="91"/>
      <c r="J97" s="92"/>
      <c r="K97" s="86"/>
      <c r="L97" s="86"/>
      <c r="M97" s="86"/>
      <c r="N97" s="86"/>
      <c r="O97" s="86"/>
      <c r="P97" s="86"/>
      <c r="Q97" s="86"/>
      <c r="R97" s="86"/>
      <c r="S97" s="86"/>
      <c r="T97" s="89"/>
      <c r="U97" s="11"/>
      <c r="V97" s="11"/>
      <c r="W97" s="11"/>
      <c r="X97" s="81"/>
      <c r="Y97" s="81"/>
      <c r="Z97" s="81"/>
      <c r="AA97" s="81"/>
      <c r="AB97" s="81"/>
      <c r="AC97" s="81"/>
    </row>
    <row r="98" spans="1:29" s="87" customFormat="1" ht="16.149999999999999" x14ac:dyDescent="0.35">
      <c r="A98" s="144"/>
      <c r="B98" s="150"/>
      <c r="C98" s="144" t="s">
        <v>172</v>
      </c>
      <c r="D98" s="145"/>
      <c r="E98" s="145"/>
      <c r="F98" s="93" t="s">
        <v>173</v>
      </c>
      <c r="G98" s="145"/>
      <c r="H98" s="145"/>
      <c r="I98" s="91"/>
      <c r="J98" s="92"/>
      <c r="K98" s="86"/>
      <c r="L98" s="86"/>
      <c r="M98" s="86"/>
      <c r="N98" s="86"/>
      <c r="O98" s="86"/>
      <c r="P98" s="86"/>
      <c r="Q98" s="86"/>
      <c r="R98" s="86"/>
      <c r="S98" s="86"/>
      <c r="T98" s="11"/>
      <c r="U98" s="11"/>
      <c r="V98" s="11"/>
      <c r="W98" s="11"/>
      <c r="X98" s="81"/>
      <c r="Y98" s="81"/>
      <c r="Z98" s="81"/>
      <c r="AA98" s="81"/>
      <c r="AB98" s="81"/>
      <c r="AC98" s="81"/>
    </row>
    <row r="99" spans="1:29" s="87" customFormat="1" ht="6.8" customHeight="1" x14ac:dyDescent="0.35">
      <c r="A99" s="144"/>
      <c r="B99" s="150"/>
      <c r="C99" s="145"/>
      <c r="D99" s="145"/>
      <c r="E99" s="145"/>
      <c r="F99" s="145"/>
      <c r="G99" s="145"/>
      <c r="H99" s="145"/>
      <c r="I99" s="94"/>
      <c r="J99" s="86"/>
      <c r="K99" s="86"/>
      <c r="L99" s="86"/>
      <c r="M99" s="86"/>
      <c r="N99" s="86"/>
      <c r="O99" s="86"/>
      <c r="P99" s="86"/>
      <c r="Q99" s="86"/>
      <c r="R99" s="86"/>
      <c r="S99" s="86"/>
      <c r="T99" s="86"/>
      <c r="U99" s="11"/>
      <c r="V99" s="11"/>
      <c r="W99" s="11"/>
      <c r="X99" s="81"/>
      <c r="Y99" s="81"/>
      <c r="Z99" s="81"/>
      <c r="AA99" s="81"/>
      <c r="AB99" s="81"/>
      <c r="AC99" s="81"/>
    </row>
    <row r="100" spans="1:29" s="87" customFormat="1" ht="16.7" thickBot="1" x14ac:dyDescent="0.4">
      <c r="A100" s="144"/>
      <c r="B100" s="150"/>
      <c r="C100" s="153" t="s">
        <v>112</v>
      </c>
      <c r="D100" s="153"/>
      <c r="E100" s="145"/>
      <c r="F100" s="145"/>
      <c r="G100" s="145"/>
      <c r="H100" s="145"/>
      <c r="I100" s="94"/>
      <c r="J100" s="86"/>
      <c r="K100" s="86"/>
      <c r="L100" s="86"/>
      <c r="M100" s="86"/>
      <c r="N100" s="86"/>
      <c r="O100" s="86"/>
      <c r="P100" s="86"/>
      <c r="Q100" s="86"/>
      <c r="R100" s="86"/>
      <c r="S100" s="86"/>
      <c r="T100" s="86"/>
      <c r="U100" s="11"/>
      <c r="V100" s="11"/>
      <c r="W100" s="11"/>
      <c r="X100" s="81"/>
      <c r="Y100" s="81"/>
      <c r="Z100" s="81"/>
      <c r="AA100" s="81"/>
      <c r="AB100" s="81"/>
      <c r="AC100" s="81"/>
    </row>
    <row r="101" spans="1:29" s="87" customFormat="1" ht="16.7" thickBot="1" x14ac:dyDescent="0.4">
      <c r="A101" s="144"/>
      <c r="B101" s="150"/>
      <c r="C101" s="154"/>
      <c r="D101" s="224" t="s">
        <v>3</v>
      </c>
      <c r="E101" s="225"/>
      <c r="F101" s="210" t="s">
        <v>4</v>
      </c>
      <c r="G101" s="211"/>
      <c r="H101" s="145"/>
      <c r="I101" s="94"/>
      <c r="J101" s="86"/>
      <c r="K101" s="86"/>
      <c r="L101" s="86"/>
      <c r="M101" s="86"/>
      <c r="N101" s="86"/>
      <c r="O101" s="86"/>
      <c r="P101" s="86"/>
      <c r="Q101" s="86"/>
      <c r="R101" s="86"/>
      <c r="S101" s="86"/>
      <c r="T101" s="86"/>
      <c r="U101" s="11"/>
      <c r="V101" s="11"/>
      <c r="W101" s="11"/>
      <c r="X101" s="81"/>
      <c r="Y101" s="81"/>
      <c r="Z101" s="81"/>
      <c r="AA101" s="81"/>
      <c r="AB101" s="81"/>
      <c r="AC101" s="81"/>
    </row>
    <row r="102" spans="1:29" s="87" customFormat="1" ht="32.25" x14ac:dyDescent="0.35">
      <c r="A102" s="144"/>
      <c r="B102" s="150"/>
      <c r="C102" s="170" t="s">
        <v>5</v>
      </c>
      <c r="D102" s="156" t="s">
        <v>6</v>
      </c>
      <c r="E102" s="157" t="s">
        <v>113</v>
      </c>
      <c r="F102" s="171" t="s">
        <v>8</v>
      </c>
      <c r="G102" s="158" t="s">
        <v>174</v>
      </c>
      <c r="H102" s="145"/>
      <c r="I102" s="94"/>
      <c r="J102" s="86"/>
      <c r="K102" s="86"/>
      <c r="L102" s="86"/>
      <c r="M102" s="86"/>
      <c r="N102" s="86"/>
      <c r="O102" s="86"/>
      <c r="P102" s="86"/>
      <c r="Q102" s="86"/>
      <c r="R102" s="86"/>
      <c r="S102" s="86"/>
      <c r="T102" s="86"/>
      <c r="U102" s="11"/>
      <c r="V102" s="11"/>
      <c r="W102" s="11"/>
      <c r="X102" s="81"/>
      <c r="Y102" s="81"/>
      <c r="Z102" s="81"/>
      <c r="AA102" s="81"/>
      <c r="AB102" s="81"/>
      <c r="AC102" s="81"/>
    </row>
    <row r="103" spans="1:29" s="87" customFormat="1" ht="16.149999999999999" x14ac:dyDescent="0.35">
      <c r="A103" s="144"/>
      <c r="B103" s="150"/>
      <c r="C103" s="159"/>
      <c r="D103" s="160" t="s">
        <v>168</v>
      </c>
      <c r="E103" s="160" t="s">
        <v>175</v>
      </c>
      <c r="F103" s="160" t="s">
        <v>175</v>
      </c>
      <c r="G103" s="161" t="s">
        <v>168</v>
      </c>
      <c r="H103" s="145"/>
      <c r="I103" s="89"/>
      <c r="J103" s="86"/>
      <c r="K103" s="86"/>
      <c r="L103" s="86"/>
      <c r="M103" s="86"/>
      <c r="N103" s="86"/>
      <c r="O103" s="86"/>
      <c r="P103" s="86"/>
      <c r="Q103" s="86"/>
      <c r="R103" s="86"/>
      <c r="S103" s="86"/>
      <c r="T103" s="89"/>
      <c r="U103" s="11"/>
      <c r="V103" s="11"/>
      <c r="W103" s="11"/>
      <c r="X103" s="81"/>
      <c r="Y103" s="81"/>
      <c r="Z103" s="81"/>
      <c r="AA103" s="81"/>
      <c r="AB103" s="81"/>
      <c r="AC103" s="81"/>
    </row>
    <row r="104" spans="1:29" s="87" customFormat="1" ht="16.149999999999999" x14ac:dyDescent="0.35">
      <c r="A104" s="144"/>
      <c r="B104" s="150"/>
      <c r="C104" s="162">
        <v>50</v>
      </c>
      <c r="D104" s="100" t="s">
        <v>167</v>
      </c>
      <c r="E104" s="100" t="s">
        <v>167</v>
      </c>
      <c r="F104" s="100" t="s">
        <v>167</v>
      </c>
      <c r="G104" s="100" t="s">
        <v>167</v>
      </c>
      <c r="H104" s="145"/>
      <c r="I104" s="89"/>
      <c r="J104" s="86"/>
      <c r="K104" s="86"/>
      <c r="L104" s="86"/>
      <c r="M104" s="11"/>
      <c r="N104" s="11"/>
      <c r="O104" s="11"/>
      <c r="P104" s="11"/>
      <c r="Q104" s="11"/>
      <c r="R104" s="11"/>
      <c r="S104" s="11"/>
      <c r="T104" s="89"/>
      <c r="U104" s="11"/>
      <c r="V104" s="11"/>
      <c r="W104" s="11"/>
      <c r="X104" s="81"/>
      <c r="Y104" s="81"/>
      <c r="Z104" s="81"/>
      <c r="AA104" s="81"/>
      <c r="AB104" s="81"/>
      <c r="AC104" s="81"/>
    </row>
    <row r="105" spans="1:29" s="87" customFormat="1" ht="16.149999999999999" x14ac:dyDescent="0.35">
      <c r="A105" s="144"/>
      <c r="B105" s="150"/>
      <c r="C105" s="162">
        <v>100</v>
      </c>
      <c r="D105" s="100" t="s">
        <v>167</v>
      </c>
      <c r="E105" s="100" t="s">
        <v>167</v>
      </c>
      <c r="F105" s="100" t="s">
        <v>167</v>
      </c>
      <c r="G105" s="100" t="s">
        <v>167</v>
      </c>
      <c r="H105" s="145"/>
      <c r="I105" s="89"/>
      <c r="J105" s="86"/>
      <c r="K105" s="86"/>
      <c r="L105" s="11"/>
      <c r="M105" s="11"/>
      <c r="N105" s="11"/>
      <c r="O105" s="11"/>
      <c r="P105" s="11"/>
      <c r="Q105" s="11"/>
      <c r="R105" s="11"/>
      <c r="S105" s="11"/>
      <c r="T105" s="89"/>
      <c r="U105" s="11"/>
      <c r="V105" s="11"/>
      <c r="W105" s="11"/>
      <c r="X105" s="81"/>
      <c r="Y105" s="81"/>
      <c r="Z105" s="81"/>
      <c r="AA105" s="81"/>
      <c r="AB105" s="81"/>
      <c r="AC105" s="81"/>
    </row>
    <row r="106" spans="1:29" s="87" customFormat="1" ht="16.149999999999999" x14ac:dyDescent="0.35">
      <c r="A106" s="144"/>
      <c r="B106" s="150"/>
      <c r="C106" s="162">
        <v>250</v>
      </c>
      <c r="D106" s="100" t="s">
        <v>167</v>
      </c>
      <c r="E106" s="100" t="s">
        <v>167</v>
      </c>
      <c r="F106" s="100" t="s">
        <v>167</v>
      </c>
      <c r="G106" s="100" t="s">
        <v>167</v>
      </c>
      <c r="H106" s="145"/>
      <c r="I106" s="89"/>
      <c r="J106" s="86"/>
      <c r="K106" s="86"/>
      <c r="L106" s="11"/>
      <c r="M106" s="11"/>
      <c r="N106" s="11"/>
      <c r="O106" s="11"/>
      <c r="P106" s="11"/>
      <c r="Q106" s="11"/>
      <c r="R106" s="11"/>
      <c r="S106" s="11"/>
      <c r="T106" s="89"/>
      <c r="U106" s="11"/>
      <c r="V106" s="11"/>
      <c r="W106" s="11"/>
      <c r="X106" s="81"/>
      <c r="Y106" s="81"/>
      <c r="Z106" s="81"/>
      <c r="AA106" s="81"/>
      <c r="AB106" s="81"/>
      <c r="AC106" s="81"/>
    </row>
    <row r="107" spans="1:29" s="87" customFormat="1" ht="16.149999999999999" x14ac:dyDescent="0.35">
      <c r="A107" s="144"/>
      <c r="B107" s="150"/>
      <c r="C107" s="162">
        <v>500</v>
      </c>
      <c r="D107" s="100" t="s">
        <v>167</v>
      </c>
      <c r="E107" s="100" t="s">
        <v>167</v>
      </c>
      <c r="F107" s="100" t="s">
        <v>167</v>
      </c>
      <c r="G107" s="100" t="s">
        <v>167</v>
      </c>
      <c r="H107" s="145"/>
      <c r="I107" s="89"/>
      <c r="J107" s="86"/>
      <c r="K107" s="86"/>
      <c r="L107" s="11"/>
      <c r="M107" s="11"/>
      <c r="N107" s="11"/>
      <c r="O107" s="11"/>
      <c r="P107" s="11"/>
      <c r="Q107" s="11"/>
      <c r="R107" s="11"/>
      <c r="S107" s="11"/>
      <c r="T107" s="89"/>
      <c r="U107" s="11"/>
      <c r="V107" s="11"/>
      <c r="W107" s="11"/>
      <c r="X107" s="81"/>
      <c r="Y107" s="81"/>
      <c r="Z107" s="81"/>
      <c r="AA107" s="81"/>
      <c r="AB107" s="81"/>
      <c r="AC107" s="81"/>
    </row>
    <row r="108" spans="1:29" s="87" customFormat="1" ht="16.7" thickBot="1" x14ac:dyDescent="0.4">
      <c r="A108" s="144"/>
      <c r="B108" s="150"/>
      <c r="C108" s="163">
        <v>1000</v>
      </c>
      <c r="D108" s="100" t="s">
        <v>167</v>
      </c>
      <c r="E108" s="100" t="s">
        <v>167</v>
      </c>
      <c r="F108" s="100" t="s">
        <v>167</v>
      </c>
      <c r="G108" s="100" t="s">
        <v>167</v>
      </c>
      <c r="H108" s="145"/>
      <c r="I108" s="89"/>
      <c r="J108" s="86"/>
      <c r="K108" s="86"/>
      <c r="L108" s="11"/>
      <c r="M108" s="11"/>
      <c r="N108" s="11"/>
      <c r="O108" s="11"/>
      <c r="P108" s="11"/>
      <c r="Q108" s="11"/>
      <c r="R108" s="11"/>
      <c r="S108" s="11"/>
      <c r="T108" s="89"/>
      <c r="U108" s="11"/>
      <c r="V108" s="11"/>
      <c r="W108" s="11"/>
      <c r="X108" s="81"/>
      <c r="Y108" s="81"/>
      <c r="Z108" s="81"/>
      <c r="AA108" s="81"/>
      <c r="AB108" s="81"/>
      <c r="AC108" s="81"/>
    </row>
    <row r="109" spans="1:29" s="87" customFormat="1" ht="6.8" customHeight="1" thickBot="1" x14ac:dyDescent="0.4">
      <c r="A109" s="144"/>
      <c r="B109" s="145"/>
      <c r="C109" s="145"/>
      <c r="D109" s="98"/>
      <c r="E109" s="98"/>
      <c r="F109" s="98"/>
      <c r="G109" s="98"/>
      <c r="H109" s="145"/>
      <c r="I109" s="89"/>
      <c r="J109" s="86"/>
      <c r="K109" s="86"/>
      <c r="L109" s="11"/>
      <c r="M109" s="11"/>
      <c r="N109" s="11"/>
      <c r="O109" s="11"/>
      <c r="P109" s="11"/>
      <c r="Q109" s="11"/>
      <c r="R109" s="11"/>
      <c r="S109" s="11"/>
      <c r="T109" s="89"/>
      <c r="U109" s="11"/>
      <c r="V109" s="11"/>
      <c r="W109" s="11"/>
      <c r="X109" s="81"/>
      <c r="Y109" s="81"/>
      <c r="Z109" s="81"/>
      <c r="AA109" s="81"/>
      <c r="AB109" s="81"/>
      <c r="AC109" s="81"/>
    </row>
    <row r="110" spans="1:29" s="87" customFormat="1" ht="27.1" customHeight="1" x14ac:dyDescent="0.35">
      <c r="A110" s="176"/>
      <c r="B110" s="84"/>
      <c r="C110" s="215" t="s">
        <v>134</v>
      </c>
      <c r="D110" s="216"/>
      <c r="E110" s="96" t="s">
        <v>115</v>
      </c>
      <c r="F110" s="97" t="s">
        <v>116</v>
      </c>
      <c r="G110" s="164"/>
      <c r="H110" s="84"/>
      <c r="I110" s="91"/>
      <c r="J110" s="86"/>
      <c r="K110" s="86"/>
      <c r="L110" s="86"/>
      <c r="M110" s="86"/>
      <c r="N110" s="86"/>
      <c r="O110" s="86"/>
      <c r="P110" s="86"/>
      <c r="Q110" s="86"/>
      <c r="R110" s="86"/>
      <c r="S110" s="86"/>
      <c r="T110" s="86"/>
      <c r="U110" s="11"/>
      <c r="V110" s="91"/>
      <c r="W110" s="91"/>
      <c r="X110" s="99"/>
      <c r="Y110" s="99"/>
      <c r="Z110" s="99"/>
      <c r="AA110" s="99"/>
      <c r="AB110" s="99"/>
      <c r="AC110" s="99"/>
    </row>
    <row r="111" spans="1:29" s="87" customFormat="1" ht="16.149999999999999" x14ac:dyDescent="0.35">
      <c r="A111" s="176"/>
      <c r="B111" s="84"/>
      <c r="C111" s="222"/>
      <c r="D111" s="223"/>
      <c r="E111" s="178" t="s">
        <v>168</v>
      </c>
      <c r="F111" s="179" t="s">
        <v>168</v>
      </c>
      <c r="G111" s="164"/>
      <c r="H111" s="84"/>
      <c r="I111" s="91"/>
      <c r="J111" s="86"/>
      <c r="K111" s="86"/>
      <c r="L111" s="86"/>
      <c r="M111" s="86"/>
      <c r="N111" s="86"/>
      <c r="O111" s="86"/>
      <c r="P111" s="86"/>
      <c r="Q111" s="86"/>
      <c r="R111" s="86"/>
      <c r="S111" s="86"/>
      <c r="T111" s="86"/>
      <c r="U111" s="11"/>
      <c r="V111" s="91"/>
      <c r="W111" s="91"/>
      <c r="X111" s="99"/>
      <c r="Y111" s="99"/>
      <c r="Z111" s="99"/>
      <c r="AA111" s="99"/>
      <c r="AB111" s="99"/>
      <c r="AC111" s="99"/>
    </row>
    <row r="112" spans="1:29" s="87" customFormat="1" ht="16.149999999999999" x14ac:dyDescent="0.35">
      <c r="A112" s="176"/>
      <c r="B112" s="84"/>
      <c r="C112" s="217" t="s">
        <v>117</v>
      </c>
      <c r="D112" s="218"/>
      <c r="E112" s="165"/>
      <c r="F112" s="166"/>
      <c r="G112" s="164"/>
      <c r="H112" s="84"/>
      <c r="I112" s="86"/>
      <c r="J112" s="86"/>
      <c r="K112" s="86"/>
      <c r="L112" s="86"/>
      <c r="M112" s="86"/>
      <c r="N112" s="86"/>
      <c r="O112" s="86"/>
      <c r="P112" s="86"/>
      <c r="Q112" s="86"/>
      <c r="R112" s="86"/>
      <c r="S112" s="86"/>
      <c r="T112" s="86"/>
      <c r="U112" s="11"/>
      <c r="V112" s="91"/>
      <c r="W112" s="91"/>
      <c r="X112" s="99"/>
      <c r="Y112" s="99"/>
      <c r="Z112" s="99"/>
      <c r="AA112" s="99"/>
      <c r="AB112" s="99"/>
      <c r="AC112" s="99"/>
    </row>
    <row r="113" spans="1:29" s="87" customFormat="1" ht="16.149999999999999" x14ac:dyDescent="0.35">
      <c r="A113" s="176"/>
      <c r="B113" s="84"/>
      <c r="C113" s="217" t="s">
        <v>118</v>
      </c>
      <c r="D113" s="218"/>
      <c r="E113" s="167"/>
      <c r="F113" s="168"/>
      <c r="G113" s="164"/>
      <c r="H113" s="84"/>
      <c r="I113" s="86"/>
      <c r="J113" s="86"/>
      <c r="K113" s="86"/>
      <c r="L113" s="86"/>
      <c r="M113" s="86"/>
      <c r="N113" s="86"/>
      <c r="O113" s="86"/>
      <c r="P113" s="86"/>
      <c r="Q113" s="86"/>
      <c r="R113" s="86"/>
      <c r="S113" s="86"/>
      <c r="T113" s="86"/>
      <c r="U113" s="11"/>
      <c r="V113" s="91"/>
      <c r="W113" s="91"/>
      <c r="X113" s="99"/>
      <c r="Y113" s="99"/>
      <c r="Z113" s="99"/>
      <c r="AA113" s="99"/>
      <c r="AB113" s="99"/>
      <c r="AC113" s="99"/>
    </row>
    <row r="114" spans="1:29" s="87" customFormat="1" ht="16.149999999999999" x14ac:dyDescent="0.35">
      <c r="A114" s="176"/>
      <c r="B114" s="84"/>
      <c r="C114" s="217" t="s">
        <v>119</v>
      </c>
      <c r="D114" s="218"/>
      <c r="E114" s="167"/>
      <c r="F114" s="168"/>
      <c r="G114" s="164"/>
      <c r="H114" s="84"/>
      <c r="I114" s="86"/>
      <c r="J114" s="86"/>
      <c r="K114" s="86"/>
      <c r="L114" s="86"/>
      <c r="M114" s="86"/>
      <c r="N114" s="86"/>
      <c r="O114" s="86"/>
      <c r="P114" s="86"/>
      <c r="Q114" s="86"/>
      <c r="R114" s="86"/>
      <c r="S114" s="86"/>
      <c r="T114" s="86"/>
      <c r="U114" s="11"/>
      <c r="V114" s="91"/>
      <c r="W114" s="91"/>
      <c r="X114" s="99"/>
      <c r="Y114" s="99"/>
      <c r="Z114" s="99"/>
      <c r="AA114" s="99"/>
      <c r="AB114" s="99"/>
      <c r="AC114" s="99"/>
    </row>
    <row r="115" spans="1:29" s="87" customFormat="1" ht="16.7" thickBot="1" x14ac:dyDescent="0.4">
      <c r="A115" s="176"/>
      <c r="B115" s="84"/>
      <c r="C115" s="219" t="s">
        <v>120</v>
      </c>
      <c r="D115" s="220"/>
      <c r="E115" s="245">
        <v>183525.417048993</v>
      </c>
      <c r="F115" s="245">
        <v>107035.05091833501</v>
      </c>
      <c r="G115" s="164"/>
      <c r="H115" s="84"/>
      <c r="I115" s="86"/>
      <c r="J115" s="86"/>
      <c r="K115" s="86"/>
      <c r="L115" s="86"/>
      <c r="M115" s="86"/>
      <c r="N115" s="86"/>
      <c r="O115" s="86"/>
      <c r="P115" s="86"/>
      <c r="Q115" s="86"/>
      <c r="R115" s="86"/>
      <c r="S115" s="86"/>
      <c r="T115" s="86"/>
      <c r="U115" s="11"/>
      <c r="V115" s="91"/>
      <c r="W115" s="91"/>
      <c r="X115" s="99"/>
      <c r="Y115" s="99"/>
      <c r="Z115" s="99"/>
      <c r="AA115" s="99"/>
      <c r="AB115" s="99"/>
      <c r="AC115" s="99"/>
    </row>
    <row r="116" spans="1:29" s="87" customFormat="1" ht="6.8" customHeight="1" x14ac:dyDescent="0.35">
      <c r="A116" s="172"/>
      <c r="B116" s="139"/>
      <c r="C116" s="139"/>
      <c r="D116" s="139"/>
      <c r="E116" s="139"/>
      <c r="F116" s="139"/>
      <c r="G116" s="139"/>
      <c r="H116" s="139"/>
      <c r="I116" s="89"/>
      <c r="J116" s="86"/>
      <c r="K116" s="11"/>
      <c r="L116" s="11"/>
      <c r="M116" s="11"/>
      <c r="N116" s="11"/>
      <c r="O116" s="11"/>
      <c r="P116" s="11"/>
      <c r="Q116" s="11"/>
      <c r="R116" s="11"/>
      <c r="S116" s="11"/>
      <c r="T116" s="11"/>
      <c r="U116" s="11"/>
      <c r="V116" s="11"/>
      <c r="W116" s="11"/>
      <c r="X116" s="81"/>
      <c r="Y116" s="81"/>
      <c r="Z116" s="81"/>
      <c r="AA116" s="81"/>
      <c r="AB116" s="81"/>
      <c r="AC116" s="81"/>
    </row>
    <row r="117" spans="1:29" x14ac:dyDescent="0.3">
      <c r="A117" s="101"/>
      <c r="B117" s="101"/>
      <c r="C117" s="101"/>
      <c r="D117" s="101"/>
      <c r="E117" s="101"/>
      <c r="F117" s="101"/>
      <c r="G117" s="101"/>
      <c r="H117" s="101"/>
      <c r="I117" s="6"/>
      <c r="J117" s="8"/>
      <c r="X117" s="101"/>
      <c r="Y117" s="101"/>
      <c r="Z117" s="101"/>
      <c r="AA117" s="101"/>
      <c r="AB117" s="101"/>
      <c r="AC117" s="101"/>
    </row>
    <row r="118" spans="1:29" x14ac:dyDescent="0.3">
      <c r="A118" s="101"/>
      <c r="B118" s="101"/>
      <c r="C118" s="101"/>
      <c r="D118" s="101"/>
      <c r="E118" s="101"/>
      <c r="F118" s="101"/>
      <c r="G118" s="101"/>
      <c r="H118" s="101"/>
      <c r="I118" s="6"/>
      <c r="J118" s="8"/>
      <c r="X118" s="101"/>
      <c r="Y118" s="101"/>
      <c r="Z118" s="101"/>
      <c r="AA118" s="101"/>
      <c r="AB118" s="101"/>
      <c r="AC118" s="101"/>
    </row>
    <row r="119" spans="1:29" x14ac:dyDescent="0.3">
      <c r="A119" s="101"/>
      <c r="B119" s="101"/>
      <c r="C119" s="101"/>
      <c r="D119" s="101"/>
      <c r="E119" s="101"/>
      <c r="F119" s="101"/>
      <c r="G119" s="101"/>
      <c r="H119" s="101"/>
      <c r="X119" s="101"/>
      <c r="Y119" s="101"/>
      <c r="Z119" s="101"/>
      <c r="AA119" s="101"/>
      <c r="AB119" s="101"/>
      <c r="AC119" s="101"/>
    </row>
    <row r="120" spans="1:29" x14ac:dyDescent="0.3">
      <c r="A120" s="101"/>
      <c r="B120" s="101"/>
      <c r="C120" s="101"/>
      <c r="D120" s="101"/>
      <c r="E120" s="101"/>
      <c r="F120" s="101"/>
      <c r="G120" s="101"/>
      <c r="H120" s="101"/>
      <c r="X120" s="101"/>
      <c r="Y120" s="101"/>
      <c r="Z120" s="101"/>
      <c r="AA120" s="101"/>
      <c r="AB120" s="101"/>
      <c r="AC120" s="101"/>
    </row>
    <row r="121" spans="1:29" x14ac:dyDescent="0.3">
      <c r="A121" s="101"/>
      <c r="B121" s="101"/>
      <c r="C121" s="101"/>
      <c r="D121" s="101"/>
      <c r="E121" s="101"/>
      <c r="F121" s="101"/>
      <c r="G121" s="101"/>
      <c r="H121" s="101"/>
      <c r="X121" s="101"/>
      <c r="Y121" s="101"/>
      <c r="Z121" s="101"/>
      <c r="AA121" s="101"/>
      <c r="AB121" s="101"/>
      <c r="AC121" s="101"/>
    </row>
    <row r="122" spans="1:29" x14ac:dyDescent="0.3">
      <c r="A122" s="101"/>
      <c r="B122" s="101"/>
      <c r="C122" s="101"/>
      <c r="D122" s="173"/>
      <c r="E122" s="101"/>
      <c r="F122" s="101"/>
      <c r="G122" s="101"/>
      <c r="H122" s="101"/>
      <c r="X122" s="101"/>
      <c r="Y122" s="101"/>
      <c r="Z122" s="101"/>
      <c r="AA122" s="101"/>
      <c r="AB122" s="101"/>
      <c r="AC122" s="101"/>
    </row>
    <row r="123" spans="1:29" x14ac:dyDescent="0.3">
      <c r="A123" s="101"/>
      <c r="B123" s="101"/>
      <c r="C123" s="101"/>
      <c r="D123" s="174" t="s">
        <v>81</v>
      </c>
      <c r="E123" s="101"/>
      <c r="F123" s="101"/>
      <c r="G123" s="101"/>
      <c r="H123" s="101"/>
      <c r="X123" s="101"/>
      <c r="Y123" s="101"/>
      <c r="Z123" s="101"/>
      <c r="AA123" s="101"/>
      <c r="AB123" s="101"/>
      <c r="AC123" s="101"/>
    </row>
    <row r="124" spans="1:29" x14ac:dyDescent="0.3">
      <c r="A124" s="101"/>
      <c r="B124" s="101"/>
      <c r="C124" s="101"/>
      <c r="D124" s="174" t="s">
        <v>82</v>
      </c>
      <c r="E124" s="101"/>
      <c r="F124" s="101"/>
      <c r="G124" s="101"/>
      <c r="H124" s="101"/>
      <c r="X124" s="101"/>
      <c r="Y124" s="101"/>
      <c r="Z124" s="101"/>
      <c r="AA124" s="101"/>
      <c r="AB124" s="101"/>
      <c r="AC124" s="101"/>
    </row>
    <row r="125" spans="1:29" x14ac:dyDescent="0.3">
      <c r="A125" s="101"/>
      <c r="B125" s="101"/>
      <c r="C125" s="101"/>
      <c r="D125" s="174" t="s">
        <v>83</v>
      </c>
      <c r="E125" s="101"/>
      <c r="F125" s="101"/>
      <c r="G125" s="101"/>
      <c r="H125" s="101"/>
      <c r="X125" s="101"/>
      <c r="Y125" s="101"/>
      <c r="Z125" s="101"/>
      <c r="AA125" s="101"/>
      <c r="AB125" s="101"/>
      <c r="AC125" s="101"/>
    </row>
    <row r="126" spans="1:29" x14ac:dyDescent="0.3">
      <c r="A126" s="101"/>
      <c r="B126" s="101"/>
      <c r="C126" s="101"/>
      <c r="D126" s="174" t="s">
        <v>84</v>
      </c>
      <c r="E126" s="101"/>
      <c r="F126" s="101"/>
      <c r="G126" s="101"/>
      <c r="H126" s="101"/>
      <c r="X126" s="101"/>
      <c r="Y126" s="101"/>
      <c r="Z126" s="101"/>
      <c r="AA126" s="101"/>
      <c r="AB126" s="101"/>
      <c r="AC126" s="101"/>
    </row>
    <row r="127" spans="1:29" x14ac:dyDescent="0.3">
      <c r="A127" s="101"/>
      <c r="B127" s="101"/>
      <c r="C127" s="101"/>
      <c r="D127" s="174" t="s">
        <v>85</v>
      </c>
      <c r="E127" s="101"/>
      <c r="F127" s="101"/>
      <c r="G127" s="101"/>
      <c r="H127" s="101"/>
      <c r="X127" s="101"/>
      <c r="Y127" s="101"/>
      <c r="Z127" s="101"/>
      <c r="AA127" s="101"/>
      <c r="AB127" s="101"/>
      <c r="AC127" s="101"/>
    </row>
    <row r="128" spans="1:29" x14ac:dyDescent="0.3">
      <c r="A128" s="101"/>
      <c r="B128" s="101"/>
      <c r="C128" s="101"/>
      <c r="D128" s="174" t="s">
        <v>86</v>
      </c>
      <c r="E128" s="101"/>
      <c r="F128" s="101"/>
      <c r="G128" s="101"/>
      <c r="H128" s="101"/>
      <c r="X128" s="101"/>
      <c r="Y128" s="101"/>
      <c r="Z128" s="101"/>
      <c r="AA128" s="101"/>
      <c r="AB128" s="101"/>
      <c r="AC128" s="101"/>
    </row>
    <row r="129" spans="1:29" x14ac:dyDescent="0.3">
      <c r="A129" s="101"/>
      <c r="B129" s="101"/>
      <c r="C129" s="101"/>
      <c r="D129" s="174" t="s">
        <v>87</v>
      </c>
      <c r="E129" s="101"/>
      <c r="F129" s="101"/>
      <c r="G129" s="101"/>
      <c r="H129" s="101"/>
      <c r="X129" s="101"/>
      <c r="Y129" s="101"/>
      <c r="Z129" s="101"/>
      <c r="AA129" s="101"/>
      <c r="AB129" s="101"/>
      <c r="AC129" s="101"/>
    </row>
    <row r="130" spans="1:29" x14ac:dyDescent="0.3">
      <c r="A130" s="101"/>
      <c r="B130" s="101"/>
      <c r="C130" s="101"/>
      <c r="D130" s="174" t="s">
        <v>135</v>
      </c>
      <c r="E130" s="101"/>
      <c r="F130" s="101"/>
      <c r="G130" s="101"/>
      <c r="H130" s="101"/>
      <c r="X130" s="101"/>
      <c r="Y130" s="101"/>
      <c r="Z130" s="101"/>
      <c r="AA130" s="101"/>
      <c r="AB130" s="101"/>
      <c r="AC130" s="101"/>
    </row>
    <row r="131" spans="1:29" x14ac:dyDescent="0.3">
      <c r="A131" s="101"/>
      <c r="B131" s="101"/>
      <c r="C131" s="101"/>
      <c r="D131" s="101"/>
      <c r="E131" s="101"/>
      <c r="F131" s="101"/>
      <c r="G131" s="101"/>
      <c r="H131" s="101"/>
      <c r="X131" s="101"/>
      <c r="Y131" s="101"/>
      <c r="Z131" s="101"/>
      <c r="AA131" s="101"/>
      <c r="AB131" s="101"/>
      <c r="AC131" s="101"/>
    </row>
    <row r="132" spans="1:29" x14ac:dyDescent="0.3">
      <c r="A132" s="101"/>
      <c r="B132" s="101"/>
      <c r="C132" s="101"/>
      <c r="D132" s="101"/>
      <c r="E132" s="101"/>
      <c r="F132" s="101"/>
      <c r="G132" s="101"/>
      <c r="H132" s="101"/>
      <c r="X132" s="101"/>
      <c r="Y132" s="101"/>
      <c r="Z132" s="101"/>
      <c r="AA132" s="101"/>
      <c r="AB132" s="101"/>
      <c r="AC132" s="101"/>
    </row>
    <row r="133" spans="1:29" x14ac:dyDescent="0.3">
      <c r="A133" s="101"/>
      <c r="B133" s="101"/>
      <c r="C133" s="101"/>
      <c r="D133" s="101"/>
      <c r="E133" s="101"/>
      <c r="F133" s="101"/>
      <c r="G133" s="101"/>
      <c r="H133" s="101"/>
      <c r="X133" s="101"/>
      <c r="Y133" s="101"/>
      <c r="Z133" s="101"/>
      <c r="AA133" s="101"/>
      <c r="AB133" s="101"/>
      <c r="AC133" s="101"/>
    </row>
    <row r="134" spans="1:29" x14ac:dyDescent="0.3">
      <c r="A134" s="101"/>
      <c r="B134" s="101"/>
      <c r="C134" s="101"/>
      <c r="D134" s="101"/>
      <c r="E134" s="101"/>
      <c r="F134" s="101"/>
      <c r="G134" s="101"/>
      <c r="H134" s="101"/>
      <c r="X134" s="101"/>
      <c r="Y134" s="101"/>
      <c r="Z134" s="101"/>
      <c r="AA134" s="101"/>
      <c r="AB134" s="101"/>
      <c r="AC134" s="101"/>
    </row>
    <row r="135" spans="1:29" x14ac:dyDescent="0.3">
      <c r="A135" s="101"/>
      <c r="B135" s="101"/>
      <c r="C135" s="101"/>
      <c r="D135" s="101"/>
      <c r="E135" s="101"/>
      <c r="F135" s="101"/>
      <c r="G135" s="101"/>
      <c r="H135" s="101"/>
      <c r="X135" s="101"/>
      <c r="Y135" s="101"/>
      <c r="Z135" s="101"/>
      <c r="AA135" s="101"/>
      <c r="AB135" s="101"/>
      <c r="AC135" s="101"/>
    </row>
    <row r="136" spans="1:29" x14ac:dyDescent="0.3">
      <c r="A136" s="101"/>
      <c r="B136" s="101"/>
      <c r="C136" s="101"/>
      <c r="D136" s="101"/>
      <c r="E136" s="101"/>
      <c r="F136" s="101"/>
      <c r="G136" s="101"/>
      <c r="H136" s="101"/>
      <c r="X136" s="101"/>
      <c r="Y136" s="101"/>
      <c r="Z136" s="101"/>
      <c r="AA136" s="101"/>
      <c r="AB136" s="101"/>
      <c r="AC136" s="101"/>
    </row>
    <row r="137" spans="1:29" x14ac:dyDescent="0.3">
      <c r="A137" s="101"/>
      <c r="B137" s="101"/>
      <c r="C137" s="101"/>
      <c r="D137" s="101"/>
      <c r="E137" s="101"/>
      <c r="F137" s="101"/>
      <c r="G137" s="101"/>
      <c r="H137" s="101"/>
      <c r="X137" s="101"/>
      <c r="Y137" s="101"/>
      <c r="Z137" s="101"/>
      <c r="AA137" s="101"/>
      <c r="AB137" s="101"/>
      <c r="AC137" s="101"/>
    </row>
    <row r="138" spans="1:29" x14ac:dyDescent="0.3">
      <c r="A138" s="101"/>
      <c r="B138" s="101"/>
      <c r="C138" s="101"/>
      <c r="D138" s="101"/>
      <c r="E138" s="101"/>
      <c r="F138" s="101"/>
      <c r="G138" s="101"/>
      <c r="H138" s="101"/>
      <c r="X138" s="101"/>
      <c r="Y138" s="101"/>
      <c r="Z138" s="101"/>
      <c r="AA138" s="101"/>
      <c r="AB138" s="101"/>
      <c r="AC138" s="101"/>
    </row>
    <row r="139" spans="1:29" x14ac:dyDescent="0.3">
      <c r="A139" s="101"/>
      <c r="B139" s="101"/>
      <c r="C139" s="101"/>
      <c r="D139" s="101"/>
      <c r="E139" s="101"/>
      <c r="F139" s="101"/>
      <c r="G139" s="101"/>
      <c r="H139" s="101"/>
      <c r="X139" s="101"/>
      <c r="Y139" s="101"/>
      <c r="Z139" s="101"/>
      <c r="AA139" s="101"/>
      <c r="AB139" s="101"/>
      <c r="AC139" s="101"/>
    </row>
    <row r="140" spans="1:29" x14ac:dyDescent="0.3">
      <c r="A140" s="101"/>
      <c r="B140" s="101"/>
      <c r="C140" s="101"/>
      <c r="D140" s="101"/>
      <c r="E140" s="101"/>
      <c r="F140" s="101"/>
      <c r="G140" s="101"/>
      <c r="H140" s="101"/>
      <c r="X140" s="101"/>
      <c r="Y140" s="101"/>
      <c r="Z140" s="101"/>
      <c r="AA140" s="101"/>
      <c r="AB140" s="101"/>
      <c r="AC140" s="101"/>
    </row>
    <row r="141" spans="1:29" x14ac:dyDescent="0.3">
      <c r="A141" s="101"/>
      <c r="B141" s="101"/>
      <c r="C141" s="101"/>
      <c r="D141" s="101"/>
      <c r="E141" s="101"/>
      <c r="F141" s="101"/>
      <c r="G141" s="101"/>
      <c r="H141" s="101"/>
      <c r="X141" s="101"/>
      <c r="Y141" s="101"/>
      <c r="Z141" s="101"/>
      <c r="AA141" s="101"/>
      <c r="AB141" s="101"/>
      <c r="AC141" s="101"/>
    </row>
    <row r="142" spans="1:29" x14ac:dyDescent="0.3">
      <c r="A142" s="101"/>
      <c r="B142" s="101"/>
      <c r="C142" s="101"/>
      <c r="D142" s="101"/>
      <c r="E142" s="101"/>
      <c r="F142" s="101"/>
      <c r="G142" s="101"/>
      <c r="H142" s="101"/>
      <c r="X142" s="101"/>
      <c r="Y142" s="101"/>
      <c r="Z142" s="101"/>
      <c r="AA142" s="101"/>
      <c r="AB142" s="101"/>
      <c r="AC142" s="101"/>
    </row>
    <row r="143" spans="1:29" x14ac:dyDescent="0.3">
      <c r="A143" s="101"/>
      <c r="B143" s="101"/>
      <c r="C143" s="101"/>
      <c r="D143" s="101"/>
      <c r="E143" s="101"/>
      <c r="F143" s="101"/>
      <c r="G143" s="101"/>
      <c r="H143" s="101"/>
      <c r="X143" s="101"/>
      <c r="Y143" s="101"/>
      <c r="Z143" s="101"/>
      <c r="AA143" s="101"/>
      <c r="AB143" s="101"/>
      <c r="AC143" s="101"/>
    </row>
    <row r="144" spans="1:29" x14ac:dyDescent="0.3">
      <c r="A144" s="101"/>
      <c r="B144" s="101"/>
      <c r="C144" s="101"/>
      <c r="D144" s="101"/>
      <c r="E144" s="101"/>
      <c r="F144" s="101"/>
      <c r="G144" s="101"/>
      <c r="H144" s="101"/>
      <c r="X144" s="101"/>
      <c r="Y144" s="101"/>
      <c r="Z144" s="101"/>
      <c r="AA144" s="101"/>
      <c r="AB144" s="101"/>
      <c r="AC144" s="101"/>
    </row>
    <row r="145" spans="1:29" x14ac:dyDescent="0.3">
      <c r="A145" s="101"/>
      <c r="B145" s="101"/>
      <c r="C145" s="101"/>
      <c r="D145" s="101"/>
      <c r="E145" s="101"/>
      <c r="F145" s="101"/>
      <c r="G145" s="101"/>
      <c r="H145" s="101"/>
      <c r="X145" s="101"/>
      <c r="Y145" s="101"/>
      <c r="Z145" s="101"/>
      <c r="AA145" s="101"/>
      <c r="AB145" s="101"/>
      <c r="AC145" s="101"/>
    </row>
    <row r="146" spans="1:29" x14ac:dyDescent="0.3">
      <c r="A146" s="101"/>
      <c r="B146" s="101"/>
      <c r="C146" s="101"/>
      <c r="D146" s="101"/>
      <c r="E146" s="101"/>
      <c r="F146" s="101"/>
      <c r="G146" s="101"/>
      <c r="H146" s="101"/>
      <c r="X146" s="101"/>
      <c r="Y146" s="101"/>
      <c r="Z146" s="101"/>
      <c r="AA146" s="101"/>
      <c r="AB146" s="101"/>
      <c r="AC146" s="101"/>
    </row>
    <row r="147" spans="1:29" x14ac:dyDescent="0.3">
      <c r="A147" s="101"/>
      <c r="B147" s="101"/>
      <c r="C147" s="101"/>
      <c r="D147" s="101"/>
      <c r="E147" s="101"/>
      <c r="F147" s="101"/>
      <c r="G147" s="101"/>
      <c r="H147" s="101"/>
      <c r="X147" s="101"/>
      <c r="Y147" s="101"/>
      <c r="Z147" s="101"/>
      <c r="AA147" s="101"/>
      <c r="AB147" s="101"/>
      <c r="AC147" s="101"/>
    </row>
    <row r="148" spans="1:29" x14ac:dyDescent="0.3">
      <c r="A148" s="101"/>
      <c r="B148" s="101"/>
      <c r="C148" s="101"/>
      <c r="D148" s="101"/>
      <c r="E148" s="101"/>
      <c r="F148" s="101"/>
      <c r="G148" s="101"/>
      <c r="H148" s="101"/>
      <c r="X148" s="101"/>
      <c r="Y148" s="101"/>
      <c r="Z148" s="101"/>
      <c r="AA148" s="101"/>
      <c r="AB148" s="101"/>
      <c r="AC148" s="101"/>
    </row>
    <row r="149" spans="1:29" x14ac:dyDescent="0.3">
      <c r="A149" s="101"/>
      <c r="B149" s="101"/>
      <c r="C149" s="101"/>
      <c r="D149" s="101"/>
      <c r="E149" s="101"/>
      <c r="F149" s="101"/>
      <c r="G149" s="101"/>
      <c r="H149" s="101"/>
      <c r="X149" s="101"/>
      <c r="Y149" s="101"/>
      <c r="Z149" s="101"/>
      <c r="AA149" s="101"/>
      <c r="AB149" s="101"/>
      <c r="AC149" s="101"/>
    </row>
    <row r="150" spans="1:29" x14ac:dyDescent="0.3">
      <c r="A150" s="101"/>
      <c r="B150" s="101"/>
      <c r="C150" s="101"/>
      <c r="D150" s="101"/>
      <c r="E150" s="101"/>
      <c r="F150" s="101"/>
      <c r="G150" s="101"/>
      <c r="H150" s="101"/>
      <c r="X150" s="101"/>
      <c r="Y150" s="101"/>
      <c r="Z150" s="101"/>
      <c r="AA150" s="101"/>
      <c r="AB150" s="101"/>
      <c r="AC150" s="101"/>
    </row>
    <row r="151" spans="1:29" x14ac:dyDescent="0.3">
      <c r="A151" s="101"/>
      <c r="B151" s="101"/>
      <c r="C151" s="101"/>
      <c r="D151" s="101"/>
      <c r="E151" s="101"/>
      <c r="F151" s="101"/>
      <c r="G151" s="101"/>
      <c r="H151" s="101"/>
      <c r="X151" s="101"/>
      <c r="Y151" s="101"/>
      <c r="Z151" s="101"/>
      <c r="AA151" s="101"/>
      <c r="AB151" s="101"/>
      <c r="AC151" s="101"/>
    </row>
    <row r="152" spans="1:29" x14ac:dyDescent="0.3">
      <c r="A152" s="101"/>
      <c r="B152" s="101"/>
      <c r="C152" s="101"/>
      <c r="D152" s="101"/>
      <c r="E152" s="101"/>
      <c r="F152" s="101"/>
      <c r="G152" s="101"/>
      <c r="H152" s="101"/>
      <c r="X152" s="101"/>
      <c r="Y152" s="101"/>
      <c r="Z152" s="101"/>
      <c r="AA152" s="101"/>
      <c r="AB152" s="101"/>
      <c r="AC152" s="101"/>
    </row>
    <row r="153" spans="1:29" x14ac:dyDescent="0.3">
      <c r="A153" s="101"/>
      <c r="B153" s="101"/>
      <c r="C153" s="101"/>
      <c r="D153" s="101"/>
      <c r="E153" s="101"/>
      <c r="F153" s="101"/>
      <c r="G153" s="101"/>
      <c r="H153" s="101"/>
      <c r="X153" s="101"/>
      <c r="Y153" s="101"/>
      <c r="Z153" s="101"/>
      <c r="AA153" s="101"/>
      <c r="AB153" s="101"/>
      <c r="AC153" s="101"/>
    </row>
    <row r="154" spans="1:29" x14ac:dyDescent="0.3">
      <c r="A154" s="101"/>
      <c r="B154" s="101"/>
      <c r="C154" s="101"/>
      <c r="D154" s="101"/>
      <c r="E154" s="101"/>
      <c r="F154" s="101"/>
      <c r="G154" s="101"/>
      <c r="H154" s="101"/>
      <c r="X154" s="101"/>
      <c r="Y154" s="101"/>
      <c r="Z154" s="101"/>
      <c r="AA154" s="101"/>
      <c r="AB154" s="101"/>
      <c r="AC154" s="101"/>
    </row>
    <row r="155" spans="1:29" x14ac:dyDescent="0.3">
      <c r="A155" s="101"/>
      <c r="B155" s="101"/>
      <c r="C155" s="101"/>
      <c r="D155" s="101"/>
      <c r="E155" s="101"/>
      <c r="F155" s="101"/>
      <c r="G155" s="101"/>
      <c r="H155" s="101"/>
      <c r="X155" s="101"/>
      <c r="Y155" s="101"/>
      <c r="Z155" s="101"/>
      <c r="AA155" s="101"/>
      <c r="AB155" s="101"/>
      <c r="AC155" s="101"/>
    </row>
    <row r="156" spans="1:29" x14ac:dyDescent="0.3">
      <c r="A156" s="101"/>
      <c r="B156" s="101"/>
      <c r="C156" s="101"/>
      <c r="D156" s="101"/>
      <c r="E156" s="101"/>
      <c r="F156" s="101"/>
      <c r="G156" s="101"/>
      <c r="H156" s="101"/>
      <c r="X156" s="101"/>
      <c r="Y156" s="101"/>
      <c r="Z156" s="101"/>
      <c r="AA156" s="101"/>
      <c r="AB156" s="101"/>
      <c r="AC156" s="101"/>
    </row>
    <row r="157" spans="1:29" x14ac:dyDescent="0.3">
      <c r="A157" s="101"/>
      <c r="B157" s="101"/>
      <c r="C157" s="101"/>
      <c r="D157" s="101"/>
      <c r="E157" s="101"/>
      <c r="F157" s="101"/>
      <c r="G157" s="101"/>
      <c r="H157" s="101"/>
      <c r="X157" s="101"/>
      <c r="Y157" s="101"/>
      <c r="Z157" s="101"/>
      <c r="AA157" s="101"/>
      <c r="AB157" s="101"/>
      <c r="AC157" s="101"/>
    </row>
    <row r="158" spans="1:29" x14ac:dyDescent="0.3">
      <c r="A158" s="101"/>
      <c r="B158" s="101"/>
      <c r="C158" s="101"/>
      <c r="D158" s="101"/>
      <c r="E158" s="101"/>
      <c r="F158" s="101"/>
      <c r="G158" s="101"/>
      <c r="H158" s="101"/>
      <c r="X158" s="101"/>
      <c r="Y158" s="101"/>
      <c r="Z158" s="101"/>
      <c r="AA158" s="101"/>
      <c r="AB158" s="101"/>
      <c r="AC158" s="101"/>
    </row>
    <row r="159" spans="1:29" x14ac:dyDescent="0.3">
      <c r="A159" s="101"/>
      <c r="B159" s="101"/>
      <c r="C159" s="101"/>
      <c r="D159" s="101"/>
      <c r="E159" s="101"/>
      <c r="F159" s="101"/>
      <c r="G159" s="101"/>
      <c r="H159" s="101"/>
      <c r="X159" s="101"/>
      <c r="Y159" s="101"/>
      <c r="Z159" s="101"/>
      <c r="AA159" s="101"/>
      <c r="AB159" s="101"/>
      <c r="AC159" s="101"/>
    </row>
    <row r="160" spans="1:29" x14ac:dyDescent="0.3">
      <c r="A160" s="101"/>
      <c r="B160" s="101"/>
      <c r="C160" s="101"/>
      <c r="D160" s="175" t="s">
        <v>136</v>
      </c>
      <c r="E160" s="101"/>
      <c r="F160" s="101"/>
      <c r="G160" s="101"/>
      <c r="H160" s="101"/>
      <c r="X160" s="101"/>
      <c r="Y160" s="101"/>
      <c r="Z160" s="101"/>
      <c r="AA160" s="101"/>
      <c r="AB160" s="101"/>
      <c r="AC160" s="101"/>
    </row>
    <row r="161" spans="1:29" x14ac:dyDescent="0.3">
      <c r="A161" s="101"/>
      <c r="B161" s="101"/>
      <c r="C161" s="101"/>
      <c r="D161" s="101" t="s">
        <v>81</v>
      </c>
      <c r="E161" s="101"/>
      <c r="F161" s="101"/>
      <c r="G161" s="101"/>
      <c r="H161" s="101"/>
      <c r="X161" s="101"/>
      <c r="Y161" s="101"/>
      <c r="Z161" s="101"/>
      <c r="AA161" s="101"/>
      <c r="AB161" s="101"/>
      <c r="AC161" s="101"/>
    </row>
    <row r="162" spans="1:29" x14ac:dyDescent="0.3">
      <c r="A162" s="101"/>
      <c r="B162" s="101"/>
      <c r="C162" s="101"/>
      <c r="D162" s="101" t="s">
        <v>82</v>
      </c>
      <c r="E162" s="101"/>
      <c r="F162" s="101"/>
      <c r="G162" s="101"/>
      <c r="H162" s="101"/>
      <c r="X162" s="101"/>
      <c r="Y162" s="101"/>
      <c r="Z162" s="101"/>
      <c r="AA162" s="101"/>
      <c r="AB162" s="101"/>
      <c r="AC162" s="101"/>
    </row>
    <row r="163" spans="1:29" x14ac:dyDescent="0.3">
      <c r="A163" s="101"/>
      <c r="B163" s="101"/>
      <c r="C163" s="101"/>
      <c r="D163" s="101" t="s">
        <v>83</v>
      </c>
      <c r="E163" s="101"/>
      <c r="F163" s="101"/>
      <c r="G163" s="101"/>
      <c r="H163" s="101"/>
      <c r="X163" s="101"/>
      <c r="Y163" s="101"/>
      <c r="Z163" s="101"/>
      <c r="AA163" s="101"/>
      <c r="AB163" s="101"/>
      <c r="AC163" s="101"/>
    </row>
    <row r="164" spans="1:29" x14ac:dyDescent="0.3">
      <c r="A164" s="101"/>
      <c r="B164" s="101"/>
      <c r="C164" s="101"/>
      <c r="D164" s="101" t="s">
        <v>84</v>
      </c>
      <c r="E164" s="101"/>
      <c r="F164" s="101"/>
      <c r="G164" s="101"/>
      <c r="H164" s="101"/>
      <c r="X164" s="101"/>
      <c r="Y164" s="101"/>
      <c r="Z164" s="101"/>
      <c r="AA164" s="101"/>
      <c r="AB164" s="101"/>
      <c r="AC164" s="101"/>
    </row>
    <row r="165" spans="1:29" x14ac:dyDescent="0.3">
      <c r="A165" s="101"/>
      <c r="B165" s="101"/>
      <c r="C165" s="101"/>
      <c r="D165" s="101" t="s">
        <v>85</v>
      </c>
      <c r="E165" s="101"/>
      <c r="F165" s="101"/>
      <c r="G165" s="101"/>
      <c r="H165" s="101"/>
      <c r="X165" s="101"/>
      <c r="Y165" s="101"/>
      <c r="Z165" s="101"/>
      <c r="AA165" s="101"/>
      <c r="AB165" s="101"/>
      <c r="AC165" s="101"/>
    </row>
    <row r="166" spans="1:29" x14ac:dyDescent="0.3">
      <c r="A166" s="101"/>
      <c r="B166" s="101"/>
      <c r="C166" s="101"/>
      <c r="D166" s="101" t="s">
        <v>86</v>
      </c>
      <c r="E166" s="101"/>
      <c r="F166" s="101"/>
      <c r="G166" s="101"/>
      <c r="H166" s="101"/>
      <c r="X166" s="101"/>
      <c r="Y166" s="101"/>
      <c r="Z166" s="101"/>
      <c r="AA166" s="101"/>
      <c r="AB166" s="101"/>
      <c r="AC166" s="101"/>
    </row>
    <row r="167" spans="1:29" x14ac:dyDescent="0.3">
      <c r="A167" s="101"/>
      <c r="B167" s="101"/>
      <c r="C167" s="101"/>
      <c r="D167" s="101" t="s">
        <v>87</v>
      </c>
      <c r="E167" s="101"/>
      <c r="F167" s="101"/>
      <c r="G167" s="101"/>
      <c r="H167" s="101"/>
      <c r="X167" s="101"/>
      <c r="Y167" s="101"/>
      <c r="Z167" s="101"/>
      <c r="AA167" s="101"/>
      <c r="AB167" s="101"/>
      <c r="AC167" s="101"/>
    </row>
    <row r="168" spans="1:29" x14ac:dyDescent="0.3">
      <c r="A168" s="101"/>
      <c r="B168" s="101"/>
      <c r="C168" s="101"/>
      <c r="D168" s="101"/>
      <c r="E168" s="101"/>
      <c r="F168" s="101"/>
      <c r="G168" s="101"/>
      <c r="H168" s="101"/>
      <c r="X168" s="101"/>
      <c r="Y168" s="101"/>
      <c r="Z168" s="101"/>
      <c r="AA168" s="101"/>
      <c r="AB168" s="101"/>
      <c r="AC168" s="101"/>
    </row>
    <row r="169" spans="1:29" x14ac:dyDescent="0.3">
      <c r="A169" s="101"/>
      <c r="B169" s="101"/>
      <c r="C169" s="101"/>
      <c r="D169" s="101"/>
      <c r="E169" s="101"/>
      <c r="F169" s="101"/>
      <c r="G169" s="101"/>
      <c r="H169" s="101"/>
      <c r="X169" s="101"/>
      <c r="Y169" s="101"/>
      <c r="Z169" s="101"/>
      <c r="AA169" s="101"/>
      <c r="AB169" s="101"/>
      <c r="AC169" s="101"/>
    </row>
    <row r="170" spans="1:29" x14ac:dyDescent="0.3">
      <c r="A170" s="101"/>
      <c r="B170" s="101"/>
      <c r="C170" s="101"/>
      <c r="D170" s="101"/>
      <c r="E170" s="101"/>
      <c r="F170" s="101"/>
      <c r="G170" s="101"/>
      <c r="H170" s="101"/>
      <c r="X170" s="101"/>
      <c r="Y170" s="101"/>
      <c r="Z170" s="101"/>
      <c r="AA170" s="101"/>
      <c r="AB170" s="101"/>
      <c r="AC170" s="101"/>
    </row>
    <row r="171" spans="1:29" s="5" customFormat="1" x14ac:dyDescent="0.3">
      <c r="A171" s="101"/>
      <c r="B171" s="101"/>
      <c r="C171" s="101"/>
      <c r="D171" s="142"/>
      <c r="E171" s="142"/>
      <c r="F171" s="142"/>
      <c r="G171" s="142"/>
      <c r="H171" s="101"/>
      <c r="I171" s="16"/>
      <c r="J171" s="16"/>
      <c r="K171" s="16"/>
      <c r="L171" s="16"/>
      <c r="M171" s="16"/>
      <c r="N171" s="16"/>
      <c r="O171" s="16"/>
      <c r="P171" s="16"/>
      <c r="Q171" s="16"/>
      <c r="R171" s="16"/>
      <c r="S171" s="16"/>
      <c r="T171" s="16"/>
      <c r="U171" s="16"/>
      <c r="V171" s="16"/>
      <c r="W171" s="16"/>
      <c r="X171" s="16"/>
      <c r="Y171" s="16"/>
      <c r="Z171" s="16"/>
      <c r="AA171" s="16"/>
      <c r="AB171" s="16"/>
      <c r="AC171" s="16"/>
    </row>
    <row r="172" spans="1:29" s="5" customFormat="1" x14ac:dyDescent="0.3">
      <c r="A172" s="101"/>
      <c r="B172" s="101"/>
      <c r="C172" s="101"/>
      <c r="D172" s="101"/>
      <c r="E172" s="101"/>
      <c r="F172" s="101"/>
      <c r="G172" s="101"/>
      <c r="H172" s="101"/>
      <c r="I172" s="16"/>
      <c r="J172" s="16"/>
      <c r="K172" s="16"/>
      <c r="L172" s="16"/>
      <c r="M172" s="16"/>
      <c r="N172" s="16"/>
      <c r="O172" s="16"/>
      <c r="P172" s="16"/>
      <c r="Q172" s="16"/>
      <c r="R172" s="16"/>
      <c r="S172" s="16"/>
      <c r="T172" s="16"/>
      <c r="U172" s="16"/>
      <c r="V172" s="16"/>
      <c r="W172" s="16"/>
      <c r="X172" s="16"/>
      <c r="Y172" s="16"/>
      <c r="Z172" s="16"/>
      <c r="AA172" s="16"/>
      <c r="AB172" s="16"/>
      <c r="AC172" s="16"/>
    </row>
    <row r="173" spans="1:29" s="16" customFormat="1" x14ac:dyDescent="0.3">
      <c r="A173" s="101"/>
      <c r="B173" s="101"/>
      <c r="C173" s="101"/>
      <c r="D173" s="142" t="s">
        <v>178</v>
      </c>
      <c r="E173" s="142" t="s">
        <v>179</v>
      </c>
      <c r="F173" s="142" t="s">
        <v>180</v>
      </c>
      <c r="G173" s="142" t="s">
        <v>181</v>
      </c>
      <c r="H173" s="143"/>
      <c r="I173" s="8"/>
      <c r="J173" s="8"/>
      <c r="K173" s="8"/>
    </row>
    <row r="174" spans="1:29" s="16" customFormat="1" x14ac:dyDescent="0.3">
      <c r="A174" s="101"/>
      <c r="B174" s="101"/>
      <c r="C174" s="101"/>
      <c r="D174" s="180" t="s">
        <v>171</v>
      </c>
      <c r="E174" s="180" t="s">
        <v>171</v>
      </c>
      <c r="F174" s="180" t="s">
        <v>171</v>
      </c>
      <c r="G174" s="180" t="s">
        <v>171</v>
      </c>
      <c r="H174" s="101"/>
    </row>
    <row r="175" spans="1:29" s="16" customFormat="1" x14ac:dyDescent="0.3">
      <c r="A175" s="101"/>
      <c r="B175" s="101"/>
      <c r="C175" s="101"/>
      <c r="D175" s="180" t="s">
        <v>171</v>
      </c>
      <c r="E175" s="180" t="s">
        <v>171</v>
      </c>
      <c r="F175" s="180" t="s">
        <v>171</v>
      </c>
      <c r="G175" s="180" t="s">
        <v>171</v>
      </c>
      <c r="H175" s="101"/>
    </row>
    <row r="176" spans="1:29" s="16" customFormat="1" x14ac:dyDescent="0.3">
      <c r="A176" s="101"/>
      <c r="B176" s="101"/>
      <c r="C176" s="101"/>
      <c r="D176" s="180" t="s">
        <v>171</v>
      </c>
      <c r="E176" s="180" t="s">
        <v>171</v>
      </c>
      <c r="F176" s="180" t="s">
        <v>171</v>
      </c>
      <c r="G176" s="180" t="s">
        <v>171</v>
      </c>
      <c r="H176" s="101"/>
    </row>
    <row r="177" spans="1:8" s="16" customFormat="1" x14ac:dyDescent="0.3">
      <c r="A177" s="101"/>
      <c r="B177" s="101"/>
      <c r="C177" s="101"/>
      <c r="D177" s="180" t="s">
        <v>171</v>
      </c>
      <c r="E177" s="180" t="s">
        <v>171</v>
      </c>
      <c r="F177" s="180" t="s">
        <v>171</v>
      </c>
      <c r="G177" s="180" t="s">
        <v>171</v>
      </c>
      <c r="H177" s="101"/>
    </row>
    <row r="178" spans="1:8" s="16" customFormat="1" x14ac:dyDescent="0.3">
      <c r="A178" s="101"/>
      <c r="B178" s="101"/>
      <c r="C178" s="101"/>
      <c r="D178" s="180" t="s">
        <v>171</v>
      </c>
      <c r="E178" s="180" t="s">
        <v>171</v>
      </c>
      <c r="F178" s="180" t="s">
        <v>171</v>
      </c>
      <c r="G178" s="180" t="s">
        <v>171</v>
      </c>
      <c r="H178" s="101"/>
    </row>
    <row r="179" spans="1:8" s="16" customFormat="1" x14ac:dyDescent="0.3">
      <c r="A179" s="101"/>
      <c r="B179" s="101"/>
      <c r="C179" s="101"/>
      <c r="D179" s="180"/>
      <c r="E179" s="180" t="s">
        <v>182</v>
      </c>
      <c r="F179" s="180" t="s">
        <v>183</v>
      </c>
      <c r="G179" s="180"/>
      <c r="H179" s="101"/>
    </row>
    <row r="180" spans="1:8" s="16" customFormat="1" x14ac:dyDescent="0.3">
      <c r="A180" s="101"/>
      <c r="B180" s="101"/>
      <c r="C180" s="101"/>
      <c r="D180" s="180"/>
      <c r="E180" s="180" t="s">
        <v>171</v>
      </c>
      <c r="F180" s="180" t="s">
        <v>171</v>
      </c>
      <c r="G180" s="180"/>
      <c r="H180" s="101"/>
    </row>
    <row r="181" spans="1:8" s="16" customFormat="1" x14ac:dyDescent="0.3">
      <c r="A181" s="101"/>
      <c r="B181" s="101"/>
      <c r="C181" s="101"/>
      <c r="D181" s="180"/>
      <c r="E181" s="180" t="s">
        <v>171</v>
      </c>
      <c r="F181" s="180" t="s">
        <v>171</v>
      </c>
      <c r="G181" s="180"/>
      <c r="H181" s="101"/>
    </row>
    <row r="182" spans="1:8" s="16" customFormat="1" x14ac:dyDescent="0.3">
      <c r="A182" s="101"/>
      <c r="B182" s="101"/>
      <c r="C182" s="101"/>
      <c r="D182" s="180"/>
      <c r="E182" s="180" t="s">
        <v>171</v>
      </c>
      <c r="F182" s="180" t="s">
        <v>171</v>
      </c>
      <c r="G182" s="180"/>
      <c r="H182" s="101"/>
    </row>
    <row r="183" spans="1:8" s="16" customFormat="1" x14ac:dyDescent="0.3">
      <c r="A183" s="101"/>
      <c r="B183" s="101"/>
      <c r="C183" s="101"/>
      <c r="D183" s="180"/>
      <c r="E183" s="180" t="s">
        <v>171</v>
      </c>
      <c r="F183" s="180" t="s">
        <v>171</v>
      </c>
      <c r="G183" s="180"/>
      <c r="H183" s="101"/>
    </row>
    <row r="184" spans="1:8" s="16" customFormat="1" x14ac:dyDescent="0.3">
      <c r="A184" s="101"/>
      <c r="B184" s="101"/>
      <c r="C184" s="101"/>
      <c r="D184" s="180"/>
      <c r="E184" s="180"/>
      <c r="F184" s="180"/>
      <c r="G184" s="180"/>
      <c r="H184" s="101"/>
    </row>
    <row r="185" spans="1:8" s="16" customFormat="1" x14ac:dyDescent="0.3">
      <c r="A185" s="101"/>
      <c r="B185" s="101"/>
      <c r="C185" s="101"/>
      <c r="D185" s="180"/>
      <c r="E185" s="180"/>
      <c r="F185" s="180"/>
      <c r="G185" s="180"/>
      <c r="H185" s="101"/>
    </row>
    <row r="186" spans="1:8" s="16" customFormat="1" x14ac:dyDescent="0.3">
      <c r="A186" s="101"/>
      <c r="B186" s="101"/>
      <c r="C186" s="101"/>
      <c r="D186" s="180"/>
      <c r="E186" s="180"/>
      <c r="F186" s="180"/>
      <c r="G186" s="180"/>
      <c r="H186" s="101"/>
    </row>
    <row r="187" spans="1:8" s="16" customFormat="1" x14ac:dyDescent="0.3">
      <c r="A187" s="101"/>
      <c r="B187" s="101"/>
      <c r="C187" s="101"/>
      <c r="D187" s="180"/>
      <c r="E187" s="180"/>
      <c r="F187" s="180"/>
      <c r="G187" s="180"/>
      <c r="H187" s="101"/>
    </row>
    <row r="188" spans="1:8" s="16" customFormat="1" x14ac:dyDescent="0.3">
      <c r="A188" s="101"/>
      <c r="B188" s="101"/>
      <c r="C188" s="101"/>
      <c r="D188" s="180" t="s">
        <v>171</v>
      </c>
      <c r="E188" s="180" t="s">
        <v>171</v>
      </c>
      <c r="F188" s="180" t="s">
        <v>171</v>
      </c>
      <c r="G188" s="180" t="s">
        <v>171</v>
      </c>
      <c r="H188" s="101"/>
    </row>
    <row r="189" spans="1:8" s="16" customFormat="1" x14ac:dyDescent="0.3">
      <c r="A189" s="101"/>
      <c r="B189" s="101"/>
      <c r="C189" s="101"/>
      <c r="D189" s="180" t="s">
        <v>171</v>
      </c>
      <c r="E189" s="180" t="s">
        <v>171</v>
      </c>
      <c r="F189" s="180" t="s">
        <v>171</v>
      </c>
      <c r="G189" s="180" t="s">
        <v>171</v>
      </c>
      <c r="H189" s="101"/>
    </row>
    <row r="190" spans="1:8" s="16" customFormat="1" x14ac:dyDescent="0.3">
      <c r="A190" s="101"/>
      <c r="B190" s="101"/>
      <c r="C190" s="101"/>
      <c r="D190" s="180" t="s">
        <v>171</v>
      </c>
      <c r="E190" s="180" t="s">
        <v>171</v>
      </c>
      <c r="F190" s="180" t="s">
        <v>171</v>
      </c>
      <c r="G190" s="180" t="s">
        <v>171</v>
      </c>
      <c r="H190" s="101"/>
    </row>
    <row r="191" spans="1:8" s="16" customFormat="1" x14ac:dyDescent="0.3">
      <c r="A191" s="101"/>
      <c r="B191" s="101"/>
      <c r="C191" s="101"/>
      <c r="D191" s="180" t="s">
        <v>171</v>
      </c>
      <c r="E191" s="180" t="s">
        <v>171</v>
      </c>
      <c r="F191" s="180" t="s">
        <v>171</v>
      </c>
      <c r="G191" s="180" t="s">
        <v>171</v>
      </c>
      <c r="H191" s="101"/>
    </row>
    <row r="192" spans="1:8" s="16" customFormat="1" x14ac:dyDescent="0.3">
      <c r="A192" s="101"/>
      <c r="B192" s="101"/>
      <c r="C192" s="101"/>
      <c r="D192" s="180" t="s">
        <v>171</v>
      </c>
      <c r="E192" s="180" t="s">
        <v>171</v>
      </c>
      <c r="F192" s="180" t="s">
        <v>171</v>
      </c>
      <c r="G192" s="180" t="s">
        <v>171</v>
      </c>
      <c r="H192" s="101"/>
    </row>
    <row r="193" spans="1:8" s="16" customFormat="1" x14ac:dyDescent="0.3">
      <c r="A193" s="101"/>
      <c r="B193" s="101"/>
      <c r="C193" s="101"/>
      <c r="D193" s="180"/>
      <c r="E193" s="180"/>
      <c r="F193" s="180"/>
      <c r="G193" s="180"/>
      <c r="H193" s="101"/>
    </row>
    <row r="194" spans="1:8" s="16" customFormat="1" x14ac:dyDescent="0.3">
      <c r="A194" s="101"/>
      <c r="B194" s="101"/>
      <c r="C194" s="101"/>
      <c r="D194" s="180"/>
      <c r="E194" s="180" t="s">
        <v>171</v>
      </c>
      <c r="F194" s="180" t="s">
        <v>171</v>
      </c>
      <c r="G194" s="180"/>
      <c r="H194" s="101"/>
    </row>
    <row r="195" spans="1:8" s="16" customFormat="1" x14ac:dyDescent="0.3">
      <c r="A195" s="101"/>
      <c r="B195" s="101"/>
      <c r="C195" s="101"/>
      <c r="D195" s="180"/>
      <c r="E195" s="180" t="s">
        <v>171</v>
      </c>
      <c r="F195" s="180" t="s">
        <v>171</v>
      </c>
      <c r="G195" s="180"/>
      <c r="H195" s="101"/>
    </row>
    <row r="196" spans="1:8" s="16" customFormat="1" x14ac:dyDescent="0.3">
      <c r="A196" s="101"/>
      <c r="B196" s="101"/>
      <c r="C196" s="101"/>
      <c r="D196" s="180"/>
      <c r="E196" s="180" t="s">
        <v>171</v>
      </c>
      <c r="F196" s="180" t="s">
        <v>171</v>
      </c>
      <c r="G196" s="180"/>
      <c r="H196" s="101"/>
    </row>
    <row r="197" spans="1:8" s="16" customFormat="1" x14ac:dyDescent="0.3">
      <c r="A197" s="101"/>
      <c r="B197" s="101"/>
      <c r="C197" s="101"/>
      <c r="D197" s="180"/>
      <c r="E197" s="180" t="s">
        <v>171</v>
      </c>
      <c r="F197" s="180" t="s">
        <v>171</v>
      </c>
      <c r="G197" s="180"/>
      <c r="H197" s="101"/>
    </row>
    <row r="198" spans="1:8" s="16" customFormat="1" x14ac:dyDescent="0.3">
      <c r="A198" s="101"/>
      <c r="B198" s="101"/>
      <c r="C198" s="101"/>
      <c r="D198" s="180"/>
      <c r="E198" s="180"/>
      <c r="F198" s="180"/>
      <c r="G198" s="180"/>
      <c r="H198" s="101"/>
    </row>
    <row r="199" spans="1:8" s="16" customFormat="1" x14ac:dyDescent="0.3">
      <c r="A199" s="101"/>
      <c r="B199" s="101"/>
      <c r="C199" s="101"/>
      <c r="D199" s="180"/>
      <c r="E199" s="180"/>
      <c r="F199" s="180"/>
      <c r="G199" s="180"/>
      <c r="H199" s="101"/>
    </row>
    <row r="200" spans="1:8" s="16" customFormat="1" x14ac:dyDescent="0.3">
      <c r="A200" s="101"/>
      <c r="B200" s="101"/>
      <c r="C200" s="101"/>
      <c r="D200" s="180"/>
      <c r="E200" s="180"/>
      <c r="F200" s="180"/>
      <c r="G200" s="180"/>
      <c r="H200" s="101"/>
    </row>
    <row r="201" spans="1:8" s="16" customFormat="1" x14ac:dyDescent="0.3">
      <c r="A201" s="101"/>
      <c r="B201" s="101"/>
      <c r="C201" s="101"/>
      <c r="D201" s="180"/>
      <c r="E201" s="180"/>
      <c r="F201" s="180"/>
      <c r="G201" s="180"/>
      <c r="H201" s="101"/>
    </row>
    <row r="202" spans="1:8" s="16" customFormat="1" x14ac:dyDescent="0.3">
      <c r="A202" s="101"/>
      <c r="B202" s="101"/>
      <c r="C202" s="101"/>
      <c r="D202" s="180"/>
      <c r="E202" s="180"/>
      <c r="F202" s="180"/>
      <c r="G202" s="180"/>
      <c r="H202" s="101"/>
    </row>
    <row r="203" spans="1:8" s="16" customFormat="1" x14ac:dyDescent="0.3">
      <c r="A203" s="101"/>
      <c r="B203" s="101"/>
      <c r="C203" s="101"/>
      <c r="D203" s="180" t="s">
        <v>171</v>
      </c>
      <c r="E203" s="180" t="s">
        <v>171</v>
      </c>
      <c r="F203" s="180" t="s">
        <v>171</v>
      </c>
      <c r="G203" s="180" t="s">
        <v>171</v>
      </c>
      <c r="H203" s="101"/>
    </row>
    <row r="204" spans="1:8" s="16" customFormat="1" x14ac:dyDescent="0.3">
      <c r="A204" s="101"/>
      <c r="B204" s="101"/>
      <c r="C204" s="101"/>
      <c r="D204" s="180" t="s">
        <v>171</v>
      </c>
      <c r="E204" s="180" t="s">
        <v>171</v>
      </c>
      <c r="F204" s="180" t="s">
        <v>171</v>
      </c>
      <c r="G204" s="180" t="s">
        <v>171</v>
      </c>
      <c r="H204" s="101"/>
    </row>
    <row r="205" spans="1:8" s="16" customFormat="1" x14ac:dyDescent="0.3">
      <c r="A205" s="101"/>
      <c r="B205" s="101"/>
      <c r="C205" s="101"/>
      <c r="D205" s="180" t="s">
        <v>171</v>
      </c>
      <c r="E205" s="180" t="s">
        <v>171</v>
      </c>
      <c r="F205" s="180" t="s">
        <v>171</v>
      </c>
      <c r="G205" s="180" t="s">
        <v>171</v>
      </c>
      <c r="H205" s="101"/>
    </row>
    <row r="206" spans="1:8" s="16" customFormat="1" x14ac:dyDescent="0.3">
      <c r="A206" s="101"/>
      <c r="B206" s="101"/>
      <c r="C206" s="101"/>
      <c r="D206" s="180" t="s">
        <v>171</v>
      </c>
      <c r="E206" s="180" t="s">
        <v>171</v>
      </c>
      <c r="F206" s="180" t="s">
        <v>171</v>
      </c>
      <c r="G206" s="180" t="s">
        <v>171</v>
      </c>
      <c r="H206" s="101"/>
    </row>
    <row r="207" spans="1:8" s="16" customFormat="1" x14ac:dyDescent="0.3">
      <c r="A207" s="101"/>
      <c r="B207" s="101"/>
      <c r="C207" s="101"/>
      <c r="D207" s="180" t="s">
        <v>171</v>
      </c>
      <c r="E207" s="180" t="s">
        <v>171</v>
      </c>
      <c r="F207" s="180" t="s">
        <v>171</v>
      </c>
      <c r="G207" s="180" t="s">
        <v>171</v>
      </c>
      <c r="H207" s="101"/>
    </row>
    <row r="208" spans="1:8" s="16" customFormat="1" x14ac:dyDescent="0.3">
      <c r="A208" s="101"/>
      <c r="B208" s="101"/>
      <c r="C208" s="101"/>
      <c r="D208" s="180"/>
      <c r="E208" s="180"/>
      <c r="F208" s="180"/>
      <c r="G208" s="180"/>
      <c r="H208" s="101"/>
    </row>
    <row r="209" spans="1:8" s="16" customFormat="1" x14ac:dyDescent="0.3">
      <c r="A209" s="101"/>
      <c r="B209" s="101"/>
      <c r="C209" s="101"/>
      <c r="D209" s="180"/>
      <c r="E209" s="180" t="s">
        <v>171</v>
      </c>
      <c r="F209" s="180" t="s">
        <v>171</v>
      </c>
      <c r="G209" s="180"/>
      <c r="H209" s="101"/>
    </row>
    <row r="210" spans="1:8" s="16" customFormat="1" x14ac:dyDescent="0.3">
      <c r="A210" s="101"/>
      <c r="B210" s="101"/>
      <c r="C210" s="101"/>
      <c r="D210" s="180"/>
      <c r="E210" s="180" t="s">
        <v>171</v>
      </c>
      <c r="F210" s="180" t="s">
        <v>171</v>
      </c>
      <c r="G210" s="180"/>
      <c r="H210" s="101"/>
    </row>
    <row r="211" spans="1:8" s="16" customFormat="1" x14ac:dyDescent="0.3">
      <c r="A211" s="101"/>
      <c r="B211" s="101"/>
      <c r="C211" s="101"/>
      <c r="D211" s="180"/>
      <c r="E211" s="180" t="s">
        <v>171</v>
      </c>
      <c r="F211" s="180" t="s">
        <v>171</v>
      </c>
      <c r="G211" s="180"/>
      <c r="H211" s="101"/>
    </row>
    <row r="212" spans="1:8" s="16" customFormat="1" x14ac:dyDescent="0.3">
      <c r="A212" s="101"/>
      <c r="B212" s="101"/>
      <c r="C212" s="101"/>
      <c r="D212" s="180"/>
      <c r="E212" s="180" t="s">
        <v>171</v>
      </c>
      <c r="F212" s="180" t="s">
        <v>171</v>
      </c>
      <c r="G212" s="180"/>
      <c r="H212" s="101"/>
    </row>
    <row r="213" spans="1:8" s="16" customFormat="1" x14ac:dyDescent="0.3">
      <c r="A213" s="101"/>
      <c r="B213" s="101"/>
      <c r="C213" s="101"/>
      <c r="D213" s="180"/>
      <c r="E213" s="180"/>
      <c r="F213" s="180"/>
      <c r="G213" s="180"/>
      <c r="H213" s="101"/>
    </row>
    <row r="214" spans="1:8" s="16" customFormat="1" x14ac:dyDescent="0.3">
      <c r="A214" s="101"/>
      <c r="B214" s="101"/>
      <c r="C214" s="101"/>
      <c r="D214" s="180"/>
      <c r="E214" s="180"/>
      <c r="F214" s="180"/>
      <c r="G214" s="180"/>
      <c r="H214" s="101"/>
    </row>
    <row r="215" spans="1:8" s="16" customFormat="1" x14ac:dyDescent="0.3">
      <c r="A215" s="101"/>
      <c r="B215" s="101"/>
      <c r="C215" s="101"/>
      <c r="D215" s="180"/>
      <c r="E215" s="180"/>
      <c r="F215" s="180"/>
      <c r="G215" s="180"/>
      <c r="H215" s="101"/>
    </row>
    <row r="216" spans="1:8" s="16" customFormat="1" x14ac:dyDescent="0.3">
      <c r="A216" s="101"/>
      <c r="B216" s="101"/>
      <c r="C216" s="101"/>
      <c r="D216" s="180"/>
      <c r="E216" s="180"/>
      <c r="F216" s="180"/>
      <c r="G216" s="180"/>
      <c r="H216" s="101"/>
    </row>
    <row r="217" spans="1:8" s="16" customFormat="1" x14ac:dyDescent="0.3">
      <c r="A217" s="101"/>
      <c r="B217" s="101"/>
      <c r="C217" s="101"/>
      <c r="D217" s="180"/>
      <c r="E217" s="180"/>
      <c r="F217" s="180"/>
      <c r="G217" s="180"/>
      <c r="H217" s="101"/>
    </row>
    <row r="218" spans="1:8" s="16" customFormat="1" x14ac:dyDescent="0.3">
      <c r="A218" s="101"/>
      <c r="B218" s="101"/>
      <c r="C218" s="101"/>
      <c r="D218" s="180" t="s">
        <v>171</v>
      </c>
      <c r="E218" s="180" t="s">
        <v>171</v>
      </c>
      <c r="F218" s="180" t="s">
        <v>171</v>
      </c>
      <c r="G218" s="180" t="s">
        <v>171</v>
      </c>
      <c r="H218" s="101"/>
    </row>
    <row r="219" spans="1:8" s="16" customFormat="1" x14ac:dyDescent="0.3">
      <c r="A219" s="101"/>
      <c r="B219" s="101"/>
      <c r="C219" s="101"/>
      <c r="D219" s="180" t="s">
        <v>171</v>
      </c>
      <c r="E219" s="180" t="s">
        <v>171</v>
      </c>
      <c r="F219" s="180" t="s">
        <v>171</v>
      </c>
      <c r="G219" s="180" t="s">
        <v>171</v>
      </c>
      <c r="H219" s="101"/>
    </row>
    <row r="220" spans="1:8" s="16" customFormat="1" x14ac:dyDescent="0.3">
      <c r="A220" s="101"/>
      <c r="B220" s="101"/>
      <c r="C220" s="101"/>
      <c r="D220" s="180" t="s">
        <v>171</v>
      </c>
      <c r="E220" s="180" t="s">
        <v>171</v>
      </c>
      <c r="F220" s="180" t="s">
        <v>171</v>
      </c>
      <c r="G220" s="180" t="s">
        <v>171</v>
      </c>
      <c r="H220" s="101"/>
    </row>
    <row r="221" spans="1:8" s="16" customFormat="1" x14ac:dyDescent="0.3">
      <c r="A221" s="101"/>
      <c r="B221" s="101"/>
      <c r="C221" s="101"/>
      <c r="D221" s="180" t="s">
        <v>171</v>
      </c>
      <c r="E221" s="180" t="s">
        <v>171</v>
      </c>
      <c r="F221" s="180" t="s">
        <v>171</v>
      </c>
      <c r="G221" s="180" t="s">
        <v>171</v>
      </c>
      <c r="H221" s="101"/>
    </row>
    <row r="222" spans="1:8" s="16" customFormat="1" x14ac:dyDescent="0.3">
      <c r="A222" s="101"/>
      <c r="B222" s="101"/>
      <c r="C222" s="101"/>
      <c r="D222" s="180" t="s">
        <v>171</v>
      </c>
      <c r="E222" s="180" t="s">
        <v>171</v>
      </c>
      <c r="F222" s="180" t="s">
        <v>171</v>
      </c>
      <c r="G222" s="180" t="s">
        <v>171</v>
      </c>
      <c r="H222" s="101"/>
    </row>
    <row r="223" spans="1:8" s="16" customFormat="1" x14ac:dyDescent="0.3">
      <c r="A223" s="101"/>
      <c r="B223" s="101"/>
      <c r="C223" s="101"/>
      <c r="D223" s="180"/>
      <c r="E223" s="180"/>
      <c r="F223" s="180"/>
      <c r="G223" s="180"/>
      <c r="H223" s="101"/>
    </row>
    <row r="224" spans="1:8" s="16" customFormat="1" x14ac:dyDescent="0.3">
      <c r="A224" s="101"/>
      <c r="B224" s="101"/>
      <c r="C224" s="101"/>
      <c r="D224" s="180"/>
      <c r="E224" s="180" t="s">
        <v>171</v>
      </c>
      <c r="F224" s="180" t="s">
        <v>171</v>
      </c>
      <c r="G224" s="180"/>
      <c r="H224" s="101"/>
    </row>
    <row r="225" spans="1:8" s="16" customFormat="1" x14ac:dyDescent="0.3">
      <c r="A225" s="101"/>
      <c r="B225" s="101"/>
      <c r="C225" s="101"/>
      <c r="D225" s="180"/>
      <c r="E225" s="180" t="s">
        <v>171</v>
      </c>
      <c r="F225" s="180" t="s">
        <v>171</v>
      </c>
      <c r="G225" s="180"/>
      <c r="H225" s="101"/>
    </row>
    <row r="226" spans="1:8" s="16" customFormat="1" x14ac:dyDescent="0.3">
      <c r="A226" s="101"/>
      <c r="B226" s="101"/>
      <c r="C226" s="101"/>
      <c r="D226" s="180"/>
      <c r="E226" s="180" t="s">
        <v>171</v>
      </c>
      <c r="F226" s="180" t="s">
        <v>171</v>
      </c>
      <c r="G226" s="180"/>
      <c r="H226" s="101"/>
    </row>
    <row r="227" spans="1:8" s="16" customFormat="1" x14ac:dyDescent="0.3">
      <c r="A227" s="101"/>
      <c r="B227" s="101"/>
      <c r="C227" s="101"/>
      <c r="D227" s="180"/>
      <c r="E227" s="180" t="s">
        <v>171</v>
      </c>
      <c r="F227" s="180" t="s">
        <v>171</v>
      </c>
      <c r="G227" s="180"/>
      <c r="H227" s="101"/>
    </row>
    <row r="228" spans="1:8" s="16" customFormat="1" x14ac:dyDescent="0.3">
      <c r="A228" s="101"/>
      <c r="B228" s="101"/>
      <c r="C228" s="101"/>
      <c r="D228" s="180"/>
      <c r="E228" s="180"/>
      <c r="F228" s="180"/>
      <c r="G228" s="180"/>
      <c r="H228" s="101"/>
    </row>
    <row r="229" spans="1:8" s="16" customFormat="1" x14ac:dyDescent="0.3">
      <c r="A229" s="101"/>
      <c r="B229" s="101"/>
      <c r="C229" s="101"/>
      <c r="D229" s="180"/>
      <c r="E229" s="180"/>
      <c r="F229" s="180"/>
      <c r="G229" s="180"/>
      <c r="H229" s="101"/>
    </row>
    <row r="230" spans="1:8" s="16" customFormat="1" x14ac:dyDescent="0.3">
      <c r="A230" s="101"/>
      <c r="B230" s="101"/>
      <c r="C230" s="101"/>
      <c r="D230" s="180"/>
      <c r="E230" s="180"/>
      <c r="F230" s="180"/>
      <c r="G230" s="180"/>
      <c r="H230" s="101"/>
    </row>
    <row r="231" spans="1:8" s="16" customFormat="1" x14ac:dyDescent="0.3">
      <c r="A231" s="101"/>
      <c r="B231" s="101"/>
      <c r="C231" s="101"/>
      <c r="D231" s="180"/>
      <c r="E231" s="180"/>
      <c r="F231" s="180"/>
      <c r="G231" s="180"/>
      <c r="H231" s="101"/>
    </row>
    <row r="232" spans="1:8" s="16" customFormat="1" x14ac:dyDescent="0.3">
      <c r="A232" s="101"/>
      <c r="B232" s="101"/>
      <c r="C232" s="101"/>
      <c r="D232" s="180"/>
      <c r="E232" s="180"/>
      <c r="F232" s="180"/>
      <c r="G232" s="180"/>
      <c r="H232" s="101"/>
    </row>
    <row r="233" spans="1:8" s="16" customFormat="1" x14ac:dyDescent="0.3">
      <c r="A233" s="101"/>
      <c r="B233" s="101"/>
      <c r="C233" s="101"/>
      <c r="D233" s="180" t="s">
        <v>171</v>
      </c>
      <c r="E233" s="180" t="s">
        <v>171</v>
      </c>
      <c r="F233" s="180" t="s">
        <v>171</v>
      </c>
      <c r="G233" s="180" t="s">
        <v>171</v>
      </c>
      <c r="H233" s="101"/>
    </row>
    <row r="234" spans="1:8" s="16" customFormat="1" x14ac:dyDescent="0.3">
      <c r="A234" s="101"/>
      <c r="B234" s="101"/>
      <c r="C234" s="101"/>
      <c r="D234" s="180" t="s">
        <v>171</v>
      </c>
      <c r="E234" s="180" t="s">
        <v>171</v>
      </c>
      <c r="F234" s="180" t="s">
        <v>171</v>
      </c>
      <c r="G234" s="180" t="s">
        <v>171</v>
      </c>
      <c r="H234" s="101"/>
    </row>
    <row r="235" spans="1:8" s="16" customFormat="1" x14ac:dyDescent="0.3">
      <c r="A235" s="101"/>
      <c r="B235" s="101"/>
      <c r="C235" s="101"/>
      <c r="D235" s="180" t="s">
        <v>171</v>
      </c>
      <c r="E235" s="180" t="s">
        <v>171</v>
      </c>
      <c r="F235" s="180" t="s">
        <v>171</v>
      </c>
      <c r="G235" s="180" t="s">
        <v>171</v>
      </c>
      <c r="H235" s="101"/>
    </row>
    <row r="236" spans="1:8" s="16" customFormat="1" x14ac:dyDescent="0.3">
      <c r="A236" s="101"/>
      <c r="B236" s="101"/>
      <c r="C236" s="101"/>
      <c r="D236" s="180" t="s">
        <v>171</v>
      </c>
      <c r="E236" s="180" t="s">
        <v>171</v>
      </c>
      <c r="F236" s="180" t="s">
        <v>171</v>
      </c>
      <c r="G236" s="180" t="s">
        <v>171</v>
      </c>
      <c r="H236" s="101"/>
    </row>
    <row r="237" spans="1:8" s="16" customFormat="1" x14ac:dyDescent="0.3">
      <c r="A237" s="101"/>
      <c r="B237" s="101"/>
      <c r="C237" s="101"/>
      <c r="D237" s="180" t="s">
        <v>171</v>
      </c>
      <c r="E237" s="180" t="s">
        <v>171</v>
      </c>
      <c r="F237" s="180" t="s">
        <v>171</v>
      </c>
      <c r="G237" s="180" t="s">
        <v>171</v>
      </c>
      <c r="H237" s="101"/>
    </row>
    <row r="238" spans="1:8" s="16" customFormat="1" x14ac:dyDescent="0.3">
      <c r="A238" s="101"/>
      <c r="B238" s="101"/>
      <c r="C238" s="101"/>
      <c r="D238" s="180"/>
      <c r="E238" s="180"/>
      <c r="F238" s="180"/>
      <c r="G238" s="180"/>
      <c r="H238" s="101"/>
    </row>
    <row r="239" spans="1:8" s="16" customFormat="1" x14ac:dyDescent="0.3">
      <c r="A239" s="101"/>
      <c r="B239" s="101"/>
      <c r="C239" s="101"/>
      <c r="D239" s="180"/>
      <c r="E239" s="180" t="s">
        <v>171</v>
      </c>
      <c r="F239" s="180" t="s">
        <v>171</v>
      </c>
      <c r="G239" s="180"/>
      <c r="H239" s="101"/>
    </row>
    <row r="240" spans="1:8" s="16" customFormat="1" x14ac:dyDescent="0.3">
      <c r="A240" s="101"/>
      <c r="B240" s="101"/>
      <c r="C240" s="101"/>
      <c r="D240" s="180"/>
      <c r="E240" s="180" t="s">
        <v>171</v>
      </c>
      <c r="F240" s="180" t="s">
        <v>171</v>
      </c>
      <c r="G240" s="180"/>
      <c r="H240" s="101"/>
    </row>
    <row r="241" spans="1:8" s="16" customFormat="1" x14ac:dyDescent="0.3">
      <c r="A241" s="101"/>
      <c r="B241" s="101"/>
      <c r="C241" s="101"/>
      <c r="D241" s="180"/>
      <c r="E241" s="180" t="s">
        <v>171</v>
      </c>
      <c r="F241" s="180" t="s">
        <v>171</v>
      </c>
      <c r="G241" s="180"/>
      <c r="H241" s="101"/>
    </row>
    <row r="242" spans="1:8" s="16" customFormat="1" x14ac:dyDescent="0.3">
      <c r="A242" s="101"/>
      <c r="B242" s="101"/>
      <c r="C242" s="101"/>
      <c r="D242" s="180"/>
      <c r="E242" s="180" t="s">
        <v>171</v>
      </c>
      <c r="F242" s="180" t="s">
        <v>171</v>
      </c>
      <c r="G242" s="180"/>
      <c r="H242" s="101"/>
    </row>
    <row r="243" spans="1:8" s="16" customFormat="1" x14ac:dyDescent="0.3">
      <c r="A243" s="101"/>
      <c r="B243" s="101"/>
      <c r="C243" s="101"/>
      <c r="D243" s="180"/>
      <c r="E243" s="180"/>
      <c r="F243" s="180"/>
      <c r="G243" s="180"/>
      <c r="H243" s="101"/>
    </row>
    <row r="244" spans="1:8" s="16" customFormat="1" x14ac:dyDescent="0.3">
      <c r="A244" s="101"/>
      <c r="B244" s="101"/>
      <c r="C244" s="101"/>
      <c r="D244" s="101"/>
      <c r="E244" s="101"/>
      <c r="F244" s="101"/>
      <c r="G244" s="101"/>
      <c r="H244" s="101"/>
    </row>
    <row r="245" spans="1:8" s="16" customFormat="1" x14ac:dyDescent="0.3">
      <c r="A245" s="101"/>
      <c r="B245" s="101"/>
      <c r="C245" s="101"/>
      <c r="D245" s="101"/>
      <c r="E245" s="101"/>
      <c r="F245" s="101"/>
      <c r="G245" s="101"/>
      <c r="H245" s="101"/>
    </row>
    <row r="246" spans="1:8" s="16" customFormat="1" x14ac:dyDescent="0.3">
      <c r="A246" s="101"/>
      <c r="B246" s="101"/>
      <c r="C246" s="101"/>
      <c r="D246" s="101"/>
      <c r="E246" s="101"/>
      <c r="F246" s="101"/>
      <c r="G246" s="101"/>
      <c r="H246" s="101"/>
    </row>
    <row r="247" spans="1:8" s="16" customFormat="1" x14ac:dyDescent="0.3">
      <c r="A247" s="101"/>
      <c r="B247" s="101"/>
      <c r="C247" s="101"/>
      <c r="D247" s="101"/>
      <c r="E247" s="101"/>
      <c r="F247" s="101"/>
      <c r="G247" s="101"/>
      <c r="H247" s="101"/>
    </row>
    <row r="248" spans="1:8" s="16" customFormat="1" x14ac:dyDescent="0.3">
      <c r="A248" s="101"/>
      <c r="B248" s="101"/>
      <c r="C248" s="101"/>
      <c r="D248" s="143" t="s">
        <v>184</v>
      </c>
      <c r="E248" s="143" t="s">
        <v>185</v>
      </c>
      <c r="F248" s="143" t="s">
        <v>186</v>
      </c>
      <c r="G248" s="143" t="s">
        <v>187</v>
      </c>
      <c r="H248" s="143"/>
    </row>
    <row r="249" spans="1:8" s="16" customFormat="1" x14ac:dyDescent="0.3">
      <c r="A249" s="102"/>
      <c r="B249" s="102"/>
      <c r="C249" s="102"/>
      <c r="D249" s="102"/>
      <c r="E249" s="102"/>
      <c r="F249" s="102"/>
      <c r="G249" s="102"/>
      <c r="H249" s="102"/>
    </row>
    <row r="250" spans="1:8" s="16" customFormat="1" x14ac:dyDescent="0.3">
      <c r="A250" s="102"/>
      <c r="B250" s="102"/>
      <c r="C250" s="102"/>
      <c r="D250" s="102"/>
      <c r="E250" s="102"/>
      <c r="F250" s="102"/>
      <c r="G250" s="102"/>
      <c r="H250" s="102"/>
    </row>
    <row r="251" spans="1:8" s="16" customFormat="1" x14ac:dyDescent="0.3">
      <c r="A251" s="102"/>
      <c r="B251" s="102"/>
      <c r="C251" s="102"/>
      <c r="D251" s="102"/>
      <c r="E251" s="102"/>
      <c r="F251" s="102"/>
      <c r="G251" s="102"/>
      <c r="H251" s="102"/>
    </row>
    <row r="252" spans="1:8" s="16" customFormat="1" x14ac:dyDescent="0.3">
      <c r="A252" s="102"/>
      <c r="B252" s="102"/>
      <c r="C252" s="102"/>
      <c r="D252" s="102"/>
      <c r="E252" s="102"/>
      <c r="F252" s="102"/>
      <c r="G252" s="102"/>
      <c r="H252" s="102"/>
    </row>
    <row r="253" spans="1:8" s="16" customFormat="1" x14ac:dyDescent="0.3">
      <c r="A253" s="102"/>
      <c r="B253" s="102"/>
      <c r="C253" s="102"/>
      <c r="D253" s="102"/>
      <c r="E253" s="102"/>
      <c r="F253" s="102"/>
      <c r="G253" s="102"/>
      <c r="H253" s="102"/>
    </row>
    <row r="254" spans="1:8" s="16" customFormat="1" x14ac:dyDescent="0.3">
      <c r="A254" s="102"/>
      <c r="B254" s="102"/>
      <c r="C254" s="102"/>
      <c r="D254" s="102"/>
      <c r="E254" s="102"/>
      <c r="F254" s="102"/>
      <c r="G254" s="102"/>
      <c r="H254" s="102"/>
    </row>
    <row r="255" spans="1:8" s="16" customFormat="1" x14ac:dyDescent="0.3">
      <c r="A255" s="102"/>
      <c r="B255" s="102"/>
      <c r="C255" s="102"/>
      <c r="D255" s="102"/>
      <c r="E255" s="102"/>
      <c r="F255" s="102"/>
      <c r="G255" s="102"/>
      <c r="H255" s="102"/>
    </row>
    <row r="256" spans="1:8" s="16" customFormat="1" x14ac:dyDescent="0.3">
      <c r="A256" s="102"/>
      <c r="B256" s="102"/>
      <c r="C256" s="102"/>
      <c r="D256" s="102"/>
      <c r="E256" s="102"/>
      <c r="F256" s="102"/>
      <c r="G256" s="102"/>
      <c r="H256" s="102"/>
    </row>
    <row r="257" spans="1:8" s="16" customFormat="1" x14ac:dyDescent="0.3">
      <c r="A257" s="102"/>
      <c r="B257" s="102"/>
      <c r="C257" s="102"/>
      <c r="D257" s="102"/>
      <c r="E257" s="102"/>
      <c r="F257" s="102"/>
      <c r="G257" s="102"/>
      <c r="H257" s="102"/>
    </row>
    <row r="258" spans="1:8" s="16" customFormat="1" x14ac:dyDescent="0.3">
      <c r="A258" s="102"/>
      <c r="B258" s="102"/>
      <c r="C258" s="102"/>
      <c r="D258" s="102"/>
      <c r="E258" s="102"/>
      <c r="F258" s="102"/>
      <c r="G258" s="102"/>
      <c r="H258" s="102"/>
    </row>
    <row r="259" spans="1:8" s="16" customFormat="1" x14ac:dyDescent="0.3">
      <c r="A259" s="102"/>
      <c r="B259" s="102"/>
      <c r="C259" s="102"/>
      <c r="D259" s="102"/>
      <c r="E259" s="102"/>
      <c r="F259" s="102"/>
      <c r="G259" s="102"/>
      <c r="H259" s="102"/>
    </row>
    <row r="260" spans="1:8" s="16" customFormat="1" x14ac:dyDescent="0.3">
      <c r="A260" s="102"/>
      <c r="B260" s="102"/>
      <c r="C260" s="102"/>
      <c r="D260" s="102"/>
      <c r="E260" s="102"/>
      <c r="F260" s="102"/>
      <c r="G260" s="102"/>
      <c r="H260" s="102"/>
    </row>
    <row r="261" spans="1:8" s="16" customFormat="1" x14ac:dyDescent="0.3">
      <c r="A261" s="102"/>
      <c r="B261" s="102"/>
      <c r="C261" s="102"/>
      <c r="D261" s="102"/>
      <c r="E261" s="102"/>
      <c r="F261" s="102"/>
      <c r="G261" s="102"/>
      <c r="H261" s="102"/>
    </row>
    <row r="262" spans="1:8" s="16" customFormat="1" x14ac:dyDescent="0.3">
      <c r="A262" s="102"/>
      <c r="B262" s="102"/>
      <c r="C262" s="102"/>
      <c r="D262" s="102"/>
      <c r="E262" s="102"/>
      <c r="F262" s="102"/>
      <c r="G262" s="102"/>
      <c r="H262" s="102"/>
    </row>
    <row r="263" spans="1:8" s="16" customFormat="1" x14ac:dyDescent="0.3">
      <c r="A263" s="102"/>
      <c r="B263" s="102"/>
      <c r="C263" s="102"/>
      <c r="D263" s="102"/>
      <c r="E263" s="102"/>
      <c r="F263" s="102"/>
      <c r="G263" s="102"/>
      <c r="H263" s="102"/>
    </row>
    <row r="264" spans="1:8" s="16" customFormat="1" x14ac:dyDescent="0.3">
      <c r="A264" s="102"/>
      <c r="B264" s="102"/>
      <c r="C264" s="102"/>
      <c r="D264" s="102"/>
      <c r="E264" s="102"/>
      <c r="F264" s="102"/>
      <c r="G264" s="102"/>
      <c r="H264" s="102"/>
    </row>
    <row r="265" spans="1:8" s="16" customFormat="1" x14ac:dyDescent="0.3">
      <c r="A265" s="102"/>
      <c r="B265" s="102"/>
      <c r="C265" s="102"/>
      <c r="D265" s="102"/>
      <c r="E265" s="102"/>
      <c r="F265" s="102"/>
      <c r="G265" s="102"/>
      <c r="H265" s="102"/>
    </row>
    <row r="266" spans="1:8" s="16" customFormat="1" x14ac:dyDescent="0.3">
      <c r="A266" s="102"/>
      <c r="B266" s="102"/>
      <c r="C266" s="102"/>
      <c r="D266" s="102"/>
      <c r="E266" s="102"/>
      <c r="F266" s="102"/>
      <c r="G266" s="102"/>
      <c r="H266" s="102"/>
    </row>
    <row r="267" spans="1:8" s="16" customFormat="1" x14ac:dyDescent="0.3">
      <c r="A267" s="102"/>
      <c r="B267" s="102"/>
      <c r="C267" s="102"/>
      <c r="D267" s="102"/>
      <c r="E267" s="102"/>
      <c r="F267" s="102"/>
      <c r="G267" s="102"/>
      <c r="H267" s="102"/>
    </row>
    <row r="268" spans="1:8" s="16" customFormat="1" x14ac:dyDescent="0.3">
      <c r="A268" s="102"/>
      <c r="B268" s="102"/>
      <c r="C268" s="102"/>
      <c r="D268" s="102"/>
      <c r="E268" s="102"/>
      <c r="F268" s="102"/>
      <c r="G268" s="102"/>
      <c r="H268" s="102"/>
    </row>
    <row r="269" spans="1:8" s="16" customFormat="1" x14ac:dyDescent="0.3">
      <c r="A269" s="102"/>
      <c r="B269" s="102"/>
      <c r="C269" s="102"/>
      <c r="D269" s="102"/>
      <c r="E269" s="102"/>
      <c r="F269" s="102"/>
      <c r="G269" s="102"/>
      <c r="H269" s="102"/>
    </row>
    <row r="270" spans="1:8" s="16" customFormat="1" x14ac:dyDescent="0.3">
      <c r="A270" s="102"/>
      <c r="B270" s="102"/>
      <c r="C270" s="102"/>
      <c r="D270" s="102"/>
      <c r="E270" s="102"/>
      <c r="F270" s="102"/>
      <c r="G270" s="102"/>
      <c r="H270" s="102"/>
    </row>
    <row r="271" spans="1:8" s="16" customFormat="1" x14ac:dyDescent="0.3">
      <c r="A271" s="102"/>
      <c r="B271" s="102"/>
      <c r="C271" s="102"/>
      <c r="D271" s="102"/>
      <c r="E271" s="102"/>
      <c r="F271" s="102"/>
      <c r="G271" s="102"/>
      <c r="H271" s="102"/>
    </row>
    <row r="272" spans="1:8" s="16" customFormat="1" x14ac:dyDescent="0.3">
      <c r="A272" s="102"/>
      <c r="B272" s="102"/>
      <c r="C272" s="102"/>
      <c r="D272" s="102"/>
      <c r="E272" s="102"/>
      <c r="F272" s="102"/>
      <c r="G272" s="102"/>
      <c r="H272" s="102"/>
    </row>
    <row r="273" spans="1:8" s="16" customFormat="1" x14ac:dyDescent="0.3">
      <c r="A273" s="102"/>
      <c r="B273" s="102"/>
      <c r="C273" s="102"/>
      <c r="D273" s="102"/>
      <c r="E273" s="102"/>
      <c r="F273" s="102"/>
      <c r="G273" s="102"/>
      <c r="H273" s="102"/>
    </row>
    <row r="274" spans="1:8" s="16" customFormat="1" x14ac:dyDescent="0.3">
      <c r="A274" s="102"/>
      <c r="B274" s="102"/>
      <c r="C274" s="102"/>
      <c r="D274" s="102"/>
      <c r="E274" s="102"/>
      <c r="F274" s="102"/>
      <c r="G274" s="102"/>
      <c r="H274" s="102"/>
    </row>
    <row r="275" spans="1:8" s="16" customFormat="1" x14ac:dyDescent="0.3">
      <c r="A275" s="102"/>
      <c r="B275" s="102"/>
      <c r="C275" s="102"/>
      <c r="D275" s="102"/>
      <c r="E275" s="102"/>
      <c r="F275" s="102"/>
      <c r="G275" s="102"/>
      <c r="H275" s="102"/>
    </row>
    <row r="276" spans="1:8" s="16" customFormat="1" x14ac:dyDescent="0.3">
      <c r="A276" s="102"/>
      <c r="B276" s="102"/>
      <c r="C276" s="102"/>
      <c r="D276" s="102"/>
      <c r="E276" s="102"/>
      <c r="F276" s="102"/>
      <c r="G276" s="102"/>
      <c r="H276" s="102"/>
    </row>
    <row r="277" spans="1:8" s="16" customFormat="1" x14ac:dyDescent="0.3">
      <c r="A277" s="102"/>
      <c r="B277" s="102"/>
      <c r="C277" s="102"/>
      <c r="D277" s="102"/>
      <c r="E277" s="102"/>
      <c r="F277" s="102"/>
      <c r="G277" s="102"/>
      <c r="H277" s="102"/>
    </row>
    <row r="278" spans="1:8" s="16" customFormat="1" x14ac:dyDescent="0.3">
      <c r="A278" s="102"/>
      <c r="B278" s="102"/>
      <c r="C278" s="102"/>
      <c r="D278" s="102"/>
      <c r="E278" s="102"/>
      <c r="F278" s="102"/>
      <c r="G278" s="102"/>
      <c r="H278" s="102"/>
    </row>
    <row r="279" spans="1:8" s="16" customFormat="1" x14ac:dyDescent="0.3">
      <c r="A279" s="102"/>
      <c r="B279" s="102"/>
      <c r="C279" s="102"/>
      <c r="D279" s="102"/>
      <c r="E279" s="102"/>
      <c r="F279" s="102"/>
      <c r="G279" s="102"/>
      <c r="H279" s="102"/>
    </row>
    <row r="280" spans="1:8" s="16" customFormat="1" x14ac:dyDescent="0.3">
      <c r="A280" s="102"/>
      <c r="B280" s="102"/>
      <c r="C280" s="102"/>
      <c r="D280" s="102"/>
      <c r="E280" s="102"/>
      <c r="F280" s="102"/>
      <c r="G280" s="102"/>
      <c r="H280" s="102"/>
    </row>
    <row r="281" spans="1:8" s="16" customFormat="1" x14ac:dyDescent="0.3">
      <c r="A281" s="102"/>
      <c r="B281" s="102"/>
      <c r="C281" s="102"/>
      <c r="D281" s="102"/>
      <c r="E281" s="102"/>
      <c r="F281" s="102"/>
      <c r="G281" s="102"/>
      <c r="H281" s="102"/>
    </row>
    <row r="282" spans="1:8" s="16" customFormat="1" x14ac:dyDescent="0.3">
      <c r="A282" s="102"/>
      <c r="B282" s="102"/>
      <c r="C282" s="102"/>
      <c r="D282" s="102"/>
      <c r="E282" s="102"/>
      <c r="F282" s="102"/>
      <c r="G282" s="102"/>
      <c r="H282" s="102"/>
    </row>
    <row r="283" spans="1:8" s="16" customFormat="1" x14ac:dyDescent="0.3">
      <c r="A283" s="102"/>
      <c r="B283" s="102"/>
      <c r="C283" s="102"/>
      <c r="D283" s="102"/>
      <c r="E283" s="102"/>
      <c r="F283" s="102"/>
      <c r="G283" s="102"/>
      <c r="H283" s="102"/>
    </row>
    <row r="284" spans="1:8" s="16" customFormat="1" x14ac:dyDescent="0.3">
      <c r="A284" s="102"/>
      <c r="B284" s="102"/>
      <c r="C284" s="102"/>
      <c r="D284" s="102"/>
      <c r="E284" s="102"/>
      <c r="F284" s="102"/>
      <c r="G284" s="102"/>
      <c r="H284" s="102"/>
    </row>
    <row r="285" spans="1:8" s="16" customFormat="1" x14ac:dyDescent="0.3">
      <c r="A285" s="102"/>
      <c r="B285" s="102"/>
      <c r="C285" s="102"/>
      <c r="D285" s="102"/>
      <c r="E285" s="102"/>
      <c r="F285" s="102"/>
      <c r="G285" s="102"/>
      <c r="H285" s="102"/>
    </row>
    <row r="286" spans="1:8" s="16" customFormat="1" x14ac:dyDescent="0.3">
      <c r="A286" s="102"/>
      <c r="B286" s="102"/>
      <c r="C286" s="102"/>
      <c r="D286" s="102"/>
      <c r="E286" s="102"/>
      <c r="F286" s="102"/>
      <c r="G286" s="102"/>
      <c r="H286" s="102"/>
    </row>
    <row r="287" spans="1:8" s="16" customFormat="1" x14ac:dyDescent="0.3">
      <c r="A287" s="102"/>
      <c r="B287" s="102"/>
      <c r="C287" s="102"/>
      <c r="D287" s="102"/>
      <c r="E287" s="102"/>
      <c r="F287" s="102"/>
      <c r="G287" s="102"/>
      <c r="H287" s="102"/>
    </row>
    <row r="288" spans="1:8" s="16" customFormat="1" x14ac:dyDescent="0.3">
      <c r="A288" s="102"/>
      <c r="B288" s="102"/>
      <c r="C288" s="102"/>
      <c r="D288" s="102"/>
      <c r="E288" s="102"/>
      <c r="F288" s="102"/>
      <c r="G288" s="102"/>
      <c r="H288" s="102"/>
    </row>
    <row r="289" spans="1:8" s="16" customFormat="1" x14ac:dyDescent="0.3">
      <c r="A289" s="102"/>
      <c r="B289" s="102"/>
      <c r="C289" s="102"/>
      <c r="D289" s="102"/>
      <c r="E289" s="102"/>
      <c r="F289" s="102"/>
      <c r="G289" s="102"/>
      <c r="H289" s="102"/>
    </row>
    <row r="290" spans="1:8" s="16" customFormat="1" x14ac:dyDescent="0.3">
      <c r="A290" s="102"/>
      <c r="B290" s="102"/>
      <c r="C290" s="102"/>
      <c r="D290" s="102"/>
      <c r="E290" s="102"/>
      <c r="F290" s="102"/>
      <c r="G290" s="102"/>
      <c r="H290" s="102"/>
    </row>
    <row r="291" spans="1:8" s="16" customFormat="1" x14ac:dyDescent="0.3">
      <c r="A291" s="102"/>
      <c r="B291" s="102"/>
      <c r="C291" s="102"/>
      <c r="D291" s="102"/>
      <c r="E291" s="102"/>
      <c r="F291" s="102"/>
      <c r="G291" s="102"/>
      <c r="H291" s="102"/>
    </row>
    <row r="292" spans="1:8" s="16" customFormat="1" x14ac:dyDescent="0.3">
      <c r="A292" s="102"/>
      <c r="B292" s="102"/>
      <c r="C292" s="102"/>
      <c r="D292" s="102"/>
      <c r="E292" s="102"/>
      <c r="F292" s="102"/>
      <c r="G292" s="102"/>
      <c r="H292" s="102"/>
    </row>
    <row r="293" spans="1:8" s="16" customFormat="1" x14ac:dyDescent="0.3">
      <c r="A293" s="102"/>
      <c r="B293" s="102"/>
      <c r="C293" s="102"/>
      <c r="D293" s="102"/>
      <c r="E293" s="102"/>
      <c r="F293" s="102"/>
      <c r="G293" s="102"/>
      <c r="H293" s="102"/>
    </row>
    <row r="294" spans="1:8" s="16" customFormat="1" x14ac:dyDescent="0.3">
      <c r="A294" s="102"/>
      <c r="B294" s="102"/>
      <c r="C294" s="102"/>
      <c r="D294" s="102"/>
      <c r="E294" s="102"/>
      <c r="F294" s="102"/>
      <c r="G294" s="102"/>
      <c r="H294" s="102"/>
    </row>
    <row r="295" spans="1:8" s="16" customFormat="1" x14ac:dyDescent="0.3">
      <c r="A295" s="102"/>
      <c r="B295" s="102"/>
      <c r="C295" s="102"/>
      <c r="D295" s="102"/>
      <c r="E295" s="102"/>
      <c r="F295" s="102"/>
      <c r="G295" s="102"/>
      <c r="H295" s="102"/>
    </row>
    <row r="296" spans="1:8" s="16" customFormat="1" x14ac:dyDescent="0.3">
      <c r="A296" s="102"/>
      <c r="B296" s="102"/>
      <c r="C296" s="102"/>
      <c r="D296" s="102"/>
      <c r="E296" s="102"/>
      <c r="F296" s="102"/>
      <c r="G296" s="102"/>
      <c r="H296" s="102"/>
    </row>
    <row r="297" spans="1:8" s="16" customFormat="1" x14ac:dyDescent="0.3">
      <c r="A297" s="102"/>
      <c r="B297" s="102"/>
      <c r="C297" s="102"/>
      <c r="D297" s="102"/>
      <c r="E297" s="102"/>
      <c r="F297" s="102"/>
      <c r="G297" s="102"/>
      <c r="H297" s="102"/>
    </row>
    <row r="298" spans="1:8" s="16" customFormat="1" x14ac:dyDescent="0.3">
      <c r="A298" s="102"/>
      <c r="B298" s="102"/>
      <c r="C298" s="102"/>
      <c r="D298" s="102"/>
      <c r="E298" s="102"/>
      <c r="F298" s="102"/>
      <c r="G298" s="102"/>
      <c r="H298" s="102"/>
    </row>
    <row r="299" spans="1:8" s="16" customFormat="1" x14ac:dyDescent="0.3">
      <c r="A299" s="102"/>
      <c r="B299" s="102"/>
      <c r="C299" s="102"/>
      <c r="D299" s="102"/>
      <c r="E299" s="102"/>
      <c r="F299" s="102"/>
      <c r="G299" s="102"/>
      <c r="H299" s="102"/>
    </row>
    <row r="300" spans="1:8" s="16" customFormat="1" x14ac:dyDescent="0.3">
      <c r="A300" s="102"/>
      <c r="B300" s="102"/>
      <c r="C300" s="102"/>
      <c r="D300" s="102"/>
      <c r="E300" s="102"/>
      <c r="F300" s="102"/>
      <c r="G300" s="102"/>
      <c r="H300" s="102"/>
    </row>
    <row r="301" spans="1:8" s="16" customFormat="1" x14ac:dyDescent="0.3">
      <c r="A301" s="102"/>
      <c r="B301" s="102"/>
      <c r="C301" s="102"/>
      <c r="D301" s="102"/>
      <c r="E301" s="102"/>
      <c r="F301" s="102"/>
      <c r="G301" s="102"/>
      <c r="H301" s="102"/>
    </row>
    <row r="302" spans="1:8" s="16" customFormat="1" x14ac:dyDescent="0.3">
      <c r="A302" s="102"/>
      <c r="B302" s="102"/>
      <c r="C302" s="102"/>
      <c r="D302" s="102"/>
      <c r="E302" s="102"/>
      <c r="F302" s="102"/>
      <c r="G302" s="102"/>
      <c r="H302" s="102"/>
    </row>
    <row r="303" spans="1:8" s="16" customFormat="1" x14ac:dyDescent="0.3">
      <c r="A303" s="102"/>
      <c r="B303" s="102"/>
      <c r="C303" s="102"/>
      <c r="D303" s="102"/>
      <c r="E303" s="102"/>
      <c r="F303" s="102"/>
      <c r="G303" s="102"/>
      <c r="H303" s="102"/>
    </row>
    <row r="304" spans="1:8" s="16" customFormat="1" x14ac:dyDescent="0.3">
      <c r="A304" s="102"/>
      <c r="B304" s="102"/>
      <c r="C304" s="102"/>
      <c r="D304" s="102"/>
      <c r="E304" s="102"/>
      <c r="F304" s="102"/>
      <c r="G304" s="102"/>
      <c r="H304" s="102"/>
    </row>
    <row r="305" spans="1:8" s="16" customFormat="1" x14ac:dyDescent="0.3">
      <c r="A305" s="102"/>
      <c r="B305" s="102"/>
      <c r="C305" s="102"/>
      <c r="D305" s="102"/>
      <c r="E305" s="102"/>
      <c r="F305" s="102"/>
      <c r="G305" s="102"/>
      <c r="H305" s="102"/>
    </row>
    <row r="306" spans="1:8" s="16" customFormat="1" x14ac:dyDescent="0.3">
      <c r="A306" s="102"/>
      <c r="B306" s="102"/>
      <c r="C306" s="102"/>
      <c r="D306" s="102"/>
      <c r="E306" s="102"/>
      <c r="F306" s="102"/>
      <c r="G306" s="102"/>
      <c r="H306" s="102"/>
    </row>
    <row r="307" spans="1:8" s="16" customFormat="1" x14ac:dyDescent="0.3">
      <c r="A307" s="102"/>
      <c r="B307" s="102"/>
      <c r="C307" s="102"/>
      <c r="D307" s="102"/>
      <c r="E307" s="102"/>
      <c r="F307" s="102"/>
      <c r="G307" s="102"/>
      <c r="H307" s="102"/>
    </row>
    <row r="308" spans="1:8" s="16" customFormat="1" x14ac:dyDescent="0.3">
      <c r="A308" s="102"/>
      <c r="B308" s="102"/>
      <c r="C308" s="102"/>
      <c r="D308" s="102"/>
      <c r="E308" s="102"/>
      <c r="F308" s="102"/>
      <c r="G308" s="102"/>
      <c r="H308" s="102"/>
    </row>
    <row r="309" spans="1:8" s="16" customFormat="1" x14ac:dyDescent="0.3">
      <c r="A309" s="102"/>
      <c r="B309" s="102"/>
      <c r="C309" s="102"/>
      <c r="D309" s="102"/>
      <c r="E309" s="102"/>
      <c r="F309" s="102"/>
      <c r="G309" s="102"/>
      <c r="H309" s="102"/>
    </row>
    <row r="310" spans="1:8" s="16" customFormat="1" x14ac:dyDescent="0.3">
      <c r="A310" s="102"/>
      <c r="B310" s="102"/>
      <c r="C310" s="102"/>
      <c r="D310" s="102"/>
      <c r="E310" s="102"/>
      <c r="F310" s="102"/>
      <c r="G310" s="102"/>
      <c r="H310" s="102"/>
    </row>
    <row r="311" spans="1:8" s="16" customFormat="1" x14ac:dyDescent="0.3">
      <c r="A311" s="102"/>
      <c r="B311" s="102"/>
      <c r="C311" s="102"/>
      <c r="D311" s="102"/>
      <c r="E311" s="102"/>
      <c r="F311" s="102"/>
      <c r="G311" s="102"/>
      <c r="H311" s="102"/>
    </row>
    <row r="312" spans="1:8" s="16" customFormat="1" x14ac:dyDescent="0.3">
      <c r="A312" s="102"/>
      <c r="B312" s="102"/>
      <c r="C312" s="102"/>
      <c r="D312" s="102"/>
      <c r="E312" s="102"/>
      <c r="F312" s="102"/>
      <c r="G312" s="102"/>
      <c r="H312" s="102"/>
    </row>
    <row r="313" spans="1:8" s="16" customFormat="1" x14ac:dyDescent="0.3">
      <c r="A313" s="102"/>
      <c r="B313" s="102"/>
      <c r="C313" s="102"/>
      <c r="D313" s="102"/>
      <c r="E313" s="102"/>
      <c r="F313" s="102"/>
      <c r="G313" s="102"/>
      <c r="H313" s="102"/>
    </row>
    <row r="314" spans="1:8" s="16" customFormat="1" x14ac:dyDescent="0.3">
      <c r="A314" s="102"/>
      <c r="B314" s="102"/>
      <c r="C314" s="102"/>
      <c r="D314" s="102"/>
      <c r="E314" s="102"/>
      <c r="F314" s="102"/>
      <c r="G314" s="102"/>
      <c r="H314" s="102"/>
    </row>
    <row r="315" spans="1:8" s="16" customFormat="1" x14ac:dyDescent="0.3">
      <c r="A315" s="102"/>
      <c r="B315" s="102"/>
      <c r="C315" s="102"/>
      <c r="D315" s="102"/>
      <c r="E315" s="102"/>
      <c r="F315" s="102"/>
      <c r="G315" s="102"/>
      <c r="H315" s="102"/>
    </row>
    <row r="316" spans="1:8" s="16" customFormat="1" x14ac:dyDescent="0.3">
      <c r="A316" s="102"/>
      <c r="B316" s="102"/>
      <c r="C316" s="102"/>
      <c r="D316" s="102"/>
      <c r="E316" s="102"/>
      <c r="F316" s="102"/>
      <c r="G316" s="102"/>
      <c r="H316" s="102"/>
    </row>
    <row r="317" spans="1:8" s="16" customFormat="1" x14ac:dyDescent="0.3">
      <c r="A317" s="102"/>
      <c r="B317" s="102"/>
      <c r="C317" s="102"/>
      <c r="D317" s="102"/>
      <c r="E317" s="102"/>
      <c r="F317" s="102"/>
      <c r="G317" s="102"/>
      <c r="H317" s="102"/>
    </row>
    <row r="318" spans="1:8" s="16" customFormat="1" x14ac:dyDescent="0.3">
      <c r="A318" s="102"/>
      <c r="B318" s="102"/>
      <c r="C318" s="102"/>
      <c r="D318" s="102"/>
      <c r="E318" s="102"/>
      <c r="F318" s="102"/>
      <c r="G318" s="102"/>
      <c r="H318" s="102"/>
    </row>
    <row r="319" spans="1:8" s="16" customFormat="1" x14ac:dyDescent="0.3">
      <c r="A319" s="102"/>
      <c r="B319" s="102"/>
      <c r="C319" s="102"/>
      <c r="D319" s="102"/>
      <c r="E319" s="102"/>
      <c r="F319" s="102"/>
      <c r="G319" s="102"/>
      <c r="H319" s="102"/>
    </row>
    <row r="320" spans="1:8" s="16" customFormat="1" x14ac:dyDescent="0.3">
      <c r="A320" s="102"/>
      <c r="B320" s="102"/>
      <c r="C320" s="102"/>
      <c r="D320" s="102"/>
      <c r="E320" s="102"/>
      <c r="F320" s="102"/>
      <c r="G320" s="102"/>
      <c r="H320" s="102"/>
    </row>
    <row r="321" spans="1:8" s="16" customFormat="1" x14ac:dyDescent="0.3">
      <c r="A321" s="102"/>
      <c r="B321" s="102"/>
      <c r="C321" s="102"/>
      <c r="D321" s="102"/>
      <c r="E321" s="102"/>
      <c r="F321" s="102"/>
      <c r="G321" s="102"/>
      <c r="H321" s="102"/>
    </row>
    <row r="322" spans="1:8" s="16" customFormat="1" x14ac:dyDescent="0.3">
      <c r="A322" s="102"/>
      <c r="B322" s="102"/>
      <c r="C322" s="102"/>
      <c r="D322" s="102"/>
      <c r="E322" s="102"/>
      <c r="F322" s="102"/>
      <c r="G322" s="102"/>
      <c r="H322" s="102"/>
    </row>
    <row r="323" spans="1:8" s="16" customFormat="1" x14ac:dyDescent="0.3">
      <c r="A323" s="102"/>
      <c r="B323" s="102"/>
      <c r="C323" s="102"/>
      <c r="D323" s="102"/>
      <c r="E323" s="102"/>
      <c r="F323" s="102"/>
      <c r="G323" s="102"/>
      <c r="H323" s="102"/>
    </row>
    <row r="324" spans="1:8" s="16" customFormat="1" x14ac:dyDescent="0.3">
      <c r="A324" s="102"/>
      <c r="B324" s="102"/>
      <c r="C324" s="102"/>
      <c r="D324" s="102"/>
      <c r="E324" s="102"/>
      <c r="F324" s="102"/>
      <c r="G324" s="102"/>
      <c r="H324" s="102"/>
    </row>
    <row r="325" spans="1:8" s="16" customFormat="1" x14ac:dyDescent="0.3">
      <c r="A325" s="102"/>
      <c r="B325" s="102"/>
      <c r="C325" s="102"/>
      <c r="D325" s="102"/>
      <c r="E325" s="102"/>
      <c r="F325" s="102"/>
      <c r="G325" s="102"/>
      <c r="H325" s="102"/>
    </row>
    <row r="326" spans="1:8" s="16" customFormat="1" x14ac:dyDescent="0.3">
      <c r="A326" s="102"/>
      <c r="B326" s="102"/>
      <c r="C326" s="102"/>
      <c r="D326" s="102"/>
      <c r="E326" s="102"/>
      <c r="F326" s="102"/>
      <c r="G326" s="102"/>
      <c r="H326" s="102"/>
    </row>
    <row r="327" spans="1:8" s="16" customFormat="1" x14ac:dyDescent="0.3">
      <c r="A327" s="102"/>
      <c r="B327" s="102"/>
      <c r="C327" s="102"/>
      <c r="D327" s="102"/>
      <c r="E327" s="102"/>
      <c r="F327" s="102"/>
      <c r="G327" s="102"/>
      <c r="H327" s="102"/>
    </row>
    <row r="328" spans="1:8" s="16" customFormat="1" x14ac:dyDescent="0.3">
      <c r="A328" s="102"/>
      <c r="B328" s="102"/>
      <c r="C328" s="102"/>
      <c r="D328" s="102"/>
      <c r="E328" s="102"/>
      <c r="F328" s="102"/>
      <c r="G328" s="102"/>
      <c r="H328" s="102"/>
    </row>
    <row r="329" spans="1:8" s="16" customFormat="1" x14ac:dyDescent="0.3">
      <c r="A329" s="102"/>
      <c r="B329" s="102"/>
      <c r="C329" s="102"/>
      <c r="D329" s="102"/>
      <c r="E329" s="102"/>
      <c r="F329" s="102"/>
      <c r="G329" s="102"/>
      <c r="H329" s="102"/>
    </row>
    <row r="330" spans="1:8" s="16" customFormat="1" x14ac:dyDescent="0.3">
      <c r="A330" s="102"/>
      <c r="B330" s="102"/>
      <c r="C330" s="102"/>
      <c r="D330" s="102"/>
      <c r="E330" s="102"/>
      <c r="F330" s="102"/>
      <c r="G330" s="102"/>
      <c r="H330" s="102"/>
    </row>
    <row r="331" spans="1:8" s="16" customFormat="1" x14ac:dyDescent="0.3">
      <c r="A331" s="102"/>
      <c r="B331" s="102"/>
      <c r="C331" s="102"/>
      <c r="D331" s="102"/>
      <c r="E331" s="102"/>
      <c r="F331" s="102"/>
      <c r="G331" s="102"/>
      <c r="H331" s="102"/>
    </row>
    <row r="332" spans="1:8" s="16" customFormat="1" x14ac:dyDescent="0.3">
      <c r="A332" s="102"/>
      <c r="B332" s="102"/>
      <c r="C332" s="102"/>
      <c r="D332" s="102"/>
      <c r="E332" s="102"/>
      <c r="F332" s="102"/>
      <c r="G332" s="102"/>
      <c r="H332" s="102"/>
    </row>
    <row r="333" spans="1:8" s="16" customFormat="1" x14ac:dyDescent="0.3">
      <c r="A333" s="102"/>
      <c r="B333" s="102"/>
      <c r="C333" s="102"/>
      <c r="D333" s="102"/>
      <c r="E333" s="102"/>
      <c r="F333" s="102"/>
      <c r="G333" s="102"/>
      <c r="H333" s="102"/>
    </row>
    <row r="334" spans="1:8" s="16" customFormat="1" x14ac:dyDescent="0.3">
      <c r="A334" s="102"/>
      <c r="B334" s="102"/>
      <c r="C334" s="102"/>
      <c r="D334" s="102"/>
      <c r="E334" s="102"/>
      <c r="F334" s="102"/>
      <c r="G334" s="102"/>
      <c r="H334" s="102"/>
    </row>
    <row r="335" spans="1:8" s="16" customFormat="1" x14ac:dyDescent="0.3">
      <c r="A335" s="102"/>
      <c r="B335" s="102"/>
      <c r="C335" s="102"/>
      <c r="D335" s="102"/>
      <c r="E335" s="102"/>
      <c r="F335" s="102"/>
      <c r="G335" s="102"/>
      <c r="H335" s="102"/>
    </row>
    <row r="336" spans="1:8" s="16" customFormat="1" x14ac:dyDescent="0.3">
      <c r="A336" s="102"/>
      <c r="B336" s="102"/>
      <c r="C336" s="102"/>
      <c r="D336" s="102"/>
      <c r="E336" s="102"/>
      <c r="F336" s="102"/>
      <c r="G336" s="102"/>
      <c r="H336" s="102"/>
    </row>
    <row r="337" spans="1:8" s="16" customFormat="1" x14ac:dyDescent="0.3">
      <c r="A337" s="102"/>
      <c r="B337" s="102"/>
      <c r="C337" s="102"/>
      <c r="D337" s="102"/>
      <c r="E337" s="102"/>
      <c r="F337" s="102"/>
      <c r="G337" s="102"/>
      <c r="H337" s="102"/>
    </row>
    <row r="338" spans="1:8" s="16" customFormat="1" x14ac:dyDescent="0.3">
      <c r="A338" s="102"/>
      <c r="B338" s="102"/>
      <c r="C338" s="102"/>
      <c r="D338" s="102"/>
      <c r="E338" s="102"/>
      <c r="F338" s="102"/>
      <c r="G338" s="102"/>
      <c r="H338" s="102"/>
    </row>
    <row r="339" spans="1:8" s="16" customFormat="1" x14ac:dyDescent="0.3">
      <c r="A339" s="102"/>
      <c r="B339" s="102"/>
      <c r="C339" s="102"/>
      <c r="D339" s="102"/>
      <c r="E339" s="102"/>
      <c r="F339" s="102"/>
      <c r="G339" s="102"/>
      <c r="H339" s="102"/>
    </row>
    <row r="340" spans="1:8" s="16" customFormat="1" x14ac:dyDescent="0.3">
      <c r="A340" s="102"/>
      <c r="B340" s="102"/>
      <c r="C340" s="102"/>
      <c r="D340" s="102"/>
      <c r="E340" s="102"/>
      <c r="F340" s="102"/>
      <c r="G340" s="102"/>
      <c r="H340" s="102"/>
    </row>
    <row r="341" spans="1:8" s="16" customFormat="1" x14ac:dyDescent="0.3">
      <c r="A341" s="102"/>
      <c r="B341" s="102"/>
      <c r="C341" s="102"/>
      <c r="D341" s="102"/>
      <c r="E341" s="102"/>
      <c r="F341" s="102"/>
      <c r="G341" s="102"/>
      <c r="H341" s="102"/>
    </row>
    <row r="342" spans="1:8" s="16" customFormat="1" x14ac:dyDescent="0.3">
      <c r="A342" s="102"/>
      <c r="B342" s="102"/>
      <c r="C342" s="102"/>
      <c r="D342" s="102"/>
      <c r="E342" s="102"/>
      <c r="F342" s="102"/>
      <c r="G342" s="102"/>
      <c r="H342" s="102"/>
    </row>
    <row r="343" spans="1:8" s="16" customFormat="1" x14ac:dyDescent="0.3">
      <c r="A343" s="102"/>
      <c r="B343" s="102"/>
      <c r="C343" s="102"/>
      <c r="D343" s="102"/>
      <c r="E343" s="102"/>
      <c r="F343" s="102"/>
      <c r="G343" s="102"/>
      <c r="H343" s="102"/>
    </row>
    <row r="344" spans="1:8" s="16" customFormat="1" x14ac:dyDescent="0.3">
      <c r="A344" s="102"/>
      <c r="B344" s="102"/>
      <c r="C344" s="102"/>
      <c r="D344" s="102"/>
      <c r="E344" s="102"/>
      <c r="F344" s="102"/>
      <c r="G344" s="102"/>
      <c r="H344" s="102"/>
    </row>
    <row r="345" spans="1:8" s="16" customFormat="1" x14ac:dyDescent="0.3">
      <c r="A345" s="102"/>
      <c r="B345" s="102"/>
      <c r="C345" s="102"/>
      <c r="D345" s="102"/>
      <c r="E345" s="102"/>
      <c r="F345" s="102"/>
      <c r="G345" s="102"/>
      <c r="H345" s="102"/>
    </row>
    <row r="346" spans="1:8" s="16" customFormat="1" x14ac:dyDescent="0.3">
      <c r="A346" s="102"/>
      <c r="B346" s="102"/>
      <c r="C346" s="102"/>
      <c r="D346" s="102"/>
      <c r="E346" s="102"/>
      <c r="F346" s="102"/>
      <c r="G346" s="102"/>
      <c r="H346" s="102"/>
    </row>
    <row r="347" spans="1:8" s="16" customFormat="1" x14ac:dyDescent="0.3">
      <c r="A347" s="102"/>
      <c r="B347" s="102"/>
      <c r="C347" s="102"/>
      <c r="D347" s="102"/>
      <c r="E347" s="102"/>
      <c r="F347" s="102"/>
      <c r="G347" s="102"/>
      <c r="H347" s="102"/>
    </row>
    <row r="348" spans="1:8" s="16" customFormat="1" x14ac:dyDescent="0.3">
      <c r="A348" s="102"/>
      <c r="B348" s="102"/>
      <c r="C348" s="102"/>
      <c r="D348" s="102"/>
      <c r="E348" s="102"/>
      <c r="F348" s="102"/>
      <c r="G348" s="102"/>
      <c r="H348" s="102"/>
    </row>
    <row r="349" spans="1:8" s="16" customFormat="1" x14ac:dyDescent="0.3">
      <c r="A349" s="102"/>
      <c r="B349" s="102"/>
      <c r="C349" s="102"/>
      <c r="D349" s="102"/>
      <c r="E349" s="102"/>
      <c r="F349" s="102"/>
      <c r="G349" s="102"/>
      <c r="H349" s="102"/>
    </row>
    <row r="350" spans="1:8" s="16" customFormat="1" x14ac:dyDescent="0.3">
      <c r="A350" s="102"/>
      <c r="B350" s="102"/>
      <c r="C350" s="102"/>
      <c r="D350" s="102"/>
      <c r="E350" s="102"/>
      <c r="F350" s="102"/>
      <c r="G350" s="102"/>
      <c r="H350" s="102"/>
    </row>
    <row r="351" spans="1:8" s="16" customFormat="1" x14ac:dyDescent="0.3">
      <c r="A351" s="102"/>
      <c r="B351" s="102"/>
      <c r="C351" s="102"/>
      <c r="D351" s="102"/>
      <c r="E351" s="102"/>
      <c r="F351" s="102"/>
      <c r="G351" s="102"/>
      <c r="H351" s="102"/>
    </row>
    <row r="352" spans="1:8" s="16" customFormat="1" x14ac:dyDescent="0.3">
      <c r="A352" s="102"/>
      <c r="B352" s="102"/>
      <c r="C352" s="102"/>
      <c r="D352" s="102"/>
      <c r="E352" s="102"/>
      <c r="F352" s="102"/>
      <c r="G352" s="102"/>
      <c r="H352" s="102"/>
    </row>
    <row r="353" spans="1:29" s="16" customFormat="1" x14ac:dyDescent="0.3">
      <c r="A353" s="102"/>
      <c r="B353" s="102"/>
      <c r="C353" s="102"/>
      <c r="D353" s="102"/>
      <c r="E353" s="102"/>
      <c r="F353" s="102"/>
      <c r="G353" s="102"/>
      <c r="H353" s="102"/>
    </row>
    <row r="354" spans="1:29" s="16" customFormat="1" x14ac:dyDescent="0.3">
      <c r="A354" s="102"/>
      <c r="B354" s="102"/>
      <c r="C354" s="102"/>
      <c r="D354" s="102"/>
      <c r="E354" s="102"/>
      <c r="F354" s="102"/>
      <c r="G354" s="102"/>
      <c r="H354" s="102"/>
    </row>
    <row r="355" spans="1:29" s="16" customFormat="1" x14ac:dyDescent="0.3">
      <c r="A355" s="102"/>
      <c r="B355" s="102"/>
      <c r="C355" s="102"/>
      <c r="D355" s="102"/>
      <c r="E355" s="102"/>
      <c r="F355" s="102"/>
      <c r="G355" s="102"/>
      <c r="H355" s="102"/>
    </row>
    <row r="356" spans="1:29" s="5" customFormat="1" x14ac:dyDescent="0.3">
      <c r="A356" s="102"/>
      <c r="B356" s="102"/>
      <c r="C356" s="102"/>
      <c r="D356" s="102"/>
      <c r="E356" s="102"/>
      <c r="F356" s="102"/>
      <c r="G356" s="102"/>
      <c r="H356" s="102"/>
      <c r="I356" s="16"/>
      <c r="J356" s="16"/>
      <c r="K356" s="16"/>
      <c r="L356" s="16"/>
      <c r="M356" s="16"/>
      <c r="N356" s="16"/>
      <c r="O356" s="16"/>
      <c r="P356" s="16"/>
      <c r="Q356" s="16"/>
      <c r="R356" s="16"/>
      <c r="S356" s="16"/>
      <c r="T356" s="16"/>
      <c r="U356" s="16"/>
      <c r="V356" s="16"/>
      <c r="W356" s="16"/>
      <c r="X356" s="16"/>
      <c r="Y356" s="16"/>
      <c r="Z356" s="16"/>
      <c r="AA356" s="16"/>
      <c r="AB356" s="16"/>
      <c r="AC356" s="16"/>
    </row>
    <row r="357" spans="1:29" s="5" customFormat="1" x14ac:dyDescent="0.3">
      <c r="A357" s="102"/>
      <c r="B357" s="102"/>
      <c r="C357" s="102"/>
      <c r="D357" s="102"/>
      <c r="E357" s="102"/>
      <c r="F357" s="102"/>
      <c r="G357" s="102"/>
      <c r="H357" s="102"/>
      <c r="I357" s="16"/>
      <c r="J357" s="16"/>
      <c r="K357" s="16"/>
      <c r="L357" s="16"/>
      <c r="M357" s="16"/>
      <c r="N357" s="16"/>
      <c r="O357" s="16"/>
      <c r="P357" s="16"/>
      <c r="Q357" s="16"/>
      <c r="R357" s="16"/>
      <c r="S357" s="16"/>
      <c r="T357" s="16"/>
      <c r="U357" s="16"/>
      <c r="V357" s="16"/>
      <c r="W357" s="16"/>
      <c r="X357" s="16"/>
      <c r="Y357" s="16"/>
      <c r="Z357" s="16"/>
      <c r="AA357" s="16"/>
      <c r="AB357" s="16"/>
      <c r="AC357" s="16"/>
    </row>
  </sheetData>
  <mergeCells count="43">
    <mergeCell ref="C114:D114"/>
    <mergeCell ref="C115:D115"/>
    <mergeCell ref="C5:G5"/>
    <mergeCell ref="C23:D23"/>
    <mergeCell ref="C45:D45"/>
    <mergeCell ref="C67:D67"/>
    <mergeCell ref="C89:D89"/>
    <mergeCell ref="C111:D111"/>
    <mergeCell ref="C93:D93"/>
    <mergeCell ref="D101:E101"/>
    <mergeCell ref="F101:G101"/>
    <mergeCell ref="C110:D110"/>
    <mergeCell ref="C112:D112"/>
    <mergeCell ref="C113:D113"/>
    <mergeCell ref="D79:E79"/>
    <mergeCell ref="F79:G79"/>
    <mergeCell ref="C88:D88"/>
    <mergeCell ref="C90:D90"/>
    <mergeCell ref="C91:D91"/>
    <mergeCell ref="C92:D92"/>
    <mergeCell ref="F57:G57"/>
    <mergeCell ref="C66:D66"/>
    <mergeCell ref="C68:D68"/>
    <mergeCell ref="C69:D69"/>
    <mergeCell ref="C70:D70"/>
    <mergeCell ref="C71:D71"/>
    <mergeCell ref="D57:E57"/>
    <mergeCell ref="C44:D44"/>
    <mergeCell ref="C46:D46"/>
    <mergeCell ref="C47:D47"/>
    <mergeCell ref="C48:D48"/>
    <mergeCell ref="C49:D49"/>
    <mergeCell ref="F35:G35"/>
    <mergeCell ref="B1:F1"/>
    <mergeCell ref="B3:C3"/>
    <mergeCell ref="D13:E13"/>
    <mergeCell ref="F13:G13"/>
    <mergeCell ref="C22:D22"/>
    <mergeCell ref="C24:D24"/>
    <mergeCell ref="C25:D25"/>
    <mergeCell ref="C26:D26"/>
    <mergeCell ref="C27:D27"/>
    <mergeCell ref="D35:E35"/>
  </mergeCells>
  <dataValidations count="1">
    <dataValidation type="list" allowBlank="1" showInputMessage="1" showErrorMessage="1" sqref="F53 F97 F31 F9 F75" xr:uid="{DA8B8E1C-DE34-4C26-9DAE-85D2B12B0D6F}">
      <formula1>$D$123:$D$131</formula1>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75792-F2C9-4235-8310-A46A90C25418}">
  <sheetPr>
    <tabColor rgb="FFC00000"/>
  </sheetPr>
  <dimension ref="A1:AL148"/>
  <sheetViews>
    <sheetView tabSelected="1" zoomScale="70" zoomScaleNormal="70" workbookViewId="0">
      <selection activeCell="C74" sqref="C74:M74"/>
    </sheetView>
  </sheetViews>
  <sheetFormatPr defaultColWidth="9.109375" defaultRowHeight="13.25" x14ac:dyDescent="0.3"/>
  <cols>
    <col min="1" max="1" width="1" style="59" customWidth="1"/>
    <col min="2" max="2" width="4.44140625" style="135" customWidth="1"/>
    <col min="3" max="3" width="9.109375" style="59"/>
    <col min="4" max="4" width="22.44140625" style="59" customWidth="1"/>
    <col min="5" max="10" width="20.88671875" style="59" customWidth="1"/>
    <col min="11" max="11" width="14.5546875" style="59" customWidth="1"/>
    <col min="12" max="13" width="16" style="59" customWidth="1"/>
    <col min="14" max="14" width="22.109375" style="59" customWidth="1"/>
    <col min="15" max="15" width="9.109375" style="5"/>
    <col min="16" max="16" width="9.109375" style="16"/>
    <col min="17" max="17" width="9.109375" style="16" bestFit="1"/>
    <col min="18" max="25" width="9.109375" style="16"/>
    <col min="26" max="26" width="11" style="16" bestFit="1" customWidth="1"/>
    <col min="27" max="38" width="9.109375" style="16"/>
    <col min="39" max="16384" width="9.109375" style="59"/>
  </cols>
  <sheetData>
    <row r="1" spans="1:38" ht="72.75" customHeight="1" x14ac:dyDescent="0.4">
      <c r="A1" s="60"/>
      <c r="B1" s="103" t="s">
        <v>137</v>
      </c>
      <c r="C1" s="61"/>
      <c r="D1" s="61"/>
      <c r="E1" s="61"/>
      <c r="F1" s="61"/>
      <c r="G1" s="61"/>
      <c r="H1" s="61"/>
      <c r="I1" s="61"/>
      <c r="J1" s="61"/>
      <c r="K1" s="61"/>
      <c r="L1" s="61"/>
      <c r="M1" s="104" t="str">
        <f>HYPERLINK("#'Index'!A1","Return to Index")</f>
        <v>Return to Index</v>
      </c>
      <c r="N1" s="62"/>
      <c r="P1" s="6"/>
      <c r="Q1" s="5"/>
      <c r="R1" s="8"/>
      <c r="S1" s="8"/>
      <c r="T1" s="8"/>
      <c r="U1" s="8"/>
      <c r="V1" s="11"/>
      <c r="W1" s="8"/>
      <c r="X1" s="8"/>
      <c r="Y1" s="8"/>
      <c r="Z1" s="9"/>
      <c r="AA1" s="8"/>
      <c r="AB1" s="11"/>
      <c r="AC1" s="11"/>
      <c r="AD1" s="11"/>
      <c r="AE1" s="11"/>
      <c r="AF1" s="11"/>
      <c r="AG1" s="11"/>
      <c r="AH1" s="11"/>
      <c r="AI1" s="11"/>
      <c r="AJ1" s="11"/>
      <c r="AK1" s="11"/>
      <c r="AL1" s="11"/>
    </row>
    <row r="2" spans="1:38" s="87" customFormat="1" ht="16.149999999999999" x14ac:dyDescent="0.35">
      <c r="A2" s="82"/>
      <c r="B2" s="105" t="str">
        <f>'[1]Group Information'!C9</f>
        <v>Enter Parent Company Name</v>
      </c>
      <c r="C2" s="106"/>
      <c r="D2" s="84"/>
      <c r="E2" s="84"/>
      <c r="F2" s="84"/>
      <c r="G2" s="84"/>
      <c r="H2" s="84"/>
      <c r="I2" s="84"/>
      <c r="J2" s="84"/>
      <c r="K2" s="84"/>
      <c r="L2" s="84"/>
      <c r="M2" s="84"/>
      <c r="N2" s="85"/>
      <c r="O2" s="91"/>
      <c r="P2" s="89"/>
      <c r="Q2" s="91"/>
      <c r="R2" s="86"/>
      <c r="S2" s="86"/>
      <c r="T2" s="86"/>
      <c r="U2" s="86"/>
      <c r="V2" s="86"/>
      <c r="W2" s="86"/>
      <c r="X2" s="86"/>
      <c r="Y2" s="86"/>
      <c r="Z2" s="86"/>
      <c r="AA2" s="86"/>
      <c r="AB2" s="11"/>
      <c r="AC2" s="11"/>
      <c r="AD2" s="11"/>
      <c r="AE2" s="11"/>
      <c r="AF2" s="11"/>
      <c r="AG2" s="11"/>
      <c r="AH2" s="11"/>
      <c r="AI2" s="11"/>
      <c r="AJ2" s="11"/>
      <c r="AK2" s="11"/>
      <c r="AL2" s="11"/>
    </row>
    <row r="3" spans="1:38" s="87" customFormat="1" ht="16.149999999999999" x14ac:dyDescent="0.35">
      <c r="A3" s="82"/>
      <c r="B3" s="226">
        <f>'[2]Group Information'!C3+1</f>
        <v>46023</v>
      </c>
      <c r="C3" s="226">
        <f>'[2]Group Information'!D3+1</f>
        <v>1</v>
      </c>
      <c r="D3" s="226" t="e">
        <f>'[2]Group Information'!E3+1</f>
        <v>#VALUE!</v>
      </c>
      <c r="E3" s="84"/>
      <c r="F3" s="84"/>
      <c r="G3" s="84"/>
      <c r="H3" s="84"/>
      <c r="I3" s="84"/>
      <c r="J3" s="84"/>
      <c r="K3" s="84"/>
      <c r="L3" s="107"/>
      <c r="M3" s="88" t="s">
        <v>138</v>
      </c>
      <c r="N3" s="85"/>
      <c r="O3" s="91"/>
      <c r="P3" s="86"/>
      <c r="Q3" s="91"/>
      <c r="R3" s="86"/>
      <c r="S3" s="86"/>
      <c r="T3" s="86"/>
      <c r="U3" s="86"/>
      <c r="V3" s="86"/>
      <c r="W3" s="86"/>
      <c r="X3" s="86"/>
      <c r="Y3" s="86"/>
      <c r="Z3" s="86"/>
      <c r="AA3" s="86"/>
      <c r="AB3" s="11"/>
      <c r="AC3" s="11"/>
      <c r="AD3" s="11"/>
      <c r="AE3" s="11"/>
      <c r="AF3" s="11"/>
      <c r="AG3" s="11"/>
      <c r="AH3" s="11"/>
      <c r="AI3" s="11"/>
      <c r="AJ3" s="11"/>
      <c r="AK3" s="11"/>
      <c r="AL3" s="11"/>
    </row>
    <row r="4" spans="1:38" s="115" customFormat="1" ht="9.1" customHeight="1" x14ac:dyDescent="0.35">
      <c r="A4" s="108"/>
      <c r="B4" s="109"/>
      <c r="C4" s="110"/>
      <c r="D4" s="110"/>
      <c r="E4" s="110"/>
      <c r="F4" s="110"/>
      <c r="G4" s="110"/>
      <c r="H4" s="110"/>
      <c r="I4" s="110"/>
      <c r="J4" s="110"/>
      <c r="K4" s="110"/>
      <c r="L4" s="110"/>
      <c r="M4" s="110"/>
      <c r="N4" s="111"/>
      <c r="O4" s="112"/>
      <c r="P4" s="113"/>
      <c r="Q4" s="112"/>
      <c r="R4" s="113"/>
      <c r="S4" s="113"/>
      <c r="T4" s="113"/>
      <c r="U4" s="113"/>
      <c r="V4" s="113"/>
      <c r="W4" s="113"/>
      <c r="X4" s="113"/>
      <c r="Y4" s="113"/>
      <c r="Z4" s="113"/>
      <c r="AA4" s="113"/>
      <c r="AB4" s="114"/>
      <c r="AC4" s="114"/>
      <c r="AD4" s="114"/>
      <c r="AE4" s="114"/>
      <c r="AF4" s="114"/>
      <c r="AG4" s="114"/>
      <c r="AH4" s="114"/>
      <c r="AI4" s="114"/>
      <c r="AJ4" s="114"/>
      <c r="AK4" s="114"/>
      <c r="AL4" s="114"/>
    </row>
    <row r="5" spans="1:38" s="115" customFormat="1" ht="15" x14ac:dyDescent="0.35">
      <c r="A5" s="108"/>
      <c r="B5" s="116">
        <v>1</v>
      </c>
      <c r="C5" s="116" t="s">
        <v>139</v>
      </c>
      <c r="D5" s="110"/>
      <c r="E5" s="110"/>
      <c r="F5" s="110"/>
      <c r="G5" s="110"/>
      <c r="H5" s="110"/>
      <c r="I5" s="110"/>
      <c r="J5" s="110"/>
      <c r="K5" s="110"/>
      <c r="L5" s="110"/>
      <c r="M5" s="110"/>
      <c r="N5" s="111"/>
      <c r="O5" s="112"/>
      <c r="P5" s="113"/>
      <c r="Q5" s="112"/>
      <c r="R5" s="113"/>
      <c r="S5" s="113"/>
      <c r="T5" s="113"/>
      <c r="U5" s="113"/>
      <c r="V5" s="113"/>
      <c r="W5" s="113"/>
      <c r="X5" s="113"/>
      <c r="Y5" s="113"/>
      <c r="Z5" s="113"/>
      <c r="AA5" s="113"/>
      <c r="AB5" s="114"/>
      <c r="AC5" s="114"/>
      <c r="AD5" s="114"/>
      <c r="AE5" s="114"/>
      <c r="AF5" s="114"/>
      <c r="AG5" s="114"/>
      <c r="AH5" s="114"/>
      <c r="AI5" s="114"/>
      <c r="AJ5" s="114"/>
      <c r="AK5" s="114"/>
      <c r="AL5" s="114"/>
    </row>
    <row r="6" spans="1:38" s="115" customFormat="1" ht="9.1" customHeight="1" x14ac:dyDescent="0.35">
      <c r="A6" s="108"/>
      <c r="B6" s="116"/>
      <c r="C6" s="110"/>
      <c r="D6" s="110"/>
      <c r="E6" s="110"/>
      <c r="F6" s="110"/>
      <c r="G6" s="110"/>
      <c r="H6" s="110"/>
      <c r="I6" s="110"/>
      <c r="J6" s="110"/>
      <c r="K6" s="110"/>
      <c r="L6" s="110"/>
      <c r="M6" s="110"/>
      <c r="N6" s="111"/>
      <c r="O6" s="112"/>
      <c r="P6" s="113"/>
      <c r="Q6" s="112"/>
      <c r="R6" s="113"/>
      <c r="S6" s="113"/>
      <c r="T6" s="113"/>
      <c r="U6" s="113"/>
      <c r="V6" s="113"/>
      <c r="W6" s="113"/>
      <c r="X6" s="113"/>
      <c r="Y6" s="113"/>
      <c r="Z6" s="113"/>
      <c r="AA6" s="113"/>
      <c r="AB6" s="114"/>
      <c r="AC6" s="114"/>
      <c r="AD6" s="114"/>
      <c r="AE6" s="114"/>
      <c r="AF6" s="114"/>
      <c r="AG6" s="114"/>
      <c r="AH6" s="114"/>
      <c r="AI6" s="114"/>
      <c r="AJ6" s="114"/>
      <c r="AK6" s="114"/>
      <c r="AL6" s="114"/>
    </row>
    <row r="7" spans="1:38" s="115" customFormat="1" ht="26.8" customHeight="1" x14ac:dyDescent="0.35">
      <c r="A7" s="108"/>
      <c r="B7" s="116"/>
      <c r="C7" s="110"/>
      <c r="D7" s="110"/>
      <c r="E7" s="227" t="s">
        <v>140</v>
      </c>
      <c r="F7" s="228"/>
      <c r="G7" s="229"/>
      <c r="H7" s="227" t="s">
        <v>141</v>
      </c>
      <c r="I7" s="228"/>
      <c r="J7" s="229"/>
      <c r="K7" s="230" t="s">
        <v>142</v>
      </c>
      <c r="L7" s="230"/>
      <c r="M7" s="230"/>
      <c r="N7" s="111"/>
      <c r="O7" s="112"/>
      <c r="P7" s="113"/>
      <c r="Q7" s="112"/>
      <c r="R7" s="113"/>
      <c r="S7" s="113"/>
      <c r="T7" s="113"/>
      <c r="U7" s="113"/>
      <c r="V7" s="113"/>
      <c r="W7" s="113"/>
      <c r="X7" s="113"/>
      <c r="Y7" s="113"/>
      <c r="Z7" s="113"/>
      <c r="AA7" s="113"/>
      <c r="AB7" s="114"/>
      <c r="AC7" s="114"/>
      <c r="AD7" s="114"/>
      <c r="AE7" s="114"/>
      <c r="AF7" s="114"/>
      <c r="AG7" s="114"/>
      <c r="AH7" s="114"/>
      <c r="AI7" s="114"/>
      <c r="AJ7" s="114"/>
      <c r="AK7" s="114"/>
      <c r="AL7" s="114"/>
    </row>
    <row r="8" spans="1:38" s="115" customFormat="1" ht="29.95" x14ac:dyDescent="0.35">
      <c r="A8" s="108"/>
      <c r="B8" s="116"/>
      <c r="C8" s="110"/>
      <c r="D8" s="110"/>
      <c r="E8" s="117" t="s">
        <v>143</v>
      </c>
      <c r="F8" s="117" t="s">
        <v>144</v>
      </c>
      <c r="G8" s="117" t="s">
        <v>145</v>
      </c>
      <c r="H8" s="117" t="s">
        <v>143</v>
      </c>
      <c r="I8" s="117" t="s">
        <v>144</v>
      </c>
      <c r="J8" s="117" t="s">
        <v>145</v>
      </c>
      <c r="K8" s="117" t="s">
        <v>143</v>
      </c>
      <c r="L8" s="117" t="s">
        <v>144</v>
      </c>
      <c r="M8" s="117" t="s">
        <v>145</v>
      </c>
      <c r="N8" s="111"/>
      <c r="O8" s="112"/>
      <c r="P8" s="113"/>
      <c r="Q8" s="112"/>
      <c r="R8" s="113"/>
      <c r="S8" s="113"/>
      <c r="T8" s="113"/>
      <c r="U8" s="113"/>
      <c r="V8" s="113"/>
      <c r="W8" s="113"/>
      <c r="X8" s="113"/>
      <c r="Y8" s="113"/>
      <c r="Z8" s="113"/>
      <c r="AA8" s="113"/>
      <c r="AB8" s="114"/>
      <c r="AC8" s="114"/>
      <c r="AD8" s="114"/>
      <c r="AE8" s="114"/>
      <c r="AF8" s="114"/>
      <c r="AG8" s="114"/>
      <c r="AH8" s="114"/>
      <c r="AI8" s="114"/>
      <c r="AJ8" s="114"/>
      <c r="AK8" s="114"/>
      <c r="AL8" s="114"/>
    </row>
    <row r="9" spans="1:38" s="115" customFormat="1" ht="15" x14ac:dyDescent="0.35">
      <c r="A9" s="108"/>
      <c r="B9" s="116"/>
      <c r="C9" s="110"/>
      <c r="D9" s="110"/>
      <c r="E9" s="181"/>
      <c r="F9" s="182" t="s">
        <v>175</v>
      </c>
      <c r="G9" s="182" t="s">
        <v>175</v>
      </c>
      <c r="H9" s="181"/>
      <c r="I9" s="182" t="s">
        <v>175</v>
      </c>
      <c r="J9" s="182" t="s">
        <v>175</v>
      </c>
      <c r="K9" s="181"/>
      <c r="L9" s="182" t="s">
        <v>175</v>
      </c>
      <c r="M9" s="182" t="s">
        <v>175</v>
      </c>
      <c r="N9" s="111"/>
      <c r="O9" s="112"/>
      <c r="P9" s="113"/>
      <c r="Q9" s="112"/>
      <c r="R9" s="113"/>
      <c r="S9" s="113"/>
      <c r="T9" s="113"/>
      <c r="U9" s="113"/>
      <c r="V9" s="113"/>
      <c r="W9" s="113"/>
      <c r="X9" s="113"/>
      <c r="Y9" s="113"/>
      <c r="Z9" s="113"/>
      <c r="AA9" s="113"/>
      <c r="AB9" s="114"/>
      <c r="AC9" s="114"/>
      <c r="AD9" s="114"/>
      <c r="AE9" s="114"/>
      <c r="AF9" s="114"/>
      <c r="AG9" s="114"/>
      <c r="AH9" s="114"/>
      <c r="AI9" s="114"/>
      <c r="AJ9" s="114"/>
      <c r="AK9" s="114"/>
      <c r="AL9" s="114"/>
    </row>
    <row r="10" spans="1:38" s="115" customFormat="1" ht="15" x14ac:dyDescent="0.35">
      <c r="A10" s="108"/>
      <c r="B10" s="116"/>
      <c r="C10" s="110"/>
      <c r="D10" s="118" t="s">
        <v>146</v>
      </c>
      <c r="E10" s="247">
        <v>228</v>
      </c>
      <c r="F10" s="246">
        <v>906614.44092047005</v>
      </c>
      <c r="G10" s="246">
        <v>666646.19870971597</v>
      </c>
      <c r="H10" s="248">
        <v>1692</v>
      </c>
      <c r="I10" s="183">
        <v>6443330.3913356196</v>
      </c>
      <c r="J10" s="183">
        <v>5167254.9756913045</v>
      </c>
      <c r="K10" s="184">
        <f t="shared" ref="K10:M11" si="0">H10+E10</f>
        <v>1920</v>
      </c>
      <c r="L10" s="184">
        <f t="shared" si="0"/>
        <v>7349944.8322560899</v>
      </c>
      <c r="M10" s="184">
        <f t="shared" si="0"/>
        <v>5833901.1744010206</v>
      </c>
      <c r="N10" s="111"/>
      <c r="O10" s="112"/>
      <c r="P10" s="119"/>
      <c r="Q10" s="112"/>
      <c r="R10" s="113"/>
      <c r="S10" s="113"/>
      <c r="T10" s="119"/>
      <c r="U10" s="113"/>
      <c r="V10" s="113"/>
      <c r="W10" s="113"/>
      <c r="X10" s="113"/>
      <c r="Y10" s="113"/>
      <c r="Z10" s="113"/>
      <c r="AA10" s="113"/>
      <c r="AB10" s="119"/>
      <c r="AC10" s="119"/>
      <c r="AD10" s="114"/>
      <c r="AE10" s="114"/>
      <c r="AF10" s="114"/>
      <c r="AG10" s="114"/>
      <c r="AH10" s="114"/>
      <c r="AI10" s="114"/>
      <c r="AJ10" s="114"/>
      <c r="AK10" s="114"/>
      <c r="AL10" s="114"/>
    </row>
    <row r="11" spans="1:38" s="115" customFormat="1" ht="15" x14ac:dyDescent="0.35">
      <c r="A11" s="108"/>
      <c r="B11" s="116"/>
      <c r="C11" s="110"/>
      <c r="D11" s="118" t="s">
        <v>147</v>
      </c>
      <c r="E11" s="183"/>
      <c r="F11" s="183"/>
      <c r="G11" s="183"/>
      <c r="H11" s="183"/>
      <c r="I11" s="183"/>
      <c r="J11" s="183"/>
      <c r="K11" s="184">
        <f t="shared" si="0"/>
        <v>0</v>
      </c>
      <c r="L11" s="184">
        <f t="shared" si="0"/>
        <v>0</v>
      </c>
      <c r="M11" s="184">
        <f t="shared" si="0"/>
        <v>0</v>
      </c>
      <c r="N11" s="111"/>
      <c r="O11" s="112"/>
      <c r="P11" s="119"/>
      <c r="Q11" s="112"/>
      <c r="R11" s="113"/>
      <c r="S11" s="113"/>
      <c r="T11" s="119"/>
      <c r="U11" s="113"/>
      <c r="V11" s="113"/>
      <c r="W11" s="113"/>
      <c r="X11" s="113"/>
      <c r="Y11" s="113"/>
      <c r="Z11" s="113"/>
      <c r="AA11" s="113"/>
      <c r="AB11" s="119"/>
      <c r="AC11" s="119"/>
      <c r="AD11" s="114"/>
      <c r="AE11" s="114"/>
      <c r="AF11" s="114"/>
      <c r="AG11" s="114"/>
      <c r="AH11" s="114"/>
      <c r="AI11" s="114"/>
      <c r="AJ11" s="114"/>
      <c r="AK11" s="114"/>
      <c r="AL11" s="114"/>
    </row>
    <row r="12" spans="1:38" s="115" customFormat="1" ht="15" x14ac:dyDescent="0.35">
      <c r="A12" s="108"/>
      <c r="B12" s="116"/>
      <c r="C12" s="110"/>
      <c r="D12" s="118" t="s">
        <v>142</v>
      </c>
      <c r="E12" s="185">
        <f t="shared" ref="E12:M12" si="1">SUM(E10:E11)</f>
        <v>228</v>
      </c>
      <c r="F12" s="185">
        <f t="shared" si="1"/>
        <v>906614.44092047005</v>
      </c>
      <c r="G12" s="185">
        <f t="shared" si="1"/>
        <v>666646.19870971597</v>
      </c>
      <c r="H12" s="185">
        <f t="shared" si="1"/>
        <v>1692</v>
      </c>
      <c r="I12" s="185">
        <f t="shared" si="1"/>
        <v>6443330.3913356196</v>
      </c>
      <c r="J12" s="185">
        <f t="shared" si="1"/>
        <v>5167254.9756913045</v>
      </c>
      <c r="K12" s="185">
        <f t="shared" si="1"/>
        <v>1920</v>
      </c>
      <c r="L12" s="185">
        <f>I12+F12</f>
        <v>7349944.8322560899</v>
      </c>
      <c r="M12" s="185">
        <f t="shared" si="1"/>
        <v>5833901.1744010206</v>
      </c>
      <c r="N12" s="111"/>
      <c r="O12" s="112"/>
      <c r="P12" s="119"/>
      <c r="Q12" s="112"/>
      <c r="R12" s="113"/>
      <c r="S12" s="113"/>
      <c r="T12" s="119"/>
      <c r="U12" s="113"/>
      <c r="V12" s="113"/>
      <c r="W12" s="113"/>
      <c r="X12" s="113"/>
      <c r="Y12" s="113"/>
      <c r="Z12" s="113"/>
      <c r="AA12" s="113"/>
      <c r="AB12" s="119"/>
      <c r="AC12" s="119"/>
      <c r="AD12" s="114"/>
      <c r="AE12" s="114"/>
      <c r="AF12" s="114"/>
      <c r="AG12" s="114"/>
      <c r="AH12" s="114"/>
      <c r="AI12" s="114"/>
      <c r="AJ12" s="114"/>
      <c r="AK12" s="114"/>
      <c r="AL12" s="114"/>
    </row>
    <row r="13" spans="1:38" s="115" customFormat="1" ht="9.1" customHeight="1" x14ac:dyDescent="0.35">
      <c r="A13" s="108"/>
      <c r="B13" s="116"/>
      <c r="C13" s="110"/>
      <c r="D13" s="110"/>
      <c r="E13" s="110"/>
      <c r="F13" s="110"/>
      <c r="G13" s="110"/>
      <c r="H13" s="110"/>
      <c r="I13" s="110"/>
      <c r="J13" s="110"/>
      <c r="K13" s="110"/>
      <c r="L13" s="110"/>
      <c r="M13" s="110"/>
      <c r="N13" s="111"/>
      <c r="O13" s="112"/>
      <c r="P13" s="120"/>
      <c r="Q13" s="112"/>
      <c r="R13" s="113"/>
      <c r="S13" s="113"/>
      <c r="T13" s="113"/>
      <c r="U13" s="113"/>
      <c r="V13" s="113"/>
      <c r="W13" s="113"/>
      <c r="X13" s="113"/>
      <c r="Y13" s="113"/>
      <c r="Z13" s="113"/>
      <c r="AA13" s="113"/>
      <c r="AB13" s="113"/>
      <c r="AC13" s="113"/>
      <c r="AD13" s="114"/>
      <c r="AE13" s="114"/>
      <c r="AF13" s="114"/>
      <c r="AG13" s="114"/>
      <c r="AH13" s="114"/>
      <c r="AI13" s="114"/>
      <c r="AJ13" s="114"/>
      <c r="AK13" s="114"/>
      <c r="AL13" s="114"/>
    </row>
    <row r="14" spans="1:38" s="115" customFormat="1" ht="15" x14ac:dyDescent="0.35">
      <c r="A14" s="108"/>
      <c r="B14" s="116">
        <v>2</v>
      </c>
      <c r="C14" s="116" t="s">
        <v>148</v>
      </c>
      <c r="D14" s="110"/>
      <c r="E14" s="110"/>
      <c r="F14" s="110"/>
      <c r="G14" s="110"/>
      <c r="H14" s="110"/>
      <c r="I14" s="110"/>
      <c r="J14" s="110"/>
      <c r="K14" s="110"/>
      <c r="L14" s="110"/>
      <c r="M14" s="110"/>
      <c r="N14" s="111"/>
      <c r="O14" s="112"/>
      <c r="P14" s="119"/>
      <c r="Q14" s="112"/>
      <c r="R14" s="113"/>
      <c r="S14" s="113"/>
      <c r="T14" s="113"/>
      <c r="U14" s="113"/>
      <c r="V14" s="113"/>
      <c r="W14" s="113"/>
      <c r="X14" s="113"/>
      <c r="Y14" s="113"/>
      <c r="Z14" s="113"/>
      <c r="AA14" s="113"/>
      <c r="AB14" s="119"/>
      <c r="AC14" s="113"/>
      <c r="AD14" s="114"/>
      <c r="AE14" s="114"/>
      <c r="AF14" s="114"/>
      <c r="AG14" s="114"/>
      <c r="AH14" s="114"/>
      <c r="AI14" s="114"/>
      <c r="AJ14" s="114"/>
      <c r="AK14" s="114"/>
      <c r="AL14" s="114"/>
    </row>
    <row r="15" spans="1:38" s="115" customFormat="1" ht="9.1" customHeight="1" x14ac:dyDescent="0.35">
      <c r="A15" s="108"/>
      <c r="B15" s="116"/>
      <c r="C15" s="110"/>
      <c r="D15" s="110"/>
      <c r="E15" s="110"/>
      <c r="F15" s="110"/>
      <c r="G15" s="110"/>
      <c r="H15" s="110"/>
      <c r="I15" s="110"/>
      <c r="J15" s="110"/>
      <c r="K15" s="110"/>
      <c r="L15" s="110"/>
      <c r="M15" s="110"/>
      <c r="N15" s="111"/>
      <c r="O15" s="112"/>
      <c r="P15" s="120"/>
      <c r="Q15" s="112"/>
      <c r="R15" s="113"/>
      <c r="S15" s="113"/>
      <c r="T15" s="113"/>
      <c r="U15" s="113"/>
      <c r="V15" s="113"/>
      <c r="W15" s="113"/>
      <c r="X15" s="113"/>
      <c r="Y15" s="113"/>
      <c r="Z15" s="113"/>
      <c r="AA15" s="113"/>
      <c r="AB15" s="113"/>
      <c r="AC15" s="113"/>
      <c r="AD15" s="114"/>
      <c r="AE15" s="114"/>
      <c r="AF15" s="114"/>
      <c r="AG15" s="114"/>
      <c r="AH15" s="114"/>
      <c r="AI15" s="114"/>
      <c r="AJ15" s="114"/>
      <c r="AK15" s="114"/>
      <c r="AL15" s="114"/>
    </row>
    <row r="16" spans="1:38" s="115" customFormat="1" ht="27.1" customHeight="1" x14ac:dyDescent="0.35">
      <c r="A16" s="108"/>
      <c r="B16" s="116"/>
      <c r="C16" s="110"/>
      <c r="D16" s="110"/>
      <c r="E16" s="227" t="str">
        <f>+E7</f>
        <v>U.S. specific contracts - all exposures</v>
      </c>
      <c r="F16" s="228"/>
      <c r="G16" s="229"/>
      <c r="H16" s="227" t="str">
        <f>+H7</f>
        <v>All other contracts - all exposures</v>
      </c>
      <c r="I16" s="228"/>
      <c r="J16" s="229"/>
      <c r="K16" s="230" t="s">
        <v>142</v>
      </c>
      <c r="L16" s="230"/>
      <c r="M16" s="230"/>
      <c r="N16" s="111"/>
      <c r="O16" s="112"/>
      <c r="P16" s="120"/>
      <c r="Q16" s="112"/>
      <c r="R16" s="113"/>
      <c r="S16" s="113"/>
      <c r="T16" s="113"/>
      <c r="U16" s="113"/>
      <c r="V16" s="113"/>
      <c r="W16" s="113"/>
      <c r="X16" s="113"/>
      <c r="Y16" s="113"/>
      <c r="Z16" s="113"/>
      <c r="AA16" s="113"/>
      <c r="AB16" s="113"/>
      <c r="AC16" s="113"/>
      <c r="AD16" s="114"/>
      <c r="AE16" s="114"/>
      <c r="AF16" s="114"/>
      <c r="AG16" s="114"/>
      <c r="AH16" s="114"/>
      <c r="AI16" s="114"/>
      <c r="AJ16" s="114"/>
      <c r="AK16" s="114"/>
      <c r="AL16" s="114"/>
    </row>
    <row r="17" spans="1:38" s="115" customFormat="1" ht="29.95" x14ac:dyDescent="0.35">
      <c r="A17" s="108"/>
      <c r="B17" s="116"/>
      <c r="C17" s="110"/>
      <c r="D17" s="110"/>
      <c r="E17" s="117" t="s">
        <v>143</v>
      </c>
      <c r="F17" s="117" t="s">
        <v>144</v>
      </c>
      <c r="G17" s="117" t="s">
        <v>145</v>
      </c>
      <c r="H17" s="117" t="s">
        <v>143</v>
      </c>
      <c r="I17" s="117" t="s">
        <v>144</v>
      </c>
      <c r="J17" s="117" t="s">
        <v>145</v>
      </c>
      <c r="K17" s="117" t="s">
        <v>143</v>
      </c>
      <c r="L17" s="117" t="s">
        <v>144</v>
      </c>
      <c r="M17" s="117" t="s">
        <v>145</v>
      </c>
      <c r="N17" s="111"/>
      <c r="O17" s="112"/>
      <c r="P17" s="120"/>
      <c r="Q17" s="112"/>
      <c r="R17" s="113"/>
      <c r="S17" s="113"/>
      <c r="T17" s="113"/>
      <c r="U17" s="113"/>
      <c r="V17" s="113"/>
      <c r="W17" s="113"/>
      <c r="X17" s="113"/>
      <c r="Y17" s="113"/>
      <c r="Z17" s="113"/>
      <c r="AA17" s="113"/>
      <c r="AB17" s="113"/>
      <c r="AC17" s="113"/>
      <c r="AD17" s="114"/>
      <c r="AE17" s="114"/>
      <c r="AF17" s="114"/>
      <c r="AG17" s="114"/>
      <c r="AH17" s="114"/>
      <c r="AI17" s="114"/>
      <c r="AJ17" s="114"/>
      <c r="AK17" s="114"/>
      <c r="AL17" s="114"/>
    </row>
    <row r="18" spans="1:38" s="115" customFormat="1" ht="15" x14ac:dyDescent="0.35">
      <c r="A18" s="108"/>
      <c r="B18" s="116"/>
      <c r="C18" s="110"/>
      <c r="D18" s="110"/>
      <c r="E18" s="181"/>
      <c r="F18" s="182" t="s">
        <v>175</v>
      </c>
      <c r="G18" s="182" t="s">
        <v>175</v>
      </c>
      <c r="H18" s="181"/>
      <c r="I18" s="182" t="s">
        <v>175</v>
      </c>
      <c r="J18" s="182" t="s">
        <v>175</v>
      </c>
      <c r="K18" s="181"/>
      <c r="L18" s="182" t="s">
        <v>175</v>
      </c>
      <c r="M18" s="182" t="s">
        <v>175</v>
      </c>
      <c r="N18" s="111"/>
      <c r="O18" s="112"/>
      <c r="P18" s="120"/>
      <c r="Q18" s="112"/>
      <c r="R18" s="113"/>
      <c r="S18" s="113"/>
      <c r="T18" s="113"/>
      <c r="U18" s="113"/>
      <c r="V18" s="113"/>
      <c r="W18" s="113"/>
      <c r="X18" s="113"/>
      <c r="Y18" s="113"/>
      <c r="Z18" s="113"/>
      <c r="AA18" s="113"/>
      <c r="AB18" s="113"/>
      <c r="AC18" s="113"/>
      <c r="AD18" s="114"/>
      <c r="AE18" s="114"/>
      <c r="AF18" s="114"/>
      <c r="AG18" s="114"/>
      <c r="AH18" s="114"/>
      <c r="AI18" s="114"/>
      <c r="AJ18" s="114"/>
      <c r="AK18" s="114"/>
      <c r="AL18" s="114"/>
    </row>
    <row r="19" spans="1:38" s="115" customFormat="1" ht="15" x14ac:dyDescent="0.35">
      <c r="A19" s="108"/>
      <c r="B19" s="116"/>
      <c r="C19" s="110"/>
      <c r="D19" s="118" t="s">
        <v>149</v>
      </c>
      <c r="E19" s="247">
        <v>228</v>
      </c>
      <c r="F19" s="246">
        <v>906614.44092047005</v>
      </c>
      <c r="G19" s="246">
        <v>666646.19870971597</v>
      </c>
      <c r="H19" s="248">
        <v>1692</v>
      </c>
      <c r="I19" s="183">
        <v>6443330.3913356196</v>
      </c>
      <c r="J19" s="183">
        <v>5167254.9756913045</v>
      </c>
      <c r="K19" s="184">
        <f t="shared" ref="K19:L21" si="2">H19+E19</f>
        <v>1920</v>
      </c>
      <c r="L19" s="184">
        <f t="shared" si="2"/>
        <v>7349944.8322560899</v>
      </c>
      <c r="M19" s="184">
        <f>J19+G19</f>
        <v>5833901.1744010206</v>
      </c>
      <c r="N19" s="111"/>
      <c r="O19" s="112"/>
      <c r="P19" s="119"/>
      <c r="Q19" s="112"/>
      <c r="R19" s="113"/>
      <c r="S19" s="113"/>
      <c r="T19" s="119"/>
      <c r="U19" s="113"/>
      <c r="V19" s="113"/>
      <c r="W19" s="113"/>
      <c r="X19" s="113"/>
      <c r="Y19" s="113"/>
      <c r="Z19" s="113"/>
      <c r="AA19" s="113"/>
      <c r="AB19" s="119"/>
      <c r="AC19" s="119"/>
      <c r="AD19" s="114"/>
      <c r="AE19" s="114"/>
      <c r="AF19" s="114"/>
      <c r="AG19" s="114"/>
      <c r="AH19" s="114"/>
      <c r="AI19" s="114"/>
      <c r="AJ19" s="114"/>
      <c r="AK19" s="114"/>
      <c r="AL19" s="114"/>
    </row>
    <row r="20" spans="1:38" s="115" customFormat="1" ht="15" x14ac:dyDescent="0.35">
      <c r="A20" s="108"/>
      <c r="B20" s="116"/>
      <c r="C20" s="110"/>
      <c r="D20" s="118" t="s">
        <v>150</v>
      </c>
      <c r="E20" s="183"/>
      <c r="F20" s="183"/>
      <c r="G20" s="183"/>
      <c r="H20" s="183"/>
      <c r="I20" s="183"/>
      <c r="J20" s="183"/>
      <c r="K20" s="184">
        <f t="shared" si="2"/>
        <v>0</v>
      </c>
      <c r="L20" s="184">
        <f t="shared" si="2"/>
        <v>0</v>
      </c>
      <c r="M20" s="184">
        <f>J20+G20</f>
        <v>0</v>
      </c>
      <c r="N20" s="111"/>
      <c r="O20" s="112"/>
      <c r="P20" s="119"/>
      <c r="Q20" s="112"/>
      <c r="R20" s="113"/>
      <c r="S20" s="113"/>
      <c r="T20" s="119"/>
      <c r="U20" s="113"/>
      <c r="V20" s="113"/>
      <c r="W20" s="113"/>
      <c r="X20" s="113"/>
      <c r="Y20" s="113"/>
      <c r="Z20" s="113"/>
      <c r="AA20" s="113"/>
      <c r="AB20" s="119"/>
      <c r="AC20" s="119"/>
      <c r="AD20" s="114"/>
      <c r="AE20" s="114"/>
      <c r="AF20" s="114"/>
      <c r="AG20" s="114"/>
      <c r="AH20" s="114"/>
      <c r="AI20" s="114"/>
      <c r="AJ20" s="114"/>
      <c r="AK20" s="114"/>
      <c r="AL20" s="114"/>
    </row>
    <row r="21" spans="1:38" s="115" customFormat="1" ht="15" x14ac:dyDescent="0.35">
      <c r="A21" s="108"/>
      <c r="B21" s="116"/>
      <c r="C21" s="110"/>
      <c r="D21" s="118" t="s">
        <v>142</v>
      </c>
      <c r="E21" s="185">
        <f t="shared" ref="E21:M21" si="3">SUM(E19:E20)</f>
        <v>228</v>
      </c>
      <c r="F21" s="185">
        <f t="shared" si="3"/>
        <v>906614.44092047005</v>
      </c>
      <c r="G21" s="185">
        <f t="shared" si="3"/>
        <v>666646.19870971597</v>
      </c>
      <c r="H21" s="185">
        <f t="shared" si="3"/>
        <v>1692</v>
      </c>
      <c r="I21" s="185">
        <f t="shared" si="3"/>
        <v>6443330.3913356196</v>
      </c>
      <c r="J21" s="185">
        <f t="shared" si="3"/>
        <v>5167254.9756913045</v>
      </c>
      <c r="K21" s="185">
        <f t="shared" si="2"/>
        <v>1920</v>
      </c>
      <c r="L21" s="185">
        <f t="shared" si="2"/>
        <v>7349944.8322560899</v>
      </c>
      <c r="M21" s="185">
        <f t="shared" si="3"/>
        <v>5833901.1744010206</v>
      </c>
      <c r="N21" s="111"/>
      <c r="O21" s="112"/>
      <c r="P21" s="119"/>
      <c r="Q21" s="112"/>
      <c r="R21" s="113"/>
      <c r="S21" s="113"/>
      <c r="T21" s="119"/>
      <c r="U21" s="113"/>
      <c r="V21" s="113"/>
      <c r="W21" s="113"/>
      <c r="X21" s="113"/>
      <c r="Y21" s="113"/>
      <c r="Z21" s="113"/>
      <c r="AA21" s="113"/>
      <c r="AB21" s="119"/>
      <c r="AC21" s="119"/>
      <c r="AD21" s="114"/>
      <c r="AE21" s="114"/>
      <c r="AF21" s="114"/>
      <c r="AG21" s="114"/>
      <c r="AH21" s="114"/>
      <c r="AI21" s="114"/>
      <c r="AJ21" s="114"/>
      <c r="AK21" s="114"/>
      <c r="AL21" s="114"/>
    </row>
    <row r="22" spans="1:38" s="115" customFormat="1" ht="9.1" customHeight="1" x14ac:dyDescent="0.35">
      <c r="A22" s="108"/>
      <c r="B22" s="116"/>
      <c r="C22" s="110"/>
      <c r="D22" s="118"/>
      <c r="E22" s="110"/>
      <c r="F22" s="110"/>
      <c r="G22" s="110"/>
      <c r="H22" s="110"/>
      <c r="I22" s="110"/>
      <c r="J22" s="110"/>
      <c r="K22" s="110"/>
      <c r="L22" s="110"/>
      <c r="M22" s="110"/>
      <c r="N22" s="111"/>
      <c r="O22" s="112"/>
      <c r="P22" s="120"/>
      <c r="Q22" s="112"/>
      <c r="R22" s="113"/>
      <c r="S22" s="113"/>
      <c r="T22" s="113"/>
      <c r="U22" s="113"/>
      <c r="V22" s="113"/>
      <c r="W22" s="113"/>
      <c r="X22" s="113"/>
      <c r="Y22" s="113"/>
      <c r="Z22" s="113"/>
      <c r="AA22" s="113"/>
      <c r="AB22" s="113"/>
      <c r="AC22" s="113"/>
      <c r="AD22" s="114"/>
      <c r="AE22" s="114"/>
      <c r="AF22" s="114"/>
      <c r="AG22" s="114"/>
      <c r="AH22" s="114"/>
      <c r="AI22" s="114"/>
      <c r="AJ22" s="114"/>
      <c r="AK22" s="114"/>
      <c r="AL22" s="114"/>
    </row>
    <row r="23" spans="1:38" s="115" customFormat="1" ht="15" x14ac:dyDescent="0.35">
      <c r="A23" s="108"/>
      <c r="B23" s="116">
        <v>3</v>
      </c>
      <c r="C23" s="116" t="s">
        <v>151</v>
      </c>
      <c r="D23" s="118"/>
      <c r="E23" s="110"/>
      <c r="F23" s="110"/>
      <c r="G23" s="110"/>
      <c r="H23" s="110"/>
      <c r="I23" s="110"/>
      <c r="J23" s="110"/>
      <c r="K23" s="110"/>
      <c r="L23" s="110"/>
      <c r="M23" s="110"/>
      <c r="N23" s="111"/>
      <c r="O23" s="112"/>
      <c r="P23" s="119"/>
      <c r="Q23" s="112"/>
      <c r="R23" s="113"/>
      <c r="S23" s="113"/>
      <c r="T23" s="113"/>
      <c r="U23" s="113"/>
      <c r="V23" s="113"/>
      <c r="W23" s="113"/>
      <c r="X23" s="113"/>
      <c r="Y23" s="113"/>
      <c r="Z23" s="113"/>
      <c r="AA23" s="113"/>
      <c r="AB23" s="119"/>
      <c r="AC23" s="113"/>
      <c r="AD23" s="114"/>
      <c r="AE23" s="114"/>
      <c r="AF23" s="114"/>
      <c r="AG23" s="114"/>
      <c r="AH23" s="114"/>
      <c r="AI23" s="114"/>
      <c r="AJ23" s="114"/>
      <c r="AK23" s="114"/>
      <c r="AL23" s="114"/>
    </row>
    <row r="24" spans="1:38" s="115" customFormat="1" ht="9.1" customHeight="1" x14ac:dyDescent="0.35">
      <c r="A24" s="108"/>
      <c r="B24" s="116"/>
      <c r="C24" s="110"/>
      <c r="D24" s="118"/>
      <c r="E24" s="110"/>
      <c r="F24" s="110"/>
      <c r="G24" s="110"/>
      <c r="H24" s="110"/>
      <c r="I24" s="110"/>
      <c r="J24" s="110"/>
      <c r="K24" s="110"/>
      <c r="L24" s="110"/>
      <c r="M24" s="110"/>
      <c r="N24" s="111"/>
      <c r="O24" s="112"/>
      <c r="P24" s="120"/>
      <c r="Q24" s="112"/>
      <c r="R24" s="113"/>
      <c r="S24" s="113"/>
      <c r="T24" s="113"/>
      <c r="U24" s="113"/>
      <c r="V24" s="113"/>
      <c r="W24" s="113"/>
      <c r="X24" s="113"/>
      <c r="Y24" s="113"/>
      <c r="Z24" s="113"/>
      <c r="AA24" s="113"/>
      <c r="AB24" s="113"/>
      <c r="AC24" s="113"/>
      <c r="AD24" s="114"/>
      <c r="AE24" s="114"/>
      <c r="AF24" s="114"/>
      <c r="AG24" s="114"/>
      <c r="AH24" s="114"/>
      <c r="AI24" s="114"/>
      <c r="AJ24" s="114"/>
      <c r="AK24" s="114"/>
      <c r="AL24" s="114"/>
    </row>
    <row r="25" spans="1:38" s="115" customFormat="1" ht="27.1" customHeight="1" x14ac:dyDescent="0.35">
      <c r="A25" s="108"/>
      <c r="B25" s="116"/>
      <c r="C25" s="110"/>
      <c r="D25" s="118"/>
      <c r="E25" s="227" t="str">
        <f>+E7</f>
        <v>U.S. specific contracts - all exposures</v>
      </c>
      <c r="F25" s="228"/>
      <c r="G25" s="229"/>
      <c r="H25" s="227" t="str">
        <f>+H7</f>
        <v>All other contracts - all exposures</v>
      </c>
      <c r="I25" s="228"/>
      <c r="J25" s="229"/>
      <c r="K25" s="230" t="s">
        <v>142</v>
      </c>
      <c r="L25" s="230"/>
      <c r="M25" s="230"/>
      <c r="N25" s="111"/>
      <c r="O25" s="112"/>
      <c r="P25" s="120"/>
      <c r="Q25" s="112"/>
      <c r="R25" s="113"/>
      <c r="S25" s="113"/>
      <c r="T25" s="113"/>
      <c r="U25" s="113"/>
      <c r="V25" s="113"/>
      <c r="W25" s="113"/>
      <c r="X25" s="113"/>
      <c r="Y25" s="113"/>
      <c r="Z25" s="113"/>
      <c r="AA25" s="113"/>
      <c r="AB25" s="113"/>
      <c r="AC25" s="113"/>
      <c r="AD25" s="114"/>
      <c r="AE25" s="114"/>
      <c r="AF25" s="114"/>
      <c r="AG25" s="114"/>
      <c r="AH25" s="114"/>
      <c r="AI25" s="114"/>
      <c r="AJ25" s="114"/>
      <c r="AK25" s="114"/>
      <c r="AL25" s="114"/>
    </row>
    <row r="26" spans="1:38" s="115" customFormat="1" ht="29.95" x14ac:dyDescent="0.35">
      <c r="A26" s="108"/>
      <c r="B26" s="116"/>
      <c r="C26" s="110"/>
      <c r="D26" s="110"/>
      <c r="E26" s="117" t="s">
        <v>143</v>
      </c>
      <c r="F26" s="117" t="s">
        <v>144</v>
      </c>
      <c r="G26" s="117" t="s">
        <v>145</v>
      </c>
      <c r="H26" s="117" t="s">
        <v>143</v>
      </c>
      <c r="I26" s="117" t="s">
        <v>144</v>
      </c>
      <c r="J26" s="117" t="s">
        <v>145</v>
      </c>
      <c r="K26" s="117" t="s">
        <v>143</v>
      </c>
      <c r="L26" s="117" t="s">
        <v>144</v>
      </c>
      <c r="M26" s="117" t="s">
        <v>145</v>
      </c>
      <c r="N26" s="111"/>
      <c r="O26" s="112"/>
      <c r="P26" s="120"/>
      <c r="Q26" s="112"/>
      <c r="R26" s="113"/>
      <c r="S26" s="113"/>
      <c r="T26" s="113"/>
      <c r="U26" s="113"/>
      <c r="V26" s="113"/>
      <c r="W26" s="113"/>
      <c r="X26" s="113"/>
      <c r="Y26" s="113"/>
      <c r="Z26" s="113"/>
      <c r="AA26" s="113"/>
      <c r="AB26" s="113"/>
      <c r="AC26" s="113"/>
      <c r="AD26" s="114"/>
      <c r="AE26" s="114"/>
      <c r="AF26" s="114"/>
      <c r="AG26" s="114"/>
      <c r="AH26" s="114"/>
      <c r="AI26" s="114"/>
      <c r="AJ26" s="114"/>
      <c r="AK26" s="114"/>
      <c r="AL26" s="114"/>
    </row>
    <row r="27" spans="1:38" s="115" customFormat="1" ht="15" x14ac:dyDescent="0.35">
      <c r="A27" s="108"/>
      <c r="B27" s="116"/>
      <c r="C27" s="110"/>
      <c r="D27" s="110"/>
      <c r="E27" s="181"/>
      <c r="F27" s="182" t="s">
        <v>175</v>
      </c>
      <c r="G27" s="182" t="s">
        <v>175</v>
      </c>
      <c r="H27" s="181"/>
      <c r="I27" s="182" t="s">
        <v>175</v>
      </c>
      <c r="J27" s="182" t="s">
        <v>175</v>
      </c>
      <c r="K27" s="181"/>
      <c r="L27" s="182" t="s">
        <v>175</v>
      </c>
      <c r="M27" s="182" t="s">
        <v>175</v>
      </c>
      <c r="N27" s="111"/>
      <c r="O27" s="112"/>
      <c r="P27" s="120"/>
      <c r="Q27" s="112"/>
      <c r="R27" s="113"/>
      <c r="S27" s="113"/>
      <c r="T27" s="113"/>
      <c r="U27" s="113"/>
      <c r="V27" s="113"/>
      <c r="W27" s="113"/>
      <c r="X27" s="113"/>
      <c r="Y27" s="113"/>
      <c r="Z27" s="113"/>
      <c r="AA27" s="113"/>
      <c r="AB27" s="113"/>
      <c r="AC27" s="113"/>
      <c r="AD27" s="114"/>
      <c r="AE27" s="114"/>
      <c r="AF27" s="114"/>
      <c r="AG27" s="114"/>
      <c r="AH27" s="114"/>
      <c r="AI27" s="114"/>
      <c r="AJ27" s="114"/>
      <c r="AK27" s="114"/>
      <c r="AL27" s="114"/>
    </row>
    <row r="28" spans="1:38" s="115" customFormat="1" ht="15" x14ac:dyDescent="0.35">
      <c r="A28" s="108"/>
      <c r="B28" s="116"/>
      <c r="C28" s="110"/>
      <c r="D28" s="118" t="s">
        <v>152</v>
      </c>
      <c r="E28" s="247">
        <v>228</v>
      </c>
      <c r="F28" s="246">
        <v>906614.44092047005</v>
      </c>
      <c r="G28" s="246">
        <v>666646.19870971597</v>
      </c>
      <c r="H28" s="248">
        <v>1692</v>
      </c>
      <c r="I28" s="183">
        <v>6443330.3913356196</v>
      </c>
      <c r="J28" s="183">
        <v>5167254.9756913045</v>
      </c>
      <c r="K28" s="184">
        <f t="shared" ref="K28:L32" si="4">H28+E28</f>
        <v>1920</v>
      </c>
      <c r="L28" s="184">
        <f t="shared" si="4"/>
        <v>7349944.8322560899</v>
      </c>
      <c r="M28" s="184">
        <f>J28+G28</f>
        <v>5833901.1744010206</v>
      </c>
      <c r="N28" s="111"/>
      <c r="O28" s="112"/>
      <c r="P28" s="119"/>
      <c r="Q28" s="112"/>
      <c r="R28" s="113"/>
      <c r="S28" s="113"/>
      <c r="T28" s="119"/>
      <c r="U28" s="113"/>
      <c r="V28" s="113"/>
      <c r="W28" s="113"/>
      <c r="X28" s="113"/>
      <c r="Y28" s="113"/>
      <c r="Z28" s="113"/>
      <c r="AA28" s="113"/>
      <c r="AB28" s="119"/>
      <c r="AC28" s="119"/>
      <c r="AD28" s="114"/>
      <c r="AE28" s="114"/>
      <c r="AF28" s="114"/>
      <c r="AG28" s="114"/>
      <c r="AH28" s="114"/>
      <c r="AI28" s="114"/>
      <c r="AJ28" s="114"/>
      <c r="AK28" s="114"/>
      <c r="AL28" s="114"/>
    </row>
    <row r="29" spans="1:38" s="115" customFormat="1" ht="15" x14ac:dyDescent="0.35">
      <c r="A29" s="108"/>
      <c r="B29" s="116"/>
      <c r="C29" s="110"/>
      <c r="D29" s="118" t="s">
        <v>153</v>
      </c>
      <c r="E29" s="183"/>
      <c r="F29" s="183"/>
      <c r="G29" s="183"/>
      <c r="H29" s="183"/>
      <c r="I29" s="183"/>
      <c r="J29" s="183"/>
      <c r="K29" s="184">
        <f t="shared" si="4"/>
        <v>0</v>
      </c>
      <c r="L29" s="184">
        <f t="shared" si="4"/>
        <v>0</v>
      </c>
      <c r="M29" s="184">
        <f>J29+G29</f>
        <v>0</v>
      </c>
      <c r="N29" s="111"/>
      <c r="O29" s="112"/>
      <c r="P29" s="119"/>
      <c r="Q29" s="112"/>
      <c r="R29" s="113"/>
      <c r="S29" s="113"/>
      <c r="T29" s="119"/>
      <c r="U29" s="113"/>
      <c r="V29" s="113"/>
      <c r="W29" s="113"/>
      <c r="X29" s="113"/>
      <c r="Y29" s="113"/>
      <c r="Z29" s="113"/>
      <c r="AA29" s="113"/>
      <c r="AB29" s="119"/>
      <c r="AC29" s="119"/>
      <c r="AD29" s="114"/>
      <c r="AE29" s="114"/>
      <c r="AF29" s="114"/>
      <c r="AG29" s="114"/>
      <c r="AH29" s="114"/>
      <c r="AI29" s="114"/>
      <c r="AJ29" s="114"/>
      <c r="AK29" s="114"/>
      <c r="AL29" s="114"/>
    </row>
    <row r="30" spans="1:38" s="115" customFormat="1" ht="42.8" customHeight="1" x14ac:dyDescent="0.35">
      <c r="A30" s="108"/>
      <c r="B30" s="116"/>
      <c r="C30" s="234" t="s">
        <v>154</v>
      </c>
      <c r="D30" s="235"/>
      <c r="E30" s="183"/>
      <c r="F30" s="183"/>
      <c r="G30" s="183"/>
      <c r="H30" s="183"/>
      <c r="I30" s="183"/>
      <c r="J30" s="183"/>
      <c r="K30" s="184">
        <f t="shared" si="4"/>
        <v>0</v>
      </c>
      <c r="L30" s="184">
        <f t="shared" si="4"/>
        <v>0</v>
      </c>
      <c r="M30" s="184">
        <f>J30+G30</f>
        <v>0</v>
      </c>
      <c r="N30" s="111"/>
      <c r="O30" s="112"/>
      <c r="P30" s="119"/>
      <c r="Q30" s="112"/>
      <c r="R30" s="113"/>
      <c r="S30" s="113"/>
      <c r="T30" s="119"/>
      <c r="U30" s="113"/>
      <c r="V30" s="113"/>
      <c r="W30" s="113"/>
      <c r="X30" s="113"/>
      <c r="Y30" s="113"/>
      <c r="Z30" s="113"/>
      <c r="AA30" s="113"/>
      <c r="AB30" s="119"/>
      <c r="AC30" s="119"/>
      <c r="AD30" s="114"/>
      <c r="AE30" s="114"/>
      <c r="AF30" s="114"/>
      <c r="AG30" s="114"/>
      <c r="AH30" s="114"/>
      <c r="AI30" s="114"/>
      <c r="AJ30" s="114"/>
      <c r="AK30" s="114"/>
      <c r="AL30" s="114"/>
    </row>
    <row r="31" spans="1:38" s="115" customFormat="1" ht="27.1" customHeight="1" x14ac:dyDescent="0.35">
      <c r="A31" s="108"/>
      <c r="B31" s="116"/>
      <c r="C31" s="234" t="s">
        <v>155</v>
      </c>
      <c r="D31" s="235"/>
      <c r="E31" s="183"/>
      <c r="F31" s="183"/>
      <c r="G31" s="183"/>
      <c r="H31" s="183"/>
      <c r="I31" s="183"/>
      <c r="J31" s="183"/>
      <c r="K31" s="184">
        <f t="shared" si="4"/>
        <v>0</v>
      </c>
      <c r="L31" s="184">
        <f t="shared" si="4"/>
        <v>0</v>
      </c>
      <c r="M31" s="184">
        <f>J31+G31</f>
        <v>0</v>
      </c>
      <c r="N31" s="111"/>
      <c r="O31" s="112"/>
      <c r="P31" s="119"/>
      <c r="Q31" s="112"/>
      <c r="R31" s="113"/>
      <c r="S31" s="113"/>
      <c r="T31" s="119"/>
      <c r="U31" s="113"/>
      <c r="V31" s="113"/>
      <c r="W31" s="113"/>
      <c r="X31" s="113"/>
      <c r="Y31" s="113"/>
      <c r="Z31" s="113"/>
      <c r="AA31" s="113"/>
      <c r="AB31" s="119"/>
      <c r="AC31" s="119"/>
      <c r="AD31" s="114"/>
      <c r="AE31" s="114"/>
      <c r="AF31" s="114"/>
      <c r="AG31" s="114"/>
      <c r="AH31" s="114"/>
      <c r="AI31" s="114"/>
      <c r="AJ31" s="114"/>
      <c r="AK31" s="114"/>
      <c r="AL31" s="114"/>
    </row>
    <row r="32" spans="1:38" s="115" customFormat="1" ht="15" x14ac:dyDescent="0.35">
      <c r="A32" s="108"/>
      <c r="B32" s="116"/>
      <c r="C32" s="110"/>
      <c r="D32" s="118" t="s">
        <v>135</v>
      </c>
      <c r="E32" s="183"/>
      <c r="F32" s="183"/>
      <c r="G32" s="183"/>
      <c r="H32" s="183"/>
      <c r="I32" s="183"/>
      <c r="J32" s="183"/>
      <c r="K32" s="184">
        <f t="shared" si="4"/>
        <v>0</v>
      </c>
      <c r="L32" s="184">
        <f t="shared" si="4"/>
        <v>0</v>
      </c>
      <c r="M32" s="184">
        <f>J32+G32</f>
        <v>0</v>
      </c>
      <c r="N32" s="111"/>
      <c r="O32" s="112"/>
      <c r="P32" s="119"/>
      <c r="Q32" s="112"/>
      <c r="R32" s="113"/>
      <c r="S32" s="113"/>
      <c r="T32" s="119"/>
      <c r="U32" s="113"/>
      <c r="V32" s="113"/>
      <c r="W32" s="113"/>
      <c r="X32" s="113"/>
      <c r="Y32" s="113"/>
      <c r="Z32" s="113"/>
      <c r="AA32" s="113"/>
      <c r="AB32" s="119"/>
      <c r="AC32" s="119"/>
      <c r="AD32" s="114"/>
      <c r="AE32" s="114"/>
      <c r="AF32" s="114"/>
      <c r="AG32" s="114"/>
      <c r="AH32" s="114"/>
      <c r="AI32" s="114"/>
      <c r="AJ32" s="114"/>
      <c r="AK32" s="114"/>
      <c r="AL32" s="114"/>
    </row>
    <row r="33" spans="1:38" s="115" customFormat="1" ht="15" x14ac:dyDescent="0.35">
      <c r="A33" s="108"/>
      <c r="B33" s="116"/>
      <c r="C33" s="110"/>
      <c r="D33" s="118" t="s">
        <v>142</v>
      </c>
      <c r="E33" s="185">
        <f t="shared" ref="E33:M33" si="5">SUM(E28:E32)</f>
        <v>228</v>
      </c>
      <c r="F33" s="187">
        <f t="shared" si="5"/>
        <v>906614.44092047005</v>
      </c>
      <c r="G33" s="187">
        <f t="shared" si="5"/>
        <v>666646.19870971597</v>
      </c>
      <c r="H33" s="187">
        <f t="shared" si="5"/>
        <v>1692</v>
      </c>
      <c r="I33" s="187">
        <f t="shared" si="5"/>
        <v>6443330.3913356196</v>
      </c>
      <c r="J33" s="185">
        <f t="shared" si="5"/>
        <v>5167254.9756913045</v>
      </c>
      <c r="K33" s="185">
        <f t="shared" si="5"/>
        <v>1920</v>
      </c>
      <c r="L33" s="185">
        <f>I33+F33</f>
        <v>7349944.8322560899</v>
      </c>
      <c r="M33" s="185">
        <f t="shared" si="5"/>
        <v>5833901.1744010206</v>
      </c>
      <c r="N33" s="111"/>
      <c r="O33" s="112"/>
      <c r="P33" s="119"/>
      <c r="Q33" s="112"/>
      <c r="R33" s="113"/>
      <c r="S33" s="113"/>
      <c r="T33" s="119"/>
      <c r="U33" s="113"/>
      <c r="V33" s="113"/>
      <c r="W33" s="113"/>
      <c r="X33" s="113"/>
      <c r="Y33" s="113"/>
      <c r="Z33" s="113"/>
      <c r="AA33" s="113"/>
      <c r="AB33" s="119"/>
      <c r="AC33" s="119"/>
      <c r="AD33" s="114"/>
      <c r="AE33" s="114"/>
      <c r="AF33" s="114"/>
      <c r="AG33" s="114"/>
      <c r="AH33" s="114"/>
      <c r="AI33" s="114"/>
      <c r="AJ33" s="114"/>
      <c r="AK33" s="114"/>
      <c r="AL33" s="114"/>
    </row>
    <row r="34" spans="1:38" s="115" customFormat="1" ht="9.1" customHeight="1" x14ac:dyDescent="0.35">
      <c r="A34" s="108"/>
      <c r="B34" s="116"/>
      <c r="C34" s="110"/>
      <c r="D34" s="118"/>
      <c r="E34" s="122"/>
      <c r="F34" s="122"/>
      <c r="G34" s="123"/>
      <c r="H34" s="110"/>
      <c r="I34" s="110"/>
      <c r="J34" s="110"/>
      <c r="K34" s="110"/>
      <c r="L34" s="110"/>
      <c r="M34" s="110"/>
      <c r="N34" s="111"/>
      <c r="O34" s="112"/>
      <c r="P34" s="120"/>
      <c r="Q34" s="112"/>
      <c r="R34" s="113"/>
      <c r="S34" s="113"/>
      <c r="T34" s="113"/>
      <c r="U34" s="113"/>
      <c r="V34" s="113"/>
      <c r="W34" s="113"/>
      <c r="X34" s="113"/>
      <c r="Y34" s="113"/>
      <c r="Z34" s="113"/>
      <c r="AA34" s="113"/>
      <c r="AB34" s="113"/>
      <c r="AC34" s="113"/>
      <c r="AD34" s="114"/>
      <c r="AE34" s="114"/>
      <c r="AF34" s="114"/>
      <c r="AG34" s="114"/>
      <c r="AH34" s="114"/>
      <c r="AI34" s="114"/>
      <c r="AJ34" s="114"/>
      <c r="AK34" s="114"/>
      <c r="AL34" s="114"/>
    </row>
    <row r="35" spans="1:38" s="115" customFormat="1" ht="15" x14ac:dyDescent="0.35">
      <c r="A35" s="108"/>
      <c r="B35" s="116"/>
      <c r="C35" s="110" t="s">
        <v>156</v>
      </c>
      <c r="D35" s="110"/>
      <c r="E35" s="122"/>
      <c r="F35" s="122"/>
      <c r="G35" s="123"/>
      <c r="H35" s="110"/>
      <c r="I35" s="110"/>
      <c r="J35" s="110"/>
      <c r="K35" s="110"/>
      <c r="L35" s="110"/>
      <c r="M35" s="110"/>
      <c r="N35" s="111"/>
      <c r="O35" s="112"/>
      <c r="P35" s="120"/>
      <c r="Q35" s="112"/>
      <c r="R35" s="113"/>
      <c r="S35" s="113"/>
      <c r="T35" s="113"/>
      <c r="U35" s="113"/>
      <c r="V35" s="113"/>
      <c r="W35" s="113"/>
      <c r="X35" s="113"/>
      <c r="Y35" s="113"/>
      <c r="Z35" s="113"/>
      <c r="AA35" s="113"/>
      <c r="AB35" s="113"/>
      <c r="AC35" s="113"/>
      <c r="AD35" s="114"/>
      <c r="AE35" s="114"/>
      <c r="AF35" s="114"/>
      <c r="AG35" s="114"/>
      <c r="AH35" s="114"/>
      <c r="AI35" s="114"/>
      <c r="AJ35" s="114"/>
      <c r="AK35" s="114"/>
      <c r="AL35" s="114"/>
    </row>
    <row r="36" spans="1:38" s="115" customFormat="1" ht="15.7" customHeight="1" x14ac:dyDescent="0.35">
      <c r="A36" s="108"/>
      <c r="B36" s="116"/>
      <c r="C36" s="231"/>
      <c r="D36" s="232"/>
      <c r="E36" s="232"/>
      <c r="F36" s="232"/>
      <c r="G36" s="232"/>
      <c r="H36" s="232"/>
      <c r="I36" s="232"/>
      <c r="J36" s="232"/>
      <c r="K36" s="232"/>
      <c r="L36" s="232"/>
      <c r="M36" s="233"/>
      <c r="N36" s="111"/>
      <c r="O36" s="112"/>
      <c r="P36" s="119"/>
      <c r="Q36" s="112"/>
      <c r="R36" s="113"/>
      <c r="S36" s="113"/>
      <c r="T36" s="113"/>
      <c r="U36" s="113"/>
      <c r="V36" s="113"/>
      <c r="W36" s="113"/>
      <c r="X36" s="113"/>
      <c r="Y36" s="113"/>
      <c r="Z36" s="113"/>
      <c r="AA36" s="113"/>
      <c r="AB36" s="119"/>
      <c r="AC36" s="113"/>
      <c r="AD36" s="114"/>
      <c r="AE36" s="114"/>
      <c r="AF36" s="114"/>
      <c r="AG36" s="114"/>
      <c r="AH36" s="114"/>
      <c r="AI36" s="114"/>
      <c r="AJ36" s="114"/>
      <c r="AK36" s="114"/>
      <c r="AL36" s="114"/>
    </row>
    <row r="37" spans="1:38" s="115" customFormat="1" ht="9.1" customHeight="1" x14ac:dyDescent="0.35">
      <c r="A37" s="108"/>
      <c r="B37" s="116"/>
      <c r="C37" s="110"/>
      <c r="D37" s="110"/>
      <c r="E37" s="110"/>
      <c r="F37" s="110"/>
      <c r="G37" s="110"/>
      <c r="H37" s="110"/>
      <c r="I37" s="110"/>
      <c r="J37" s="110"/>
      <c r="K37" s="110"/>
      <c r="L37" s="110"/>
      <c r="M37" s="110"/>
      <c r="N37" s="111"/>
      <c r="O37" s="112"/>
      <c r="P37" s="119"/>
      <c r="Q37" s="112"/>
      <c r="R37" s="113"/>
      <c r="S37" s="113"/>
      <c r="T37" s="113"/>
      <c r="U37" s="113"/>
      <c r="V37" s="113"/>
      <c r="W37" s="113"/>
      <c r="X37" s="113"/>
      <c r="Y37" s="113"/>
      <c r="Z37" s="113"/>
      <c r="AA37" s="113"/>
      <c r="AB37" s="113"/>
      <c r="AC37" s="113"/>
      <c r="AD37" s="114"/>
      <c r="AE37" s="114"/>
      <c r="AF37" s="114"/>
      <c r="AG37" s="114"/>
      <c r="AH37" s="114"/>
      <c r="AI37" s="114"/>
      <c r="AJ37" s="114"/>
      <c r="AK37" s="114"/>
      <c r="AL37" s="114"/>
    </row>
    <row r="38" spans="1:38" s="115" customFormat="1" ht="15" x14ac:dyDescent="0.35">
      <c r="A38" s="108"/>
      <c r="B38" s="116">
        <v>4</v>
      </c>
      <c r="C38" s="116" t="s">
        <v>157</v>
      </c>
      <c r="D38" s="110"/>
      <c r="E38" s="110"/>
      <c r="F38" s="110"/>
      <c r="G38" s="110"/>
      <c r="H38" s="110"/>
      <c r="I38" s="110"/>
      <c r="J38" s="110"/>
      <c r="K38" s="110"/>
      <c r="L38" s="110"/>
      <c r="M38" s="110"/>
      <c r="N38" s="111"/>
      <c r="O38" s="112"/>
      <c r="P38" s="120"/>
      <c r="Q38" s="112"/>
      <c r="R38" s="113"/>
      <c r="S38" s="113"/>
      <c r="T38" s="113"/>
      <c r="U38" s="113"/>
      <c r="V38" s="113"/>
      <c r="W38" s="113"/>
      <c r="X38" s="113"/>
      <c r="Y38" s="113"/>
      <c r="Z38" s="113"/>
      <c r="AA38" s="113"/>
      <c r="AB38" s="119"/>
      <c r="AC38" s="113"/>
      <c r="AD38" s="114"/>
      <c r="AE38" s="114"/>
      <c r="AF38" s="114"/>
      <c r="AG38" s="114"/>
      <c r="AH38" s="114"/>
      <c r="AI38" s="114"/>
      <c r="AJ38" s="114"/>
      <c r="AK38" s="114"/>
      <c r="AL38" s="114"/>
    </row>
    <row r="39" spans="1:38" s="115" customFormat="1" ht="9.1" customHeight="1" x14ac:dyDescent="0.35">
      <c r="A39" s="108"/>
      <c r="B39" s="116"/>
      <c r="C39" s="110"/>
      <c r="D39" s="110"/>
      <c r="E39" s="110"/>
      <c r="F39" s="110"/>
      <c r="G39" s="110"/>
      <c r="H39" s="110"/>
      <c r="I39" s="110"/>
      <c r="J39" s="110"/>
      <c r="K39" s="110"/>
      <c r="L39" s="110"/>
      <c r="M39" s="110"/>
      <c r="N39" s="111"/>
      <c r="O39" s="112"/>
      <c r="P39" s="120"/>
      <c r="Q39" s="112"/>
      <c r="R39" s="113"/>
      <c r="S39" s="113"/>
      <c r="T39" s="113"/>
      <c r="U39" s="113"/>
      <c r="V39" s="113"/>
      <c r="W39" s="113"/>
      <c r="X39" s="113"/>
      <c r="Y39" s="113"/>
      <c r="Z39" s="113"/>
      <c r="AA39" s="113"/>
      <c r="AB39" s="113"/>
      <c r="AC39" s="113"/>
      <c r="AD39" s="114"/>
      <c r="AE39" s="114"/>
      <c r="AF39" s="114"/>
      <c r="AG39" s="114"/>
      <c r="AH39" s="114"/>
      <c r="AI39" s="114"/>
      <c r="AJ39" s="114"/>
      <c r="AK39" s="114"/>
      <c r="AL39" s="114"/>
    </row>
    <row r="40" spans="1:38" s="115" customFormat="1" ht="25.5" customHeight="1" x14ac:dyDescent="0.35">
      <c r="A40" s="108"/>
      <c r="B40" s="116"/>
      <c r="C40" s="110"/>
      <c r="D40" s="110"/>
      <c r="E40" s="227" t="str">
        <f>+E7</f>
        <v>U.S. specific contracts - all exposures</v>
      </c>
      <c r="F40" s="228"/>
      <c r="G40" s="229"/>
      <c r="H40" s="227" t="str">
        <f>+H7</f>
        <v>All other contracts - all exposures</v>
      </c>
      <c r="I40" s="228"/>
      <c r="J40" s="229"/>
      <c r="K40" s="230" t="s">
        <v>142</v>
      </c>
      <c r="L40" s="230"/>
      <c r="M40" s="230"/>
      <c r="N40" s="111"/>
      <c r="O40" s="112"/>
      <c r="P40" s="120"/>
      <c r="Q40" s="112"/>
      <c r="R40" s="113"/>
      <c r="S40" s="113"/>
      <c r="T40" s="113"/>
      <c r="U40" s="113"/>
      <c r="V40" s="113"/>
      <c r="W40" s="113"/>
      <c r="X40" s="113"/>
      <c r="Y40" s="113"/>
      <c r="Z40" s="113"/>
      <c r="AA40" s="113"/>
      <c r="AB40" s="113"/>
      <c r="AC40" s="113"/>
      <c r="AD40" s="114"/>
      <c r="AE40" s="114"/>
      <c r="AF40" s="114"/>
      <c r="AG40" s="114"/>
      <c r="AH40" s="114"/>
      <c r="AI40" s="114"/>
      <c r="AJ40" s="114"/>
      <c r="AK40" s="114"/>
      <c r="AL40" s="114"/>
    </row>
    <row r="41" spans="1:38" s="115" customFormat="1" ht="29.95" x14ac:dyDescent="0.35">
      <c r="A41" s="108"/>
      <c r="B41" s="116"/>
      <c r="C41" s="110"/>
      <c r="D41" s="110"/>
      <c r="E41" s="117" t="s">
        <v>143</v>
      </c>
      <c r="F41" s="117" t="s">
        <v>144</v>
      </c>
      <c r="G41" s="117" t="s">
        <v>145</v>
      </c>
      <c r="H41" s="117" t="s">
        <v>143</v>
      </c>
      <c r="I41" s="117" t="s">
        <v>144</v>
      </c>
      <c r="J41" s="117" t="s">
        <v>145</v>
      </c>
      <c r="K41" s="117" t="s">
        <v>143</v>
      </c>
      <c r="L41" s="117" t="s">
        <v>144</v>
      </c>
      <c r="M41" s="117" t="s">
        <v>145</v>
      </c>
      <c r="N41" s="111"/>
      <c r="O41" s="112"/>
      <c r="P41" s="120"/>
      <c r="Q41" s="112"/>
      <c r="R41" s="113"/>
      <c r="S41" s="113"/>
      <c r="T41" s="113"/>
      <c r="U41" s="113"/>
      <c r="V41" s="113"/>
      <c r="W41" s="113"/>
      <c r="X41" s="113"/>
      <c r="Y41" s="113"/>
      <c r="Z41" s="113"/>
      <c r="AA41" s="113"/>
      <c r="AB41" s="113"/>
      <c r="AC41" s="113"/>
      <c r="AD41" s="114"/>
      <c r="AE41" s="114"/>
      <c r="AF41" s="114"/>
      <c r="AG41" s="114"/>
      <c r="AH41" s="114"/>
      <c r="AI41" s="114"/>
      <c r="AJ41" s="114"/>
      <c r="AK41" s="114"/>
      <c r="AL41" s="114"/>
    </row>
    <row r="42" spans="1:38" s="115" customFormat="1" ht="15" x14ac:dyDescent="0.35">
      <c r="A42" s="108"/>
      <c r="B42" s="116"/>
      <c r="C42" s="110"/>
      <c r="D42" s="110"/>
      <c r="E42" s="181"/>
      <c r="F42" s="182" t="s">
        <v>175</v>
      </c>
      <c r="G42" s="182" t="s">
        <v>175</v>
      </c>
      <c r="H42" s="181"/>
      <c r="I42" s="182" t="s">
        <v>175</v>
      </c>
      <c r="J42" s="182" t="s">
        <v>175</v>
      </c>
      <c r="K42" s="181"/>
      <c r="L42" s="182" t="s">
        <v>175</v>
      </c>
      <c r="M42" s="182" t="s">
        <v>175</v>
      </c>
      <c r="N42" s="111"/>
      <c r="O42" s="112"/>
      <c r="P42" s="120"/>
      <c r="Q42" s="112"/>
      <c r="R42" s="113"/>
      <c r="S42" s="113"/>
      <c r="T42" s="113"/>
      <c r="U42" s="113"/>
      <c r="V42" s="113"/>
      <c r="W42" s="113"/>
      <c r="X42" s="113"/>
      <c r="Y42" s="113"/>
      <c r="Z42" s="113"/>
      <c r="AA42" s="113"/>
      <c r="AB42" s="113"/>
      <c r="AC42" s="113"/>
      <c r="AD42" s="114"/>
      <c r="AE42" s="114"/>
      <c r="AF42" s="114"/>
      <c r="AG42" s="114"/>
      <c r="AH42" s="114"/>
      <c r="AI42" s="114"/>
      <c r="AJ42" s="114"/>
      <c r="AK42" s="114"/>
      <c r="AL42" s="114"/>
    </row>
    <row r="43" spans="1:38" s="115" customFormat="1" ht="15" x14ac:dyDescent="0.35">
      <c r="A43" s="108"/>
      <c r="B43" s="116"/>
      <c r="C43" s="110"/>
      <c r="D43" s="118" t="s">
        <v>158</v>
      </c>
      <c r="E43" s="121"/>
      <c r="F43" s="121"/>
      <c r="G43" s="121"/>
      <c r="H43" s="121"/>
      <c r="I43" s="121"/>
      <c r="J43" s="121"/>
      <c r="K43" s="184">
        <f t="shared" ref="K43:L45" si="6">H43+E43</f>
        <v>0</v>
      </c>
      <c r="L43" s="184">
        <f t="shared" si="6"/>
        <v>0</v>
      </c>
      <c r="M43" s="184">
        <f>J43+G43</f>
        <v>0</v>
      </c>
      <c r="N43" s="111"/>
      <c r="O43" s="112"/>
      <c r="P43" s="119"/>
      <c r="Q43" s="112"/>
      <c r="R43" s="120"/>
      <c r="S43" s="113"/>
      <c r="T43" s="119"/>
      <c r="U43" s="113"/>
      <c r="V43" s="113"/>
      <c r="W43" s="113"/>
      <c r="X43" s="113"/>
      <c r="Y43" s="113"/>
      <c r="Z43" s="113"/>
      <c r="AA43" s="113"/>
      <c r="AB43" s="119"/>
      <c r="AC43" s="119"/>
      <c r="AD43" s="114"/>
      <c r="AE43" s="114"/>
      <c r="AF43" s="114"/>
      <c r="AG43" s="114"/>
      <c r="AH43" s="114"/>
      <c r="AI43" s="114"/>
      <c r="AJ43" s="114"/>
      <c r="AK43" s="114"/>
      <c r="AL43" s="114"/>
    </row>
    <row r="44" spans="1:38" s="115" customFormat="1" ht="15" x14ac:dyDescent="0.35">
      <c r="A44" s="108"/>
      <c r="B44" s="116"/>
      <c r="C44" s="110"/>
      <c r="D44" s="118" t="s">
        <v>159</v>
      </c>
      <c r="E44" s="121"/>
      <c r="F44" s="121"/>
      <c r="G44" s="121"/>
      <c r="H44" s="121"/>
      <c r="I44" s="121"/>
      <c r="J44" s="121"/>
      <c r="K44" s="184">
        <f t="shared" si="6"/>
        <v>0</v>
      </c>
      <c r="L44" s="184">
        <f t="shared" si="6"/>
        <v>0</v>
      </c>
      <c r="M44" s="184">
        <f>J44+G44</f>
        <v>0</v>
      </c>
      <c r="N44" s="111"/>
      <c r="O44" s="112"/>
      <c r="P44" s="119"/>
      <c r="Q44" s="112"/>
      <c r="R44" s="120"/>
      <c r="S44" s="113"/>
      <c r="T44" s="119"/>
      <c r="U44" s="113"/>
      <c r="V44" s="113"/>
      <c r="W44" s="113"/>
      <c r="X44" s="113"/>
      <c r="Y44" s="113"/>
      <c r="Z44" s="113"/>
      <c r="AA44" s="113"/>
      <c r="AB44" s="119"/>
      <c r="AC44" s="119"/>
      <c r="AD44" s="114"/>
      <c r="AE44" s="114"/>
      <c r="AF44" s="114"/>
      <c r="AG44" s="114"/>
      <c r="AH44" s="114"/>
      <c r="AI44" s="114"/>
      <c r="AJ44" s="114"/>
      <c r="AK44" s="114"/>
      <c r="AL44" s="114"/>
    </row>
    <row r="45" spans="1:38" s="115" customFormat="1" ht="15" x14ac:dyDescent="0.35">
      <c r="A45" s="108"/>
      <c r="B45" s="116"/>
      <c r="C45" s="110"/>
      <c r="D45" s="118" t="s">
        <v>135</v>
      </c>
      <c r="E45" s="121"/>
      <c r="F45" s="121"/>
      <c r="G45" s="121"/>
      <c r="H45" s="121"/>
      <c r="I45" s="121"/>
      <c r="J45" s="121"/>
      <c r="K45" s="184">
        <f t="shared" si="6"/>
        <v>0</v>
      </c>
      <c r="L45" s="184">
        <f t="shared" si="6"/>
        <v>0</v>
      </c>
      <c r="M45" s="184">
        <f>J45+G45</f>
        <v>0</v>
      </c>
      <c r="N45" s="111"/>
      <c r="O45" s="112"/>
      <c r="P45" s="119"/>
      <c r="Q45" s="112"/>
      <c r="R45" s="120"/>
      <c r="S45" s="113"/>
      <c r="T45" s="119"/>
      <c r="U45" s="113"/>
      <c r="V45" s="113"/>
      <c r="W45" s="113"/>
      <c r="X45" s="113"/>
      <c r="Y45" s="113"/>
      <c r="Z45" s="113"/>
      <c r="AA45" s="113"/>
      <c r="AB45" s="119"/>
      <c r="AC45" s="119"/>
      <c r="AD45" s="114"/>
      <c r="AE45" s="114"/>
      <c r="AF45" s="114"/>
      <c r="AG45" s="114"/>
      <c r="AH45" s="114"/>
      <c r="AI45" s="114"/>
      <c r="AJ45" s="114"/>
      <c r="AK45" s="114"/>
      <c r="AL45" s="114"/>
    </row>
    <row r="46" spans="1:38" s="115" customFormat="1" ht="16.149999999999999" x14ac:dyDescent="0.35">
      <c r="A46" s="108"/>
      <c r="B46" s="116"/>
      <c r="C46" s="110"/>
      <c r="D46" s="118" t="s">
        <v>142</v>
      </c>
      <c r="E46" s="185">
        <f t="shared" ref="E46:M46" si="7">SUM(E43:E45)</f>
        <v>0</v>
      </c>
      <c r="F46" s="185">
        <f t="shared" si="7"/>
        <v>0</v>
      </c>
      <c r="G46" s="185">
        <f t="shared" si="7"/>
        <v>0</v>
      </c>
      <c r="H46" s="185">
        <f t="shared" si="7"/>
        <v>0</v>
      </c>
      <c r="I46" s="185">
        <f t="shared" si="7"/>
        <v>0</v>
      </c>
      <c r="J46" s="185">
        <f t="shared" si="7"/>
        <v>0</v>
      </c>
      <c r="K46" s="185">
        <f t="shared" si="7"/>
        <v>0</v>
      </c>
      <c r="L46" s="185">
        <f>I46+F46</f>
        <v>0</v>
      </c>
      <c r="M46" s="185">
        <f t="shared" si="7"/>
        <v>0</v>
      </c>
      <c r="N46" s="111"/>
      <c r="O46" s="89"/>
      <c r="P46" s="119"/>
      <c r="Q46" s="112"/>
      <c r="R46" s="120"/>
      <c r="S46" s="113"/>
      <c r="T46" s="119"/>
      <c r="U46" s="113"/>
      <c r="V46" s="113"/>
      <c r="W46" s="113"/>
      <c r="X46" s="113"/>
      <c r="Y46" s="113"/>
      <c r="Z46" s="113"/>
      <c r="AA46" s="113"/>
      <c r="AB46" s="119"/>
      <c r="AC46" s="119"/>
      <c r="AD46" s="114"/>
      <c r="AE46" s="114"/>
      <c r="AF46" s="114"/>
      <c r="AG46" s="114"/>
      <c r="AH46" s="114"/>
      <c r="AI46" s="114"/>
      <c r="AJ46" s="114"/>
      <c r="AK46" s="114"/>
      <c r="AL46" s="114"/>
    </row>
    <row r="47" spans="1:38" s="115" customFormat="1" ht="9.1" customHeight="1" x14ac:dyDescent="0.35">
      <c r="A47" s="108"/>
      <c r="B47" s="116"/>
      <c r="C47" s="110"/>
      <c r="D47" s="110"/>
      <c r="E47" s="110"/>
      <c r="F47" s="110"/>
      <c r="G47" s="110"/>
      <c r="H47" s="110"/>
      <c r="I47" s="110"/>
      <c r="J47" s="110"/>
      <c r="K47" s="110"/>
      <c r="L47" s="110"/>
      <c r="M47" s="110"/>
      <c r="N47" s="111"/>
      <c r="O47" s="112"/>
      <c r="P47" s="119"/>
      <c r="Q47" s="112"/>
      <c r="R47" s="120"/>
      <c r="S47" s="113"/>
      <c r="T47" s="119"/>
      <c r="U47" s="113"/>
      <c r="V47" s="113"/>
      <c r="W47" s="113"/>
      <c r="X47" s="113"/>
      <c r="Y47" s="113"/>
      <c r="Z47" s="113"/>
      <c r="AA47" s="113"/>
      <c r="AB47" s="119"/>
      <c r="AC47" s="119"/>
      <c r="AD47" s="114"/>
      <c r="AE47" s="114"/>
      <c r="AF47" s="114"/>
      <c r="AG47" s="114"/>
      <c r="AH47" s="114"/>
      <c r="AI47" s="114"/>
      <c r="AJ47" s="114"/>
      <c r="AK47" s="114"/>
      <c r="AL47" s="114"/>
    </row>
    <row r="48" spans="1:38" s="115" customFormat="1" ht="15" x14ac:dyDescent="0.35">
      <c r="A48" s="108"/>
      <c r="B48" s="116"/>
      <c r="C48" s="110" t="s">
        <v>160</v>
      </c>
      <c r="D48" s="110"/>
      <c r="E48" s="122"/>
      <c r="F48" s="122"/>
      <c r="G48" s="123"/>
      <c r="H48" s="110"/>
      <c r="I48" s="110"/>
      <c r="J48" s="110"/>
      <c r="K48" s="110"/>
      <c r="L48" s="110"/>
      <c r="M48" s="110"/>
      <c r="N48" s="111"/>
      <c r="O48" s="112"/>
      <c r="P48" s="119"/>
      <c r="Q48" s="112"/>
      <c r="R48" s="120"/>
      <c r="S48" s="113"/>
      <c r="T48" s="119"/>
      <c r="U48" s="113"/>
      <c r="V48" s="113"/>
      <c r="W48" s="113"/>
      <c r="X48" s="113"/>
      <c r="Y48" s="113"/>
      <c r="Z48" s="113"/>
      <c r="AA48" s="113"/>
      <c r="AB48" s="119"/>
      <c r="AC48" s="119"/>
      <c r="AD48" s="114"/>
      <c r="AE48" s="114"/>
      <c r="AF48" s="114"/>
      <c r="AG48" s="114"/>
      <c r="AH48" s="114"/>
      <c r="AI48" s="114"/>
      <c r="AJ48" s="114"/>
      <c r="AK48" s="114"/>
      <c r="AL48" s="114"/>
    </row>
    <row r="49" spans="1:38" s="115" customFormat="1" ht="15.7" customHeight="1" x14ac:dyDescent="0.35">
      <c r="A49" s="108"/>
      <c r="B49" s="116"/>
      <c r="C49" s="231"/>
      <c r="D49" s="232"/>
      <c r="E49" s="232"/>
      <c r="F49" s="232"/>
      <c r="G49" s="232"/>
      <c r="H49" s="232"/>
      <c r="I49" s="232"/>
      <c r="J49" s="232"/>
      <c r="K49" s="232"/>
      <c r="L49" s="232"/>
      <c r="M49" s="233"/>
      <c r="N49" s="111"/>
      <c r="O49" s="112"/>
      <c r="P49" s="119"/>
      <c r="Q49" s="112"/>
      <c r="R49" s="120"/>
      <c r="S49" s="113"/>
      <c r="T49" s="113"/>
      <c r="U49" s="113"/>
      <c r="V49" s="113"/>
      <c r="W49" s="113"/>
      <c r="X49" s="113"/>
      <c r="Y49" s="113"/>
      <c r="Z49" s="113"/>
      <c r="AA49" s="113"/>
      <c r="AB49" s="119"/>
      <c r="AC49" s="113"/>
      <c r="AD49" s="114"/>
      <c r="AE49" s="114"/>
      <c r="AF49" s="114"/>
      <c r="AG49" s="114"/>
      <c r="AH49" s="114"/>
      <c r="AI49" s="114"/>
      <c r="AJ49" s="114"/>
      <c r="AK49" s="114"/>
      <c r="AL49" s="114"/>
    </row>
    <row r="50" spans="1:38" s="115" customFormat="1" ht="9.1" customHeight="1" x14ac:dyDescent="0.35">
      <c r="A50" s="108"/>
      <c r="B50" s="116"/>
      <c r="C50" s="110"/>
      <c r="D50" s="110"/>
      <c r="E50" s="110"/>
      <c r="F50" s="110"/>
      <c r="G50" s="110"/>
      <c r="H50" s="110"/>
      <c r="I50" s="110"/>
      <c r="J50" s="110"/>
      <c r="K50" s="110"/>
      <c r="L50" s="110"/>
      <c r="M50" s="110"/>
      <c r="N50" s="111"/>
      <c r="O50" s="112"/>
      <c r="P50" s="120"/>
      <c r="Q50" s="112"/>
      <c r="R50" s="120"/>
      <c r="S50" s="113"/>
      <c r="T50" s="113"/>
      <c r="U50" s="113"/>
      <c r="V50" s="113"/>
      <c r="W50" s="113"/>
      <c r="X50" s="113"/>
      <c r="Y50" s="113"/>
      <c r="Z50" s="113"/>
      <c r="AA50" s="113"/>
      <c r="AB50" s="119"/>
      <c r="AC50" s="113"/>
      <c r="AD50" s="114"/>
      <c r="AE50" s="114"/>
      <c r="AF50" s="114"/>
      <c r="AG50" s="114"/>
      <c r="AH50" s="114"/>
      <c r="AI50" s="114"/>
      <c r="AJ50" s="114"/>
      <c r="AK50" s="114"/>
      <c r="AL50" s="114"/>
    </row>
    <row r="51" spans="1:38" s="115" customFormat="1" ht="29.95" customHeight="1" x14ac:dyDescent="0.35">
      <c r="A51" s="108"/>
      <c r="B51" s="124">
        <v>5</v>
      </c>
      <c r="C51" s="236" t="s">
        <v>161</v>
      </c>
      <c r="D51" s="236"/>
      <c r="E51" s="236"/>
      <c r="F51" s="236"/>
      <c r="G51" s="236"/>
      <c r="H51" s="236"/>
      <c r="I51" s="236"/>
      <c r="J51" s="236"/>
      <c r="K51" s="236"/>
      <c r="L51" s="236"/>
      <c r="M51" s="236"/>
      <c r="N51" s="111"/>
      <c r="O51" s="112"/>
      <c r="P51" s="119"/>
      <c r="Q51" s="112"/>
      <c r="R51" s="120"/>
      <c r="S51" s="113"/>
      <c r="T51" s="113"/>
      <c r="U51" s="113"/>
      <c r="V51" s="113"/>
      <c r="W51" s="113"/>
      <c r="X51" s="113"/>
      <c r="Y51" s="113"/>
      <c r="Z51" s="113"/>
      <c r="AA51" s="113"/>
      <c r="AB51" s="119"/>
      <c r="AC51" s="113"/>
      <c r="AD51" s="114"/>
      <c r="AE51" s="114"/>
      <c r="AF51" s="114"/>
      <c r="AG51" s="114"/>
      <c r="AH51" s="114"/>
      <c r="AI51" s="114"/>
      <c r="AJ51" s="114"/>
      <c r="AK51" s="114"/>
      <c r="AL51" s="114"/>
    </row>
    <row r="52" spans="1:38" s="115" customFormat="1" ht="9.1" customHeight="1" x14ac:dyDescent="0.35">
      <c r="A52" s="108"/>
      <c r="B52" s="116"/>
      <c r="C52" s="110"/>
      <c r="D52" s="110"/>
      <c r="E52" s="110"/>
      <c r="F52" s="110"/>
      <c r="G52" s="110"/>
      <c r="H52" s="110"/>
      <c r="I52" s="110"/>
      <c r="J52" s="110"/>
      <c r="K52" s="110"/>
      <c r="L52" s="110"/>
      <c r="M52" s="110"/>
      <c r="N52" s="111"/>
      <c r="O52" s="112"/>
      <c r="P52" s="119"/>
      <c r="Q52" s="112"/>
      <c r="R52" s="120"/>
      <c r="S52" s="113"/>
      <c r="T52" s="113"/>
      <c r="U52" s="113"/>
      <c r="V52" s="113"/>
      <c r="W52" s="113"/>
      <c r="X52" s="113"/>
      <c r="Y52" s="113"/>
      <c r="Z52" s="113"/>
      <c r="AA52" s="113"/>
      <c r="AB52" s="119"/>
      <c r="AC52" s="113"/>
      <c r="AD52" s="114"/>
      <c r="AE52" s="114"/>
      <c r="AF52" s="114"/>
      <c r="AG52" s="114"/>
      <c r="AH52" s="114"/>
      <c r="AI52" s="114"/>
      <c r="AJ52" s="114"/>
      <c r="AK52" s="114"/>
      <c r="AL52" s="114"/>
    </row>
    <row r="53" spans="1:38" s="115" customFormat="1" ht="18" customHeight="1" x14ac:dyDescent="0.35">
      <c r="A53" s="108"/>
      <c r="B53" s="116"/>
      <c r="C53" s="231"/>
      <c r="D53" s="232"/>
      <c r="E53" s="232"/>
      <c r="F53" s="232"/>
      <c r="G53" s="232"/>
      <c r="H53" s="232"/>
      <c r="I53" s="232"/>
      <c r="J53" s="232"/>
      <c r="K53" s="232"/>
      <c r="L53" s="232"/>
      <c r="M53" s="233"/>
      <c r="N53" s="111"/>
      <c r="O53" s="112"/>
      <c r="P53" s="119"/>
      <c r="Q53" s="112"/>
      <c r="R53" s="120"/>
      <c r="S53" s="113"/>
      <c r="T53" s="113"/>
      <c r="U53" s="113"/>
      <c r="V53" s="113"/>
      <c r="W53" s="113"/>
      <c r="X53" s="113"/>
      <c r="Y53" s="113"/>
      <c r="Z53" s="113"/>
      <c r="AA53" s="113"/>
      <c r="AB53" s="119"/>
      <c r="AC53" s="113"/>
      <c r="AD53" s="114"/>
      <c r="AE53" s="114"/>
      <c r="AF53" s="114"/>
      <c r="AG53" s="114"/>
      <c r="AH53" s="114"/>
      <c r="AI53" s="114"/>
      <c r="AJ53" s="114"/>
      <c r="AK53" s="114"/>
      <c r="AL53" s="114"/>
    </row>
    <row r="54" spans="1:38" s="115" customFormat="1" ht="9.1" customHeight="1" x14ac:dyDescent="0.35">
      <c r="A54" s="108"/>
      <c r="B54" s="116"/>
      <c r="C54" s="110"/>
      <c r="D54" s="110"/>
      <c r="E54" s="110"/>
      <c r="F54" s="110"/>
      <c r="G54" s="110"/>
      <c r="H54" s="110"/>
      <c r="I54" s="110"/>
      <c r="J54" s="110"/>
      <c r="K54" s="110"/>
      <c r="L54" s="110"/>
      <c r="M54" s="110"/>
      <c r="N54" s="111"/>
      <c r="O54" s="112"/>
      <c r="P54" s="120"/>
      <c r="Q54" s="112"/>
      <c r="R54" s="113"/>
      <c r="S54" s="113"/>
      <c r="T54" s="113"/>
      <c r="U54" s="113"/>
      <c r="V54" s="113"/>
      <c r="W54" s="113"/>
      <c r="X54" s="113"/>
      <c r="Y54" s="113"/>
      <c r="Z54" s="113"/>
      <c r="AA54" s="113"/>
      <c r="AB54" s="113"/>
      <c r="AC54" s="113"/>
      <c r="AD54" s="114"/>
      <c r="AE54" s="114"/>
      <c r="AF54" s="114"/>
      <c r="AG54" s="114"/>
      <c r="AH54" s="114"/>
      <c r="AI54" s="114"/>
      <c r="AJ54" s="114"/>
      <c r="AK54" s="114"/>
      <c r="AL54" s="114"/>
    </row>
    <row r="55" spans="1:38" s="115" customFormat="1" ht="15" x14ac:dyDescent="0.35">
      <c r="A55" s="108"/>
      <c r="B55" s="116">
        <v>6</v>
      </c>
      <c r="C55" s="116" t="s">
        <v>162</v>
      </c>
      <c r="D55" s="110"/>
      <c r="E55" s="110"/>
      <c r="F55" s="110"/>
      <c r="G55" s="110"/>
      <c r="H55" s="110"/>
      <c r="I55" s="110"/>
      <c r="J55" s="110"/>
      <c r="K55" s="110"/>
      <c r="L55" s="110"/>
      <c r="M55" s="110"/>
      <c r="N55" s="111"/>
      <c r="O55" s="112"/>
      <c r="P55" s="119"/>
      <c r="Q55" s="112"/>
      <c r="R55" s="113"/>
      <c r="S55" s="113"/>
      <c r="T55" s="113"/>
      <c r="U55" s="113"/>
      <c r="V55" s="113"/>
      <c r="W55" s="113"/>
      <c r="X55" s="113"/>
      <c r="Y55" s="113"/>
      <c r="Z55" s="113"/>
      <c r="AA55" s="113"/>
      <c r="AB55" s="119"/>
      <c r="AC55" s="113"/>
      <c r="AD55" s="114"/>
      <c r="AE55" s="114"/>
      <c r="AF55" s="114"/>
      <c r="AG55" s="114"/>
      <c r="AH55" s="114"/>
      <c r="AI55" s="114"/>
      <c r="AJ55" s="114"/>
      <c r="AK55" s="114"/>
      <c r="AL55" s="114"/>
    </row>
    <row r="56" spans="1:38" s="115" customFormat="1" ht="9.1" customHeight="1" x14ac:dyDescent="0.35">
      <c r="A56" s="108"/>
      <c r="B56" s="116"/>
      <c r="C56" s="110"/>
      <c r="D56" s="110"/>
      <c r="E56" s="110"/>
      <c r="F56" s="110"/>
      <c r="G56" s="110"/>
      <c r="H56" s="110"/>
      <c r="I56" s="110"/>
      <c r="J56" s="110"/>
      <c r="K56" s="110"/>
      <c r="L56" s="110"/>
      <c r="M56" s="110"/>
      <c r="N56" s="111"/>
      <c r="O56" s="112"/>
      <c r="P56" s="120"/>
      <c r="Q56" s="112"/>
      <c r="R56" s="113"/>
      <c r="S56" s="113"/>
      <c r="T56" s="113"/>
      <c r="U56" s="113"/>
      <c r="V56" s="113"/>
      <c r="W56" s="113"/>
      <c r="X56" s="113"/>
      <c r="Y56" s="113"/>
      <c r="Z56" s="113"/>
      <c r="AA56" s="113"/>
      <c r="AB56" s="113"/>
      <c r="AC56" s="113"/>
      <c r="AD56" s="114"/>
      <c r="AE56" s="114"/>
      <c r="AF56" s="114"/>
      <c r="AG56" s="114"/>
      <c r="AH56" s="114"/>
      <c r="AI56" s="114"/>
      <c r="AJ56" s="114"/>
      <c r="AK56" s="114"/>
      <c r="AL56" s="114"/>
    </row>
    <row r="57" spans="1:38" s="115" customFormat="1" ht="21.75" customHeight="1" x14ac:dyDescent="0.35">
      <c r="A57" s="108"/>
      <c r="B57" s="116"/>
      <c r="C57" s="110"/>
      <c r="D57" s="110"/>
      <c r="E57" s="227" t="str">
        <f>+E7</f>
        <v>U.S. specific contracts - all exposures</v>
      </c>
      <c r="F57" s="228"/>
      <c r="G57" s="229"/>
      <c r="H57" s="227" t="str">
        <f>+H7</f>
        <v>All other contracts - all exposures</v>
      </c>
      <c r="I57" s="228"/>
      <c r="J57" s="229"/>
      <c r="K57" s="230" t="s">
        <v>142</v>
      </c>
      <c r="L57" s="230"/>
      <c r="M57" s="230"/>
      <c r="N57" s="111"/>
      <c r="O57" s="112"/>
      <c r="P57" s="120"/>
      <c r="Q57" s="112"/>
      <c r="R57" s="113"/>
      <c r="S57" s="113"/>
      <c r="T57" s="113"/>
      <c r="U57" s="113"/>
      <c r="V57" s="113"/>
      <c r="W57" s="113"/>
      <c r="X57" s="113"/>
      <c r="Y57" s="113"/>
      <c r="Z57" s="113"/>
      <c r="AA57" s="113"/>
      <c r="AB57" s="113"/>
      <c r="AC57" s="113"/>
      <c r="AD57" s="114"/>
      <c r="AE57" s="114"/>
      <c r="AF57" s="114"/>
      <c r="AG57" s="114"/>
      <c r="AH57" s="114"/>
      <c r="AI57" s="114"/>
      <c r="AJ57" s="114"/>
      <c r="AK57" s="114"/>
      <c r="AL57" s="114"/>
    </row>
    <row r="58" spans="1:38" s="115" customFormat="1" ht="29.95" x14ac:dyDescent="0.35">
      <c r="A58" s="108"/>
      <c r="B58" s="116"/>
      <c r="C58" s="110"/>
      <c r="D58" s="110"/>
      <c r="E58" s="117" t="s">
        <v>143</v>
      </c>
      <c r="F58" s="117" t="s">
        <v>144</v>
      </c>
      <c r="G58" s="117" t="s">
        <v>145</v>
      </c>
      <c r="H58" s="117" t="s">
        <v>143</v>
      </c>
      <c r="I58" s="117" t="s">
        <v>144</v>
      </c>
      <c r="J58" s="117" t="s">
        <v>145</v>
      </c>
      <c r="K58" s="117" t="s">
        <v>143</v>
      </c>
      <c r="L58" s="117" t="s">
        <v>144</v>
      </c>
      <c r="M58" s="117" t="s">
        <v>145</v>
      </c>
      <c r="N58" s="111"/>
      <c r="O58" s="112"/>
      <c r="P58" s="120"/>
      <c r="Q58" s="112"/>
      <c r="R58" s="113"/>
      <c r="S58" s="113"/>
      <c r="T58" s="113"/>
      <c r="U58" s="113"/>
      <c r="V58" s="113"/>
      <c r="W58" s="113"/>
      <c r="X58" s="113"/>
      <c r="Y58" s="113"/>
      <c r="Z58" s="113"/>
      <c r="AA58" s="113"/>
      <c r="AB58" s="113"/>
      <c r="AC58" s="113"/>
      <c r="AD58" s="114"/>
      <c r="AE58" s="114"/>
      <c r="AF58" s="114"/>
      <c r="AG58" s="114"/>
      <c r="AH58" s="114"/>
      <c r="AI58" s="114"/>
      <c r="AJ58" s="114"/>
      <c r="AK58" s="114"/>
      <c r="AL58" s="114"/>
    </row>
    <row r="59" spans="1:38" s="115" customFormat="1" ht="17.3" customHeight="1" x14ac:dyDescent="0.35">
      <c r="A59" s="108"/>
      <c r="B59" s="116"/>
      <c r="C59" s="110"/>
      <c r="D59" s="110"/>
      <c r="E59" s="181"/>
      <c r="F59" s="182" t="s">
        <v>175</v>
      </c>
      <c r="G59" s="182" t="s">
        <v>175</v>
      </c>
      <c r="H59" s="181"/>
      <c r="I59" s="182" t="s">
        <v>175</v>
      </c>
      <c r="J59" s="182" t="s">
        <v>175</v>
      </c>
      <c r="K59" s="181"/>
      <c r="L59" s="182" t="s">
        <v>175</v>
      </c>
      <c r="M59" s="182" t="s">
        <v>175</v>
      </c>
      <c r="N59" s="111"/>
      <c r="O59" s="112"/>
      <c r="P59" s="120"/>
      <c r="Q59" s="112"/>
      <c r="R59" s="113"/>
      <c r="S59" s="113"/>
      <c r="T59" s="113"/>
      <c r="U59" s="113"/>
      <c r="V59" s="113"/>
      <c r="W59" s="113"/>
      <c r="X59" s="113"/>
      <c r="Y59" s="113"/>
      <c r="Z59" s="113"/>
      <c r="AA59" s="113"/>
      <c r="AB59" s="113"/>
      <c r="AC59" s="113"/>
      <c r="AD59" s="114"/>
      <c r="AE59" s="114"/>
      <c r="AF59" s="114"/>
      <c r="AG59" s="114"/>
      <c r="AH59" s="114"/>
      <c r="AI59" s="114"/>
      <c r="AJ59" s="114"/>
      <c r="AK59" s="114"/>
      <c r="AL59" s="114"/>
    </row>
    <row r="60" spans="1:38" s="115" customFormat="1" ht="15" x14ac:dyDescent="0.35">
      <c r="A60" s="108"/>
      <c r="B60" s="116"/>
      <c r="C60" s="110"/>
      <c r="D60" s="118" t="s">
        <v>158</v>
      </c>
      <c r="E60" s="186"/>
      <c r="F60" s="186"/>
      <c r="G60" s="186"/>
      <c r="H60" s="186"/>
      <c r="I60" s="186"/>
      <c r="J60" s="186"/>
      <c r="K60" s="188">
        <f t="shared" ref="K60:L63" si="8">H60+E60</f>
        <v>0</v>
      </c>
      <c r="L60" s="189">
        <f t="shared" si="8"/>
        <v>0</v>
      </c>
      <c r="M60" s="190">
        <f>J60+G60</f>
        <v>0</v>
      </c>
      <c r="N60" s="111"/>
      <c r="O60" s="112"/>
      <c r="P60" s="119"/>
      <c r="Q60" s="112"/>
      <c r="R60" s="113"/>
      <c r="S60" s="113"/>
      <c r="T60" s="119"/>
      <c r="U60" s="113"/>
      <c r="V60" s="113"/>
      <c r="W60" s="113"/>
      <c r="X60" s="113"/>
      <c r="Y60" s="113"/>
      <c r="Z60" s="113"/>
      <c r="AA60" s="113"/>
      <c r="AB60" s="119"/>
      <c r="AC60" s="119"/>
      <c r="AD60" s="114"/>
      <c r="AE60" s="114"/>
      <c r="AF60" s="114"/>
      <c r="AG60" s="114"/>
      <c r="AH60" s="114"/>
      <c r="AI60" s="114"/>
      <c r="AJ60" s="114"/>
      <c r="AK60" s="114"/>
      <c r="AL60" s="114"/>
    </row>
    <row r="61" spans="1:38" s="115" customFormat="1" ht="15" x14ac:dyDescent="0.35">
      <c r="A61" s="108"/>
      <c r="B61" s="116"/>
      <c r="C61" s="110"/>
      <c r="D61" s="118" t="s">
        <v>163</v>
      </c>
      <c r="E61" s="183"/>
      <c r="F61" s="183"/>
      <c r="G61" s="183"/>
      <c r="H61" s="183"/>
      <c r="I61" s="183"/>
      <c r="J61" s="183"/>
      <c r="K61" s="191">
        <f t="shared" si="8"/>
        <v>0</v>
      </c>
      <c r="L61" s="184">
        <f t="shared" si="8"/>
        <v>0</v>
      </c>
      <c r="M61" s="192">
        <f>J61+G61</f>
        <v>0</v>
      </c>
      <c r="N61" s="111"/>
      <c r="O61" s="112"/>
      <c r="P61" s="119"/>
      <c r="Q61" s="112"/>
      <c r="R61" s="113"/>
      <c r="S61" s="113"/>
      <c r="T61" s="119"/>
      <c r="U61" s="113"/>
      <c r="V61" s="113"/>
      <c r="W61" s="113"/>
      <c r="X61" s="113"/>
      <c r="Y61" s="113"/>
      <c r="Z61" s="113"/>
      <c r="AA61" s="113"/>
      <c r="AB61" s="119"/>
      <c r="AC61" s="119"/>
      <c r="AD61" s="114"/>
      <c r="AE61" s="114"/>
      <c r="AF61" s="114"/>
      <c r="AG61" s="114"/>
      <c r="AH61" s="114"/>
      <c r="AI61" s="114"/>
      <c r="AJ61" s="114"/>
      <c r="AK61" s="114"/>
      <c r="AL61" s="114"/>
    </row>
    <row r="62" spans="1:38" s="115" customFormat="1" ht="15" x14ac:dyDescent="0.35">
      <c r="A62" s="108"/>
      <c r="B62" s="116"/>
      <c r="C62" s="110"/>
      <c r="D62" s="118" t="s">
        <v>159</v>
      </c>
      <c r="E62" s="183"/>
      <c r="F62" s="183"/>
      <c r="G62" s="183"/>
      <c r="H62" s="183"/>
      <c r="I62" s="183"/>
      <c r="J62" s="183"/>
      <c r="K62" s="191">
        <f t="shared" si="8"/>
        <v>0</v>
      </c>
      <c r="L62" s="184">
        <f t="shared" si="8"/>
        <v>0</v>
      </c>
      <c r="M62" s="192">
        <f>+J62+G62</f>
        <v>0</v>
      </c>
      <c r="N62" s="111"/>
      <c r="O62" s="112"/>
      <c r="P62" s="119"/>
      <c r="Q62" s="112"/>
      <c r="R62" s="113"/>
      <c r="S62" s="113"/>
      <c r="T62" s="119"/>
      <c r="U62" s="113"/>
      <c r="V62" s="113"/>
      <c r="W62" s="113"/>
      <c r="X62" s="113"/>
      <c r="Y62" s="113"/>
      <c r="Z62" s="113"/>
      <c r="AA62" s="113"/>
      <c r="AB62" s="119"/>
      <c r="AC62" s="119"/>
      <c r="AD62" s="114"/>
      <c r="AE62" s="114"/>
      <c r="AF62" s="114"/>
      <c r="AG62" s="114"/>
      <c r="AH62" s="114"/>
      <c r="AI62" s="114"/>
      <c r="AJ62" s="114"/>
      <c r="AK62" s="114"/>
      <c r="AL62" s="114"/>
    </row>
    <row r="63" spans="1:38" s="115" customFormat="1" ht="15" x14ac:dyDescent="0.35">
      <c r="A63" s="108"/>
      <c r="B63" s="116"/>
      <c r="C63" s="110"/>
      <c r="D63" s="118" t="s">
        <v>135</v>
      </c>
      <c r="E63" s="183"/>
      <c r="F63" s="183"/>
      <c r="G63" s="183"/>
      <c r="H63" s="183"/>
      <c r="I63" s="183"/>
      <c r="J63" s="183"/>
      <c r="K63" s="191">
        <f t="shared" si="8"/>
        <v>0</v>
      </c>
      <c r="L63" s="184">
        <f t="shared" si="8"/>
        <v>0</v>
      </c>
      <c r="M63" s="192">
        <f>+J63+G63</f>
        <v>0</v>
      </c>
      <c r="N63" s="111"/>
      <c r="O63" s="112"/>
      <c r="P63" s="119"/>
      <c r="Q63" s="112"/>
      <c r="R63" s="113"/>
      <c r="S63" s="113"/>
      <c r="T63" s="119"/>
      <c r="U63" s="113"/>
      <c r="V63" s="113"/>
      <c r="W63" s="113"/>
      <c r="X63" s="113"/>
      <c r="Y63" s="113"/>
      <c r="Z63" s="113"/>
      <c r="AA63" s="113"/>
      <c r="AB63" s="119"/>
      <c r="AC63" s="119"/>
      <c r="AD63" s="114"/>
      <c r="AE63" s="114"/>
      <c r="AF63" s="114"/>
      <c r="AG63" s="114"/>
      <c r="AH63" s="114"/>
      <c r="AI63" s="114"/>
      <c r="AJ63" s="114"/>
      <c r="AK63" s="114"/>
      <c r="AL63" s="114"/>
    </row>
    <row r="64" spans="1:38" s="115" customFormat="1" ht="15" x14ac:dyDescent="0.35">
      <c r="A64" s="108"/>
      <c r="B64" s="116"/>
      <c r="C64" s="110"/>
      <c r="D64" s="118" t="s">
        <v>142</v>
      </c>
      <c r="E64" s="185">
        <f t="shared" ref="E64:M64" si="9">SUM(E60:E63)</f>
        <v>0</v>
      </c>
      <c r="F64" s="185">
        <f t="shared" si="9"/>
        <v>0</v>
      </c>
      <c r="G64" s="185">
        <f t="shared" si="9"/>
        <v>0</v>
      </c>
      <c r="H64" s="185">
        <f t="shared" si="9"/>
        <v>0</v>
      </c>
      <c r="I64" s="185">
        <f t="shared" si="9"/>
        <v>0</v>
      </c>
      <c r="J64" s="185">
        <f t="shared" si="9"/>
        <v>0</v>
      </c>
      <c r="K64" s="185">
        <f t="shared" si="9"/>
        <v>0</v>
      </c>
      <c r="L64" s="185">
        <f>I64+F64</f>
        <v>0</v>
      </c>
      <c r="M64" s="185">
        <f t="shared" si="9"/>
        <v>0</v>
      </c>
      <c r="N64" s="111"/>
      <c r="O64" s="112"/>
      <c r="P64" s="119"/>
      <c r="Q64" s="112"/>
      <c r="R64" s="113"/>
      <c r="S64" s="113"/>
      <c r="T64" s="119"/>
      <c r="U64" s="113"/>
      <c r="V64" s="113"/>
      <c r="W64" s="113"/>
      <c r="X64" s="113"/>
      <c r="Y64" s="113"/>
      <c r="Z64" s="113"/>
      <c r="AA64" s="113"/>
      <c r="AB64" s="119"/>
      <c r="AC64" s="119"/>
      <c r="AD64" s="114"/>
      <c r="AE64" s="114"/>
      <c r="AF64" s="114"/>
      <c r="AG64" s="114"/>
      <c r="AH64" s="114"/>
      <c r="AI64" s="114"/>
      <c r="AJ64" s="114"/>
      <c r="AK64" s="114"/>
      <c r="AL64" s="114"/>
    </row>
    <row r="65" spans="1:38" s="115" customFormat="1" ht="9.1" customHeight="1" x14ac:dyDescent="0.35">
      <c r="A65" s="108"/>
      <c r="B65" s="116"/>
      <c r="C65" s="110"/>
      <c r="D65" s="110"/>
      <c r="E65" s="110"/>
      <c r="F65" s="110"/>
      <c r="G65" s="110"/>
      <c r="H65" s="110"/>
      <c r="I65" s="110"/>
      <c r="J65" s="110"/>
      <c r="K65" s="110"/>
      <c r="L65" s="110"/>
      <c r="M65" s="110"/>
      <c r="N65" s="111"/>
      <c r="O65" s="112"/>
      <c r="P65" s="120"/>
      <c r="Q65" s="112"/>
      <c r="R65" s="113"/>
      <c r="S65" s="113"/>
      <c r="T65" s="113"/>
      <c r="U65" s="113"/>
      <c r="V65" s="113"/>
      <c r="W65" s="113"/>
      <c r="X65" s="113"/>
      <c r="Y65" s="113"/>
      <c r="Z65" s="113"/>
      <c r="AA65" s="113"/>
      <c r="AB65" s="113"/>
      <c r="AC65" s="113"/>
      <c r="AD65" s="114"/>
      <c r="AE65" s="114"/>
      <c r="AF65" s="114"/>
      <c r="AG65" s="114"/>
      <c r="AH65" s="114"/>
      <c r="AI65" s="114"/>
      <c r="AJ65" s="114"/>
      <c r="AK65" s="114"/>
      <c r="AL65" s="114"/>
    </row>
    <row r="66" spans="1:38" s="115" customFormat="1" ht="15" x14ac:dyDescent="0.35">
      <c r="A66" s="108"/>
      <c r="B66" s="116"/>
      <c r="C66" s="110" t="s">
        <v>160</v>
      </c>
      <c r="D66" s="110"/>
      <c r="E66" s="122"/>
      <c r="F66" s="122"/>
      <c r="G66" s="123"/>
      <c r="H66" s="110"/>
      <c r="I66" s="110"/>
      <c r="J66" s="110"/>
      <c r="K66" s="110"/>
      <c r="L66" s="110"/>
      <c r="M66" s="110"/>
      <c r="N66" s="111"/>
      <c r="O66" s="112"/>
      <c r="P66" s="120"/>
      <c r="Q66" s="112"/>
      <c r="R66" s="113"/>
      <c r="S66" s="113"/>
      <c r="T66" s="113"/>
      <c r="U66" s="113"/>
      <c r="V66" s="113"/>
      <c r="W66" s="113"/>
      <c r="X66" s="113"/>
      <c r="Y66" s="113"/>
      <c r="Z66" s="113"/>
      <c r="AA66" s="113"/>
      <c r="AB66" s="113"/>
      <c r="AC66" s="113"/>
      <c r="AD66" s="114"/>
      <c r="AE66" s="114"/>
      <c r="AF66" s="114"/>
      <c r="AG66" s="114"/>
      <c r="AH66" s="114"/>
      <c r="AI66" s="114"/>
      <c r="AJ66" s="114"/>
      <c r="AK66" s="114"/>
      <c r="AL66" s="114"/>
    </row>
    <row r="67" spans="1:38" s="115" customFormat="1" ht="15" x14ac:dyDescent="0.35">
      <c r="A67" s="108"/>
      <c r="B67" s="116"/>
      <c r="C67" s="237"/>
      <c r="D67" s="238"/>
      <c r="E67" s="238"/>
      <c r="F67" s="238"/>
      <c r="G67" s="238"/>
      <c r="H67" s="238"/>
      <c r="I67" s="238"/>
      <c r="J67" s="238"/>
      <c r="K67" s="238"/>
      <c r="L67" s="238"/>
      <c r="M67" s="239"/>
      <c r="N67" s="111"/>
      <c r="O67" s="112"/>
      <c r="P67" s="119"/>
      <c r="Q67" s="112"/>
      <c r="R67" s="113"/>
      <c r="S67" s="113"/>
      <c r="T67" s="113"/>
      <c r="U67" s="113"/>
      <c r="V67" s="113"/>
      <c r="W67" s="113"/>
      <c r="X67" s="113"/>
      <c r="Y67" s="113"/>
      <c r="Z67" s="113"/>
      <c r="AA67" s="113"/>
      <c r="AB67" s="119"/>
      <c r="AC67" s="113"/>
      <c r="AD67" s="114"/>
      <c r="AE67" s="114"/>
      <c r="AF67" s="114"/>
      <c r="AG67" s="114"/>
      <c r="AH67" s="114"/>
      <c r="AI67" s="114"/>
      <c r="AJ67" s="114"/>
      <c r="AK67" s="114"/>
      <c r="AL67" s="114"/>
    </row>
    <row r="68" spans="1:38" s="115" customFormat="1" ht="6.8" customHeight="1" x14ac:dyDescent="0.35">
      <c r="A68" s="108"/>
      <c r="B68" s="116"/>
      <c r="C68" s="240"/>
      <c r="D68" s="241"/>
      <c r="E68" s="241"/>
      <c r="F68" s="241"/>
      <c r="G68" s="241"/>
      <c r="H68" s="241"/>
      <c r="I68" s="241"/>
      <c r="J68" s="241"/>
      <c r="K68" s="241"/>
      <c r="L68" s="241"/>
      <c r="M68" s="242"/>
      <c r="N68" s="111"/>
      <c r="O68" s="112"/>
      <c r="P68" s="119"/>
      <c r="Q68" s="112"/>
      <c r="R68" s="113"/>
      <c r="S68" s="113"/>
      <c r="T68" s="113"/>
      <c r="U68" s="113"/>
      <c r="V68" s="113"/>
      <c r="W68" s="113"/>
      <c r="X68" s="113"/>
      <c r="Y68" s="113"/>
      <c r="Z68" s="113"/>
      <c r="AA68" s="113"/>
      <c r="AB68" s="119"/>
      <c r="AC68" s="113"/>
      <c r="AD68" s="114"/>
      <c r="AE68" s="114"/>
      <c r="AF68" s="114"/>
      <c r="AG68" s="114"/>
      <c r="AH68" s="114"/>
      <c r="AI68" s="114"/>
      <c r="AJ68" s="114"/>
      <c r="AK68" s="114"/>
      <c r="AL68" s="114"/>
    </row>
    <row r="69" spans="1:38" s="115" customFormat="1" ht="9.1" customHeight="1" x14ac:dyDescent="0.35">
      <c r="A69" s="108"/>
      <c r="B69" s="116"/>
      <c r="C69" s="125"/>
      <c r="D69" s="125"/>
      <c r="E69" s="125"/>
      <c r="F69" s="125"/>
      <c r="G69" s="125"/>
      <c r="H69" s="125"/>
      <c r="I69" s="125"/>
      <c r="J69" s="125"/>
      <c r="K69" s="125"/>
      <c r="L69" s="125"/>
      <c r="M69" s="125"/>
      <c r="N69" s="111"/>
      <c r="O69" s="112"/>
      <c r="P69" s="119"/>
      <c r="Q69" s="126"/>
      <c r="R69" s="113"/>
      <c r="S69" s="113"/>
      <c r="T69" s="113"/>
      <c r="U69" s="113"/>
      <c r="V69" s="113"/>
      <c r="W69" s="113"/>
      <c r="X69" s="113"/>
      <c r="Y69" s="113"/>
      <c r="Z69" s="113"/>
      <c r="AA69" s="113"/>
      <c r="AB69" s="119"/>
      <c r="AC69" s="113"/>
      <c r="AD69" s="114"/>
      <c r="AE69" s="114"/>
      <c r="AF69" s="114"/>
      <c r="AG69" s="114"/>
      <c r="AH69" s="114"/>
      <c r="AI69" s="114"/>
      <c r="AJ69" s="114"/>
      <c r="AK69" s="114"/>
      <c r="AL69" s="114"/>
    </row>
    <row r="70" spans="1:38" s="115" customFormat="1" ht="15" x14ac:dyDescent="0.35">
      <c r="A70" s="108"/>
      <c r="B70" s="116">
        <v>7</v>
      </c>
      <c r="C70" s="116" t="s">
        <v>164</v>
      </c>
      <c r="D70" s="110"/>
      <c r="E70" s="110"/>
      <c r="F70" s="110"/>
      <c r="G70" s="110"/>
      <c r="H70" s="110"/>
      <c r="I70" s="193"/>
      <c r="J70" s="110"/>
      <c r="K70" s="110"/>
      <c r="L70" s="110"/>
      <c r="M70" s="110"/>
      <c r="N70" s="111"/>
      <c r="O70" s="112"/>
      <c r="P70" s="112"/>
      <c r="Q70" s="126"/>
      <c r="R70" s="113"/>
      <c r="S70" s="113"/>
      <c r="T70" s="113"/>
      <c r="U70" s="113"/>
      <c r="V70" s="113"/>
      <c r="W70" s="113"/>
      <c r="X70" s="113"/>
      <c r="Y70" s="113"/>
      <c r="Z70" s="113"/>
      <c r="AA70" s="113"/>
      <c r="AB70" s="119"/>
      <c r="AC70" s="113"/>
      <c r="AD70" s="114"/>
      <c r="AE70" s="114"/>
      <c r="AF70" s="114"/>
      <c r="AG70" s="114"/>
      <c r="AH70" s="114"/>
      <c r="AI70" s="114"/>
      <c r="AJ70" s="114"/>
      <c r="AK70" s="114"/>
      <c r="AL70" s="114"/>
    </row>
    <row r="71" spans="1:38" s="115" customFormat="1" ht="9.1" customHeight="1" x14ac:dyDescent="0.35">
      <c r="A71" s="108"/>
      <c r="B71" s="116"/>
      <c r="C71" s="110"/>
      <c r="D71" s="110"/>
      <c r="E71" s="110"/>
      <c r="F71" s="110"/>
      <c r="G71" s="110"/>
      <c r="H71" s="110"/>
      <c r="I71" s="110"/>
      <c r="J71" s="110"/>
      <c r="K71" s="110"/>
      <c r="L71" s="110"/>
      <c r="M71" s="110"/>
      <c r="N71" s="111"/>
      <c r="O71" s="112"/>
      <c r="P71" s="119"/>
      <c r="Q71" s="112"/>
      <c r="R71" s="113"/>
      <c r="S71" s="113"/>
      <c r="T71" s="113"/>
      <c r="U71" s="113"/>
      <c r="V71" s="113"/>
      <c r="W71" s="113"/>
      <c r="X71" s="113"/>
      <c r="Y71" s="113"/>
      <c r="Z71" s="113"/>
      <c r="AA71" s="113"/>
      <c r="AB71" s="119"/>
      <c r="AC71" s="113"/>
      <c r="AD71" s="114"/>
      <c r="AE71" s="114"/>
      <c r="AF71" s="114"/>
      <c r="AG71" s="114"/>
      <c r="AH71" s="114"/>
      <c r="AI71" s="114"/>
      <c r="AJ71" s="114"/>
      <c r="AK71" s="114"/>
      <c r="AL71" s="114"/>
    </row>
    <row r="72" spans="1:38" s="115" customFormat="1" ht="15" x14ac:dyDescent="0.35">
      <c r="A72" s="108"/>
      <c r="B72" s="116">
        <v>8</v>
      </c>
      <c r="C72" s="116" t="s">
        <v>165</v>
      </c>
      <c r="D72" s="110"/>
      <c r="E72" s="110"/>
      <c r="F72" s="110"/>
      <c r="G72" s="110"/>
      <c r="H72" s="110"/>
      <c r="I72" s="110"/>
      <c r="J72" s="110"/>
      <c r="K72" s="110"/>
      <c r="L72" s="110"/>
      <c r="M72" s="110"/>
      <c r="N72" s="111"/>
      <c r="O72" s="112"/>
      <c r="P72" s="119"/>
      <c r="Q72" s="114"/>
      <c r="R72" s="113"/>
      <c r="S72" s="113"/>
      <c r="T72" s="113"/>
      <c r="U72" s="113"/>
      <c r="V72" s="113"/>
      <c r="W72" s="113"/>
      <c r="X72" s="114"/>
      <c r="Y72" s="114"/>
      <c r="Z72" s="114"/>
      <c r="AA72" s="114"/>
      <c r="AB72" s="119"/>
      <c r="AC72" s="113"/>
      <c r="AD72" s="114"/>
      <c r="AE72" s="114"/>
      <c r="AF72" s="114"/>
      <c r="AG72" s="114"/>
      <c r="AH72" s="114"/>
      <c r="AI72" s="114"/>
      <c r="AJ72" s="114"/>
      <c r="AK72" s="114"/>
      <c r="AL72" s="114"/>
    </row>
    <row r="73" spans="1:38" s="115" customFormat="1" ht="9.1" customHeight="1" x14ac:dyDescent="0.35">
      <c r="A73" s="108"/>
      <c r="B73" s="116"/>
      <c r="C73" s="110"/>
      <c r="D73" s="110"/>
      <c r="E73" s="110"/>
      <c r="F73" s="110"/>
      <c r="G73" s="110"/>
      <c r="H73" s="110"/>
      <c r="I73" s="110"/>
      <c r="J73" s="110"/>
      <c r="K73" s="110"/>
      <c r="L73" s="110"/>
      <c r="M73" s="110"/>
      <c r="N73" s="111"/>
      <c r="O73" s="112"/>
      <c r="P73" s="119"/>
      <c r="Q73" s="112"/>
      <c r="R73" s="113"/>
      <c r="S73" s="113"/>
      <c r="T73" s="113"/>
      <c r="U73" s="113"/>
      <c r="V73" s="114"/>
      <c r="W73" s="114"/>
      <c r="X73" s="114"/>
      <c r="Y73" s="114"/>
      <c r="Z73" s="114"/>
      <c r="AA73" s="114"/>
      <c r="AB73" s="119"/>
      <c r="AC73" s="113"/>
      <c r="AD73" s="114"/>
      <c r="AE73" s="114"/>
      <c r="AF73" s="114"/>
      <c r="AG73" s="114"/>
      <c r="AH73" s="114"/>
      <c r="AI73" s="114"/>
      <c r="AJ73" s="114"/>
      <c r="AK73" s="114"/>
      <c r="AL73" s="114"/>
    </row>
    <row r="74" spans="1:38" s="115" customFormat="1" ht="15.55" customHeight="1" x14ac:dyDescent="0.35">
      <c r="A74" s="108"/>
      <c r="B74" s="116"/>
      <c r="C74" s="243"/>
      <c r="D74" s="232"/>
      <c r="E74" s="232"/>
      <c r="F74" s="232"/>
      <c r="G74" s="232"/>
      <c r="H74" s="232"/>
      <c r="I74" s="232"/>
      <c r="J74" s="232"/>
      <c r="K74" s="232"/>
      <c r="L74" s="232"/>
      <c r="M74" s="233"/>
      <c r="N74" s="111"/>
      <c r="O74" s="112"/>
      <c r="P74" s="119"/>
      <c r="Q74" s="112"/>
      <c r="R74" s="113"/>
      <c r="S74" s="113"/>
      <c r="T74" s="113"/>
      <c r="U74" s="113"/>
      <c r="V74" s="114"/>
      <c r="W74" s="114"/>
      <c r="X74" s="114"/>
      <c r="Y74" s="114"/>
      <c r="Z74" s="114"/>
      <c r="AA74" s="114"/>
      <c r="AB74" s="119"/>
      <c r="AC74" s="113"/>
      <c r="AD74" s="114"/>
      <c r="AE74" s="114"/>
      <c r="AF74" s="114"/>
      <c r="AG74" s="114"/>
      <c r="AH74" s="114"/>
      <c r="AI74" s="114"/>
      <c r="AJ74" s="114"/>
      <c r="AK74" s="114"/>
      <c r="AL74" s="114"/>
    </row>
    <row r="75" spans="1:38" s="115" customFormat="1" ht="9.1" customHeight="1" x14ac:dyDescent="0.35">
      <c r="A75" s="108"/>
      <c r="B75" s="116"/>
      <c r="C75" s="110"/>
      <c r="D75" s="110"/>
      <c r="E75" s="110"/>
      <c r="F75" s="110"/>
      <c r="G75" s="110"/>
      <c r="H75" s="110"/>
      <c r="I75" s="110"/>
      <c r="J75" s="110"/>
      <c r="K75" s="110"/>
      <c r="L75" s="110"/>
      <c r="M75" s="110"/>
      <c r="N75" s="111"/>
      <c r="O75" s="112"/>
      <c r="P75" s="119"/>
      <c r="Q75" s="112"/>
      <c r="R75" s="113"/>
      <c r="S75" s="113"/>
      <c r="T75" s="113"/>
      <c r="U75" s="113"/>
      <c r="V75" s="114"/>
      <c r="W75" s="114"/>
      <c r="X75" s="114"/>
      <c r="Y75" s="114"/>
      <c r="Z75" s="114"/>
      <c r="AA75" s="114"/>
      <c r="AB75" s="119"/>
      <c r="AC75" s="113"/>
      <c r="AD75" s="114"/>
      <c r="AE75" s="114"/>
      <c r="AF75" s="114"/>
      <c r="AG75" s="114"/>
      <c r="AH75" s="114"/>
      <c r="AI75" s="114"/>
      <c r="AJ75" s="114"/>
      <c r="AK75" s="114"/>
      <c r="AL75" s="114"/>
    </row>
    <row r="76" spans="1:38" s="115" customFormat="1" ht="27.1" customHeight="1" x14ac:dyDescent="0.35">
      <c r="A76" s="108"/>
      <c r="B76" s="127">
        <v>9</v>
      </c>
      <c r="C76" s="244" t="s">
        <v>166</v>
      </c>
      <c r="D76" s="244"/>
      <c r="E76" s="244"/>
      <c r="F76" s="244"/>
      <c r="G76" s="244"/>
      <c r="H76" s="244"/>
      <c r="I76" s="244"/>
      <c r="J76" s="244"/>
      <c r="K76" s="244"/>
      <c r="L76" s="244"/>
      <c r="M76" s="128"/>
      <c r="N76" s="111"/>
      <c r="O76" s="112"/>
      <c r="P76" s="119"/>
      <c r="Q76" s="126"/>
      <c r="R76" s="113"/>
      <c r="S76" s="113"/>
      <c r="T76" s="113"/>
      <c r="U76" s="113"/>
      <c r="V76" s="114"/>
      <c r="W76" s="114"/>
      <c r="X76" s="114"/>
      <c r="Y76" s="114"/>
      <c r="Z76" s="114"/>
      <c r="AA76" s="114"/>
      <c r="AB76" s="119"/>
      <c r="AC76" s="113"/>
      <c r="AD76" s="114"/>
      <c r="AE76" s="114"/>
      <c r="AF76" s="114"/>
      <c r="AG76" s="114"/>
      <c r="AH76" s="114"/>
      <c r="AI76" s="114"/>
      <c r="AJ76" s="114"/>
      <c r="AK76" s="114"/>
      <c r="AL76" s="114"/>
    </row>
    <row r="77" spans="1:38" s="115" customFormat="1" ht="9.1" customHeight="1" x14ac:dyDescent="0.35">
      <c r="A77" s="108"/>
      <c r="B77" s="116"/>
      <c r="C77" s="110"/>
      <c r="D77" s="110"/>
      <c r="E77" s="110"/>
      <c r="F77" s="110"/>
      <c r="G77" s="110"/>
      <c r="H77" s="110"/>
      <c r="I77" s="110"/>
      <c r="J77" s="110"/>
      <c r="K77" s="110"/>
      <c r="L77" s="110"/>
      <c r="M77" s="110"/>
      <c r="N77" s="111"/>
      <c r="O77" s="112"/>
      <c r="P77" s="119"/>
      <c r="Q77" s="112"/>
      <c r="R77" s="113"/>
      <c r="S77" s="113"/>
      <c r="T77" s="113"/>
      <c r="U77" s="113"/>
      <c r="V77" s="114"/>
      <c r="W77" s="114"/>
      <c r="X77" s="114"/>
      <c r="Y77" s="114"/>
      <c r="Z77" s="114"/>
      <c r="AA77" s="114"/>
      <c r="AB77" s="119"/>
      <c r="AC77" s="113"/>
      <c r="AD77" s="114"/>
      <c r="AE77" s="114"/>
      <c r="AF77" s="114"/>
      <c r="AG77" s="114"/>
      <c r="AH77" s="114"/>
      <c r="AI77" s="114"/>
      <c r="AJ77" s="114"/>
      <c r="AK77" s="114"/>
      <c r="AL77" s="114"/>
    </row>
    <row r="78" spans="1:38" s="115" customFormat="1" ht="13.55" customHeight="1" x14ac:dyDescent="0.35">
      <c r="A78" s="108"/>
      <c r="B78" s="116"/>
      <c r="C78" s="231"/>
      <c r="D78" s="232"/>
      <c r="E78" s="232"/>
      <c r="F78" s="232"/>
      <c r="G78" s="232"/>
      <c r="H78" s="232"/>
      <c r="I78" s="232"/>
      <c r="J78" s="232"/>
      <c r="K78" s="232"/>
      <c r="L78" s="232"/>
      <c r="M78" s="233"/>
      <c r="N78" s="111"/>
      <c r="O78" s="112"/>
      <c r="P78" s="112"/>
      <c r="Q78" s="126"/>
      <c r="R78" s="113"/>
      <c r="S78" s="113"/>
      <c r="T78" s="113"/>
      <c r="U78" s="113"/>
      <c r="V78" s="114"/>
      <c r="W78" s="114"/>
      <c r="X78" s="114"/>
      <c r="Y78" s="114"/>
      <c r="Z78" s="114"/>
      <c r="AA78" s="114"/>
      <c r="AB78" s="119"/>
      <c r="AC78" s="113"/>
      <c r="AD78" s="114"/>
      <c r="AE78" s="114"/>
      <c r="AF78" s="114"/>
      <c r="AG78" s="114"/>
      <c r="AH78" s="114"/>
      <c r="AI78" s="114"/>
      <c r="AJ78" s="114"/>
      <c r="AK78" s="114"/>
      <c r="AL78" s="114"/>
    </row>
    <row r="79" spans="1:38" s="115" customFormat="1" ht="9.1" customHeight="1" x14ac:dyDescent="0.35">
      <c r="A79" s="129"/>
      <c r="B79" s="130"/>
      <c r="C79" s="131"/>
      <c r="D79" s="131"/>
      <c r="E79" s="131"/>
      <c r="F79" s="131"/>
      <c r="G79" s="131"/>
      <c r="H79" s="131"/>
      <c r="I79" s="131"/>
      <c r="J79" s="131"/>
      <c r="K79" s="131"/>
      <c r="L79" s="131"/>
      <c r="M79" s="131"/>
      <c r="N79" s="132"/>
      <c r="O79" s="112"/>
      <c r="P79" s="119"/>
      <c r="Q79" s="112"/>
      <c r="R79" s="113"/>
      <c r="S79" s="113"/>
      <c r="T79" s="113"/>
      <c r="U79" s="113"/>
      <c r="V79" s="114"/>
      <c r="W79" s="114"/>
      <c r="X79" s="114"/>
      <c r="Y79" s="114"/>
      <c r="Z79" s="114"/>
      <c r="AA79" s="114"/>
      <c r="AB79" s="114"/>
      <c r="AC79" s="114"/>
      <c r="AD79" s="114"/>
      <c r="AE79" s="114"/>
      <c r="AF79" s="114"/>
      <c r="AG79" s="114"/>
      <c r="AH79" s="114"/>
      <c r="AI79" s="114"/>
      <c r="AJ79" s="114"/>
      <c r="AK79" s="114"/>
      <c r="AL79" s="114"/>
    </row>
    <row r="80" spans="1:38" s="5" customFormat="1" x14ac:dyDescent="0.3">
      <c r="B80" s="78"/>
      <c r="P80" s="6"/>
      <c r="Q80" s="7"/>
      <c r="R80" s="8"/>
      <c r="S80" s="16"/>
      <c r="T80" s="16"/>
      <c r="U80" s="16"/>
      <c r="V80" s="16"/>
      <c r="W80" s="16"/>
      <c r="X80" s="16"/>
      <c r="Y80" s="16"/>
      <c r="Z80" s="16"/>
      <c r="AA80" s="16"/>
      <c r="AB80" s="16"/>
      <c r="AC80" s="16"/>
      <c r="AD80" s="16"/>
      <c r="AE80" s="16"/>
      <c r="AF80" s="16"/>
      <c r="AG80" s="16"/>
      <c r="AH80" s="16"/>
      <c r="AI80" s="16"/>
      <c r="AJ80" s="16"/>
      <c r="AK80" s="16"/>
      <c r="AL80" s="16"/>
    </row>
    <row r="81" spans="2:17" s="16" customFormat="1" x14ac:dyDescent="0.3">
      <c r="B81" s="133"/>
      <c r="E81" s="35"/>
      <c r="F81" s="35"/>
      <c r="G81" s="35"/>
      <c r="H81" s="35"/>
      <c r="I81" s="35"/>
      <c r="J81" s="35"/>
      <c r="K81" s="35"/>
      <c r="L81" s="35"/>
      <c r="M81" s="35"/>
      <c r="N81" s="8"/>
      <c r="O81" s="8"/>
      <c r="P81" s="8"/>
      <c r="Q81" s="5"/>
    </row>
    <row r="82" spans="2:17" s="16" customFormat="1" x14ac:dyDescent="0.3">
      <c r="B82" s="133"/>
      <c r="E82" s="7"/>
      <c r="F82" s="7"/>
      <c r="G82" s="7"/>
      <c r="H82" s="7"/>
      <c r="I82" s="7"/>
      <c r="J82" s="7"/>
      <c r="K82" s="7"/>
      <c r="L82" s="7"/>
      <c r="M82" s="7"/>
      <c r="N82" s="8"/>
      <c r="O82" s="8"/>
    </row>
    <row r="83" spans="2:17" s="16" customFormat="1" x14ac:dyDescent="0.3">
      <c r="B83" s="133"/>
      <c r="E83" s="7"/>
      <c r="F83" s="7"/>
      <c r="G83" s="7"/>
      <c r="H83" s="7"/>
      <c r="I83" s="7"/>
      <c r="J83" s="7"/>
      <c r="K83" s="7"/>
      <c r="L83" s="7"/>
      <c r="M83" s="7"/>
      <c r="N83" s="8"/>
      <c r="O83" s="8"/>
    </row>
    <row r="84" spans="2:17" s="16" customFormat="1" x14ac:dyDescent="0.3">
      <c r="B84" s="133"/>
      <c r="E84" s="7"/>
      <c r="F84" s="7"/>
      <c r="G84" s="7"/>
      <c r="H84" s="7"/>
      <c r="I84" s="7"/>
      <c r="J84" s="7"/>
      <c r="K84" s="7"/>
      <c r="L84" s="7"/>
      <c r="M84" s="7"/>
      <c r="N84" s="8"/>
      <c r="O84" s="8"/>
    </row>
    <row r="85" spans="2:17" s="16" customFormat="1" x14ac:dyDescent="0.3">
      <c r="B85" s="133"/>
      <c r="E85" s="7"/>
      <c r="F85" s="7"/>
      <c r="G85" s="7"/>
      <c r="H85" s="7"/>
      <c r="I85" s="7"/>
      <c r="J85" s="7"/>
      <c r="K85" s="7"/>
      <c r="L85" s="7"/>
      <c r="M85" s="7"/>
      <c r="N85" s="8"/>
      <c r="O85" s="8"/>
    </row>
    <row r="86" spans="2:17" s="16" customFormat="1" x14ac:dyDescent="0.3">
      <c r="B86" s="133"/>
      <c r="E86" s="7"/>
      <c r="F86" s="7"/>
      <c r="G86" s="7"/>
      <c r="H86" s="7"/>
      <c r="I86" s="7"/>
      <c r="J86" s="7"/>
      <c r="K86" s="7"/>
      <c r="L86" s="7"/>
      <c r="M86" s="7"/>
      <c r="N86" s="8"/>
      <c r="O86" s="8"/>
    </row>
    <row r="87" spans="2:17" s="16" customFormat="1" x14ac:dyDescent="0.3">
      <c r="B87" s="133"/>
      <c r="E87" s="7"/>
      <c r="F87" s="7"/>
      <c r="G87" s="7"/>
      <c r="H87" s="7"/>
      <c r="I87" s="7"/>
      <c r="J87" s="7"/>
      <c r="K87" s="7"/>
      <c r="L87" s="7"/>
      <c r="M87" s="7"/>
      <c r="N87" s="8"/>
      <c r="O87" s="8"/>
    </row>
    <row r="88" spans="2:17" s="16" customFormat="1" x14ac:dyDescent="0.3">
      <c r="B88" s="133"/>
      <c r="E88" s="7"/>
      <c r="F88" s="7"/>
      <c r="G88" s="7"/>
      <c r="H88" s="7"/>
      <c r="I88" s="7"/>
      <c r="J88" s="7"/>
      <c r="K88" s="7"/>
      <c r="L88" s="7"/>
      <c r="M88" s="7"/>
      <c r="N88" s="8"/>
      <c r="O88" s="8"/>
    </row>
    <row r="89" spans="2:17" s="16" customFormat="1" x14ac:dyDescent="0.3">
      <c r="B89" s="133"/>
      <c r="E89" s="7"/>
      <c r="F89" s="7"/>
      <c r="G89" s="7"/>
      <c r="H89" s="7"/>
      <c r="I89" s="7"/>
      <c r="J89" s="7"/>
      <c r="K89" s="7"/>
      <c r="L89" s="7"/>
      <c r="M89" s="7"/>
      <c r="N89" s="8"/>
      <c r="O89" s="8"/>
    </row>
    <row r="90" spans="2:17" s="16" customFormat="1" x14ac:dyDescent="0.3">
      <c r="B90" s="133"/>
      <c r="E90" s="7"/>
      <c r="F90" s="7"/>
      <c r="G90" s="7"/>
      <c r="H90" s="7"/>
      <c r="I90" s="7"/>
      <c r="J90" s="7"/>
      <c r="K90" s="7"/>
      <c r="L90" s="7"/>
      <c r="M90" s="7"/>
      <c r="N90" s="8"/>
      <c r="O90" s="8"/>
    </row>
    <row r="91" spans="2:17" s="16" customFormat="1" x14ac:dyDescent="0.3">
      <c r="B91" s="133"/>
      <c r="E91" s="7"/>
      <c r="F91" s="7"/>
      <c r="G91" s="7"/>
      <c r="H91" s="7"/>
      <c r="I91" s="7"/>
      <c r="J91" s="7"/>
      <c r="K91" s="7"/>
      <c r="L91" s="7"/>
      <c r="M91" s="7"/>
      <c r="N91" s="8"/>
      <c r="O91" s="8"/>
      <c r="P91" s="6"/>
    </row>
    <row r="92" spans="2:17" s="16" customFormat="1" x14ac:dyDescent="0.3">
      <c r="B92" s="133"/>
      <c r="E92" s="7"/>
      <c r="F92" s="7"/>
      <c r="G92" s="7"/>
      <c r="H92" s="7"/>
      <c r="I92" s="7"/>
      <c r="J92" s="7"/>
      <c r="K92" s="7"/>
      <c r="L92" s="7"/>
      <c r="M92" s="7"/>
      <c r="N92" s="8"/>
      <c r="O92" s="8"/>
      <c r="P92" s="6"/>
    </row>
    <row r="93" spans="2:17" s="16" customFormat="1" x14ac:dyDescent="0.3">
      <c r="B93" s="133"/>
      <c r="E93" s="7"/>
      <c r="F93" s="7"/>
      <c r="G93" s="7"/>
      <c r="H93" s="7"/>
      <c r="I93" s="7"/>
      <c r="J93" s="7"/>
      <c r="K93" s="7"/>
      <c r="L93" s="7"/>
      <c r="M93" s="7"/>
      <c r="N93" s="8"/>
      <c r="O93" s="8"/>
      <c r="P93" s="6"/>
    </row>
    <row r="94" spans="2:17" s="16" customFormat="1" x14ac:dyDescent="0.3">
      <c r="B94" s="133"/>
      <c r="E94" s="7"/>
      <c r="F94" s="7"/>
      <c r="G94" s="7"/>
      <c r="H94" s="7"/>
      <c r="I94" s="7"/>
      <c r="J94" s="7"/>
      <c r="K94" s="7"/>
      <c r="L94" s="7"/>
      <c r="M94" s="7"/>
      <c r="N94" s="8"/>
      <c r="O94" s="8"/>
      <c r="P94" s="8"/>
    </row>
    <row r="95" spans="2:17" s="16" customFormat="1" x14ac:dyDescent="0.3">
      <c r="B95" s="133"/>
      <c r="E95" s="7"/>
      <c r="F95" s="7"/>
      <c r="G95" s="7"/>
      <c r="H95" s="7"/>
      <c r="I95" s="7"/>
      <c r="J95" s="7"/>
      <c r="K95" s="7"/>
      <c r="L95" s="7"/>
      <c r="M95" s="7"/>
      <c r="N95" s="8"/>
      <c r="O95" s="8"/>
      <c r="P95" s="8"/>
    </row>
    <row r="96" spans="2:17" s="16" customFormat="1" x14ac:dyDescent="0.3">
      <c r="B96" s="133"/>
      <c r="E96" s="7"/>
      <c r="F96" s="7"/>
      <c r="G96" s="7"/>
      <c r="H96" s="7"/>
      <c r="I96" s="7"/>
      <c r="J96" s="7"/>
      <c r="K96" s="7"/>
      <c r="L96" s="7"/>
      <c r="M96" s="7"/>
      <c r="N96" s="8"/>
      <c r="O96" s="8"/>
      <c r="P96" s="8"/>
    </row>
    <row r="97" spans="2:16" s="16" customFormat="1" x14ac:dyDescent="0.3">
      <c r="B97" s="133"/>
      <c r="E97" s="7"/>
      <c r="F97" s="7"/>
      <c r="G97" s="7"/>
      <c r="H97" s="7"/>
      <c r="I97" s="7"/>
      <c r="J97" s="7"/>
      <c r="K97" s="7"/>
      <c r="L97" s="7"/>
      <c r="M97" s="7"/>
      <c r="N97" s="8"/>
      <c r="O97" s="8"/>
      <c r="P97" s="8"/>
    </row>
    <row r="98" spans="2:16" s="16" customFormat="1" x14ac:dyDescent="0.3">
      <c r="B98" s="133"/>
      <c r="E98" s="7"/>
      <c r="F98" s="7"/>
      <c r="G98" s="7"/>
      <c r="H98" s="7"/>
      <c r="I98" s="7"/>
      <c r="J98" s="7"/>
      <c r="K98" s="7"/>
      <c r="L98" s="7"/>
      <c r="M98" s="7"/>
      <c r="N98" s="8"/>
      <c r="O98" s="8"/>
      <c r="P98" s="8"/>
    </row>
    <row r="99" spans="2:16" s="16" customFormat="1" x14ac:dyDescent="0.3">
      <c r="B99" s="133"/>
      <c r="E99" s="7"/>
      <c r="F99" s="7"/>
      <c r="G99" s="7"/>
      <c r="H99" s="7"/>
      <c r="I99" s="7"/>
      <c r="J99" s="7"/>
      <c r="K99" s="7"/>
      <c r="L99" s="7"/>
      <c r="M99" s="7"/>
      <c r="N99" s="8"/>
      <c r="O99" s="8"/>
      <c r="P99" s="8"/>
    </row>
    <row r="100" spans="2:16" s="16" customFormat="1" x14ac:dyDescent="0.3">
      <c r="B100" s="133"/>
      <c r="E100" s="7"/>
      <c r="F100" s="7"/>
      <c r="G100" s="7"/>
      <c r="H100" s="7"/>
      <c r="I100" s="7"/>
      <c r="J100" s="7"/>
      <c r="K100" s="7"/>
      <c r="L100" s="7"/>
      <c r="M100" s="7"/>
      <c r="N100" s="8"/>
      <c r="O100" s="8"/>
      <c r="P100" s="8"/>
    </row>
    <row r="101" spans="2:16" s="16" customFormat="1" x14ac:dyDescent="0.3">
      <c r="B101" s="133"/>
      <c r="E101" s="7"/>
      <c r="F101" s="7"/>
      <c r="G101" s="7"/>
      <c r="H101" s="7"/>
      <c r="I101" s="7"/>
      <c r="J101" s="7"/>
      <c r="K101" s="7"/>
      <c r="L101" s="7"/>
      <c r="M101" s="7"/>
      <c r="N101" s="8"/>
      <c r="O101" s="8"/>
      <c r="P101" s="8"/>
    </row>
    <row r="102" spans="2:16" s="16" customFormat="1" x14ac:dyDescent="0.3">
      <c r="B102" s="133"/>
      <c r="E102" s="7"/>
      <c r="F102" s="7"/>
      <c r="G102" s="7"/>
      <c r="H102" s="7"/>
      <c r="I102" s="7"/>
      <c r="J102" s="7"/>
      <c r="K102" s="7"/>
      <c r="L102" s="7"/>
      <c r="M102" s="7"/>
      <c r="N102" s="8"/>
      <c r="O102" s="8"/>
      <c r="P102" s="8"/>
    </row>
    <row r="103" spans="2:16" s="16" customFormat="1" x14ac:dyDescent="0.3">
      <c r="B103" s="133"/>
      <c r="E103" s="7"/>
      <c r="F103" s="7"/>
      <c r="G103" s="7"/>
      <c r="H103" s="7"/>
      <c r="I103" s="7"/>
      <c r="J103" s="7"/>
      <c r="K103" s="7"/>
      <c r="L103" s="7"/>
      <c r="M103" s="7"/>
      <c r="N103" s="8"/>
      <c r="O103" s="8"/>
      <c r="P103" s="8"/>
    </row>
    <row r="104" spans="2:16" s="16" customFormat="1" x14ac:dyDescent="0.3">
      <c r="B104" s="133"/>
      <c r="E104" s="7"/>
      <c r="F104" s="7"/>
      <c r="G104" s="7"/>
      <c r="H104" s="7"/>
      <c r="I104" s="7"/>
      <c r="J104" s="7"/>
      <c r="K104" s="7"/>
      <c r="L104" s="7"/>
      <c r="M104" s="7"/>
      <c r="N104" s="8"/>
      <c r="O104" s="8"/>
      <c r="P104" s="8"/>
    </row>
    <row r="105" spans="2:16" s="16" customFormat="1" x14ac:dyDescent="0.3">
      <c r="B105" s="133"/>
      <c r="E105" s="7"/>
      <c r="F105" s="7"/>
      <c r="G105" s="7"/>
      <c r="H105" s="7"/>
      <c r="I105" s="7"/>
      <c r="J105" s="7"/>
      <c r="K105" s="7"/>
      <c r="L105" s="7"/>
      <c r="M105" s="7"/>
      <c r="N105" s="8"/>
      <c r="O105" s="8"/>
      <c r="P105" s="8"/>
    </row>
    <row r="106" spans="2:16" s="16" customFormat="1" x14ac:dyDescent="0.3">
      <c r="B106" s="133"/>
      <c r="E106" s="7"/>
      <c r="F106" s="7"/>
      <c r="G106" s="7"/>
      <c r="H106" s="7"/>
      <c r="I106" s="7"/>
      <c r="J106" s="7"/>
      <c r="K106" s="7"/>
      <c r="L106" s="7"/>
      <c r="M106" s="7"/>
      <c r="N106" s="8"/>
      <c r="O106" s="8"/>
      <c r="P106" s="8"/>
    </row>
    <row r="107" spans="2:16" s="16" customFormat="1" x14ac:dyDescent="0.3">
      <c r="B107" s="133"/>
      <c r="E107" s="7"/>
      <c r="F107" s="7"/>
      <c r="G107" s="7"/>
      <c r="H107" s="7"/>
      <c r="I107" s="7"/>
      <c r="J107" s="7"/>
      <c r="K107" s="7"/>
      <c r="L107" s="7"/>
      <c r="M107" s="7"/>
      <c r="N107" s="8"/>
      <c r="O107" s="8"/>
      <c r="P107" s="8"/>
    </row>
    <row r="108" spans="2:16" s="16" customFormat="1" x14ac:dyDescent="0.3">
      <c r="B108" s="133"/>
      <c r="E108" s="7"/>
      <c r="F108" s="7"/>
      <c r="G108" s="7"/>
      <c r="H108" s="7"/>
      <c r="I108" s="7"/>
      <c r="J108" s="7"/>
      <c r="K108" s="7"/>
      <c r="L108" s="7"/>
      <c r="M108" s="7"/>
      <c r="N108" s="8"/>
      <c r="O108" s="8"/>
      <c r="P108" s="8"/>
    </row>
    <row r="109" spans="2:16" s="16" customFormat="1" x14ac:dyDescent="0.3">
      <c r="B109" s="133"/>
      <c r="E109" s="7"/>
      <c r="F109" s="7"/>
      <c r="G109" s="7"/>
      <c r="H109" s="7"/>
      <c r="I109" s="7"/>
      <c r="J109" s="7"/>
      <c r="K109" s="7"/>
      <c r="L109" s="7"/>
      <c r="M109" s="7"/>
      <c r="N109" s="8"/>
      <c r="O109" s="8"/>
      <c r="P109" s="8"/>
    </row>
    <row r="110" spans="2:16" s="16" customFormat="1" x14ac:dyDescent="0.3">
      <c r="B110" s="133"/>
      <c r="E110" s="7"/>
      <c r="F110" s="7"/>
      <c r="G110" s="7"/>
      <c r="H110" s="7"/>
      <c r="I110" s="7"/>
      <c r="J110" s="7"/>
      <c r="K110" s="7"/>
      <c r="L110" s="7"/>
      <c r="M110" s="7"/>
      <c r="N110" s="8"/>
      <c r="O110" s="8"/>
      <c r="P110" s="8"/>
    </row>
    <row r="111" spans="2:16" s="16" customFormat="1" x14ac:dyDescent="0.3">
      <c r="B111" s="133"/>
      <c r="E111" s="7"/>
      <c r="F111" s="7"/>
      <c r="G111" s="7"/>
      <c r="H111" s="7"/>
      <c r="I111" s="7"/>
      <c r="J111" s="7"/>
      <c r="K111" s="7"/>
      <c r="L111" s="7"/>
      <c r="M111" s="7"/>
      <c r="N111" s="8"/>
      <c r="O111" s="8"/>
      <c r="P111" s="8"/>
    </row>
    <row r="112" spans="2:16" s="16" customFormat="1" x14ac:dyDescent="0.3">
      <c r="B112" s="133"/>
      <c r="E112" s="7"/>
      <c r="F112" s="7"/>
      <c r="G112" s="7"/>
      <c r="H112" s="7"/>
      <c r="I112" s="7"/>
      <c r="J112" s="7"/>
      <c r="K112" s="7"/>
      <c r="L112" s="7"/>
      <c r="M112" s="7"/>
      <c r="N112" s="8"/>
      <c r="O112" s="8"/>
      <c r="P112" s="8"/>
    </row>
    <row r="113" spans="2:16" s="16" customFormat="1" x14ac:dyDescent="0.3">
      <c r="B113" s="133"/>
      <c r="E113" s="7"/>
      <c r="F113" s="7"/>
      <c r="G113" s="7"/>
      <c r="H113" s="7"/>
      <c r="I113" s="7"/>
      <c r="J113" s="7"/>
      <c r="K113" s="7"/>
      <c r="L113" s="7"/>
      <c r="M113" s="7"/>
      <c r="N113" s="8"/>
      <c r="O113" s="8"/>
      <c r="P113" s="8"/>
    </row>
    <row r="114" spans="2:16" s="16" customFormat="1" x14ac:dyDescent="0.3">
      <c r="B114" s="133"/>
      <c r="E114" s="7"/>
      <c r="F114" s="7"/>
      <c r="G114" s="7"/>
      <c r="H114" s="7"/>
      <c r="I114" s="7"/>
      <c r="J114" s="7"/>
      <c r="K114" s="7"/>
      <c r="L114" s="7"/>
      <c r="M114" s="7"/>
      <c r="N114" s="8"/>
      <c r="O114" s="8"/>
      <c r="P114" s="8"/>
    </row>
    <row r="115" spans="2:16" s="16" customFormat="1" x14ac:dyDescent="0.3">
      <c r="B115" s="133"/>
      <c r="E115" s="7"/>
      <c r="F115" s="7"/>
      <c r="G115" s="7"/>
      <c r="H115" s="7"/>
      <c r="I115" s="7"/>
      <c r="J115" s="7"/>
      <c r="K115" s="7"/>
      <c r="L115" s="7"/>
      <c r="M115" s="7"/>
      <c r="N115" s="8"/>
      <c r="O115" s="8"/>
      <c r="P115" s="8"/>
    </row>
    <row r="116" spans="2:16" s="16" customFormat="1" x14ac:dyDescent="0.3">
      <c r="B116" s="133"/>
      <c r="E116" s="7"/>
      <c r="F116" s="7"/>
      <c r="G116" s="7"/>
      <c r="H116" s="7"/>
      <c r="I116" s="7"/>
      <c r="J116" s="7"/>
      <c r="K116" s="7"/>
      <c r="L116" s="7"/>
      <c r="M116" s="7"/>
      <c r="N116" s="8"/>
      <c r="O116" s="8"/>
      <c r="P116" s="8"/>
    </row>
    <row r="117" spans="2:16" s="16" customFormat="1" x14ac:dyDescent="0.3">
      <c r="B117" s="133"/>
      <c r="E117" s="7"/>
      <c r="F117" s="7"/>
      <c r="G117" s="7"/>
      <c r="H117" s="7"/>
      <c r="I117" s="7"/>
      <c r="J117" s="7"/>
      <c r="K117" s="7"/>
      <c r="L117" s="7"/>
      <c r="M117" s="7"/>
      <c r="N117" s="8"/>
      <c r="O117" s="8"/>
      <c r="P117" s="8"/>
    </row>
    <row r="118" spans="2:16" s="16" customFormat="1" x14ac:dyDescent="0.3">
      <c r="B118" s="133"/>
      <c r="E118" s="7"/>
      <c r="F118" s="7"/>
      <c r="G118" s="7"/>
      <c r="H118" s="7"/>
      <c r="I118" s="7"/>
      <c r="J118" s="7"/>
      <c r="K118" s="7"/>
      <c r="L118" s="7"/>
      <c r="M118" s="7"/>
      <c r="N118" s="8"/>
      <c r="O118" s="8"/>
      <c r="P118" s="8"/>
    </row>
    <row r="119" spans="2:16" s="16" customFormat="1" x14ac:dyDescent="0.3">
      <c r="B119" s="133"/>
      <c r="E119" s="7"/>
      <c r="F119" s="7"/>
      <c r="G119" s="7"/>
      <c r="H119" s="7"/>
      <c r="I119" s="7"/>
      <c r="J119" s="7"/>
      <c r="K119" s="7"/>
      <c r="L119" s="7"/>
      <c r="M119" s="7"/>
      <c r="N119" s="8"/>
      <c r="O119" s="8"/>
      <c r="P119" s="8"/>
    </row>
    <row r="120" spans="2:16" s="16" customFormat="1" x14ac:dyDescent="0.3">
      <c r="B120" s="133"/>
      <c r="E120" s="7"/>
      <c r="F120" s="7"/>
      <c r="G120" s="7"/>
      <c r="H120" s="7"/>
      <c r="I120" s="7"/>
      <c r="J120" s="7"/>
      <c r="K120" s="7"/>
      <c r="L120" s="7"/>
      <c r="M120" s="7"/>
      <c r="N120" s="8"/>
      <c r="O120" s="8"/>
      <c r="P120" s="8"/>
    </row>
    <row r="121" spans="2:16" s="16" customFormat="1" x14ac:dyDescent="0.3">
      <c r="B121" s="133"/>
      <c r="E121" s="7"/>
      <c r="F121" s="7"/>
      <c r="G121" s="7"/>
      <c r="H121" s="7"/>
      <c r="I121" s="7"/>
      <c r="J121" s="7"/>
      <c r="K121" s="7"/>
      <c r="L121" s="7"/>
      <c r="M121" s="7"/>
      <c r="N121" s="8"/>
      <c r="O121" s="8"/>
      <c r="P121" s="8"/>
    </row>
    <row r="122" spans="2:16" s="16" customFormat="1" x14ac:dyDescent="0.3">
      <c r="B122" s="133"/>
      <c r="E122" s="7"/>
      <c r="F122" s="7"/>
      <c r="G122" s="7"/>
      <c r="H122" s="7"/>
      <c r="I122" s="7"/>
      <c r="J122" s="7"/>
      <c r="K122" s="7"/>
      <c r="L122" s="7"/>
      <c r="M122" s="7"/>
      <c r="N122" s="8"/>
      <c r="O122" s="8"/>
      <c r="P122" s="8"/>
    </row>
    <row r="123" spans="2:16" s="16" customFormat="1" x14ac:dyDescent="0.3">
      <c r="B123" s="133"/>
      <c r="E123" s="7"/>
      <c r="F123" s="7"/>
      <c r="G123" s="7"/>
      <c r="H123" s="7"/>
      <c r="I123" s="7"/>
      <c r="J123" s="7"/>
      <c r="K123" s="7"/>
      <c r="L123" s="7"/>
      <c r="M123" s="7"/>
      <c r="N123" s="8"/>
      <c r="O123" s="8"/>
      <c r="P123" s="8"/>
    </row>
    <row r="124" spans="2:16" s="16" customFormat="1" x14ac:dyDescent="0.3">
      <c r="B124" s="133"/>
      <c r="E124" s="7"/>
      <c r="F124" s="7"/>
      <c r="G124" s="7"/>
      <c r="H124" s="7"/>
      <c r="I124" s="7"/>
      <c r="J124" s="7"/>
      <c r="K124" s="7"/>
      <c r="L124" s="7"/>
      <c r="M124" s="7"/>
      <c r="N124" s="8"/>
      <c r="O124" s="8"/>
      <c r="P124" s="8"/>
    </row>
    <row r="125" spans="2:16" s="16" customFormat="1" x14ac:dyDescent="0.3">
      <c r="B125" s="133"/>
      <c r="E125" s="7"/>
      <c r="F125" s="7"/>
      <c r="G125" s="7"/>
      <c r="H125" s="7"/>
      <c r="I125" s="7"/>
      <c r="J125" s="7"/>
      <c r="K125" s="7"/>
      <c r="L125" s="7"/>
      <c r="M125" s="7"/>
      <c r="N125" s="8"/>
      <c r="O125" s="8"/>
      <c r="P125" s="8"/>
    </row>
    <row r="126" spans="2:16" s="16" customFormat="1" x14ac:dyDescent="0.3">
      <c r="B126" s="133"/>
      <c r="E126" s="7"/>
      <c r="F126" s="7"/>
      <c r="G126" s="7"/>
      <c r="H126" s="7"/>
      <c r="I126" s="7"/>
      <c r="J126" s="7"/>
      <c r="K126" s="7"/>
      <c r="L126" s="7"/>
      <c r="M126" s="7"/>
      <c r="N126" s="8"/>
      <c r="O126" s="8"/>
      <c r="P126" s="8"/>
    </row>
    <row r="127" spans="2:16" s="16" customFormat="1" x14ac:dyDescent="0.3">
      <c r="B127" s="133"/>
      <c r="E127" s="7"/>
      <c r="F127" s="7"/>
      <c r="G127" s="7"/>
      <c r="H127" s="7"/>
      <c r="I127" s="7"/>
      <c r="J127" s="7"/>
      <c r="K127" s="7"/>
      <c r="L127" s="7"/>
      <c r="M127" s="7"/>
      <c r="N127" s="8"/>
      <c r="O127" s="8"/>
      <c r="P127" s="8"/>
    </row>
    <row r="128" spans="2:16" s="16" customFormat="1" x14ac:dyDescent="0.3">
      <c r="B128" s="133"/>
      <c r="E128" s="7"/>
      <c r="F128" s="7"/>
      <c r="G128" s="7"/>
      <c r="H128" s="7"/>
      <c r="I128" s="7"/>
      <c r="J128" s="7"/>
      <c r="K128" s="7"/>
      <c r="L128" s="7"/>
      <c r="M128" s="7"/>
      <c r="N128" s="8"/>
      <c r="O128" s="8"/>
      <c r="P128" s="8"/>
    </row>
    <row r="129" spans="1:38" s="16" customFormat="1" x14ac:dyDescent="0.3">
      <c r="B129" s="133"/>
      <c r="E129" s="7"/>
      <c r="F129" s="7"/>
      <c r="G129" s="7"/>
      <c r="H129" s="7"/>
      <c r="I129" s="7"/>
      <c r="J129" s="7"/>
      <c r="K129" s="7"/>
      <c r="L129" s="7"/>
      <c r="M129" s="7"/>
      <c r="N129" s="8"/>
      <c r="O129" s="8"/>
      <c r="P129" s="8"/>
    </row>
    <row r="130" spans="1:38" s="16" customFormat="1" x14ac:dyDescent="0.3">
      <c r="B130" s="133"/>
      <c r="E130" s="7"/>
      <c r="F130" s="7"/>
      <c r="G130" s="7"/>
      <c r="H130" s="7"/>
      <c r="I130" s="7"/>
      <c r="J130" s="7"/>
      <c r="K130" s="7"/>
      <c r="L130" s="7"/>
      <c r="M130" s="7"/>
      <c r="N130" s="8"/>
      <c r="O130" s="8"/>
      <c r="P130" s="8"/>
    </row>
    <row r="131" spans="1:38" s="16" customFormat="1" x14ac:dyDescent="0.3">
      <c r="B131" s="133"/>
      <c r="E131" s="7"/>
      <c r="F131" s="7"/>
      <c r="G131" s="7"/>
      <c r="H131" s="7"/>
      <c r="I131" s="7"/>
      <c r="J131" s="7"/>
      <c r="K131" s="7"/>
      <c r="L131" s="7"/>
      <c r="M131" s="7"/>
      <c r="N131" s="8"/>
      <c r="O131" s="8"/>
      <c r="P131" s="8"/>
    </row>
    <row r="132" spans="1:38" s="16" customFormat="1" x14ac:dyDescent="0.3">
      <c r="B132" s="133"/>
      <c r="E132" s="7"/>
      <c r="F132" s="7"/>
      <c r="G132" s="7"/>
      <c r="H132" s="7"/>
      <c r="I132" s="7"/>
      <c r="J132" s="7"/>
      <c r="K132" s="7"/>
      <c r="L132" s="7"/>
      <c r="M132" s="7"/>
      <c r="N132" s="8"/>
      <c r="O132" s="8"/>
      <c r="P132" s="8"/>
    </row>
    <row r="133" spans="1:38" s="16" customFormat="1" x14ac:dyDescent="0.3">
      <c r="B133" s="133"/>
      <c r="E133" s="7"/>
      <c r="F133" s="7"/>
      <c r="G133" s="7"/>
      <c r="H133" s="7"/>
      <c r="I133" s="7"/>
      <c r="J133" s="7"/>
      <c r="K133" s="7"/>
      <c r="L133" s="7"/>
      <c r="M133" s="7"/>
      <c r="N133" s="8"/>
      <c r="O133" s="8"/>
      <c r="P133" s="8"/>
    </row>
    <row r="134" spans="1:38" s="16" customFormat="1" x14ac:dyDescent="0.3">
      <c r="B134" s="133"/>
      <c r="E134" s="7"/>
      <c r="F134" s="7"/>
      <c r="G134" s="7"/>
      <c r="H134" s="7"/>
      <c r="I134" s="7"/>
      <c r="J134" s="7"/>
      <c r="K134" s="7"/>
      <c r="L134" s="7"/>
      <c r="M134" s="7"/>
      <c r="N134" s="8"/>
      <c r="O134" s="8"/>
      <c r="P134" s="8"/>
    </row>
    <row r="135" spans="1:38" s="16" customFormat="1" x14ac:dyDescent="0.3">
      <c r="B135" s="133"/>
      <c r="E135" s="7"/>
      <c r="F135" s="7"/>
      <c r="G135" s="7"/>
      <c r="H135" s="7"/>
      <c r="I135" s="7"/>
      <c r="J135" s="7"/>
      <c r="K135" s="7"/>
      <c r="L135" s="7"/>
      <c r="M135" s="7"/>
      <c r="N135" s="8"/>
      <c r="O135" s="8"/>
      <c r="P135" s="8"/>
    </row>
    <row r="136" spans="1:38" s="16" customFormat="1" x14ac:dyDescent="0.3">
      <c r="B136" s="133"/>
      <c r="E136" s="7"/>
      <c r="F136" s="7"/>
      <c r="G136" s="7"/>
      <c r="H136" s="7"/>
      <c r="I136" s="7"/>
      <c r="J136" s="7"/>
      <c r="K136" s="7"/>
      <c r="L136" s="7"/>
      <c r="M136" s="7"/>
      <c r="N136" s="8"/>
      <c r="O136" s="8"/>
      <c r="P136" s="8"/>
    </row>
    <row r="137" spans="1:38" s="16" customFormat="1" x14ac:dyDescent="0.3">
      <c r="B137" s="133"/>
      <c r="E137" s="7"/>
      <c r="F137" s="7"/>
      <c r="G137" s="7"/>
      <c r="H137" s="7"/>
      <c r="I137" s="7"/>
      <c r="J137" s="7"/>
      <c r="K137" s="7"/>
      <c r="L137" s="7"/>
      <c r="M137" s="7"/>
      <c r="N137" s="8"/>
      <c r="O137" s="8"/>
      <c r="P137" s="8"/>
    </row>
    <row r="138" spans="1:38" s="16" customFormat="1" x14ac:dyDescent="0.3">
      <c r="B138" s="133"/>
      <c r="E138" s="7"/>
      <c r="F138" s="7"/>
      <c r="G138" s="7"/>
      <c r="H138" s="7"/>
      <c r="I138" s="7"/>
      <c r="J138" s="7"/>
      <c r="K138" s="134"/>
      <c r="L138" s="7"/>
      <c r="M138" s="7"/>
      <c r="N138" s="8"/>
      <c r="O138" s="8"/>
      <c r="P138" s="8"/>
    </row>
    <row r="139" spans="1:38" s="5" customFormat="1" x14ac:dyDescent="0.3">
      <c r="B139" s="78"/>
      <c r="K139" s="7"/>
      <c r="P139" s="8"/>
      <c r="Q139" s="16"/>
      <c r="R139" s="16"/>
      <c r="S139" s="16"/>
      <c r="T139" s="16"/>
      <c r="U139" s="16"/>
      <c r="V139" s="16"/>
      <c r="W139" s="16"/>
      <c r="X139" s="16"/>
      <c r="Y139" s="16"/>
      <c r="Z139" s="16"/>
      <c r="AA139" s="16"/>
      <c r="AB139" s="16"/>
      <c r="AC139" s="16"/>
      <c r="AD139" s="16"/>
      <c r="AE139" s="16"/>
      <c r="AF139" s="16"/>
      <c r="AG139" s="16"/>
      <c r="AH139" s="16"/>
      <c r="AI139" s="16"/>
      <c r="AJ139" s="16"/>
      <c r="AK139" s="16"/>
      <c r="AL139" s="16"/>
    </row>
    <row r="140" spans="1:38" x14ac:dyDescent="0.3">
      <c r="A140" s="56"/>
      <c r="B140" s="57"/>
      <c r="C140" s="56"/>
      <c r="D140" s="56"/>
      <c r="E140" s="56"/>
      <c r="F140" s="56"/>
      <c r="G140" s="56"/>
      <c r="H140" s="56"/>
      <c r="I140" s="56"/>
      <c r="J140" s="56"/>
      <c r="K140" s="56"/>
      <c r="L140" s="56"/>
      <c r="M140" s="56"/>
      <c r="N140" s="56"/>
      <c r="P140" s="8"/>
    </row>
    <row r="141" spans="1:38" x14ac:dyDescent="0.3">
      <c r="A141" s="56"/>
      <c r="B141" s="57"/>
      <c r="C141" s="56"/>
      <c r="D141" s="56"/>
      <c r="E141" s="56"/>
      <c r="F141" s="56"/>
      <c r="G141" s="56"/>
      <c r="H141" s="56"/>
      <c r="I141" s="56"/>
      <c r="J141" s="56"/>
      <c r="K141" s="56"/>
      <c r="L141" s="56"/>
      <c r="M141" s="56"/>
      <c r="N141" s="56"/>
      <c r="P141" s="8"/>
    </row>
    <row r="142" spans="1:38" x14ac:dyDescent="0.3">
      <c r="A142" s="56"/>
      <c r="B142" s="57"/>
      <c r="C142" s="56"/>
      <c r="D142" s="56"/>
      <c r="E142" s="56"/>
      <c r="F142" s="56"/>
      <c r="G142" s="56"/>
      <c r="H142" s="56"/>
      <c r="I142" s="56"/>
      <c r="J142" s="56"/>
      <c r="K142" s="56"/>
      <c r="L142" s="56"/>
      <c r="M142" s="56"/>
      <c r="N142" s="56"/>
      <c r="P142" s="8"/>
    </row>
    <row r="143" spans="1:38" x14ac:dyDescent="0.3">
      <c r="A143" s="56"/>
      <c r="B143" s="57"/>
      <c r="C143" s="56"/>
      <c r="D143" s="56"/>
      <c r="E143" s="56"/>
      <c r="F143" s="56"/>
      <c r="G143" s="56"/>
      <c r="H143" s="56"/>
      <c r="I143" s="56"/>
      <c r="J143" s="56"/>
      <c r="K143" s="56"/>
      <c r="L143" s="56"/>
      <c r="M143" s="56"/>
      <c r="N143" s="56"/>
      <c r="P143" s="8"/>
    </row>
    <row r="144" spans="1:38" x14ac:dyDescent="0.3">
      <c r="A144" s="56"/>
      <c r="B144" s="57"/>
      <c r="C144" s="56"/>
      <c r="D144" s="56"/>
      <c r="E144" s="56"/>
      <c r="F144" s="56"/>
      <c r="G144" s="56"/>
      <c r="H144" s="56"/>
      <c r="I144" s="56"/>
      <c r="J144" s="56"/>
      <c r="K144" s="56"/>
      <c r="L144" s="56"/>
      <c r="M144" s="56"/>
      <c r="N144" s="56"/>
      <c r="P144" s="8"/>
    </row>
    <row r="145" spans="1:16" s="16" customFormat="1" x14ac:dyDescent="0.3">
      <c r="A145" s="56"/>
      <c r="B145" s="57"/>
      <c r="C145" s="56"/>
      <c r="D145" s="56"/>
      <c r="E145" s="56"/>
      <c r="F145" s="56"/>
      <c r="G145" s="56"/>
      <c r="H145" s="56"/>
      <c r="I145" s="56"/>
      <c r="J145" s="56"/>
      <c r="K145" s="56"/>
      <c r="L145" s="56"/>
      <c r="M145" s="56"/>
      <c r="N145" s="56"/>
      <c r="O145" s="5"/>
      <c r="P145" s="8"/>
    </row>
    <row r="146" spans="1:16" s="16" customFormat="1" x14ac:dyDescent="0.3">
      <c r="A146" s="56"/>
      <c r="B146" s="57"/>
      <c r="C146" s="56"/>
      <c r="D146" s="56"/>
      <c r="E146" s="56"/>
      <c r="F146" s="56"/>
      <c r="G146" s="56"/>
      <c r="H146" s="56"/>
      <c r="I146" s="56"/>
      <c r="J146" s="56"/>
      <c r="K146" s="56"/>
      <c r="L146" s="56"/>
      <c r="M146" s="56"/>
      <c r="N146" s="56"/>
      <c r="O146" s="5"/>
      <c r="P146" s="8"/>
    </row>
    <row r="147" spans="1:16" s="16" customFormat="1" x14ac:dyDescent="0.3">
      <c r="A147" s="56"/>
      <c r="B147" s="57"/>
      <c r="C147" s="56"/>
      <c r="D147" s="56"/>
      <c r="E147" s="56"/>
      <c r="F147" s="56"/>
      <c r="G147" s="56"/>
      <c r="H147" s="56"/>
      <c r="I147" s="56"/>
      <c r="J147" s="56"/>
      <c r="K147" s="56"/>
      <c r="L147" s="56"/>
      <c r="M147" s="56"/>
      <c r="N147" s="56"/>
      <c r="O147" s="5"/>
      <c r="P147" s="8"/>
    </row>
    <row r="148" spans="1:16" s="16" customFormat="1" x14ac:dyDescent="0.3">
      <c r="A148" s="56"/>
      <c r="B148" s="57"/>
      <c r="C148" s="56"/>
      <c r="D148" s="56"/>
      <c r="E148" s="56"/>
      <c r="F148" s="56"/>
      <c r="G148" s="56"/>
      <c r="H148" s="56"/>
      <c r="I148" s="56"/>
      <c r="J148" s="56"/>
      <c r="K148" s="56"/>
      <c r="L148" s="56"/>
      <c r="M148" s="56"/>
      <c r="N148" s="56"/>
      <c r="O148" s="5"/>
      <c r="P148" s="8"/>
    </row>
  </sheetData>
  <mergeCells count="26">
    <mergeCell ref="C78:M78"/>
    <mergeCell ref="E57:G57"/>
    <mergeCell ref="H57:J57"/>
    <mergeCell ref="K57:M57"/>
    <mergeCell ref="C67:M68"/>
    <mergeCell ref="C74:M74"/>
    <mergeCell ref="C76:L76"/>
    <mergeCell ref="C53:M53"/>
    <mergeCell ref="E25:G25"/>
    <mergeCell ref="H25:J25"/>
    <mergeCell ref="K25:M25"/>
    <mergeCell ref="C30:D30"/>
    <mergeCell ref="C31:D31"/>
    <mergeCell ref="C36:M36"/>
    <mergeCell ref="E40:G40"/>
    <mergeCell ref="H40:J40"/>
    <mergeCell ref="K40:M40"/>
    <mergeCell ref="C49:M49"/>
    <mergeCell ref="C51:M51"/>
    <mergeCell ref="B3:D3"/>
    <mergeCell ref="E7:G7"/>
    <mergeCell ref="H7:J7"/>
    <mergeCell ref="K7:M7"/>
    <mergeCell ref="E16:G16"/>
    <mergeCell ref="H16:J16"/>
    <mergeCell ref="K16:M16"/>
  </mergeCells>
  <pageMargins left="0.7" right="0.7" top="0.75" bottom="0.75" header="0.3" footer="0.3"/>
  <drawing r:id="rId1"/>
  <legacyDrawing r:id="rId2"/>
</worksheet>
</file>

<file path=docMetadata/LabelInfo.xml><?xml version="1.0" encoding="utf-8"?>
<clbl:labelList xmlns:clbl="http://schemas.microsoft.com/office/2020/mipLabelMetadata">
  <clbl:label id="{b0e772fd-230e-46a1-9b91-16e31ba7e038}" enabled="1" method="Privileged" siteId="{dfbcc178-bccf-4595-8f8e-3a3175df90b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Schedule X(a)</vt:lpstr>
      <vt:lpstr>Schedule X(b)</vt:lpstr>
      <vt:lpstr>Schedule X(c)</vt:lpstr>
      <vt:lpstr>Schedule X(f)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Fiona Hu</dc:creator>
  <cp:lastModifiedBy>Richard Hampton</cp:lastModifiedBy>
  <dcterms:created xsi:type="dcterms:W3CDTF">2024-12-11T16:13:38Z</dcterms:created>
  <dcterms:modified xsi:type="dcterms:W3CDTF">2026-02-19T15:45:21Z</dcterms:modified>
</cp:coreProperties>
</file>