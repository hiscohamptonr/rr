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3" xr2:uid="{33ED103A-C225-4AF7-8380-A17D5970A431}"/>
  </bookViews>
  <sheets>
    <sheet name="piv" sheetId="2" r:id="rId1"/>
    <sheet name="output" sheetId="1" r:id="rId2"/>
    <sheet name="Sheet1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output!$A$1:$F$50</definedName>
    <definedName name="_xlnm._FilterDatabase" localSheetId="2" hidden="1">Sheet1!$A$1:$K$1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<sst xmlns="http://schemas.openxmlformats.org/spreadsheetml/2006/main" count="1363" uniqueCount="143">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</sst>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Sheet1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SUMIFS('Sheet1'!$D:$D,'Sheet1'!$B:$B,$A2,'Sheet1'!$C:$C,$B2,'Sheet1'!$G:$G,$F2)</f>
        <v>4645929142.03575</v>
      </c>
      <c r="D2" s="1">
        <f>SUMIFS('Sheet1'!$E:$E,'Sheet1'!$B:$B,$A2,'Sheet1'!$C:$C,$B2,'Sheet1'!$G:$G,$F2)</f>
        <v>2931952651.02002</v>
      </c>
      <c r="E2">
        <f>SUMIFS('Sheet1'!$F:$F,'Sheet1'!$B:$B,$A2,'Sheet1'!$C:$C,$B2,'Sheet1'!$G:$G,$F2)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SUMIFS('Sheet1'!$D:$D,'Sheet1'!$B:$B,$A3,'Sheet1'!$C:$C,$B3,'Sheet1'!$G:$G,$F3)</f>
        <v>25152755366.6675</v>
      </c>
      <c r="D3" s="1">
        <f>SUMIFS('Sheet1'!$E:$E,'Sheet1'!$B:$B,$A3,'Sheet1'!$C:$C,$B3,'Sheet1'!$G:$G,$F3)</f>
        <v>18626528497.3074</v>
      </c>
      <c r="E3">
        <f>SUMIFS('Sheet1'!$F:$F,'Sheet1'!$B:$B,$A3,'Sheet1'!$C:$C,$B3,'Sheet1'!$G:$G,$F3)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SUMIFS('Sheet1'!$D:$D,'Sheet1'!$B:$B,$A4,'Sheet1'!$C:$C,$B4,'Sheet1'!$G:$G,$F4)</f>
        <v>1652000</v>
      </c>
      <c r="D4">
        <f>SUMIFS('Sheet1'!$E:$E,'Sheet1'!$B:$B,$A4,'Sheet1'!$C:$C,$B4,'Sheet1'!$G:$G,$F4)</f>
        <v>1652000</v>
      </c>
      <c r="E4">
        <f>SUMIFS('Sheet1'!$F:$F,'Sheet1'!$B:$B,$A4,'Sheet1'!$C:$C,$B4,'Sheet1'!$G:$G,$F4)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SUMIFS('Sheet1'!$D:$D,'Sheet1'!$B:$B,$A5,'Sheet1'!$C:$C,$B5,'Sheet1'!$G:$G,$F5)</f>
        <v>20414496.8</v>
      </c>
      <c r="D5">
        <f>SUMIFS('Sheet1'!$E:$E,'Sheet1'!$B:$B,$A5,'Sheet1'!$C:$C,$B5,'Sheet1'!$G:$G,$F5)</f>
        <v>20414496.8</v>
      </c>
      <c r="E5">
        <f>SUMIFS('Sheet1'!$F:$F,'Sheet1'!$B:$B,$A5,'Sheet1'!$C:$C,$B5,'Sheet1'!$G:$G,$F5)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SUMIFS('Sheet1'!$D:$D,'Sheet1'!$B:$B,$A6,'Sheet1'!$C:$C,$B6,'Sheet1'!$G:$G,$F6)</f>
        <v>15433806.4</v>
      </c>
      <c r="D6">
        <f>SUMIFS('Sheet1'!$E:$E,'Sheet1'!$B:$B,$A6,'Sheet1'!$C:$C,$B6,'Sheet1'!$G:$G,$F6)</f>
        <v>15433806.4</v>
      </c>
      <c r="E6">
        <f>SUMIFS('Sheet1'!$F:$F,'Sheet1'!$B:$B,$A6,'Sheet1'!$C:$C,$B6,'Sheet1'!$G:$G,$F6)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SUMIFS('Sheet1'!$D:$D,'Sheet1'!$B:$B,$A7,'Sheet1'!$C:$C,$B7,'Sheet1'!$G:$G,$F7)</f>
        <v>121728008563.88</v>
      </c>
      <c r="D7">
        <f>SUMIFS('Sheet1'!$E:$E,'Sheet1'!$B:$B,$A7,'Sheet1'!$C:$C,$B7,'Sheet1'!$G:$G,$F7)</f>
        <v>121728008563.88</v>
      </c>
      <c r="E7">
        <f>SUMIFS('Sheet1'!$F:$F,'Sheet1'!$B:$B,$A7,'Sheet1'!$C:$C,$B7,'Sheet1'!$G:$G,$F7)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SUMIFS('Sheet1'!$D:$D,'Sheet1'!$B:$B,$A8,'Sheet1'!$C:$C,$B8,'Sheet1'!$G:$G,$F8)</f>
        <v>699027304.76611</v>
      </c>
      <c r="D8">
        <f>SUMIFS('Sheet1'!$E:$E,'Sheet1'!$B:$B,$A8,'Sheet1'!$C:$C,$B8,'Sheet1'!$G:$G,$F8)</f>
        <v>406962151.02611</v>
      </c>
      <c r="E8">
        <f>SUMIFS('Sheet1'!$F:$F,'Sheet1'!$B:$B,$A8,'Sheet1'!$C:$C,$B8,'Sheet1'!$G:$G,$F8)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SUMIFS('Sheet1'!$D:$D,'Sheet1'!$B:$B,$A9,'Sheet1'!$C:$C,$B9,'Sheet1'!$G:$G,$F9)</f>
        <v>7347517214.04485</v>
      </c>
      <c r="D9">
        <f>SUMIFS('Sheet1'!$E:$E,'Sheet1'!$B:$B,$A9,'Sheet1'!$C:$C,$B9,'Sheet1'!$G:$G,$F9)</f>
        <v>5831772777.39485</v>
      </c>
      <c r="E9">
        <f>SUMIFS('Sheet1'!$F:$F,'Sheet1'!$B:$B,$A9,'Sheet1'!$C:$C,$B9,'Sheet1'!$G:$G,$F9)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SUMIFS('Sheet1'!$D:$D,'Sheet1'!$B:$B,$A10,'Sheet1'!$C:$C,$B10,'Sheet1'!$G:$G,$F10)</f>
        <v>349291128.7</v>
      </c>
      <c r="D10">
        <f>SUMIFS('Sheet1'!$E:$E,'Sheet1'!$B:$B,$A10,'Sheet1'!$C:$C,$B10,'Sheet1'!$G:$G,$F10)</f>
        <v>349291128.7</v>
      </c>
      <c r="E10">
        <f>SUMIFS('Sheet1'!$F:$F,'Sheet1'!$B:$B,$A10,'Sheet1'!$C:$C,$B10,'Sheet1'!$G:$G,$F10)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SUMIFS('Sheet1'!$D:$D,'Sheet1'!$B:$B,$A11,'Sheet1'!$C:$C,$B11,'Sheet1'!$G:$G,$F11)</f>
        <v>77211907518.142</v>
      </c>
      <c r="D11">
        <f>SUMIFS('Sheet1'!$E:$E,'Sheet1'!$B:$B,$A11,'Sheet1'!$C:$C,$B11,'Sheet1'!$G:$G,$F11)</f>
        <v>75515308381.742</v>
      </c>
      <c r="E11">
        <f>SUMIFS('Sheet1'!$F:$F,'Sheet1'!$B:$B,$A11,'Sheet1'!$C:$C,$B11,'Sheet1'!$G:$G,$F11)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SUMIFS('Sheet1'!$D:$D,'Sheet1'!$B:$B,$A12,'Sheet1'!$C:$C,$B12,'Sheet1'!$G:$G,$F12)</f>
        <v>591803570.7403</v>
      </c>
      <c r="D12" s="1">
        <f>SUMIFS('Sheet1'!$E:$E,'Sheet1'!$B:$B,$A12,'Sheet1'!$C:$C,$B12,'Sheet1'!$G:$G,$F12)</f>
        <v>395404009.102</v>
      </c>
      <c r="E12">
        <f>SUMIFS('Sheet1'!$F:$F,'Sheet1'!$B:$B,$A12,'Sheet1'!$C:$C,$B12,'Sheet1'!$G:$G,$F12)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SUMIFS('Sheet1'!$D:$D,'Sheet1'!$B:$B,$A13,'Sheet1'!$C:$C,$B13,'Sheet1'!$G:$G,$F13)</f>
        <v>15621176039.34</v>
      </c>
      <c r="D13" s="1">
        <f>SUMIFS('Sheet1'!$E:$E,'Sheet1'!$B:$B,$A13,'Sheet1'!$C:$C,$B13,'Sheet1'!$G:$G,$F13)</f>
        <v>12132651704.25</v>
      </c>
      <c r="E13">
        <f>SUMIFS('Sheet1'!$F:$F,'Sheet1'!$B:$B,$A13,'Sheet1'!$C:$C,$B13,'Sheet1'!$G:$G,$F13)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SUMIFS('Sheet1'!$D:$D,'Sheet1'!$B:$B,$A14,'Sheet1'!$C:$C,$B14,'Sheet1'!$G:$G,$F14)</f>
        <v>5578000</v>
      </c>
      <c r="D14">
        <f>SUMIFS('Sheet1'!$E:$E,'Sheet1'!$B:$B,$A14,'Sheet1'!$C:$C,$B14,'Sheet1'!$G:$G,$F14)</f>
        <v>5578000</v>
      </c>
      <c r="E14">
        <f>SUMIFS('Sheet1'!$F:$F,'Sheet1'!$B:$B,$A14,'Sheet1'!$C:$C,$B14,'Sheet1'!$G:$G,$F14)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SUMIFS('Sheet1'!$D:$D,'Sheet1'!$B:$B,$A15,'Sheet1'!$C:$C,$B15,'Sheet1'!$G:$G,$F15)</f>
        <v>7099946</v>
      </c>
      <c r="D15">
        <f>SUMIFS('Sheet1'!$E:$E,'Sheet1'!$B:$B,$A15,'Sheet1'!$C:$C,$B15,'Sheet1'!$G:$G,$F15)</f>
        <v>7099946</v>
      </c>
      <c r="E15">
        <f>SUMIFS('Sheet1'!$F:$F,'Sheet1'!$B:$B,$A15,'Sheet1'!$C:$C,$B15,'Sheet1'!$G:$G,$F15)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SUMIFS('Sheet1'!$D:$D,'Sheet1'!$B:$B,$A16,'Sheet1'!$C:$C,$B16,'Sheet1'!$G:$G,$F16)</f>
        <v>121288000000</v>
      </c>
      <c r="D16">
        <f>SUMIFS('Sheet1'!$E:$E,'Sheet1'!$B:$B,$A16,'Sheet1'!$C:$C,$B16,'Sheet1'!$G:$G,$F16)</f>
        <v>121288000000</v>
      </c>
      <c r="E16">
        <f>SUMIFS('Sheet1'!$F:$F,'Sheet1'!$B:$B,$A16,'Sheet1'!$C:$C,$B16,'Sheet1'!$G:$G,$F16)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SUMIFS('Sheet1'!$D:$D,'Sheet1'!$B:$B,$A17,'Sheet1'!$C:$C,$B17,'Sheet1'!$G:$G,$F17)</f>
        <v>210175711.428</v>
      </c>
      <c r="D17">
        <f>SUMIFS('Sheet1'!$E:$E,'Sheet1'!$B:$B,$A17,'Sheet1'!$C:$C,$B17,'Sheet1'!$G:$G,$F17)</f>
        <v>112614669.918</v>
      </c>
      <c r="E17">
        <f>SUMIFS('Sheet1'!$F:$F,'Sheet1'!$B:$B,$A17,'Sheet1'!$C:$C,$B17,'Sheet1'!$G:$G,$F17)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SUMIFS('Sheet1'!$D:$D,'Sheet1'!$B:$B,$A18,'Sheet1'!$C:$C,$B18,'Sheet1'!$G:$G,$F18)</f>
        <v>2859865269.5161</v>
      </c>
      <c r="D18">
        <f>SUMIFS('Sheet1'!$E:$E,'Sheet1'!$B:$B,$A18,'Sheet1'!$C:$C,$B18,'Sheet1'!$G:$G,$F18)</f>
        <v>2193629057.0861</v>
      </c>
      <c r="E18">
        <f>SUMIFS('Sheet1'!$F:$F,'Sheet1'!$B:$B,$A18,'Sheet1'!$C:$C,$B18,'Sheet1'!$G:$G,$F18)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SUMIFS('Sheet1'!$D:$D,'Sheet1'!$B:$B,$A19,'Sheet1'!$C:$C,$B19,'Sheet1'!$G:$G,$F19)</f>
        <v>75479150</v>
      </c>
      <c r="D19">
        <f>SUMIFS('Sheet1'!$E:$E,'Sheet1'!$B:$B,$A19,'Sheet1'!$C:$C,$B19,'Sheet1'!$G:$G,$F19)</f>
        <v>75479150</v>
      </c>
      <c r="E19">
        <f>SUMIFS('Sheet1'!$F:$F,'Sheet1'!$B:$B,$A19,'Sheet1'!$C:$C,$B19,'Sheet1'!$G:$G,$F19)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SUMIFS('Sheet1'!$D:$D,'Sheet1'!$B:$B,$A20,'Sheet1'!$C:$C,$B20,'Sheet1'!$G:$G,$F20)</f>
        <v>56019841640.34</v>
      </c>
      <c r="D20">
        <f>SUMIFS('Sheet1'!$E:$E,'Sheet1'!$B:$B,$A20,'Sheet1'!$C:$C,$B20,'Sheet1'!$G:$G,$F20)</f>
        <v>54739890726.34</v>
      </c>
      <c r="E20">
        <f>SUMIFS('Sheet1'!$F:$F,'Sheet1'!$B:$B,$A20,'Sheet1'!$C:$C,$B20,'Sheet1'!$G:$G,$F20)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SUMIFS('Sheet1'!$D:$D,'Sheet1'!$B:$B,$A21,'Sheet1'!$C:$C,$B21,'Sheet1'!$G:$G,$F21)</f>
        <v>3060082.643</v>
      </c>
      <c r="D21" s="1">
        <f>SUMIFS('Sheet1'!$E:$E,'Sheet1'!$B:$B,$A21,'Sheet1'!$C:$C,$B21,'Sheet1'!$G:$G,$F21)</f>
        <v>1599407.467</v>
      </c>
      <c r="E21">
        <f>SUMIFS('Sheet1'!$F:$F,'Sheet1'!$B:$B,$A21,'Sheet1'!$C:$C,$B21,'Sheet1'!$G:$G,$F21)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SUMIFS('Sheet1'!$D:$D,'Sheet1'!$B:$B,$A22,'Sheet1'!$C:$C,$B22,'Sheet1'!$G:$G,$F22)</f>
        <v>83586974.9</v>
      </c>
      <c r="D22" s="1">
        <f>SUMIFS('Sheet1'!$E:$E,'Sheet1'!$B:$B,$A22,'Sheet1'!$C:$C,$B22,'Sheet1'!$G:$G,$F22)</f>
        <v>47547711</v>
      </c>
      <c r="E22">
        <f>SUMIFS('Sheet1'!$F:$F,'Sheet1'!$B:$B,$A22,'Sheet1'!$C:$C,$B22,'Sheet1'!$G:$G,$F22)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SUMIFS('Sheet1'!$D:$D,'Sheet1'!$B:$B,$A23,'Sheet1'!$C:$C,$B23,'Sheet1'!$G:$G,$F23)</f>
        <v>276000</v>
      </c>
      <c r="D23">
        <f>SUMIFS('Sheet1'!$E:$E,'Sheet1'!$B:$B,$A23,'Sheet1'!$C:$C,$B23,'Sheet1'!$G:$G,$F23)</f>
        <v>276000</v>
      </c>
      <c r="E23">
        <f>SUMIFS('Sheet1'!$F:$F,'Sheet1'!$B:$B,$A23,'Sheet1'!$C:$C,$B23,'Sheet1'!$G:$G,$F23)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SUMIFS('Sheet1'!$D:$D,'Sheet1'!$B:$B,$A24,'Sheet1'!$C:$C,$B24,'Sheet1'!$G:$G,$F24)</f>
        <v>183525417</v>
      </c>
      <c r="D24">
        <f>SUMIFS('Sheet1'!$E:$E,'Sheet1'!$B:$B,$A24,'Sheet1'!$C:$C,$B24,'Sheet1'!$G:$G,$F24)</f>
        <v>107035050.9</v>
      </c>
      <c r="E24">
        <f>SUMIFS('Sheet1'!$F:$F,'Sheet1'!$B:$B,$A24,'Sheet1'!$C:$C,$B24,'Sheet1'!$G:$G,$F24)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SUMIFS('Sheet1'!$D:$D,'Sheet1'!$B:$B,$A25,'Sheet1'!$C:$C,$B25,'Sheet1'!$G:$G,$F25)</f>
        <v>20201080.8</v>
      </c>
      <c r="D25">
        <f>SUMIFS('Sheet1'!$E:$E,'Sheet1'!$B:$B,$A25,'Sheet1'!$C:$C,$B25,'Sheet1'!$G:$G,$F25)</f>
        <v>20201080.8</v>
      </c>
      <c r="E25">
        <f>SUMIFS('Sheet1'!$F:$F,'Sheet1'!$B:$B,$A25,'Sheet1'!$C:$C,$B25,'Sheet1'!$G:$G,$F25)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SUMIFS('Sheet1'!$D:$D,'Sheet1'!$B:$B,$A26,'Sheet1'!$C:$C,$B26,'Sheet1'!$G:$G,$F26)</f>
        <v>18301343.57</v>
      </c>
      <c r="D26" s="1">
        <f>SUMIFS('Sheet1'!$E:$E,'Sheet1'!$B:$B,$A26,'Sheet1'!$C:$C,$B26,'Sheet1'!$G:$G,$F26)</f>
        <v>16479715.69</v>
      </c>
      <c r="E26">
        <f>SUMIFS('Sheet1'!$F:$F,'Sheet1'!$B:$B,$A26,'Sheet1'!$C:$C,$B26,'Sheet1'!$G:$G,$F26)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SUMIFS('Sheet1'!$D:$D,'Sheet1'!$B:$B,$A27,'Sheet1'!$C:$C,$B27,'Sheet1'!$G:$G,$F27)</f>
        <v>210957528.1</v>
      </c>
      <c r="D27" s="1">
        <f>SUMIFS('Sheet1'!$E:$E,'Sheet1'!$B:$B,$A27,'Sheet1'!$C:$C,$B27,'Sheet1'!$G:$G,$F27)</f>
        <v>106631319.7</v>
      </c>
      <c r="E27">
        <f>SUMIFS('Sheet1'!$F:$F,'Sheet1'!$B:$B,$A27,'Sheet1'!$C:$C,$B27,'Sheet1'!$G:$G,$F27)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SUMIFS('Sheet1'!$D:$D,'Sheet1'!$B:$B,$A28,'Sheet1'!$C:$C,$B28,'Sheet1'!$G:$G,$F28)</f>
        <v>110000</v>
      </c>
      <c r="D28">
        <f>SUMIFS('Sheet1'!$E:$E,'Sheet1'!$B:$B,$A28,'Sheet1'!$C:$C,$B28,'Sheet1'!$G:$G,$F28)</f>
        <v>110000</v>
      </c>
      <c r="E28">
        <f>SUMIFS('Sheet1'!$F:$F,'Sheet1'!$B:$B,$A28,'Sheet1'!$C:$C,$B28,'Sheet1'!$G:$G,$F28)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SUMIFS('Sheet1'!$D:$D,'Sheet1'!$B:$B,$A29,'Sheet1'!$C:$C,$B29,'Sheet1'!$G:$G,$F29)</f>
        <v>110000</v>
      </c>
      <c r="D29">
        <f>SUMIFS('Sheet1'!$E:$E,'Sheet1'!$B:$B,$A29,'Sheet1'!$C:$C,$B29,'Sheet1'!$G:$G,$F29)</f>
        <v>110000</v>
      </c>
      <c r="E29">
        <f>SUMIFS('Sheet1'!$F:$F,'Sheet1'!$B:$B,$A29,'Sheet1'!$C:$C,$B29,'Sheet1'!$G:$G,$F29)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SUMIFS('Sheet1'!$D:$D,'Sheet1'!$B:$B,$A30,'Sheet1'!$C:$C,$B30,'Sheet1'!$G:$G,$F30)</f>
        <v>212000</v>
      </c>
      <c r="D30">
        <f>SUMIFS('Sheet1'!$E:$E,'Sheet1'!$B:$B,$A30,'Sheet1'!$C:$C,$B30,'Sheet1'!$G:$G,$F30)</f>
        <v>212000</v>
      </c>
      <c r="E30">
        <f>SUMIFS('Sheet1'!$F:$F,'Sheet1'!$B:$B,$A30,'Sheet1'!$C:$C,$B30,'Sheet1'!$G:$G,$F30)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SUMIFS('Sheet1'!$D:$D,'Sheet1'!$B:$B,$A31,'Sheet1'!$C:$C,$B31,'Sheet1'!$G:$G,$F31)</f>
        <v>7558346.16</v>
      </c>
      <c r="D31">
        <f>SUMIFS('Sheet1'!$E:$E,'Sheet1'!$B:$B,$A31,'Sheet1'!$C:$C,$B31,'Sheet1'!$G:$G,$F31)</f>
        <v>7558346.16</v>
      </c>
      <c r="E31">
        <f>SUMIFS('Sheet1'!$F:$F,'Sheet1'!$B:$B,$A31,'Sheet1'!$C:$C,$B31,'Sheet1'!$G:$G,$F31)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SUMIFS('Sheet1'!$D:$D,'Sheet1'!$B:$B,$A32,'Sheet1'!$C:$C,$B32,'Sheet1'!$G:$G,$F32)</f>
        <v>560000</v>
      </c>
      <c r="D32">
        <f>SUMIFS('Sheet1'!$E:$E,'Sheet1'!$B:$B,$A32,'Sheet1'!$C:$C,$B32,'Sheet1'!$G:$G,$F32)</f>
        <v>560000</v>
      </c>
      <c r="E32">
        <f>SUMIFS('Sheet1'!$F:$F,'Sheet1'!$B:$B,$A32,'Sheet1'!$C:$C,$B32,'Sheet1'!$G:$G,$F32)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SUMIFS('Sheet1'!$D:$D,'Sheet1'!$B:$B,$A33,'Sheet1'!$C:$C,$B33,'Sheet1'!$G:$G,$F33)</f>
        <v>2372926089.373</v>
      </c>
      <c r="D33" s="1">
        <f>SUMIFS('Sheet1'!$E:$E,'Sheet1'!$B:$B,$A33,'Sheet1'!$C:$C,$B33,'Sheet1'!$G:$G,$F33)</f>
        <v>1420410551.373</v>
      </c>
      <c r="E33">
        <f>SUMIFS('Sheet1'!$F:$F,'Sheet1'!$B:$B,$A33,'Sheet1'!$C:$C,$B33,'Sheet1'!$G:$G,$F33)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SUMIFS('Sheet1'!$D:$D,'Sheet1'!$B:$B,$A34,'Sheet1'!$C:$C,$B34,'Sheet1'!$G:$G,$F34)</f>
        <v>761662142.89</v>
      </c>
      <c r="D34" s="1">
        <f>SUMIFS('Sheet1'!$E:$E,'Sheet1'!$B:$B,$A34,'Sheet1'!$C:$C,$B34,'Sheet1'!$G:$G,$F34)</f>
        <v>448941035.39</v>
      </c>
      <c r="E34">
        <f>SUMIFS('Sheet1'!$F:$F,'Sheet1'!$B:$B,$A34,'Sheet1'!$C:$C,$B34,'Sheet1'!$G:$G,$F34)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SUMIFS('Sheet1'!$D:$D,'Sheet1'!$B:$B,$A35,'Sheet1'!$C:$C,$B35,'Sheet1'!$G:$G,$F35)</f>
        <v>545000</v>
      </c>
      <c r="D35">
        <f>SUMIFS('Sheet1'!$E:$E,'Sheet1'!$B:$B,$A35,'Sheet1'!$C:$C,$B35,'Sheet1'!$G:$G,$F35)</f>
        <v>545000</v>
      </c>
      <c r="E35">
        <f>SUMIFS('Sheet1'!$F:$F,'Sheet1'!$B:$B,$A35,'Sheet1'!$C:$C,$B35,'Sheet1'!$G:$G,$F35)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SUMIFS('Sheet1'!$D:$D,'Sheet1'!$B:$B,$A36,'Sheet1'!$C:$C,$B36,'Sheet1'!$G:$G,$F36)</f>
        <v>2662700</v>
      </c>
      <c r="D36">
        <f>SUMIFS('Sheet1'!$E:$E,'Sheet1'!$B:$B,$A36,'Sheet1'!$C:$C,$B36,'Sheet1'!$G:$G,$F36)</f>
        <v>2662700</v>
      </c>
      <c r="E36">
        <f>SUMIFS('Sheet1'!$F:$F,'Sheet1'!$B:$B,$A36,'Sheet1'!$C:$C,$B36,'Sheet1'!$G:$G,$F36)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SUMIFS('Sheet1'!$D:$D,'Sheet1'!$B:$B,$A37,'Sheet1'!$C:$C,$B37,'Sheet1'!$G:$G,$F37)</f>
        <v>101000</v>
      </c>
      <c r="D37">
        <f>SUMIFS('Sheet1'!$E:$E,'Sheet1'!$B:$B,$A37,'Sheet1'!$C:$C,$B37,'Sheet1'!$G:$G,$F37)</f>
        <v>101000</v>
      </c>
      <c r="E37">
        <f>SUMIFS('Sheet1'!$F:$F,'Sheet1'!$B:$B,$A37,'Sheet1'!$C:$C,$B37,'Sheet1'!$G:$G,$F37)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SUMIFS('Sheet1'!$D:$D,'Sheet1'!$B:$B,$A38,'Sheet1'!$C:$C,$B38,'Sheet1'!$G:$G,$F38)</f>
        <v>22746034</v>
      </c>
      <c r="D38">
        <f>SUMIFS('Sheet1'!$E:$E,'Sheet1'!$B:$B,$A38,'Sheet1'!$C:$C,$B38,'Sheet1'!$G:$G,$F38)</f>
        <v>22746034</v>
      </c>
      <c r="E38">
        <f>SUMIFS('Sheet1'!$F:$F,'Sheet1'!$B:$B,$A38,'Sheet1'!$C:$C,$B38,'Sheet1'!$G:$G,$F38)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SUMIFS('Sheet1'!$D:$D,'Sheet1'!$B:$B,$A39,'Sheet1'!$C:$C,$B39,'Sheet1'!$G:$G,$F39)</f>
        <v>191741484.23</v>
      </c>
      <c r="D39">
        <f>SUMIFS('Sheet1'!$E:$E,'Sheet1'!$B:$B,$A39,'Sheet1'!$C:$C,$B39,'Sheet1'!$G:$G,$F39)</f>
        <v>103722849</v>
      </c>
      <c r="E39">
        <f>SUMIFS('Sheet1'!$F:$F,'Sheet1'!$B:$B,$A39,'Sheet1'!$C:$C,$B39,'Sheet1'!$G:$G,$F39)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SUMIFS('Sheet1'!$D:$D,'Sheet1'!$B:$B,$A40,'Sheet1'!$C:$C,$B40,'Sheet1'!$G:$G,$F40)</f>
        <v>1205659420.15</v>
      </c>
      <c r="D40">
        <f>SUMIFS('Sheet1'!$E:$E,'Sheet1'!$B:$B,$A40,'Sheet1'!$C:$C,$B40,'Sheet1'!$G:$G,$F40)</f>
        <v>924487181.77</v>
      </c>
      <c r="E40">
        <f>SUMIFS('Sheet1'!$F:$F,'Sheet1'!$B:$B,$A40,'Sheet1'!$C:$C,$B40,'Sheet1'!$G:$G,$F40)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SUMIFS('Sheet1'!$D:$D,'Sheet1'!$B:$B,$A41,'Sheet1'!$C:$C,$B41,'Sheet1'!$G:$G,$F41)</f>
        <v>107224705.2</v>
      </c>
      <c r="D41">
        <f>SUMIFS('Sheet1'!$E:$E,'Sheet1'!$B:$B,$A41,'Sheet1'!$C:$C,$B41,'Sheet1'!$G:$G,$F41)</f>
        <v>106417749.2</v>
      </c>
      <c r="E41">
        <f>SUMIFS('Sheet1'!$F:$F,'Sheet1'!$B:$B,$A41,'Sheet1'!$C:$C,$B41,'Sheet1'!$G:$G,$F41)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SUMIFS('Sheet1'!$D:$D,'Sheet1'!$B:$B,$A42,'Sheet1'!$C:$C,$B42,'Sheet1'!$G:$G,$F42)</f>
        <v>2365811503</v>
      </c>
      <c r="D42" s="1">
        <f>SUMIFS('Sheet1'!$E:$E,'Sheet1'!$B:$B,$A42,'Sheet1'!$C:$C,$B42,'Sheet1'!$G:$G,$F42)</f>
        <v>1413295965</v>
      </c>
      <c r="E42">
        <f>SUMIFS('Sheet1'!$F:$F,'Sheet1'!$B:$B,$A42,'Sheet1'!$C:$C,$B42,'Sheet1'!$G:$G,$F42)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SUMIFS('Sheet1'!$D:$D,'Sheet1'!$B:$B,$A43,'Sheet1'!$C:$C,$B43,'Sheet1'!$G:$G,$F43)</f>
        <v>738973417.3</v>
      </c>
      <c r="D43" s="1">
        <f>SUMIFS('Sheet1'!$E:$E,'Sheet1'!$B:$B,$A43,'Sheet1'!$C:$C,$B43,'Sheet1'!$G:$G,$F43)</f>
        <v>426252309.8</v>
      </c>
      <c r="E43">
        <f>SUMIFS('Sheet1'!$F:$F,'Sheet1'!$B:$B,$A43,'Sheet1'!$C:$C,$B43,'Sheet1'!$G:$G,$F43)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SUMIFS('Sheet1'!$D:$D,'Sheet1'!$B:$B,$A44,'Sheet1'!$C:$C,$B44,'Sheet1'!$G:$G,$F44)</f>
        <v>345000</v>
      </c>
      <c r="D44">
        <f>SUMIFS('Sheet1'!$E:$E,'Sheet1'!$B:$B,$A44,'Sheet1'!$C:$C,$B44,'Sheet1'!$G:$G,$F44)</f>
        <v>345000</v>
      </c>
      <c r="E44">
        <f>SUMIFS('Sheet1'!$F:$F,'Sheet1'!$B:$B,$A44,'Sheet1'!$C:$C,$B44,'Sheet1'!$G:$G,$F44)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SUMIFS('Sheet1'!$D:$D,'Sheet1'!$B:$B,$A45,'Sheet1'!$C:$C,$B45,'Sheet1'!$G:$G,$F45)</f>
        <v>2462700</v>
      </c>
      <c r="D45">
        <f>SUMIFS('Sheet1'!$E:$E,'Sheet1'!$B:$B,$A45,'Sheet1'!$C:$C,$B45,'Sheet1'!$G:$G,$F45)</f>
        <v>2462700</v>
      </c>
      <c r="E45">
        <f>SUMIFS('Sheet1'!$F:$F,'Sheet1'!$B:$B,$A45,'Sheet1'!$C:$C,$B45,'Sheet1'!$G:$G,$F45)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SUMIFS('Sheet1'!$D:$D,'Sheet1'!$B:$B,$A46,'Sheet1'!$C:$C,$B46,'Sheet1'!$G:$G,$F46)</f>
        <v>101000</v>
      </c>
      <c r="D46">
        <f>SUMIFS('Sheet1'!$E:$E,'Sheet1'!$B:$B,$A46,'Sheet1'!$C:$C,$B46,'Sheet1'!$G:$G,$F46)</f>
        <v>101000</v>
      </c>
      <c r="E46">
        <f>SUMIFS('Sheet1'!$F:$F,'Sheet1'!$B:$B,$A46,'Sheet1'!$C:$C,$B46,'Sheet1'!$G:$G,$F46)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SUMIFS('Sheet1'!$D:$D,'Sheet1'!$B:$B,$A47,'Sheet1'!$C:$C,$B47,'Sheet1'!$G:$G,$F47)</f>
        <v>22746034</v>
      </c>
      <c r="D47">
        <f>SUMIFS('Sheet1'!$E:$E,'Sheet1'!$B:$B,$A47,'Sheet1'!$C:$C,$B47,'Sheet1'!$G:$G,$F47)</f>
        <v>22746034</v>
      </c>
      <c r="E47">
        <f>SUMIFS('Sheet1'!$F:$F,'Sheet1'!$B:$B,$A47,'Sheet1'!$C:$C,$B47,'Sheet1'!$G:$G,$F47)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SUMIFS('Sheet1'!$D:$D,'Sheet1'!$B:$B,$A48,'Sheet1'!$C:$C,$B48,'Sheet1'!$G:$G,$F48)</f>
        <v>175292598.8</v>
      </c>
      <c r="D48">
        <f>SUMIFS('Sheet1'!$E:$E,'Sheet1'!$B:$B,$A48,'Sheet1'!$C:$C,$B48,'Sheet1'!$G:$G,$F48)</f>
        <v>87273963.57</v>
      </c>
      <c r="E48">
        <f>SUMIFS('Sheet1'!$F:$F,'Sheet1'!$B:$B,$A48,'Sheet1'!$C:$C,$B48,'Sheet1'!$G:$G,$F48)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SUMIFS('Sheet1'!$D:$D,'Sheet1'!$B:$B,$A49,'Sheet1'!$C:$C,$B49,'Sheet1'!$G:$G,$F49)</f>
        <v>906507554.6</v>
      </c>
      <c r="D49">
        <f>SUMIFS('Sheet1'!$E:$E,'Sheet1'!$B:$B,$A49,'Sheet1'!$C:$C,$B49,'Sheet1'!$G:$G,$F49)</f>
        <v>666539312.4</v>
      </c>
      <c r="E49">
        <f>SUMIFS('Sheet1'!$F:$F,'Sheet1'!$B:$B,$A49,'Sheet1'!$C:$C,$B49,'Sheet1'!$G:$G,$F49)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SUMIFS('Sheet1'!$D:$D,'Sheet1'!$B:$B,$A50,'Sheet1'!$C:$C,$B50,'Sheet1'!$G:$G,$F50)</f>
        <v>101774358.8</v>
      </c>
      <c r="D50">
        <f>SUMIFS('Sheet1'!$E:$E,'Sheet1'!$B:$B,$A50,'Sheet1'!$C:$C,$B50,'Sheet1'!$G:$G,$F50)</f>
        <v>100967402.8</v>
      </c>
      <c r="E50">
        <f>SUMIFS('Sheet1'!$F:$F,'Sheet1'!$B:$B,$A50,'Sheet1'!$C:$C,$B50,'Sheet1'!$G:$G,$F50)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bscr/BSCR_UKEU.py CSV columns A:G: cntrycode, bscr_entity, region, sum_pml, sum_net, count_policies, is_geocoded.</t>
        </is>
      </c>
    </row>
    <row r="5" ht="30" customHeight="1">
      <c r="A5" t="inlineStr">
        <is>
          <t>Process</t>
        </is>
      </c>
      <c r="B5" t="inlineStr">
        <is>
          <t>Paste CSV into Sheet1 A:G without replacing formula columns. Formulas apply 1.35 GBP/USD and divide by 1,000,000; output consolidates and piv presents results.</t>
        </is>
      </c>
    </row>
    <row r="6" ht="30" customHeight="1">
      <c r="A6" t="inlineStr">
        <is>
          <t>Outputs</t>
        </is>
      </c>
      <c r="B6" t="inlineStr">
        <is>
          <t>Reviewed piv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output and piv after loading. The checked-in piv is older than Sheet1, so reconcile query, CSV, Sheet1, output, piv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INPUTS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Required input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Property catastrophe premium</t>
        </is>
      </c>
      <c r="D11" t="inlineStr">
        <is>
          <t>Requires catastrophe model or premium source</t>
        </is>
      </c>
    </row>
    <row r="12">
      <c r="A12" t="inlineStr">
        <is>
          <t>All other catastrophe premium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SUMIFS('output'!$I:$I,'output'!$A:$A,"HIC",'output'!$B:$B,"ALL")</f>
        <v>164353.167868337</v>
      </c>
      <c r="C14" s="7">
        <f>SUMIFS('output'!$J:$J,'output'!$A:$A,"HIC",'output'!$B:$B,"ALL")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INPUTS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Required input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Property catastrophe premium</t>
        </is>
      </c>
      <c r="D11" t="inlineStr">
        <is>
          <t>Requires catastrophe model or premium source</t>
        </is>
      </c>
    </row>
    <row r="12">
      <c r="A12" t="inlineStr">
        <is>
          <t>All other catastrophe premium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SUMIFS('output'!$I:$I,'output'!$A:$A,"HIC",'output'!$B:$B,"ALL")</f>
        <v>164353.167868337</v>
      </c>
      <c r="C14" s="7">
        <f>SUMIFS('output'!$J:$J,'output'!$A:$A,"HIC",'output'!$B:$B,"ALL")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REGIONS-PERILS INPUTS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Region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Atlantic Basin Hurricane</t>
        </is>
      </c>
      <c r="B4" s="7">
        <f>SUMIFS('output'!$I:$I,'output'!$A:$A,"HIC",'output'!$B:$B,"is_nahu")</f>
        <v>30.8434959</v>
      </c>
      <c r="C4" s="7">
        <f>SUMIFS('output'!$J:$J,'output'!$A:$A,"HIC",'output'!$B:$B,"is_nahu")</f>
        <v>30.8434959</v>
      </c>
      <c r="D4" t="inlineStr">
        <is>
          <t>HIC output region total</t>
        </is>
      </c>
    </row>
    <row r="5">
      <c r="A5" t="inlineStr">
        <is>
          <t>North American Earthquake</t>
        </is>
      </c>
      <c r="B5" s="7">
        <f>SUMIFS('output'!$I:$I,'output'!$A:$A,"HIC",'output'!$B:$B,"is_na_eq")</f>
        <v>0.2862</v>
      </c>
      <c r="C5" s="7">
        <f>SUMIFS('output'!$J:$J,'output'!$A:$A,"HIC",'output'!$B:$B,"is_na_eq")</f>
        <v>0.2862</v>
      </c>
      <c r="D5" t="inlineStr">
        <is>
          <t>HIC output region total</t>
        </is>
      </c>
    </row>
    <row r="6">
      <c r="A6" t="inlineStr">
        <is>
          <t>European Windstorm</t>
        </is>
      </c>
      <c r="B6" s="7">
        <f>SUMIFS('output'!$I:$I,'output'!$A:$A,"HIC",'output'!$B:$B,"is_eu")</f>
        <v>163747.905595587</v>
      </c>
      <c r="C6" s="7">
        <f>SUMIFS('output'!$J:$J,'output'!$A:$A,"HIC",'output'!$B:$B,"is_eu")</f>
        <v>163747.905595587</v>
      </c>
      <c r="D6" t="inlineStr">
        <is>
          <t>HIC output region total</t>
        </is>
      </c>
    </row>
    <row r="7">
      <c r="A7" t="inlineStr">
        <is>
          <t>Japanese Earthquake</t>
        </is>
      </c>
      <c r="B7" s="7">
        <f>SUMIFS('output'!$I:$I,'output'!$A:$A,"HIC",'output'!$B:$B,"is_jp")</f>
        <v>0.3726</v>
      </c>
      <c r="C7" s="7">
        <f>SUMIFS('output'!$J:$J,'output'!$A:$A,"HIC",'output'!$B:$B,"is_jp")</f>
        <v>0.3726</v>
      </c>
      <c r="D7" t="inlineStr">
        <is>
          <t>HIC output region total</t>
        </is>
      </c>
    </row>
    <row r="8">
      <c r="A8" t="inlineStr">
        <is>
          <t>Japanese Typhoon</t>
        </is>
      </c>
      <c r="B8" s="7">
        <f>SUMIFS('output'!$I:$I,'output'!$A:$A,"HIC",'output'!$B:$B,"is_jp")</f>
        <v>0.3726</v>
      </c>
      <c r="C8" s="7">
        <f>SUMIFS('output'!$J:$J,'output'!$A:$A,"HIC",'output'!$B:$B,"is_jp")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Premium inputs</t>
        </is>
      </c>
      <c r="D11" t="inlineStr">
        <is>
          <t>Not supplied by the BSCR exposure output</t>
        </is>
      </c>
    </row>
    <row r="12">
      <c r="A12" t="inlineStr">
        <is>
          <t>EP curve loss inputs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ANALYSIS INPUTS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geographic split only</t>
        </is>
      </c>
      <c r="B4" s="7">
        <f>SUMIFS('output'!$E:$E,'output'!$A:$A,"HIC",'output'!$B:$B,"is_us_all")</f>
        <v>33</v>
      </c>
      <c r="C4" s="7">
        <f>SUMIFS('output'!$I:$I,'output'!$A:$A,"HIC",'output'!$B:$B,"is_us_all")</f>
        <v>30.8434959</v>
      </c>
      <c r="D4" s="7">
        <f>SUMIFS('output'!$J:$J,'output'!$A:$A,"HIC",'output'!$B:$B,"is_us_all")</f>
        <v>30.8434959</v>
      </c>
      <c r="E4" s="7">
        <f>SUMIFS('output'!$E:$E,'output'!$A:$A,"HIC",'output'!$B:$B,"ALL")-B4</f>
        <v>173654</v>
      </c>
      <c r="F4" s="7">
        <f>SUMIFS('output'!$I:$I,'output'!$A:$A,"HIC",'output'!$B:$B,"ALL")-C4</f>
        <v>164322.324372437</v>
      </c>
      <c r="G4" s="7">
        <f>SUMIFS('output'!$J:$J,'output'!$A:$A,"HIC",'output'!$B:$B,"ALL")-D4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Modelled</t>
        </is>
      </c>
      <c r="H5" t="inlineStr">
        <is>
          <t>Requires approved modelability classification</t>
        </is>
      </c>
    </row>
    <row r="6">
      <c r="A6" t="inlineStr">
        <is>
          <t>Not modelled</t>
        </is>
      </c>
      <c r="H6" t="inlineStr">
        <is>
          <t>Requires approved modelability classification</t>
        </is>
      </c>
    </row>
    <row r="8">
      <c r="A8" t="inlineStr">
        <is>
          <t>Control: HIC total output</t>
        </is>
      </c>
      <c r="B8" s="7">
        <f>SUMIFS('output'!$E:$E,'output'!$A:$A,"HIC",'output'!$B:$B,"ALL")</f>
        <v>173687</v>
      </c>
      <c r="C8" s="7">
        <f>SUMIFS('output'!$I:$I,'output'!$A:$A,"HIC",'output'!$B:$B,"ALL")</f>
        <v>164353.167868337</v>
      </c>
      <c r="D8" s="7">
        <f>SUMIFS('output'!$J:$J,'output'!$A:$A,"HIC",'output'!$B:$B,"ALL")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</vt:lpstr>
      <vt:lpstr>output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