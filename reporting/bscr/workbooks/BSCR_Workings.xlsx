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ns1="http://schemas.openxmlformats.org/markup-compatibility/2006" xmlns:ns2="http://schemas.microsoft.com/office/spreadsheetml/2010/11/ac" xmlns:ns3="http://schemas.microsoft.com/office/spreadsheetml/2014/revision" xmlns:ns4="http://schemas.microsoft.com/office/spreadsheetml/2016/revision6" xmlns:ns5="http://schemas.microsoft.com/office/spreadsheetml/2016/revision10" xmlns:ns6="http://schemas.microsoft.com/office/spreadsheetml/2015/revision2" xmlns:ns7="http://schemas.openxmlformats.org/officeDocument/2006/relationships" xmlns:ns8="http://schemas.microsoft.com/office/spreadsheetml/2018/calcfeatures" ns1:Ignorable="x15 xr xr6 xr10 xr2">
  <fileVersion appName="xl" lastEdited="7" lowestEdited="7" rupBuild="30228"/>
  <workbookPr defaultThemeVersion="202300"/>
  <ns1:AlternateContent>
    <ns1:Choice Requires="x15">
      <ns2:absPath url="C:\Users\hamptonr\projects\rr\reporting\bscr\workbooks\"/>
    </ns1:Choice>
  </ns1:AlternateContent>
  <ns3:revisionPtr revIDLastSave="0" documentId="13_ncr:1_{60094F03-6D36-48AB-969C-C7E4D4C03E60}" ns4:coauthVersionLast="47" ns4:coauthVersionMax="47" ns5:uidLastSave="{00000000-0000-0000-0000-000000000000}"/>
  <bookViews>
    <workbookView xWindow="-110" yWindow="-110" windowWidth="23260" windowHeight="14860" activeTab="1" ns6:uid="{33ED103A-C225-4AF7-8380-A17D5970A431}"/>
  </bookViews>
  <sheets>
    <sheet name="Instructions" sheetId="10" ns7:id="rId1"/>
    <sheet name="BSCR Pivot Summary" sheetId="2" ns7:id="rId2"/>
    <sheet name="BSCR Output" sheetId="1" ns7:id="rId3"/>
    <sheet name="BSCR Source Data" sheetId="3" ns7:id="rId4"/>
    <sheet name="AUDIT_SUMMARY" sheetId="4" ns7:id="rId5"/>
    <sheet name="Settings" sheetId="5" ns7:id="rId6"/>
    <sheet name="Schedule X(a)" sheetId="6" ns7:id="rId7"/>
    <sheet name="Schedule X(b)" sheetId="7" ns7:id="rId8"/>
    <sheet name="Schedule X(c)" sheetId="8" ns7:id="rId9"/>
    <sheet name="Schedule X(f)" sheetId="9" ns7:id="rId10"/>
  </sheets>
  <definedNames>
    <definedName name="_xlnm._FilterDatabase" localSheetId="2" hidden="1">'BSCR Source Data'!$A$1:$K$1</definedName>
    <definedName name="_xlnm._FilterDatabase" localSheetId="1" hidden="1">'BSCR Output'!$A$1:$F$50</definedName>
  </definedNames>
  <calcPr calcId="191029" forceFullCalc="1" calcMode="auto" fullCalcOnLoad="1"/>
  <pivotCaches>
    <pivotCache cacheId="41" ns7:id="rId11"/>
    <pivotCache cacheId="65" ns7:id="rId12"/>
  </pivotCaches>
  <extLst>
    <ext uri="{B58B0392-4F1F-4190-BB64-5DF3571DCE5F}">
      <ns8:calcFeatures>
        <ns8:feature name="microsoft.com:RD"/>
        <ns8:feature name="microsoft.com:Single"/>
        <ns8:feature name="microsoft.com:FV"/>
        <ns8:feature name="microsoft.com:CNMTM"/>
        <ns8:feature name="microsoft.com:LET_WF"/>
        <ns8:feature name="microsoft.com:LAMBDA_WF"/>
        <ns8:feature name="microsoft.com:ARRAYTEXT_WF"/>
      </ns8:calcFeatures>
    </ext>
  </extLst>
</workbook>
</file>

<file path=xl/calcChain.xml><?xml version="1.0" encoding="utf-8"?>
<calcChain xmlns="http://schemas.openxmlformats.org/spreadsheetml/2006/main">
  <c r="K5" i="2" l="1"/>
  <c r="J41" i="2"/>
  <c r="H2" i="3" l="1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J3" i="3" l="1"/>
  <c r="I3" i="3"/>
  <c r="K3" i="3" s="1"/>
  <c r="J4" i="3"/>
  <c r="I4" i="3"/>
  <c r="K4" i="3" s="1"/>
  <c r="J5" i="3"/>
  <c r="I5" i="3"/>
  <c r="K5" i="3" s="1"/>
  <c r="J6" i="3"/>
  <c r="I6" i="3"/>
  <c r="K6" i="3" s="1"/>
  <c r="J7" i="3"/>
  <c r="I7" i="3"/>
  <c r="K7" i="3" s="1"/>
  <c r="J8" i="3"/>
  <c r="I8" i="3"/>
  <c r="K8" i="3" s="1"/>
  <c r="J9" i="3"/>
  <c r="I9" i="3"/>
  <c r="K9" i="3" s="1"/>
  <c r="J10" i="3"/>
  <c r="I10" i="3"/>
  <c r="K10" i="3" s="1"/>
  <c r="J11" i="3"/>
  <c r="I11" i="3"/>
  <c r="K11" i="3" s="1"/>
  <c r="J12" i="3"/>
  <c r="I12" i="3"/>
  <c r="K12" i="3" s="1"/>
  <c r="J13" i="3"/>
  <c r="I13" i="3"/>
  <c r="K13" i="3" s="1"/>
  <c r="J14" i="3"/>
  <c r="I14" i="3"/>
  <c r="K14" i="3" s="1"/>
  <c r="J15" i="3"/>
  <c r="I15" i="3"/>
  <c r="K15" i="3" s="1"/>
  <c r="J16" i="3"/>
  <c r="I16" i="3"/>
  <c r="K16" i="3" s="1"/>
  <c r="J17" i="3"/>
  <c r="I17" i="3"/>
  <c r="K17" i="3" s="1"/>
  <c r="J18" i="3"/>
  <c r="I18" i="3"/>
  <c r="K18" i="3" s="1"/>
  <c r="J19" i="3"/>
  <c r="I19" i="3"/>
  <c r="K19" i="3" s="1"/>
  <c r="J20" i="3"/>
  <c r="I20" i="3"/>
  <c r="K20" i="3" s="1"/>
  <c r="J21" i="3"/>
  <c r="I21" i="3"/>
  <c r="K21" i="3" s="1"/>
  <c r="J22" i="3"/>
  <c r="I22" i="3"/>
  <c r="K22" i="3" s="1"/>
  <c r="J23" i="3"/>
  <c r="I23" i="3"/>
  <c r="K23" i="3" s="1"/>
  <c r="J24" i="3"/>
  <c r="I24" i="3"/>
  <c r="K24" i="3" s="1"/>
  <c r="J25" i="3"/>
  <c r="I25" i="3"/>
  <c r="K25" i="3" s="1"/>
  <c r="J26" i="3"/>
  <c r="I26" i="3"/>
  <c r="K26" i="3" s="1"/>
  <c r="J27" i="3"/>
  <c r="I27" i="3"/>
  <c r="K27" i="3" s="1"/>
  <c r="J28" i="3"/>
  <c r="I28" i="3"/>
  <c r="K28" i="3" s="1"/>
  <c r="J29" i="3"/>
  <c r="I29" i="3"/>
  <c r="K29" i="3" s="1"/>
  <c r="J30" i="3"/>
  <c r="I30" i="3"/>
  <c r="K30" i="3" s="1"/>
  <c r="J31" i="3"/>
  <c r="I31" i="3"/>
  <c r="K31" i="3" s="1"/>
  <c r="J32" i="3"/>
  <c r="I32" i="3"/>
  <c r="K32" i="3" s="1"/>
  <c r="J33" i="3"/>
  <c r="I33" i="3"/>
  <c r="K33" i="3" s="1"/>
  <c r="J34" i="3"/>
  <c r="I34" i="3"/>
  <c r="K34" i="3" s="1"/>
  <c r="J35" i="3"/>
  <c r="I35" i="3"/>
  <c r="K35" i="3" s="1"/>
  <c r="J36" i="3"/>
  <c r="I36" i="3"/>
  <c r="K36" i="3" s="1"/>
  <c r="J37" i="3"/>
  <c r="I37" i="3"/>
  <c r="K37" i="3" s="1"/>
  <c r="J38" i="3"/>
  <c r="I38" i="3"/>
  <c r="K38" i="3" s="1"/>
  <c r="J39" i="3"/>
  <c r="I39" i="3"/>
  <c r="K39" i="3" s="1"/>
  <c r="J40" i="3"/>
  <c r="I40" i="3"/>
  <c r="K40" i="3" s="1"/>
  <c r="J41" i="3"/>
  <c r="I41" i="3"/>
  <c r="K41" i="3" s="1"/>
  <c r="J42" i="3"/>
  <c r="I42" i="3"/>
  <c r="K42" i="3" s="1"/>
  <c r="J43" i="3"/>
  <c r="I43" i="3"/>
  <c r="K43" i="3" s="1"/>
  <c r="J44" i="3"/>
  <c r="I44" i="3"/>
  <c r="K44" i="3" s="1"/>
  <c r="J45" i="3"/>
  <c r="I45" i="3"/>
  <c r="K45" i="3" s="1"/>
  <c r="J46" i="3"/>
  <c r="I46" i="3"/>
  <c r="K46" i="3" s="1"/>
  <c r="J47" i="3"/>
  <c r="I47" i="3"/>
  <c r="K47" i="3" s="1"/>
  <c r="J48" i="3"/>
  <c r="I48" i="3"/>
  <c r="K48" i="3" s="1"/>
  <c r="J49" i="3"/>
  <c r="I49" i="3"/>
  <c r="K49" i="3" s="1"/>
  <c r="J50" i="3"/>
  <c r="I50" i="3"/>
  <c r="K50" i="3" s="1"/>
  <c r="J51" i="3"/>
  <c r="I51" i="3"/>
  <c r="K51" i="3" s="1"/>
  <c r="J52" i="3"/>
  <c r="I52" i="3"/>
  <c r="K52" i="3" s="1"/>
  <c r="J53" i="3"/>
  <c r="I53" i="3"/>
  <c r="K53" i="3" s="1"/>
  <c r="J54" i="3"/>
  <c r="I54" i="3"/>
  <c r="K54" i="3" s="1"/>
  <c r="J55" i="3"/>
  <c r="I55" i="3"/>
  <c r="K55" i="3" s="1"/>
  <c r="J56" i="3"/>
  <c r="I56" i="3"/>
  <c r="K56" i="3" s="1"/>
  <c r="J57" i="3"/>
  <c r="I57" i="3"/>
  <c r="K57" i="3" s="1"/>
  <c r="J58" i="3"/>
  <c r="I58" i="3"/>
  <c r="K58" i="3" s="1"/>
  <c r="J59" i="3"/>
  <c r="I59" i="3"/>
  <c r="K59" i="3" s="1"/>
  <c r="J60" i="3"/>
  <c r="I60" i="3"/>
  <c r="K60" i="3" s="1"/>
  <c r="J61" i="3"/>
  <c r="I61" i="3"/>
  <c r="K61" i="3" s="1"/>
  <c r="J62" i="3"/>
  <c r="I62" i="3"/>
  <c r="K62" i="3" s="1"/>
  <c r="J63" i="3"/>
  <c r="I63" i="3"/>
  <c r="K63" i="3" s="1"/>
  <c r="J64" i="3"/>
  <c r="I64" i="3"/>
  <c r="K64" i="3" s="1"/>
  <c r="J65" i="3"/>
  <c r="I65" i="3"/>
  <c r="K65" i="3" s="1"/>
  <c r="J66" i="3"/>
  <c r="I66" i="3"/>
  <c r="K66" i="3" s="1"/>
  <c r="J67" i="3"/>
  <c r="I67" i="3"/>
  <c r="K67" i="3" s="1"/>
  <c r="J68" i="3"/>
  <c r="I68" i="3"/>
  <c r="K68" i="3" s="1"/>
  <c r="J69" i="3"/>
  <c r="I69" i="3"/>
  <c r="K69" i="3" s="1"/>
  <c r="J70" i="3"/>
  <c r="I70" i="3"/>
  <c r="K70" i="3" s="1"/>
  <c r="J71" i="3"/>
  <c r="I71" i="3"/>
  <c r="K71" i="3" s="1"/>
  <c r="J72" i="3"/>
  <c r="I72" i="3"/>
  <c r="K72" i="3" s="1"/>
  <c r="J73" i="3"/>
  <c r="I73" i="3"/>
  <c r="K73" i="3" s="1"/>
  <c r="J74" i="3"/>
  <c r="I74" i="3"/>
  <c r="K74" i="3" s="1"/>
  <c r="J75" i="3"/>
  <c r="I75" i="3"/>
  <c r="K75" i="3" s="1"/>
  <c r="J76" i="3"/>
  <c r="I76" i="3"/>
  <c r="K76" i="3" s="1"/>
  <c r="J77" i="3"/>
  <c r="I77" i="3"/>
  <c r="K77" i="3" s="1"/>
  <c r="J78" i="3"/>
  <c r="I78" i="3"/>
  <c r="K78" i="3" s="1"/>
  <c r="J79" i="3"/>
  <c r="I79" i="3"/>
  <c r="K79" i="3" s="1"/>
  <c r="J80" i="3"/>
  <c r="I80" i="3"/>
  <c r="K80" i="3" s="1"/>
  <c r="J81" i="3"/>
  <c r="I81" i="3"/>
  <c r="K81" i="3" s="1"/>
  <c r="J82" i="3"/>
  <c r="I82" i="3"/>
  <c r="K82" i="3" s="1"/>
  <c r="J83" i="3"/>
  <c r="I83" i="3"/>
  <c r="K83" i="3" s="1"/>
  <c r="J84" i="3"/>
  <c r="I84" i="3"/>
  <c r="K84" i="3" s="1"/>
  <c r="J85" i="3"/>
  <c r="I85" i="3"/>
  <c r="K85" i="3" s="1"/>
  <c r="J86" i="3"/>
  <c r="I86" i="3"/>
  <c r="K86" i="3" s="1"/>
  <c r="J87" i="3"/>
  <c r="I87" i="3"/>
  <c r="K87" i="3" s="1"/>
  <c r="J88" i="3"/>
  <c r="I88" i="3"/>
  <c r="K88" i="3" s="1"/>
  <c r="J89" i="3"/>
  <c r="I89" i="3"/>
  <c r="K89" i="3" s="1"/>
  <c r="J90" i="3"/>
  <c r="I90" i="3"/>
  <c r="K90" i="3" s="1"/>
  <c r="J91" i="3"/>
  <c r="I91" i="3"/>
  <c r="K91" i="3" s="1"/>
  <c r="J92" i="3"/>
  <c r="I92" i="3"/>
  <c r="K92" i="3" s="1"/>
  <c r="J93" i="3"/>
  <c r="I93" i="3"/>
  <c r="K93" i="3" s="1"/>
  <c r="J94" i="3"/>
  <c r="I94" i="3"/>
  <c r="K94" i="3" s="1"/>
  <c r="J95" i="3"/>
  <c r="I95" i="3"/>
  <c r="K95" i="3" s="1"/>
  <c r="J96" i="3"/>
  <c r="I96" i="3"/>
  <c r="K96" i="3" s="1"/>
  <c r="J97" i="3"/>
  <c r="I97" i="3"/>
  <c r="K97" i="3" s="1"/>
  <c r="J98" i="3"/>
  <c r="I98" i="3"/>
  <c r="K98" i="3" s="1"/>
  <c r="J99" i="3"/>
  <c r="I99" i="3"/>
  <c r="K99" i="3" s="1"/>
  <c r="J100" i="3"/>
  <c r="I100" i="3"/>
  <c r="K100" i="3" s="1"/>
  <c r="J101" i="3"/>
  <c r="I101" i="3"/>
  <c r="K101" i="3" s="1"/>
  <c r="J102" i="3"/>
  <c r="I102" i="3"/>
  <c r="K102" i="3" s="1"/>
  <c r="J103" i="3"/>
  <c r="I103" i="3"/>
  <c r="K103" i="3" s="1"/>
  <c r="J104" i="3"/>
  <c r="I104" i="3"/>
  <c r="K104" i="3" s="1"/>
  <c r="J105" i="3"/>
  <c r="I105" i="3"/>
  <c r="K105" i="3" s="1"/>
  <c r="J106" i="3"/>
  <c r="I106" i="3"/>
  <c r="K106" i="3" s="1"/>
  <c r="J107" i="3"/>
  <c r="I107" i="3"/>
  <c r="K107" i="3" s="1"/>
  <c r="J108" i="3"/>
  <c r="I108" i="3"/>
  <c r="K108" i="3" s="1"/>
  <c r="J109" i="3"/>
  <c r="I109" i="3"/>
  <c r="K109" i="3" s="1"/>
  <c r="J110" i="3"/>
  <c r="I110" i="3"/>
  <c r="K110" i="3" s="1"/>
  <c r="J111" i="3"/>
  <c r="I111" i="3"/>
  <c r="K111" i="3" s="1"/>
  <c r="J112" i="3"/>
  <c r="I112" i="3"/>
  <c r="K112" i="3" s="1"/>
  <c r="J113" i="3"/>
  <c r="I113" i="3"/>
  <c r="K113" i="3" s="1"/>
  <c r="J114" i="3"/>
  <c r="I114" i="3"/>
  <c r="K114" i="3" s="1"/>
  <c r="J115" i="3"/>
  <c r="I115" i="3"/>
  <c r="K115" i="3" s="1"/>
  <c r="J116" i="3"/>
  <c r="I116" i="3"/>
  <c r="K116" i="3" s="1"/>
  <c r="J117" i="3"/>
  <c r="I117" i="3"/>
  <c r="K117" i="3" s="1"/>
  <c r="J118" i="3"/>
  <c r="I118" i="3"/>
  <c r="K118" i="3" s="1"/>
  <c r="J119" i="3"/>
  <c r="I119" i="3"/>
  <c r="K119" i="3" s="1"/>
  <c r="J120" i="3"/>
  <c r="I120" i="3"/>
  <c r="K120" i="3" s="1"/>
  <c r="J121" i="3"/>
  <c r="I121" i="3"/>
  <c r="K121" i="3" s="1"/>
  <c r="J122" i="3"/>
  <c r="I122" i="3"/>
  <c r="K122" i="3" s="1"/>
  <c r="J123" i="3"/>
  <c r="I123" i="3"/>
  <c r="K123" i="3" s="1"/>
  <c r="J124" i="3"/>
  <c r="I124" i="3"/>
  <c r="K124" i="3" s="1"/>
  <c r="J125" i="3"/>
  <c r="I125" i="3"/>
  <c r="K125" i="3" s="1"/>
  <c r="J126" i="3"/>
  <c r="I126" i="3"/>
  <c r="K126" i="3" s="1"/>
  <c r="J127" i="3"/>
  <c r="I127" i="3"/>
  <c r="K127" i="3" s="1"/>
  <c r="J128" i="3"/>
  <c r="I128" i="3"/>
  <c r="K128" i="3" s="1"/>
  <c r="J129" i="3"/>
  <c r="I129" i="3"/>
  <c r="K129" i="3" s="1"/>
  <c r="J130" i="3"/>
  <c r="I130" i="3"/>
  <c r="K130" i="3" s="1"/>
  <c r="J131" i="3"/>
  <c r="I131" i="3"/>
  <c r="K131" i="3" s="1"/>
  <c r="J132" i="3"/>
  <c r="I132" i="3"/>
  <c r="K132" i="3" s="1"/>
  <c r="J133" i="3"/>
  <c r="I133" i="3"/>
  <c r="K133" i="3" s="1"/>
  <c r="J134" i="3"/>
  <c r="I134" i="3"/>
  <c r="K134" i="3" s="1"/>
  <c r="J135" i="3"/>
  <c r="I135" i="3"/>
  <c r="K135" i="3" s="1"/>
  <c r="J136" i="3"/>
  <c r="I136" i="3"/>
  <c r="K136" i="3" s="1"/>
  <c r="J137" i="3"/>
  <c r="I137" i="3"/>
  <c r="K137" i="3" s="1"/>
  <c r="J138" i="3"/>
  <c r="I138" i="3"/>
  <c r="K138" i="3" s="1"/>
  <c r="J139" i="3"/>
  <c r="I139" i="3"/>
  <c r="K139" i="3" s="1"/>
  <c r="J140" i="3"/>
  <c r="I140" i="3"/>
  <c r="K140" i="3" s="1"/>
  <c r="J141" i="3"/>
  <c r="I141" i="3"/>
  <c r="K141" i="3" s="1"/>
  <c r="J142" i="3"/>
  <c r="I142" i="3"/>
  <c r="K142" i="3" s="1"/>
  <c r="J143" i="3"/>
  <c r="I143" i="3"/>
  <c r="K143" i="3" s="1"/>
  <c r="J144" i="3"/>
  <c r="I144" i="3"/>
  <c r="K144" i="3" s="1"/>
  <c r="J145" i="3"/>
  <c r="I145" i="3"/>
  <c r="K145" i="3" s="1"/>
  <c r="J146" i="3"/>
  <c r="I146" i="3"/>
  <c r="K146" i="3" s="1"/>
  <c r="J147" i="3"/>
  <c r="I147" i="3"/>
  <c r="K147" i="3" s="1"/>
  <c r="J148" i="3"/>
  <c r="I148" i="3"/>
  <c r="K148" i="3" s="1"/>
  <c r="J149" i="3"/>
  <c r="I149" i="3"/>
  <c r="K149" i="3" s="1"/>
  <c r="J150" i="3"/>
  <c r="I150" i="3"/>
  <c r="K150" i="3" s="1"/>
  <c r="J151" i="3"/>
  <c r="I151" i="3"/>
  <c r="K151" i="3" s="1"/>
  <c r="J152" i="3"/>
  <c r="I152" i="3"/>
  <c r="K152" i="3" s="1"/>
  <c r="J153" i="3"/>
  <c r="I153" i="3"/>
  <c r="K153" i="3" s="1"/>
  <c r="J154" i="3"/>
  <c r="I154" i="3"/>
  <c r="K154" i="3" s="1"/>
  <c r="J155" i="3"/>
  <c r="I155" i="3"/>
  <c r="K155" i="3" s="1"/>
  <c r="J156" i="3"/>
  <c r="I156" i="3"/>
  <c r="K156" i="3" s="1"/>
  <c r="J157" i="3"/>
  <c r="I157" i="3"/>
  <c r="K157" i="3" s="1"/>
  <c r="J158" i="3"/>
  <c r="I158" i="3"/>
  <c r="K158" i="3" s="1"/>
  <c r="J159" i="3"/>
  <c r="I159" i="3"/>
  <c r="K159" i="3" s="1"/>
  <c r="J160" i="3"/>
  <c r="I160" i="3"/>
  <c r="K160" i="3" s="1"/>
  <c r="J161" i="3"/>
  <c r="I161" i="3"/>
  <c r="K161" i="3" s="1"/>
  <c r="J162" i="3"/>
  <c r="I162" i="3"/>
  <c r="K162" i="3" s="1"/>
  <c r="J163" i="3"/>
  <c r="I163" i="3"/>
  <c r="K163" i="3" s="1"/>
  <c r="J164" i="3"/>
  <c r="I164" i="3"/>
  <c r="K164" i="3" s="1"/>
  <c r="J165" i="3"/>
  <c r="I165" i="3"/>
  <c r="K165" i="3" s="1"/>
  <c r="J166" i="3"/>
  <c r="I166" i="3"/>
  <c r="K166" i="3" s="1"/>
  <c r="J167" i="3"/>
  <c r="I167" i="3"/>
  <c r="K167" i="3" s="1"/>
  <c r="J168" i="3"/>
  <c r="I168" i="3"/>
  <c r="K168" i="3" s="1"/>
  <c r="J169" i="3"/>
  <c r="I169" i="3"/>
  <c r="K169" i="3" s="1"/>
  <c r="J170" i="3"/>
  <c r="I170" i="3"/>
  <c r="K170" i="3" s="1"/>
  <c r="J171" i="3"/>
  <c r="I171" i="3"/>
  <c r="K171" i="3" s="1"/>
  <c r="J172" i="3"/>
  <c r="I172" i="3"/>
  <c r="K172" i="3" s="1"/>
  <c r="J173" i="3"/>
  <c r="I173" i="3"/>
  <c r="K173" i="3" s="1"/>
  <c r="J174" i="3"/>
  <c r="I174" i="3"/>
  <c r="K174" i="3" s="1"/>
  <c r="J175" i="3"/>
  <c r="I175" i="3"/>
  <c r="K175" i="3" s="1"/>
  <c r="J176" i="3"/>
  <c r="I176" i="3"/>
  <c r="K176" i="3" s="1"/>
  <c r="J177" i="3"/>
  <c r="I177" i="3"/>
  <c r="K177" i="3" s="1"/>
  <c r="J178" i="3"/>
  <c r="I178" i="3"/>
  <c r="K178" i="3" s="1"/>
  <c r="J179" i="3"/>
  <c r="I179" i="3"/>
  <c r="K179" i="3" s="1"/>
  <c r="J180" i="3"/>
  <c r="I180" i="3"/>
  <c r="K180" i="3" s="1"/>
  <c r="J181" i="3"/>
  <c r="I181" i="3"/>
  <c r="K181" i="3" s="1"/>
  <c r="J182" i="3"/>
  <c r="I182" i="3"/>
  <c r="K182" i="3" s="1"/>
  <c r="J183" i="3"/>
  <c r="I183" i="3"/>
  <c r="K183" i="3" s="1"/>
  <c r="J184" i="3"/>
  <c r="I184" i="3"/>
  <c r="K184" i="3" s="1"/>
  <c r="J185" i="3"/>
  <c r="I185" i="3"/>
  <c r="K185" i="3" s="1"/>
  <c r="J186" i="3"/>
  <c r="I186" i="3"/>
  <c r="K186" i="3" s="1"/>
  <c r="J187" i="3"/>
  <c r="I187" i="3"/>
  <c r="K187" i="3" s="1"/>
  <c r="J188" i="3"/>
  <c r="I188" i="3"/>
  <c r="K188" i="3" s="1"/>
  <c r="J189" i="3"/>
  <c r="I189" i="3"/>
  <c r="K189" i="3" s="1"/>
  <c r="J190" i="3"/>
  <c r="I190" i="3"/>
  <c r="K190" i="3" s="1"/>
  <c r="J191" i="3"/>
  <c r="I191" i="3"/>
  <c r="K191" i="3" s="1"/>
  <c r="J192" i="3"/>
  <c r="I192" i="3"/>
  <c r="K192" i="3" s="1"/>
  <c r="J193" i="3"/>
  <c r="I193" i="3"/>
  <c r="K193" i="3" s="1"/>
  <c r="J194" i="3"/>
  <c r="I194" i="3"/>
  <c r="K194" i="3" s="1"/>
  <c r="J195" i="3"/>
  <c r="I195" i="3"/>
  <c r="K195" i="3" s="1"/>
  <c r="J196" i="3"/>
  <c r="I196" i="3"/>
  <c r="K196" i="3" s="1"/>
  <c r="J197" i="3"/>
  <c r="I197" i="3"/>
  <c r="K197" i="3" s="1"/>
  <c r="J198" i="3"/>
  <c r="I198" i="3"/>
  <c r="K198" i="3" s="1"/>
  <c r="J199" i="3"/>
  <c r="I199" i="3"/>
  <c r="K199" i="3" s="1"/>
  <c r="J200" i="3"/>
  <c r="I200" i="3"/>
  <c r="K200" i="3" s="1"/>
  <c r="J201" i="3"/>
  <c r="I201" i="3"/>
  <c r="K201" i="3" s="1"/>
  <c r="J202" i="3"/>
  <c r="I202" i="3"/>
  <c r="K202" i="3" s="1"/>
  <c r="J203" i="3"/>
  <c r="I203" i="3"/>
  <c r="K203" i="3" s="1"/>
  <c r="J204" i="3"/>
  <c r="I204" i="3"/>
  <c r="K204" i="3" s="1"/>
  <c r="J205" i="3"/>
  <c r="I205" i="3"/>
  <c r="K205" i="3" s="1"/>
  <c r="J206" i="3"/>
  <c r="I206" i="3"/>
  <c r="K206" i="3" s="1"/>
  <c r="J207" i="3"/>
  <c r="I207" i="3"/>
  <c r="K207" i="3" s="1"/>
  <c r="J208" i="3"/>
  <c r="I208" i="3"/>
  <c r="K208" i="3" s="1"/>
  <c r="J209" i="3"/>
  <c r="I209" i="3"/>
  <c r="K209" i="3" s="1"/>
  <c r="J210" i="3"/>
  <c r="I210" i="3"/>
  <c r="K210" i="3" s="1"/>
  <c r="J211" i="3"/>
  <c r="I211" i="3"/>
  <c r="K211" i="3" s="1"/>
  <c r="J212" i="3"/>
  <c r="I212" i="3"/>
  <c r="K212" i="3" s="1"/>
  <c r="J213" i="3"/>
  <c r="I213" i="3"/>
  <c r="K213" i="3" s="1"/>
  <c r="J214" i="3"/>
  <c r="I214" i="3"/>
  <c r="K214" i="3" s="1"/>
  <c r="J215" i="3"/>
  <c r="I215" i="3"/>
  <c r="K215" i="3" s="1"/>
  <c r="J216" i="3"/>
  <c r="I216" i="3"/>
  <c r="K216" i="3" s="1"/>
  <c r="J217" i="3"/>
  <c r="I217" i="3"/>
  <c r="K217" i="3" s="1"/>
  <c r="J218" i="3"/>
  <c r="I218" i="3"/>
  <c r="K218" i="3" s="1"/>
  <c r="J219" i="3"/>
  <c r="I219" i="3"/>
  <c r="K219" i="3" s="1"/>
  <c r="J220" i="3"/>
  <c r="I220" i="3"/>
  <c r="K220" i="3" s="1"/>
  <c r="J221" i="3"/>
  <c r="I221" i="3"/>
  <c r="K221" i="3" s="1"/>
  <c r="J222" i="3"/>
  <c r="I222" i="3"/>
  <c r="K222" i="3" s="1"/>
  <c r="J223" i="3"/>
  <c r="I223" i="3"/>
  <c r="K223" i="3" s="1"/>
  <c r="J224" i="3"/>
  <c r="I224" i="3"/>
  <c r="K224" i="3" s="1"/>
  <c r="J225" i="3"/>
  <c r="I225" i="3"/>
  <c r="K225" i="3" s="1"/>
  <c r="J226" i="3"/>
  <c r="I226" i="3"/>
  <c r="K226" i="3" s="1"/>
  <c r="J227" i="3"/>
  <c r="I227" i="3"/>
  <c r="K227" i="3" s="1"/>
  <c r="J228" i="3"/>
  <c r="I228" i="3"/>
  <c r="K228" i="3" s="1"/>
  <c r="J229" i="3"/>
  <c r="I229" i="3"/>
  <c r="K229" i="3" s="1"/>
  <c r="J230" i="3"/>
  <c r="I230" i="3"/>
  <c r="K230" i="3" s="1"/>
  <c r="J231" i="3"/>
  <c r="I231" i="3"/>
  <c r="K231" i="3" s="1"/>
  <c r="J232" i="3"/>
  <c r="I232" i="3"/>
  <c r="K232" i="3" s="1"/>
  <c r="J233" i="3"/>
  <c r="I233" i="3"/>
  <c r="K233" i="3" s="1"/>
  <c r="J234" i="3"/>
  <c r="I234" i="3"/>
  <c r="K234" i="3" s="1"/>
  <c r="J235" i="3"/>
  <c r="I235" i="3"/>
  <c r="K235" i="3" s="1"/>
  <c r="J236" i="3"/>
  <c r="I236" i="3"/>
  <c r="K236" i="3" s="1"/>
  <c r="J237" i="3"/>
  <c r="I237" i="3"/>
  <c r="K237" i="3" s="1"/>
  <c r="J238" i="3"/>
  <c r="I238" i="3"/>
  <c r="K238" i="3" s="1"/>
  <c r="J239" i="3"/>
  <c r="I239" i="3"/>
  <c r="K239" i="3" s="1"/>
  <c r="J240" i="3"/>
  <c r="I240" i="3"/>
  <c r="K240" i="3" s="1"/>
  <c r="J241" i="3"/>
  <c r="I241" i="3"/>
  <c r="K241" i="3" s="1"/>
  <c r="J242" i="3"/>
  <c r="I242" i="3"/>
  <c r="K242" i="3" s="1"/>
  <c r="J243" i="3"/>
  <c r="I243" i="3"/>
  <c r="K243" i="3" s="1"/>
  <c r="J244" i="3"/>
  <c r="I244" i="3"/>
  <c r="K244" i="3" s="1"/>
  <c r="J245" i="3"/>
  <c r="I245" i="3"/>
  <c r="K245" i="3" s="1"/>
  <c r="J246" i="3"/>
  <c r="I246" i="3"/>
  <c r="K246" i="3" s="1"/>
  <c r="J247" i="3"/>
  <c r="I247" i="3"/>
  <c r="K247" i="3" s="1"/>
  <c r="J248" i="3"/>
  <c r="I248" i="3"/>
  <c r="K248" i="3" s="1"/>
  <c r="J249" i="3"/>
  <c r="I249" i="3"/>
  <c r="K249" i="3" s="1"/>
  <c r="J250" i="3"/>
  <c r="I250" i="3"/>
  <c r="K250" i="3" s="1"/>
  <c r="J251" i="3"/>
  <c r="I251" i="3"/>
  <c r="K251" i="3" s="1"/>
  <c r="J252" i="3"/>
  <c r="I252" i="3"/>
  <c r="K252" i="3" s="1"/>
  <c r="J253" i="3"/>
  <c r="I253" i="3"/>
  <c r="K253" i="3" s="1"/>
  <c r="J254" i="3"/>
  <c r="I254" i="3"/>
  <c r="K254" i="3" s="1"/>
  <c r="J255" i="3"/>
  <c r="I255" i="3"/>
  <c r="K255" i="3" s="1"/>
  <c r="J256" i="3"/>
  <c r="I256" i="3"/>
  <c r="K256" i="3" s="1"/>
  <c r="J257" i="3"/>
  <c r="I257" i="3"/>
  <c r="K257" i="3" s="1"/>
  <c r="J258" i="3"/>
  <c r="I258" i="3"/>
  <c r="K258" i="3" s="1"/>
  <c r="J259" i="3"/>
  <c r="I259" i="3"/>
  <c r="K259" i="3" s="1"/>
  <c r="J260" i="3"/>
  <c r="I260" i="3"/>
  <c r="K260" i="3" s="1"/>
  <c r="J261" i="3"/>
  <c r="I261" i="3"/>
  <c r="K261" i="3" s="1"/>
  <c r="J262" i="3"/>
  <c r="I262" i="3"/>
  <c r="K262" i="3" s="1"/>
  <c r="J263" i="3"/>
  <c r="I263" i="3"/>
  <c r="K263" i="3" s="1"/>
  <c r="J264" i="3"/>
  <c r="I264" i="3"/>
  <c r="K264" i="3" s="1"/>
  <c r="J265" i="3"/>
  <c r="I265" i="3"/>
  <c r="K265" i="3" s="1"/>
  <c r="J266" i="3"/>
  <c r="I266" i="3"/>
  <c r="K266" i="3" s="1"/>
  <c r="J267" i="3"/>
  <c r="I267" i="3"/>
  <c r="K267" i="3" s="1"/>
  <c r="J268" i="3"/>
  <c r="I268" i="3"/>
  <c r="K268" i="3" s="1"/>
  <c r="J269" i="3"/>
  <c r="I269" i="3"/>
  <c r="K269" i="3" s="1"/>
  <c r="J270" i="3"/>
  <c r="I270" i="3"/>
  <c r="K270" i="3" s="1"/>
  <c r="J271" i="3"/>
  <c r="I271" i="3"/>
  <c r="K271" i="3" s="1"/>
  <c r="J272" i="3"/>
  <c r="I272" i="3"/>
  <c r="K272" i="3" s="1"/>
  <c r="J273" i="3"/>
  <c r="I273" i="3"/>
  <c r="K273" i="3" s="1"/>
  <c r="J274" i="3"/>
  <c r="I274" i="3"/>
  <c r="K274" i="3" s="1"/>
  <c r="J275" i="3"/>
  <c r="I275" i="3"/>
  <c r="K275" i="3" s="1"/>
  <c r="J276" i="3"/>
  <c r="I276" i="3"/>
  <c r="K276" i="3" s="1"/>
  <c r="J277" i="3"/>
  <c r="I277" i="3"/>
  <c r="K277" i="3" s="1"/>
  <c r="J278" i="3"/>
  <c r="I278" i="3"/>
  <c r="K278" i="3" s="1"/>
  <c r="J279" i="3"/>
  <c r="I279" i="3"/>
  <c r="K279" i="3" s="1"/>
  <c r="J280" i="3"/>
  <c r="I280" i="3"/>
  <c r="K280" i="3" s="1"/>
  <c r="J281" i="3"/>
  <c r="I281" i="3"/>
  <c r="K281" i="3" s="1"/>
  <c r="J282" i="3"/>
  <c r="I282" i="3"/>
  <c r="K282" i="3" s="1"/>
  <c r="J283" i="3"/>
  <c r="I283" i="3"/>
  <c r="K283" i="3" s="1"/>
  <c r="J284" i="3"/>
  <c r="I284" i="3"/>
  <c r="K284" i="3" s="1"/>
  <c r="J285" i="3"/>
  <c r="I285" i="3"/>
  <c r="K285" i="3" s="1"/>
  <c r="J286" i="3"/>
  <c r="I286" i="3"/>
  <c r="K286" i="3" s="1"/>
  <c r="J287" i="3"/>
  <c r="I287" i="3"/>
  <c r="K287" i="3" s="1"/>
  <c r="J288" i="3"/>
  <c r="I288" i="3"/>
  <c r="K288" i="3" s="1"/>
  <c r="J289" i="3"/>
  <c r="I289" i="3"/>
  <c r="K289" i="3" s="1"/>
  <c r="J290" i="3"/>
  <c r="I290" i="3"/>
  <c r="K290" i="3" s="1"/>
  <c r="J291" i="3"/>
  <c r="I291" i="3"/>
  <c r="K291" i="3" s="1"/>
  <c r="J292" i="3"/>
  <c r="I292" i="3"/>
  <c r="K292" i="3" s="1"/>
  <c r="J293" i="3"/>
  <c r="I293" i="3"/>
  <c r="K293" i="3" s="1"/>
  <c r="J294" i="3"/>
  <c r="I294" i="3"/>
  <c r="K294" i="3" s="1"/>
  <c r="J295" i="3"/>
  <c r="I295" i="3"/>
  <c r="K295" i="3" s="1"/>
  <c r="J296" i="3"/>
  <c r="I296" i="3"/>
  <c r="K296" i="3" s="1"/>
  <c r="J297" i="3"/>
  <c r="I297" i="3"/>
  <c r="K297" i="3" s="1"/>
  <c r="J298" i="3"/>
  <c r="I298" i="3"/>
  <c r="K298" i="3" s="1"/>
  <c r="J299" i="3"/>
  <c r="I299" i="3"/>
  <c r="K299" i="3" s="1"/>
  <c r="J300" i="3"/>
  <c r="I300" i="3"/>
  <c r="K300" i="3" s="1"/>
  <c r="J301" i="3"/>
  <c r="I301" i="3"/>
  <c r="K301" i="3" s="1"/>
  <c r="J302" i="3"/>
  <c r="I302" i="3"/>
  <c r="K302" i="3" s="1"/>
  <c r="J303" i="3"/>
  <c r="I303" i="3"/>
  <c r="K303" i="3" s="1"/>
  <c r="J304" i="3"/>
  <c r="I304" i="3"/>
  <c r="K304" i="3" s="1"/>
  <c r="J305" i="3"/>
  <c r="I305" i="3"/>
  <c r="K305" i="3" s="1"/>
  <c r="J306" i="3"/>
  <c r="I306" i="3"/>
  <c r="K306" i="3" s="1"/>
  <c r="J307" i="3"/>
  <c r="I307" i="3"/>
  <c r="K307" i="3" s="1"/>
  <c r="J308" i="3"/>
  <c r="I308" i="3"/>
  <c r="K308" i="3" s="1"/>
  <c r="J309" i="3"/>
  <c r="I309" i="3"/>
  <c r="K309" i="3" s="1"/>
  <c r="J310" i="3"/>
  <c r="I310" i="3"/>
  <c r="K310" i="3" s="1"/>
  <c r="J311" i="3"/>
  <c r="I311" i="3"/>
  <c r="K311" i="3" s="1"/>
  <c r="J312" i="3"/>
  <c r="I312" i="3"/>
  <c r="K312" i="3" s="1"/>
  <c r="J313" i="3"/>
  <c r="I313" i="3"/>
  <c r="K313" i="3" s="1"/>
  <c r="J314" i="3"/>
  <c r="I314" i="3"/>
  <c r="K314" i="3" s="1"/>
  <c r="J315" i="3"/>
  <c r="I315" i="3"/>
  <c r="K315" i="3" s="1"/>
  <c r="J316" i="3"/>
  <c r="I316" i="3"/>
  <c r="K316" i="3" s="1"/>
  <c r="J317" i="3"/>
  <c r="I317" i="3"/>
  <c r="K317" i="3" s="1"/>
  <c r="J318" i="3"/>
  <c r="I318" i="3"/>
  <c r="K318" i="3" s="1"/>
  <c r="J319" i="3"/>
  <c r="I319" i="3"/>
  <c r="K319" i="3" s="1"/>
  <c r="J320" i="3"/>
  <c r="I320" i="3"/>
  <c r="K320" i="3" s="1"/>
  <c r="J321" i="3"/>
  <c r="I321" i="3"/>
  <c r="K321" i="3" s="1"/>
  <c r="J322" i="3"/>
  <c r="I322" i="3"/>
  <c r="K322" i="3" s="1"/>
  <c r="J323" i="3"/>
  <c r="I323" i="3"/>
  <c r="K323" i="3" s="1"/>
  <c r="J324" i="3"/>
  <c r="I324" i="3"/>
  <c r="K324" i="3" s="1"/>
  <c r="J325" i="3"/>
  <c r="I325" i="3"/>
  <c r="K325" i="3" s="1"/>
  <c r="J326" i="3"/>
  <c r="I326" i="3"/>
  <c r="K326" i="3" s="1"/>
  <c r="J327" i="3"/>
  <c r="I327" i="3"/>
  <c r="K327" i="3" s="1"/>
  <c r="J328" i="3"/>
  <c r="I328" i="3"/>
  <c r="K328" i="3" s="1"/>
  <c r="J329" i="3"/>
  <c r="I329" i="3"/>
  <c r="K329" i="3" s="1"/>
  <c r="J330" i="3"/>
  <c r="I330" i="3"/>
  <c r="K330" i="3" s="1"/>
  <c r="J331" i="3"/>
  <c r="I331" i="3"/>
  <c r="K331" i="3" s="1"/>
  <c r="J332" i="3"/>
  <c r="I332" i="3"/>
  <c r="K332" i="3" s="1"/>
  <c r="J333" i="3"/>
  <c r="I333" i="3"/>
  <c r="K333" i="3" s="1"/>
  <c r="J334" i="3"/>
  <c r="I334" i="3"/>
  <c r="K334" i="3" s="1"/>
  <c r="J335" i="3"/>
  <c r="I335" i="3"/>
  <c r="K335" i="3" s="1"/>
  <c r="J336" i="3"/>
  <c r="I336" i="3"/>
  <c r="K336" i="3" s="1"/>
  <c r="J337" i="3"/>
  <c r="I337" i="3"/>
  <c r="K337" i="3" s="1"/>
  <c r="J338" i="3"/>
  <c r="I338" i="3"/>
  <c r="K338" i="3" s="1"/>
  <c r="J339" i="3"/>
  <c r="I339" i="3"/>
  <c r="K339" i="3" s="1"/>
  <c r="J340" i="3"/>
  <c r="I340" i="3"/>
  <c r="K340" i="3" s="1"/>
  <c r="J341" i="3"/>
  <c r="I341" i="3"/>
  <c r="K341" i="3" s="1"/>
  <c r="J342" i="3"/>
  <c r="I342" i="3"/>
  <c r="K342" i="3" s="1"/>
  <c r="J343" i="3"/>
  <c r="I343" i="3"/>
  <c r="K343" i="3" s="1"/>
  <c r="J344" i="3"/>
  <c r="I344" i="3"/>
  <c r="K344" i="3" s="1"/>
  <c r="J345" i="3"/>
  <c r="I345" i="3"/>
  <c r="K345" i="3" s="1"/>
  <c r="J346" i="3"/>
  <c r="I346" i="3"/>
  <c r="K346" i="3" s="1"/>
  <c r="J347" i="3"/>
  <c r="I347" i="3"/>
  <c r="K347" i="3" s="1"/>
  <c r="J348" i="3"/>
  <c r="I348" i="3"/>
  <c r="K348" i="3" s="1"/>
  <c r="J349" i="3"/>
  <c r="I349" i="3"/>
  <c r="K349" i="3" s="1"/>
  <c r="J350" i="3"/>
  <c r="I350" i="3"/>
  <c r="K350" i="3" s="1"/>
  <c r="J351" i="3"/>
  <c r="I351" i="3"/>
  <c r="K351" i="3" s="1"/>
  <c r="J352" i="3"/>
  <c r="I352" i="3"/>
  <c r="K352" i="3" s="1"/>
  <c r="J353" i="3"/>
  <c r="I353" i="3"/>
  <c r="K353" i="3" s="1"/>
  <c r="J354" i="3"/>
  <c r="I354" i="3"/>
  <c r="K354" i="3" s="1"/>
  <c r="J355" i="3"/>
  <c r="I355" i="3"/>
  <c r="K355" i="3" s="1"/>
  <c r="J356" i="3"/>
  <c r="I356" i="3"/>
  <c r="K356" i="3" s="1"/>
  <c r="J357" i="3"/>
  <c r="I357" i="3"/>
  <c r="K357" i="3" s="1"/>
  <c r="J358" i="3"/>
  <c r="I358" i="3"/>
  <c r="K358" i="3" s="1"/>
  <c r="J359" i="3"/>
  <c r="I359" i="3"/>
  <c r="K359" i="3" s="1"/>
  <c r="J360" i="3"/>
  <c r="I360" i="3"/>
  <c r="K360" i="3" s="1"/>
  <c r="J361" i="3"/>
  <c r="I361" i="3"/>
  <c r="K361" i="3" s="1"/>
  <c r="J362" i="3"/>
  <c r="I362" i="3"/>
  <c r="K362" i="3" s="1"/>
  <c r="J363" i="3"/>
  <c r="I363" i="3"/>
  <c r="K363" i="3" s="1"/>
  <c r="J364" i="3"/>
  <c r="I364" i="3"/>
  <c r="K364" i="3" s="1"/>
  <c r="J365" i="3"/>
  <c r="I365" i="3"/>
  <c r="K365" i="3" s="1"/>
  <c r="J366" i="3"/>
  <c r="I366" i="3"/>
  <c r="K366" i="3" s="1"/>
  <c r="J367" i="3"/>
  <c r="I367" i="3"/>
  <c r="K367" i="3" s="1"/>
  <c r="J368" i="3"/>
  <c r="I368" i="3"/>
  <c r="K368" i="3" s="1"/>
  <c r="J369" i="3"/>
  <c r="I369" i="3"/>
  <c r="K369" i="3" s="1"/>
  <c r="J370" i="3"/>
  <c r="I370" i="3"/>
  <c r="K370" i="3" s="1"/>
  <c r="J371" i="3"/>
  <c r="I371" i="3"/>
  <c r="K371" i="3" s="1"/>
  <c r="J372" i="3"/>
  <c r="I372" i="3"/>
  <c r="K372" i="3" s="1"/>
  <c r="J373" i="3"/>
  <c r="I373" i="3"/>
  <c r="K373" i="3" s="1"/>
  <c r="J374" i="3"/>
  <c r="I374" i="3"/>
  <c r="K374" i="3" s="1"/>
  <c r="J375" i="3"/>
  <c r="I375" i="3"/>
  <c r="K375" i="3" s="1"/>
  <c r="J376" i="3"/>
  <c r="I376" i="3"/>
  <c r="K376" i="3" s="1"/>
  <c r="J377" i="3"/>
  <c r="I377" i="3"/>
  <c r="K377" i="3" s="1"/>
  <c r="J378" i="3"/>
  <c r="I378" i="3"/>
  <c r="K378" i="3" s="1"/>
  <c r="J379" i="3"/>
  <c r="I379" i="3"/>
  <c r="K379" i="3" s="1"/>
  <c r="J380" i="3"/>
  <c r="I380" i="3"/>
  <c r="K380" i="3" s="1"/>
  <c r="J381" i="3"/>
  <c r="I381" i="3"/>
  <c r="K381" i="3" s="1"/>
  <c r="J382" i="3"/>
  <c r="I382" i="3"/>
  <c r="K382" i="3" s="1"/>
  <c r="J383" i="3"/>
  <c r="I383" i="3"/>
  <c r="K383" i="3" s="1"/>
  <c r="J384" i="3"/>
  <c r="I384" i="3"/>
  <c r="K384" i="3" s="1"/>
  <c r="J385" i="3"/>
  <c r="I385" i="3"/>
  <c r="K385" i="3" s="1"/>
  <c r="J386" i="3"/>
  <c r="I386" i="3"/>
  <c r="K386" i="3" s="1"/>
  <c r="J387" i="3"/>
  <c r="I387" i="3"/>
  <c r="K387" i="3" s="1"/>
  <c r="J388" i="3"/>
  <c r="I388" i="3"/>
  <c r="K388" i="3" s="1"/>
  <c r="J389" i="3"/>
  <c r="I389" i="3"/>
  <c r="K389" i="3" s="1"/>
  <c r="J390" i="3"/>
  <c r="I390" i="3"/>
  <c r="K390" i="3" s="1"/>
  <c r="J391" i="3"/>
  <c r="I391" i="3"/>
  <c r="K391" i="3" s="1"/>
  <c r="J392" i="3"/>
  <c r="I392" i="3"/>
  <c r="K392" i="3" s="1"/>
  <c r="J393" i="3"/>
  <c r="I393" i="3"/>
  <c r="K393" i="3" s="1"/>
  <c r="J394" i="3"/>
  <c r="I394" i="3"/>
  <c r="K394" i="3" s="1"/>
  <c r="J395" i="3"/>
  <c r="I395" i="3"/>
  <c r="K395" i="3" s="1"/>
  <c r="J396" i="3"/>
  <c r="I396" i="3"/>
  <c r="K396" i="3" s="1"/>
  <c r="J397" i="3"/>
  <c r="I397" i="3"/>
  <c r="K397" i="3" s="1"/>
  <c r="J398" i="3"/>
  <c r="I398" i="3"/>
  <c r="K398" i="3" s="1"/>
  <c r="J399" i="3"/>
  <c r="I399" i="3"/>
  <c r="K399" i="3" s="1"/>
  <c r="J400" i="3"/>
  <c r="I400" i="3"/>
  <c r="K400" i="3" s="1"/>
  <c r="J401" i="3"/>
  <c r="I401" i="3"/>
  <c r="K401" i="3" s="1"/>
  <c r="J402" i="3"/>
  <c r="I402" i="3"/>
  <c r="K402" i="3" s="1"/>
  <c r="J403" i="3"/>
  <c r="I403" i="3"/>
  <c r="K403" i="3" s="1"/>
  <c r="J404" i="3"/>
  <c r="I404" i="3"/>
  <c r="K404" i="3" s="1"/>
  <c r="J405" i="3"/>
  <c r="I405" i="3"/>
  <c r="K405" i="3" s="1"/>
  <c r="J406" i="3"/>
  <c r="I406" i="3"/>
  <c r="K406" i="3" s="1"/>
  <c r="J407" i="3"/>
  <c r="I407" i="3"/>
  <c r="K407" i="3" s="1"/>
  <c r="J408" i="3"/>
  <c r="I408" i="3"/>
  <c r="K408" i="3" s="1"/>
  <c r="J409" i="3"/>
  <c r="I409" i="3"/>
  <c r="K409" i="3" s="1"/>
  <c r="J410" i="3"/>
  <c r="I410" i="3"/>
  <c r="K410" i="3" s="1"/>
  <c r="J411" i="3"/>
  <c r="I411" i="3"/>
  <c r="K411" i="3" s="1"/>
  <c r="J412" i="3"/>
  <c r="I412" i="3"/>
  <c r="K412" i="3" s="1"/>
  <c r="J413" i="3"/>
  <c r="I413" i="3"/>
  <c r="K413" i="3" s="1"/>
  <c r="J414" i="3"/>
  <c r="I414" i="3"/>
  <c r="K414" i="3" s="1"/>
  <c r="J415" i="3"/>
  <c r="I415" i="3"/>
  <c r="K415" i="3" s="1"/>
  <c r="J416" i="3"/>
  <c r="I416" i="3"/>
  <c r="K416" i="3" s="1"/>
  <c r="J417" i="3"/>
  <c r="I417" i="3"/>
  <c r="K417" i="3" s="1"/>
  <c r="J418" i="3"/>
  <c r="I418" i="3"/>
  <c r="K418" i="3" s="1"/>
  <c r="J419" i="3"/>
  <c r="I419" i="3"/>
  <c r="K419" i="3" s="1"/>
  <c r="J420" i="3"/>
  <c r="I420" i="3"/>
  <c r="K420" i="3" s="1"/>
  <c r="J421" i="3"/>
  <c r="I421" i="3"/>
  <c r="K421" i="3" s="1"/>
  <c r="J422" i="3"/>
  <c r="I422" i="3"/>
  <c r="K422" i="3" s="1"/>
  <c r="J423" i="3"/>
  <c r="I423" i="3"/>
  <c r="K423" i="3" s="1"/>
  <c r="J424" i="3"/>
  <c r="I424" i="3"/>
  <c r="K424" i="3" s="1"/>
  <c r="J425" i="3"/>
  <c r="I425" i="3"/>
  <c r="K425" i="3" s="1"/>
  <c r="J426" i="3"/>
  <c r="I426" i="3"/>
  <c r="K426" i="3" s="1"/>
  <c r="J427" i="3"/>
  <c r="I427" i="3"/>
  <c r="K427" i="3" s="1"/>
  <c r="J428" i="3"/>
  <c r="I428" i="3"/>
  <c r="K428" i="3" s="1"/>
  <c r="J429" i="3"/>
  <c r="I429" i="3"/>
  <c r="K429" i="3" s="1"/>
  <c r="J430" i="3"/>
  <c r="I430" i="3"/>
  <c r="K430" i="3" s="1"/>
  <c r="J431" i="3"/>
  <c r="I431" i="3"/>
  <c r="K431" i="3" s="1"/>
  <c r="J432" i="3"/>
  <c r="I432" i="3"/>
  <c r="K432" i="3" s="1"/>
  <c r="J433" i="3"/>
  <c r="I433" i="3"/>
  <c r="K433" i="3" s="1"/>
  <c r="J434" i="3"/>
  <c r="I434" i="3"/>
  <c r="K434" i="3" s="1"/>
  <c r="J435" i="3"/>
  <c r="I435" i="3"/>
  <c r="K435" i="3" s="1"/>
  <c r="J436" i="3"/>
  <c r="I436" i="3"/>
  <c r="K436" i="3" s="1"/>
  <c r="J437" i="3"/>
  <c r="I437" i="3"/>
  <c r="K437" i="3" s="1"/>
  <c r="J438" i="3"/>
  <c r="I438" i="3"/>
  <c r="K438" i="3" s="1"/>
  <c r="J439" i="3"/>
  <c r="I439" i="3"/>
  <c r="K439" i="3" s="1"/>
  <c r="J440" i="3"/>
  <c r="I440" i="3"/>
  <c r="K440" i="3" s="1"/>
  <c r="J441" i="3"/>
  <c r="I441" i="3"/>
  <c r="K441" i="3" s="1"/>
  <c r="J442" i="3"/>
  <c r="I442" i="3"/>
  <c r="K442" i="3" s="1"/>
  <c r="J443" i="3"/>
  <c r="I443" i="3"/>
  <c r="K443" i="3" s="1"/>
  <c r="J444" i="3"/>
  <c r="I444" i="3"/>
  <c r="K444" i="3" s="1"/>
  <c r="J445" i="3"/>
  <c r="I445" i="3"/>
  <c r="K445" i="3" s="1"/>
  <c r="J446" i="3"/>
  <c r="I446" i="3"/>
  <c r="K446" i="3" s="1"/>
  <c r="J447" i="3"/>
  <c r="I447" i="3"/>
  <c r="K447" i="3" s="1"/>
  <c r="J448" i="3"/>
  <c r="I448" i="3"/>
  <c r="K448" i="3" s="1"/>
  <c r="J449" i="3"/>
  <c r="I449" i="3"/>
  <c r="K449" i="3" s="1"/>
  <c r="J450" i="3"/>
  <c r="I450" i="3"/>
  <c r="K450" i="3" s="1"/>
  <c r="J451" i="3"/>
  <c r="I451" i="3"/>
  <c r="K451" i="3" s="1"/>
  <c r="J452" i="3"/>
  <c r="I452" i="3"/>
  <c r="K452" i="3" s="1"/>
  <c r="J453" i="3"/>
  <c r="I453" i="3"/>
  <c r="K453" i="3" s="1"/>
  <c r="I2" i="3"/>
  <c r="K2" i="3" s="1"/>
  <c r="J2" i="3"/>
  <c r="K68" i="2" l="1"/>
  <c r="K67" i="2"/>
  <c r="K66" i="2"/>
  <c r="K65" i="2"/>
  <c r="K64" i="2"/>
  <c r="K63" i="2"/>
  <c r="K62" i="2"/>
  <c r="K61" i="2"/>
  <c r="K60" i="2"/>
  <c r="K59" i="2"/>
  <c r="J42" i="2"/>
  <c r="J43" i="2"/>
  <c r="J44" i="2"/>
  <c r="J45" i="2"/>
  <c r="J46" i="2"/>
  <c r="J47" i="2"/>
  <c r="J48" i="2"/>
  <c r="J49" i="2"/>
  <c r="J50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E50" i="1"/>
  <c r="D50" i="1"/>
  <c r="C50" i="1"/>
  <c r="G50" i="1" s="1"/>
  <c r="I50" i="1" s="1"/>
  <c r="E49" i="1"/>
  <c r="D49" i="1"/>
  <c r="C49" i="1"/>
  <c r="G49" i="1" s="1"/>
  <c r="I49" i="1" s="1"/>
  <c r="E48" i="1"/>
  <c r="D48" i="1"/>
  <c r="C48" i="1"/>
  <c r="G48" i="1" s="1"/>
  <c r="I48" i="1" s="1"/>
  <c r="E47" i="1"/>
  <c r="D47" i="1"/>
  <c r="C47" i="1"/>
  <c r="G47" i="1" s="1"/>
  <c r="I47" i="1" s="1"/>
  <c r="E46" i="1"/>
  <c r="D46" i="1"/>
  <c r="C46" i="1"/>
  <c r="G46" i="1" s="1"/>
  <c r="I46" i="1" s="1"/>
  <c r="E45" i="1"/>
  <c r="D45" i="1"/>
  <c r="C45" i="1"/>
  <c r="G45" i="1" s="1"/>
  <c r="I45" i="1" s="1"/>
  <c r="E44" i="1"/>
  <c r="D44" i="1"/>
  <c r="C44" i="1"/>
  <c r="G44" i="1" s="1"/>
  <c r="I44" i="1" s="1"/>
  <c r="E43" i="1"/>
  <c r="D43" i="1"/>
  <c r="C43" i="1"/>
  <c r="G43" i="1" s="1"/>
  <c r="I43" i="1" s="1"/>
  <c r="E42" i="1"/>
  <c r="D42" i="1"/>
  <c r="C42" i="1"/>
  <c r="G42" i="1" s="1"/>
  <c r="I42" i="1" s="1"/>
  <c r="E41" i="1"/>
  <c r="D41" i="1"/>
  <c r="C41" i="1"/>
  <c r="G41" i="1" s="1"/>
  <c r="I41" i="1" s="1"/>
  <c r="E40" i="1"/>
  <c r="D40" i="1"/>
  <c r="C40" i="1"/>
  <c r="G40" i="1" s="1"/>
  <c r="I40" i="1" s="1"/>
  <c r="E39" i="1"/>
  <c r="D39" i="1"/>
  <c r="C39" i="1"/>
  <c r="G39" i="1" s="1"/>
  <c r="I39" i="1" s="1"/>
  <c r="E38" i="1"/>
  <c r="D38" i="1"/>
  <c r="C38" i="1"/>
  <c r="G38" i="1" s="1"/>
  <c r="I38" i="1" s="1"/>
  <c r="E37" i="1"/>
  <c r="D37" i="1"/>
  <c r="C37" i="1"/>
  <c r="G37" i="1" s="1"/>
  <c r="I37" i="1" s="1"/>
  <c r="E36" i="1"/>
  <c r="D36" i="1"/>
  <c r="C36" i="1"/>
  <c r="G36" i="1" s="1"/>
  <c r="I36" i="1" s="1"/>
  <c r="E35" i="1"/>
  <c r="D35" i="1"/>
  <c r="C35" i="1"/>
  <c r="G35" i="1" s="1"/>
  <c r="I35" i="1" s="1"/>
  <c r="E34" i="1"/>
  <c r="D34" i="1"/>
  <c r="C34" i="1"/>
  <c r="G34" i="1" s="1"/>
  <c r="I34" i="1" s="1"/>
  <c r="E33" i="1"/>
  <c r="D33" i="1"/>
  <c r="C33" i="1"/>
  <c r="G33" i="1" s="1"/>
  <c r="I33" i="1" s="1"/>
  <c r="E32" i="1"/>
  <c r="D32" i="1"/>
  <c r="C32" i="1"/>
  <c r="G32" i="1" s="1"/>
  <c r="I32" i="1" s="1"/>
  <c r="E31" i="1"/>
  <c r="D31" i="1"/>
  <c r="C31" i="1"/>
  <c r="G31" i="1" s="1"/>
  <c r="I31" i="1" s="1"/>
  <c r="E30" i="1"/>
  <c r="D30" i="1"/>
  <c r="C30" i="1"/>
  <c r="G30" i="1" s="1"/>
  <c r="I30" i="1" s="1"/>
  <c r="B5" i="8" s="1"/>
  <c r="E29" i="1"/>
  <c r="D29" i="1"/>
  <c r="C29" i="1"/>
  <c r="G29" i="1" s="1"/>
  <c r="I29" i="1" s="1"/>
  <c r="E28" i="1"/>
  <c r="D28" i="1"/>
  <c r="C28" i="1"/>
  <c r="G28" i="1" s="1"/>
  <c r="I28" i="1" s="1"/>
  <c r="E27" i="1"/>
  <c r="D27" i="1"/>
  <c r="C27" i="1"/>
  <c r="G27" i="1" s="1"/>
  <c r="I27" i="1" s="1"/>
  <c r="E26" i="1"/>
  <c r="D26" i="1"/>
  <c r="C26" i="1"/>
  <c r="G26" i="1" s="1"/>
  <c r="I26" i="1" s="1"/>
  <c r="E25" i="1"/>
  <c r="D25" i="1"/>
  <c r="C25" i="1"/>
  <c r="G25" i="1" s="1"/>
  <c r="I25" i="1" s="1"/>
  <c r="E24" i="1"/>
  <c r="D24" i="1"/>
  <c r="C24" i="1"/>
  <c r="G24" i="1" s="1"/>
  <c r="I24" i="1" s="1"/>
  <c r="E23" i="1"/>
  <c r="D23" i="1"/>
  <c r="C23" i="1"/>
  <c r="G23" i="1" s="1"/>
  <c r="I23" i="1" s="1"/>
  <c r="E22" i="1"/>
  <c r="D22" i="1"/>
  <c r="C22" i="1"/>
  <c r="G22" i="1" s="1"/>
  <c r="I22" i="1" s="1"/>
  <c r="E21" i="1"/>
  <c r="D21" i="1"/>
  <c r="C21" i="1"/>
  <c r="G21" i="1" s="1"/>
  <c r="I21" i="1" s="1"/>
  <c r="E20" i="1"/>
  <c r="D20" i="1"/>
  <c r="C20" i="1"/>
  <c r="G20" i="1" s="1"/>
  <c r="I20" i="1" s="1"/>
  <c r="E19" i="1"/>
  <c r="D19" i="1"/>
  <c r="C19" i="1"/>
  <c r="G19" i="1" s="1"/>
  <c r="I19" i="1" s="1"/>
  <c r="E18" i="1"/>
  <c r="D18" i="1"/>
  <c r="C18" i="1"/>
  <c r="G18" i="1" s="1"/>
  <c r="I18" i="1" s="1"/>
  <c r="E17" i="1"/>
  <c r="D17" i="1"/>
  <c r="C17" i="1"/>
  <c r="G17" i="1" s="1"/>
  <c r="I17" i="1" s="1"/>
  <c r="E16" i="1"/>
  <c r="D16" i="1"/>
  <c r="C16" i="1"/>
  <c r="G16" i="1" s="1"/>
  <c r="I16" i="1" s="1"/>
  <c r="E15" i="1"/>
  <c r="D15" i="1"/>
  <c r="C15" i="1"/>
  <c r="G15" i="1" s="1"/>
  <c r="I15" i="1" s="1"/>
  <c r="E14" i="1"/>
  <c r="D14" i="1"/>
  <c r="C14" i="1"/>
  <c r="G14" i="1" s="1"/>
  <c r="I14" i="1" s="1"/>
  <c r="E13" i="1"/>
  <c r="D13" i="1"/>
  <c r="C13" i="1"/>
  <c r="G13" i="1" s="1"/>
  <c r="I13" i="1" s="1"/>
  <c r="E12" i="1"/>
  <c r="D12" i="1"/>
  <c r="C12" i="1"/>
  <c r="G12" i="1" s="1"/>
  <c r="I12" i="1" s="1"/>
  <c r="E11" i="1"/>
  <c r="D11" i="1"/>
  <c r="C11" i="1"/>
  <c r="G11" i="1" s="1"/>
  <c r="I11" i="1" s="1"/>
  <c r="E10" i="1"/>
  <c r="D10" i="1"/>
  <c r="C10" i="1"/>
  <c r="G10" i="1" s="1"/>
  <c r="I10" i="1" s="1"/>
  <c r="E9" i="1"/>
  <c r="D9" i="1"/>
  <c r="C9" i="1"/>
  <c r="G9" i="1" s="1"/>
  <c r="I9" i="1" s="1"/>
  <c r="E8" i="1"/>
  <c r="D8" i="1"/>
  <c r="C8" i="1"/>
  <c r="G8" i="1" s="1"/>
  <c r="I8" i="1" s="1"/>
  <c r="E7" i="1"/>
  <c r="D7" i="1"/>
  <c r="C7" i="1"/>
  <c r="G7" i="1" s="1"/>
  <c r="I7" i="1" s="1"/>
  <c r="E6" i="1"/>
  <c r="D6" i="1"/>
  <c r="C6" i="1"/>
  <c r="G6" i="1" s="1"/>
  <c r="I6" i="1" s="1"/>
  <c r="E5" i="1"/>
  <c r="D5" i="1"/>
  <c r="C5" i="1"/>
  <c r="G5" i="1" s="1"/>
  <c r="I5" i="1" s="1"/>
  <c r="E4" i="1"/>
  <c r="D4" i="1"/>
  <c r="C4" i="1"/>
  <c r="G4" i="1" s="1"/>
  <c r="I4" i="1" s="1"/>
  <c r="E3" i="1"/>
  <c r="D3" i="1"/>
  <c r="C3" i="1"/>
  <c r="G3" i="1" s="1"/>
  <c r="I3" i="1" s="1"/>
  <c r="E2" i="1"/>
  <c r="D2" i="1"/>
  <c r="H2" i="1" s="1"/>
  <c r="J2" i="1" s="1"/>
  <c r="C2" i="1"/>
  <c r="G2" i="1" s="1"/>
  <c r="I2" i="1" s="1"/>
  <c r="H8" i="1" l="1"/>
  <c r="J8" i="1" s="1"/>
  <c r="H16" i="1"/>
  <c r="J16" i="1" s="1"/>
  <c r="H24" i="1"/>
  <c r="J24" i="1" s="1"/>
  <c r="H32" i="1"/>
  <c r="J32" i="1" s="1"/>
  <c r="H40" i="1"/>
  <c r="J40" i="1" s="1"/>
  <c r="H48" i="1"/>
  <c r="J48" i="1" s="1"/>
  <c r="H3" i="1"/>
  <c r="J3" i="1" s="1"/>
  <c r="H11" i="1"/>
  <c r="J11" i="1" s="1"/>
  <c r="H19" i="1"/>
  <c r="J19" i="1" s="1"/>
  <c r="H27" i="1"/>
  <c r="J27" i="1" s="1"/>
  <c r="H35" i="1"/>
  <c r="J35" i="1" s="1"/>
  <c r="H43" i="1"/>
  <c r="J43" i="1" s="1"/>
  <c r="H6" i="1"/>
  <c r="J6" i="1" s="1"/>
  <c r="H22" i="1"/>
  <c r="J22" i="1" s="1"/>
  <c r="H30" i="1"/>
  <c r="J30" i="1" s="1"/>
  <c r="C5" i="8" s="1"/>
  <c r="H38" i="1"/>
  <c r="J38" i="1" s="1"/>
  <c r="H46" i="1"/>
  <c r="J46" i="1" s="1"/>
  <c r="H25" i="1"/>
  <c r="J25" i="1" s="1"/>
  <c r="H33" i="1"/>
  <c r="J33" i="1" s="1"/>
  <c r="H41" i="1"/>
  <c r="J41" i="1" s="1"/>
  <c r="H49" i="1"/>
  <c r="J49" i="1" s="1"/>
  <c r="H14" i="1"/>
  <c r="J14" i="1" s="1"/>
  <c r="H17" i="1"/>
  <c r="J17" i="1" s="1"/>
  <c r="H28" i="1"/>
  <c r="J28" i="1" s="1"/>
  <c r="H36" i="1"/>
  <c r="J36" i="1" s="1"/>
  <c r="H44" i="1"/>
  <c r="J44" i="1" s="1"/>
  <c r="H39" i="1"/>
  <c r="J39" i="1" s="1"/>
  <c r="H47" i="1"/>
  <c r="J47" i="1" s="1"/>
  <c r="H12" i="1"/>
  <c r="J12" i="1" s="1"/>
  <c r="H20" i="1"/>
  <c r="J20" i="1" s="1"/>
  <c r="H23" i="1"/>
  <c r="J23" i="1" s="1"/>
  <c r="H31" i="1"/>
  <c r="J31" i="1" s="1"/>
  <c r="H10" i="1"/>
  <c r="J10" i="1" s="1"/>
  <c r="H18" i="1"/>
  <c r="J18" i="1" s="1"/>
  <c r="H26" i="1"/>
  <c r="J26" i="1" s="1"/>
  <c r="H34" i="1"/>
  <c r="J34" i="1" s="1"/>
  <c r="H42" i="1"/>
  <c r="J42" i="1" s="1"/>
  <c r="H50" i="1"/>
  <c r="J50" i="1" s="1"/>
  <c r="H9" i="1"/>
  <c r="J9" i="1" s="1"/>
  <c r="H4" i="1"/>
  <c r="J4" i="1" s="1"/>
  <c r="H7" i="1"/>
  <c r="J7" i="1" s="1"/>
  <c r="H15" i="1"/>
  <c r="J15" i="1" s="1"/>
  <c r="C6" i="8" s="1"/>
  <c r="H5" i="1"/>
  <c r="J5" i="1" s="1"/>
  <c r="H13" i="1"/>
  <c r="J13" i="1" s="1"/>
  <c r="H21" i="1"/>
  <c r="J21" i="1" s="1"/>
  <c r="H29" i="1"/>
  <c r="J29" i="1" s="1"/>
  <c r="H37" i="1"/>
  <c r="J37" i="1" s="1"/>
  <c r="H45" i="1"/>
  <c r="J45" i="1" s="1"/>
  <c r="B4" i="8"/>
  <c r="B6" i="8"/>
  <c r="B8" i="9"/>
  <c r="B4" i="9"/>
  <c r="E4" i="9" s="1"/>
  <c r="C4" i="9"/>
  <c r="F4" i="9" s="1"/>
  <c r="B7" i="8"/>
  <c r="B8" i="8"/>
  <c r="B14" i="7"/>
  <c r="B14" i="6"/>
  <c r="C8" i="9"/>
  <c r="D4" i="9" l="1"/>
  <c r="G4" i="9" s="1"/>
  <c r="C4" i="8"/>
  <c r="C8" i="8"/>
  <c r="C7" i="8"/>
  <c r="C14" i="7"/>
  <c r="C14" i="6"/>
  <c r="D8" i="9"/>
</calcChain>
</file>

<file path=xl/sharedStrings.xml><?xml version="1.0" encoding="utf-8"?>
<sst xmlns="http://schemas.openxmlformats.org/spreadsheetml/2006/main" count="1503" uniqueCount="247">
  <si>
    <t>bscr_entity</t>
  </si>
  <si>
    <t>region</t>
  </si>
  <si>
    <t>sum_pml</t>
  </si>
  <si>
    <t>sum_net</t>
  </si>
  <si>
    <t>count_policies</t>
  </si>
  <si>
    <t>is_geocoded</t>
  </si>
  <si>
    <t>ALL</t>
  </si>
  <si>
    <t>HIC</t>
  </si>
  <si>
    <t>HIG</t>
  </si>
  <si>
    <t>HSA</t>
  </si>
  <si>
    <t>is_eu</t>
  </si>
  <si>
    <t>is_jp</t>
  </si>
  <si>
    <t>is_na_eq</t>
  </si>
  <si>
    <t>is_nahu</t>
  </si>
  <si>
    <t>is_us_all</t>
  </si>
  <si>
    <t>Grand Total</t>
  </si>
  <si>
    <t>Values</t>
  </si>
  <si>
    <t>Sum of count_policies</t>
  </si>
  <si>
    <t>Policy Limits</t>
  </si>
  <si>
    <t>Policy Limits without geocode breakout</t>
  </si>
  <si>
    <t>F.</t>
  </si>
  <si>
    <t>I &amp; J</t>
  </si>
  <si>
    <t>F &amp; G</t>
  </si>
  <si>
    <t>Detailed exposure data</t>
  </si>
  <si>
    <t>Data deficient</t>
  </si>
  <si>
    <t>A. &amp; B. x2</t>
  </si>
  <si>
    <t>sum_pml_usd</t>
  </si>
  <si>
    <t>sum_net_usd</t>
  </si>
  <si>
    <t>sum_pml_usd/1m</t>
  </si>
  <si>
    <t>sum_net_usd/1m</t>
  </si>
  <si>
    <t>Sum of sum_pml_usd/1m</t>
  </si>
  <si>
    <t>Sum of sum_net_usd/1m</t>
  </si>
  <si>
    <t>cntrycode</t>
  </si>
  <si>
    <t>AE</t>
  </si>
  <si>
    <t>AR</t>
  </si>
  <si>
    <t>AT</t>
  </si>
  <si>
    <t>AU</t>
  </si>
  <si>
    <t>BE</t>
  </si>
  <si>
    <t>BM</t>
  </si>
  <si>
    <t>BR</t>
  </si>
  <si>
    <t>BS</t>
  </si>
  <si>
    <t>BW</t>
  </si>
  <si>
    <t>CA</t>
  </si>
  <si>
    <t>CH</t>
  </si>
  <si>
    <t>CI</t>
  </si>
  <si>
    <t>CL</t>
  </si>
  <si>
    <t>CN</t>
  </si>
  <si>
    <t>CO</t>
  </si>
  <si>
    <t>CY</t>
  </si>
  <si>
    <t>CZ</t>
  </si>
  <si>
    <t>DE</t>
  </si>
  <si>
    <t>DO</t>
  </si>
  <si>
    <t>EE</t>
  </si>
  <si>
    <t>ES</t>
  </si>
  <si>
    <t>FR</t>
  </si>
  <si>
    <t>GB</t>
  </si>
  <si>
    <t>GI</t>
  </si>
  <si>
    <t>GR</t>
  </si>
  <si>
    <t>GT</t>
  </si>
  <si>
    <t>HK</t>
  </si>
  <si>
    <t>ID</t>
  </si>
  <si>
    <t>IE</t>
  </si>
  <si>
    <t>IL</t>
  </si>
  <si>
    <t>IN</t>
  </si>
  <si>
    <t>IT</t>
  </si>
  <si>
    <t>JP</t>
  </si>
  <si>
    <t>KE</t>
  </si>
  <si>
    <t>KR</t>
  </si>
  <si>
    <t>KW</t>
  </si>
  <si>
    <t>KY</t>
  </si>
  <si>
    <t>LB</t>
  </si>
  <si>
    <t>LT</t>
  </si>
  <si>
    <t>LU</t>
  </si>
  <si>
    <t>MA</t>
  </si>
  <si>
    <t>MC</t>
  </si>
  <si>
    <t>MT</t>
  </si>
  <si>
    <t>MX</t>
  </si>
  <si>
    <t>MY</t>
  </si>
  <si>
    <t>NG</t>
  </si>
  <si>
    <t>NL</t>
  </si>
  <si>
    <t>NZ</t>
  </si>
  <si>
    <t>OM</t>
  </si>
  <si>
    <t>PA</t>
  </si>
  <si>
    <t>PH</t>
  </si>
  <si>
    <t>PL</t>
  </si>
  <si>
    <t>PT</t>
  </si>
  <si>
    <t>PY</t>
  </si>
  <si>
    <t>QA</t>
  </si>
  <si>
    <t>RO</t>
  </si>
  <si>
    <t>SA</t>
  </si>
  <si>
    <t>SC</t>
  </si>
  <si>
    <t>SE</t>
  </si>
  <si>
    <t>SG</t>
  </si>
  <si>
    <t>SK</t>
  </si>
  <si>
    <t>SN</t>
  </si>
  <si>
    <t>TH</t>
  </si>
  <si>
    <t>TR</t>
  </si>
  <si>
    <t>TW</t>
  </si>
  <si>
    <t>US</t>
  </si>
  <si>
    <t>UY</t>
  </si>
  <si>
    <t>VN</t>
  </si>
  <si>
    <t>ZA</t>
  </si>
  <si>
    <t>CR</t>
  </si>
  <si>
    <t>DK</t>
  </si>
  <si>
    <t>EC</t>
  </si>
  <si>
    <t>FI</t>
  </si>
  <si>
    <t>GG</t>
  </si>
  <si>
    <t>GH</t>
  </si>
  <si>
    <t>HN</t>
  </si>
  <si>
    <t>HU</t>
  </si>
  <si>
    <t>IM</t>
  </si>
  <si>
    <t>IS</t>
  </si>
  <si>
    <t>JO</t>
  </si>
  <si>
    <t>LI</t>
  </si>
  <si>
    <t>NO</t>
  </si>
  <si>
    <t>PE</t>
  </si>
  <si>
    <t>PR</t>
  </si>
  <si>
    <t>SV</t>
  </si>
  <si>
    <t>VC</t>
  </si>
  <si>
    <t>JE</t>
  </si>
  <si>
    <t>PK</t>
  </si>
  <si>
    <t>MK</t>
  </si>
  <si>
    <t>BH</t>
  </si>
  <si>
    <t>BL</t>
  </si>
  <si>
    <t>BN</t>
  </si>
  <si>
    <t>LK</t>
  </si>
  <si>
    <t>MU</t>
  </si>
  <si>
    <t>RS</t>
  </si>
  <si>
    <t>VE</t>
  </si>
  <si>
    <t>VG</t>
  </si>
  <si>
    <t>HR</t>
  </si>
  <si>
    <t>SL</t>
  </si>
  <si>
    <t>AD</t>
  </si>
  <si>
    <t>BG</t>
  </si>
  <si>
    <t>LV</t>
  </si>
  <si>
    <t>RU</t>
  </si>
  <si>
    <t>SI</t>
  </si>
  <si>
    <t>TN</t>
  </si>
  <si>
    <t>Row Labels</t>
  </si>
  <si>
    <t>BSCR Workings Instructions</t>
  </si>
  <si>
    <t>Workbook</t>
  </si>
  <si>
    <t>BSCR_Workings.xlsx</t>
  </si>
  <si>
    <t>Tab / step</t>
  </si>
  <si>
    <t>Purpose and action</t>
  </si>
  <si>
    <t>BSCR Source Data</t>
  </si>
  <si>
    <t>Paste the BSCR script CSV into A:G only. Expected columns: cntrycode, bscr_entity, region, sum_pml, sum_net, count_policies, is_geocoded. Do not overwrite formula columns H:K.</t>
  </si>
  <si>
    <t>BSCR Output</t>
  </si>
  <si>
    <t>Formula-driven roll-up by entity, region/peril and geocoding status. Provides gross/net source values plus USD and USD-million values.</t>
  </si>
  <si>
    <t>BSCR Pivot Summary</t>
  </si>
  <si>
    <t>Review roll-up of BSCR Output. After loading data, use Data &gt; Refresh All. Treat this as a review view, not the raw source or final return.</t>
  </si>
  <si>
    <t>Refresh after paste</t>
  </si>
  <si>
    <t>Use Formulas &gt; Calculate Now or Ctrl+Alt+F9, then Data &gt; Refresh All.</t>
  </si>
  <si>
    <t>Final template</t>
  </si>
  <si>
    <t>Open 2026 BSCR - UKEU - HIC.xlsx. Transfer approved values with Paste Special &gt; Values only; preserve template formatting, formulas and validation.</t>
  </si>
  <si>
    <t>Schedule X(a)</t>
  </si>
  <si>
    <t>Schedule X(b)</t>
  </si>
  <si>
    <t>Schedule X(c)</t>
  </si>
  <si>
    <t>Use the compact Schedule X(c) tab as a regional exposure reference: B4:C4 Atlantic Basin Hurricane; B5:C5 North American Earthquake; B6:C6 European Windstorm; B7:C7 Japanese Earthquake; B8:C8 Japanese Typhoon proxy.</t>
  </si>
  <si>
    <t>Schedule X(c) limitation</t>
  </si>
  <si>
    <t>The final template separates statutory property premium, all-other premium, statutory property limits and all-other limits. The current output is a combined regional total, so do not paste it into one split row without an approved mapping.</t>
  </si>
  <si>
    <t>Schedule X(f)</t>
  </si>
  <si>
    <t>Modelability and contract-count classifications are not available from the current BSCR output. Keep those final-template fields pending approved source data.</t>
  </si>
  <si>
    <t>Control</t>
  </si>
  <si>
    <t>Record the source CSV, run date, row count, gross/net totals, FX basis, operator and reviewer before transferring values.</t>
  </si>
  <si>
    <t>AUDIT SUMMARY</t>
  </si>
  <si>
    <t>Purpose</t>
  </si>
  <si>
    <t>Convert the BSCR script CSV into reviewed USD-million entity and catastrophe-region outputs.</t>
  </si>
  <si>
    <t>Status</t>
  </si>
  <si>
    <t>January 2026 workings. Existing formulas and cached pivot values are preserved.</t>
  </si>
  <si>
    <t>Sources</t>
  </si>
  <si>
    <t>bscr/BSCR_UKEU.py CSV columns A:G: cntrycode, bscr_entity, region, sum_pml, sum_net, count_policies, is_geocoded.</t>
  </si>
  <si>
    <t>Process</t>
  </si>
  <si>
    <t>Paste the CSV into BSCR Source Data A:G without replacing formula columns. Formulas apply 1.35 GBP/USD and divide by 1,000,000; BSCR Output consolidates and BSCR Pivot Summary presents results.</t>
  </si>
  <si>
    <t>Outputs</t>
  </si>
  <si>
    <t>Reviewed BSCR Pivot Summary values are manually entered into the HIC Schedule X workbook. There is no formula link to the final return.</t>
  </si>
  <si>
    <t>Required control</t>
  </si>
  <si>
    <t>Refresh BSCR Output and BSCR Pivot Summary after loading. The checked-in piv is older than BSCR Source Data, so reconcile query, CSV, BSCR Source Data, BSCR Output, BSCR Pivot Summary and final cells before use.</t>
  </si>
  <si>
    <t>January baseline SHA-256</t>
  </si>
  <si>
    <t>35f9ac5fa369ded9cba321dfb009996a4348da947bf1fa2df876434ca257512a</t>
  </si>
  <si>
    <t>Run record</t>
  </si>
  <si>
    <t>Record server, database, codes, row count, totals, FX, operator, reviewer and date.</t>
  </si>
  <si>
    <t>Documentation</t>
  </si>
  <si>
    <t>Start at docs/index.md. This sheet is a guide, not regulatory approval.</t>
  </si>
  <si>
    <t>BSCR workbook settings</t>
  </si>
  <si>
    <t>FX rate: source currency to USD</t>
  </si>
  <si>
    <t>Source currency</t>
  </si>
  <si>
    <t>GBP</t>
  </si>
  <si>
    <t>Output currency</t>
  </si>
  <si>
    <t>USD</t>
  </si>
  <si>
    <t>Output unit</t>
  </si>
  <si>
    <t>USD millions</t>
  </si>
  <si>
    <t>Formula note</t>
  </si>
  <si>
    <t>Change Settings!B3 to update source/output conversions and schedule-input tabs.</t>
  </si>
  <si>
    <t>CATASTROPHE RISK RETURN: EP CURVE TOTAL (TABLE 15)</t>
  </si>
  <si>
    <t>Only source-supported reference exposure is shown; EP-curve values remain blank.</t>
  </si>
  <si>
    <t>Loss Return period (years)</t>
  </si>
  <si>
    <t>Gross loss</t>
  </si>
  <si>
    <t>Net loss</t>
  </si>
  <si>
    <t>50-year TVaR</t>
  </si>
  <si>
    <t>Requires catastrophe model or premium source</t>
  </si>
  <si>
    <t>100-year TVaR</t>
  </si>
  <si>
    <t>250-year TVaR</t>
  </si>
  <si>
    <t>500-year TVaR</t>
  </si>
  <si>
    <t>1000-year TVaR</t>
  </si>
  <si>
    <t>Annual average aggregate loss</t>
  </si>
  <si>
    <t>Standard deviation of annual aggregate loss</t>
  </si>
  <si>
    <t>Total statutory property catastrophe premium modelled</t>
  </si>
  <si>
    <t>Total all other catastrophe premium modelled</t>
  </si>
  <si>
    <t>Reference: HIC all-region exposure limit</t>
  </si>
  <si>
    <t>Exposure reference only; not an EP-curve input</t>
  </si>
  <si>
    <t>CATASTROPHE RISK RETURN: EP CURVE INSURANCE (TABLE 15A)</t>
  </si>
  <si>
    <t>Insurance EP-curve and premium values are not produced by the BSCR exposure output.</t>
  </si>
  <si>
    <t>CATASTROPHE RISK RETURN: EXCEEDANCE PROBABILITY  (EP) CURVE  FOR REGIONS-PERILS (TABLE 15B)</t>
  </si>
  <si>
    <t>Exposure limits sourced from HIC output; amounts are USD millions</t>
  </si>
  <si>
    <t>Exposure</t>
  </si>
  <si>
    <t>Gross</t>
  </si>
  <si>
    <t>Net</t>
  </si>
  <si>
    <t>Source / status</t>
  </si>
  <si>
    <t>Exposure to Atlantic Basin Hurricane</t>
  </si>
  <si>
    <t>HIC output region total</t>
  </si>
  <si>
    <t>Exposure to North American Earthquake</t>
  </si>
  <si>
    <t>Exposure to European Windstorm</t>
  </si>
  <si>
    <t>Exposure to Japanese Earthquake</t>
  </si>
  <si>
    <t>Exposure to Japanese Typhoon</t>
  </si>
  <si>
    <t>Uses Japanese earthquake region; separate typhoon split unavailable</t>
  </si>
  <si>
    <t>Total statutory property catastrophe premium</t>
  </si>
  <si>
    <t>Not supplied by the BSCR exposure output</t>
  </si>
  <si>
    <t>Exceedance probability information:</t>
  </si>
  <si>
    <t>Requires catastrophe model output</t>
  </si>
  <si>
    <t>CATASTROPHE RISK RETURN: DATA  ANALYSIS (TABLE 15E)</t>
  </si>
  <si>
    <t>Exposure summary; modelability classifications are not available in the BSCR output</t>
  </si>
  <si>
    <t>Contract classification</t>
  </si>
  <si>
    <t>US count</t>
  </si>
  <si>
    <t>US gross (US$M)</t>
  </si>
  <si>
    <t>US net (US$M)</t>
  </si>
  <si>
    <t>All-other count</t>
  </si>
  <si>
    <t>All-other gross (US$M)</t>
  </si>
  <si>
    <t>All-other net (US$M)</t>
  </si>
  <si>
    <t>All contracts - all exposures</t>
  </si>
  <si>
    <t>Not a modelled/not-modelled classification</t>
  </si>
  <si>
    <t>modellable</t>
  </si>
  <si>
    <t>Requires approved modelability classification</t>
  </si>
  <si>
    <t>Not modellable</t>
  </si>
  <si>
    <t>Total</t>
  </si>
  <si>
    <t>Control total</t>
  </si>
  <si>
    <t>Dialsup view from rollup provides PML/EP Points</t>
  </si>
  <si>
    <t>Non-US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</si>
</sst>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(* #,##0_);_(* \(#,##0\);_(* &quot;-&quot;??_);_(@_)"/>
    <numFmt numFmtId="166" formatCode="_-* #,##0_-;\-* #,##0_-;_-* &quot;-&quot;??_-;_-@_-"/>
  </numFmts>
  <fonts count="18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1">
    <xf numFmtId="0" fontId="0" fillId="0" borderId="0" xfId="0"/>
    <xf numFmtId="165" fontId="0" fillId="0" borderId="0" xfId="1" applyNumberFormat="1" applyFont="1"/>
    <xf numFmtId="0" fontId="0" fillId="0" borderId="0" xfId="0" applyAlignment="1">
      <alignment horizontal="left"/>
    </xf>
    <xf numFmtId="165" fontId="0" fillId="0" borderId="0" xfId="0" applyNumberFormat="1"/>
    <xf numFmtId="165" fontId="0" fillId="0" borderId="0" xfId="0" pivotButton="1" applyNumberFormat="1"/>
    <xf numFmtId="0" fontId="16" fillId="0" borderId="0" xfId="0" applyFont="1"/>
    <xf numFmtId="165" fontId="16" fillId="0" borderId="0" xfId="0" applyNumberFormat="1" applyFont="1"/>
    <xf numFmtId="164" fontId="0" fillId="0" borderId="0" xfId="0" applyNumberFormat="1"/>
    <xf numFmtId="0" fontId="0" fillId="0" borderId="0" xfId="0" pivotButton="1"/>
    <xf numFmtId="164" fontId="0" fillId="0" borderId="0" xfId="1" applyFont="1"/>
    <xf numFmtId="0" fontId="0" fillId="0" borderId="0" xfId="0" applyAlignment="1">
      <alignment horizontal="left" indent="1"/>
    </xf>
    <xf numFmtId="165" fontId="9" fillId="5" borderId="4" xfId="10" applyNumberFormat="1"/>
    <xf numFmtId="0" fontId="9" fillId="5" borderId="4" xfId="10"/>
    <xf numFmtId="164" fontId="9" fillId="5" borderId="4" xfId="10" applyNumberFormat="1"/>
    <xf numFmtId="0" fontId="9" fillId="5" borderId="4" xfId="10" applyAlignment="1">
      <alignment horizontal="left"/>
    </xf>
    <xf numFmtId="165" fontId="8" fillId="4" borderId="8" xfId="9" applyNumberFormat="1" applyBorder="1"/>
    <xf numFmtId="164" fontId="8" fillId="4" borderId="8" xfId="9" applyNumberFormat="1" applyBorder="1"/>
    <xf numFmtId="0" fontId="8" fillId="4" borderId="8" xfId="9" applyBorder="1"/>
    <xf numFmtId="0" fontId="0" fillId="0" borderId="0" xfId="0" applyNumberFormat="1"/>
    <xf numFmtId="165" fontId="9" fillId="5" borderId="4" xfId="10" applyNumberFormat="1" applyAlignment="1">
      <alignment horizontal="left"/>
    </xf>
    <xf numFmtId="166" fontId="0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96"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4" formatCode="_(* #,##0.00_);_(* \(#,##0.0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4" formatCode="_(* #,##0.00_);_(* \(#,##0.0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4" formatCode="_(* #,##0.00_);_(* \(#,##0.0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4" formatCode="_(* #,##0.00_);_(* \(#,##0.0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ichard Hampton" refreshedDate="46286.717197800928" createdVersion="8" refreshedVersion="8" minRefreshableVersion="3" recordCount="453" xr:uid="{8B38D0A1-59CD-453E-BBD5-7D49D4105093}">
  <cacheSource type="worksheet">
    <worksheetSource ref="A1:K1048576" sheet="BSCR Source Data"/>
  </cacheSource>
  <cacheFields count="11">
    <cacheField name="cntrycode" numFmtId="0">
      <sharedItems containsBlank="1"/>
    </cacheField>
    <cacheField name="bscr_entity" numFmtId="0">
      <sharedItems containsBlank="1" containsMixedTypes="1" containsNumber="1" containsInteger="1" minValue="33" maxValue="3624" count="6">
        <n v="33"/>
        <n v="3624"/>
        <s v="HIC"/>
        <s v="HIG"/>
        <s v="HSA"/>
        <m/>
      </sharedItems>
    </cacheField>
    <cacheField name="region" numFmtId="0">
      <sharedItems containsBlank="1" count="7">
        <s v="ALL"/>
        <s v="is_eu"/>
        <s v="is_jp"/>
        <s v="is_na_eq"/>
        <s v="is_nahu"/>
        <s v="is_us_all"/>
        <m/>
      </sharedItems>
    </cacheField>
    <cacheField name="sum_pml" numFmtId="0">
      <sharedItems containsString="0" containsBlank="1" containsNumber="1" minValue="0" maxValue="121287644939.62"/>
    </cacheField>
    <cacheField name="sum_net" numFmtId="0">
      <sharedItems containsString="0" containsBlank="1" containsNumber="1" minValue="0" maxValue="121287644939.62"/>
    </cacheField>
    <cacheField name="count_policies" numFmtId="0">
      <sharedItems containsString="0" containsBlank="1" containsNumber="1" containsInteger="1" minValue="1" maxValue="173171"/>
    </cacheField>
    <cacheField name="is_geocoded" numFmtId="0">
      <sharedItems containsString="0" containsBlank="1" containsNumber="1" containsInteger="1" minValue="0" maxValue="1" count="3">
        <n v="0"/>
        <n v="1"/>
        <m/>
      </sharedItems>
    </cacheField>
    <cacheField name="sum_pml_usd" numFmtId="0">
      <sharedItems containsString="0" containsBlank="1" containsNumber="1" minValue="0" maxValue="163738320668.487"/>
    </cacheField>
    <cacheField name="sum_net_usd" numFmtId="0">
      <sharedItems containsString="0" containsBlank="1" containsNumber="1" minValue="0" maxValue="163738320668.487"/>
    </cacheField>
    <cacheField name="sum_pml_usd/1m" numFmtId="0">
      <sharedItems containsString="0" containsBlank="1" containsNumber="1" minValue="0" maxValue="163738.32066848699"/>
    </cacheField>
    <cacheField name="sum_net_usd/1m" numFmtId="0">
      <sharedItems containsString="0" containsBlank="1" containsNumber="1" minValue="0" maxValue="163738.320668486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ichard Hampton" refreshedDate="46286.724740393518" createdVersion="8" refreshedVersion="8" minRefreshableVersion="3" recordCount="49" xr:uid="{B1A2DC09-0005-4103-9A04-052000D9B748}">
  <cacheSource type="worksheet">
    <worksheetSource ref="A1:J50" sheet="BSCR Output"/>
  </cacheSource>
  <cacheFields count="10">
    <cacheField name="bscr_entity" numFmtId="0">
      <sharedItems containsMixedTypes="1" containsNumber="1" containsInteger="1" minValue="33" maxValue="3624" count="5">
        <n v="33"/>
        <n v="3624"/>
        <s v="HIC"/>
        <s v="HIG"/>
        <s v="HSA"/>
      </sharedItems>
    </cacheField>
    <cacheField name="region" numFmtId="0">
      <sharedItems count="6">
        <s v="ALL"/>
        <s v="is_eu"/>
        <s v="is_jp"/>
        <s v="is_na_eq"/>
        <s v="is_nahu"/>
        <s v="is_us_all"/>
      </sharedItems>
    </cacheField>
    <cacheField name="sum_pml" numFmtId="0">
      <sharedItems containsSemiMixedTypes="0" containsString="0" containsNumber="1" minValue="101000" maxValue="121727653503.48"/>
    </cacheField>
    <cacheField name="sum_net" numFmtId="0">
      <sharedItems containsSemiMixedTypes="0" containsString="0" containsNumber="1" minValue="101000" maxValue="121727653503.48"/>
    </cacheField>
    <cacheField name="count_policies" numFmtId="0">
      <sharedItems containsSemiMixedTypes="0" containsString="0" containsNumber="1" containsInteger="1" minValue="1" maxValue="173658"/>
    </cacheField>
    <cacheField name="is_geocoded" numFmtId="0">
      <sharedItems containsSemiMixedTypes="0" containsString="0" containsNumber="1" containsInteger="1" minValue="0" maxValue="1" count="2">
        <n v="0"/>
        <n v="1"/>
      </sharedItems>
    </cacheField>
    <cacheField name="sum_pml_usd" numFmtId="164">
      <sharedItems containsSemiMixedTypes="0" containsString="0" containsNumber="1" minValue="136350" maxValue="164332332229.698"/>
    </cacheField>
    <cacheField name="sum_net_usd" numFmtId="165">
      <sharedItems containsSemiMixedTypes="0" containsString="0" containsNumber="1" minValue="136350" maxValue="164332332229.698"/>
    </cacheField>
    <cacheField name="sum_pml_usd/1m" numFmtId="164">
      <sharedItems containsSemiMixedTypes="0" containsString="0" containsNumber="1" minValue="0.13635" maxValue="164332.33222969799"/>
    </cacheField>
    <cacheField name="sum_net_usd/1m" numFmtId="164">
      <sharedItems containsSemiMixedTypes="0" containsString="0" containsNumber="1" minValue="0.13635" maxValue="164332.332229697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3">
  <r>
    <s v="AE"/>
    <x v="0"/>
    <x v="0"/>
    <n v="13444442.0719324"/>
    <n v="10874902.2548474"/>
    <n v="5"/>
    <x v="0"/>
    <n v="18149996.79710874"/>
    <n v="14681118.044043992"/>
    <n v="18.149996797108738"/>
    <n v="14.681118044043991"/>
  </r>
  <r>
    <s v="AR"/>
    <x v="0"/>
    <x v="0"/>
    <n v="1280103.49132808"/>
    <n v="1280103.49132808"/>
    <n v="2"/>
    <x v="0"/>
    <n v="1728139.7132929082"/>
    <n v="1728139.7132929082"/>
    <n v="1.7281397132929082"/>
    <n v="1.7281397132929082"/>
  </r>
  <r>
    <s v="AT"/>
    <x v="0"/>
    <x v="0"/>
    <n v="721312.714344359"/>
    <n v="440490.42100297898"/>
    <n v="4"/>
    <x v="0"/>
    <n v="973772.16436488472"/>
    <n v="594662.06835402164"/>
    <n v="0.97377216436488467"/>
    <n v="0.59466206835402169"/>
  </r>
  <r>
    <s v="AU"/>
    <x v="0"/>
    <x v="0"/>
    <n v="25890584.562796898"/>
    <n v="20120637.850301199"/>
    <n v="9"/>
    <x v="0"/>
    <n v="34952289.159775816"/>
    <n v="27162861.097906619"/>
    <n v="34.952289159775816"/>
    <n v="27.162861097906621"/>
  </r>
  <r>
    <s v="BE"/>
    <x v="0"/>
    <x v="0"/>
    <n v="15747994.657685401"/>
    <n v="8286041.5675902404"/>
    <n v="5"/>
    <x v="0"/>
    <n v="21259792.787875291"/>
    <n v="11186156.116246825"/>
    <n v="21.259792787875291"/>
    <n v="11.186156116246826"/>
  </r>
  <r>
    <s v="BM"/>
    <x v="0"/>
    <x v="0"/>
    <n v="4196482.9344605003"/>
    <n v="4196482.9344605003"/>
    <n v="3"/>
    <x v="0"/>
    <n v="5665251.9615216758"/>
    <n v="5665251.9615216758"/>
    <n v="5.6652519615216761"/>
    <n v="5.6652519615216761"/>
  </r>
  <r>
    <s v="BR"/>
    <x v="0"/>
    <x v="0"/>
    <n v="96654148.179259598"/>
    <n v="62620844.429203197"/>
    <n v="4"/>
    <x v="0"/>
    <n v="130483100.04200047"/>
    <n v="84538139.979424328"/>
    <n v="130.48310004200047"/>
    <n v="84.538139979424329"/>
  </r>
  <r>
    <s v="BS"/>
    <x v="0"/>
    <x v="0"/>
    <n v="3238733.2841949998"/>
    <n v="1653587.9751500399"/>
    <n v="4"/>
    <x v="0"/>
    <n v="4372289.9336632499"/>
    <n v="2232343.7664525541"/>
    <n v="4.3722899336632501"/>
    <n v="2.2323437664525541"/>
  </r>
  <r>
    <s v="BW"/>
    <x v="0"/>
    <x v="0"/>
    <n v="819000"/>
    <n v="819000"/>
    <n v="1"/>
    <x v="0"/>
    <n v="1105650"/>
    <n v="1105650"/>
    <n v="1.10565"/>
    <n v="1.10565"/>
  </r>
  <r>
    <s v="CA"/>
    <x v="0"/>
    <x v="0"/>
    <n v="18301343.574820001"/>
    <n v="16479715.6923308"/>
    <n v="4"/>
    <x v="0"/>
    <n v="24706813.826007001"/>
    <n v="22247616.18464658"/>
    <n v="24.706813826007"/>
    <n v="22.247616184646581"/>
  </r>
  <r>
    <s v="CH"/>
    <x v="0"/>
    <x v="0"/>
    <n v="567471554.12594998"/>
    <n v="316798265.652394"/>
    <n v="37"/>
    <x v="0"/>
    <n v="766086598.07003248"/>
    <n v="427677658.63073194"/>
    <n v="766.08659807003244"/>
    <n v="427.67765863073191"/>
  </r>
  <r>
    <s v="CI"/>
    <x v="0"/>
    <x v="0"/>
    <n v="2841840"/>
    <n v="1420920"/>
    <n v="1"/>
    <x v="0"/>
    <n v="3836484.0000000005"/>
    <n v="1918242.0000000002"/>
    <n v="3.8364840000000004"/>
    <n v="1.9182420000000002"/>
  </r>
  <r>
    <s v="CL"/>
    <x v="0"/>
    <x v="0"/>
    <n v="13778406.4595901"/>
    <n v="13778406.4595901"/>
    <n v="11"/>
    <x v="0"/>
    <n v="18600848.720446635"/>
    <n v="18600848.720446635"/>
    <n v="18.600848720446635"/>
    <n v="18.600848720446635"/>
  </r>
  <r>
    <s v="CN"/>
    <x v="0"/>
    <x v="0"/>
    <n v="65415404.641072698"/>
    <n v="46728236.224840596"/>
    <n v="16"/>
    <x v="0"/>
    <n v="88310796.265448153"/>
    <n v="63083118.903534807"/>
    <n v="88.310796265448147"/>
    <n v="63.08311890353481"/>
  </r>
  <r>
    <s v="CO"/>
    <x v="0"/>
    <x v="0"/>
    <n v="11968513.2604634"/>
    <n v="10758732.7282653"/>
    <n v="8"/>
    <x v="0"/>
    <n v="16157492.90162559"/>
    <n v="14524289.183158157"/>
    <n v="16.157492901625591"/>
    <n v="14.524289183158157"/>
  </r>
  <r>
    <s v="CY"/>
    <x v="0"/>
    <x v="0"/>
    <n v="9480466.5"/>
    <n v="9480466.5"/>
    <n v="3"/>
    <x v="0"/>
    <n v="12798629.775"/>
    <n v="12798629.775"/>
    <n v="12.798629775"/>
    <n v="12.798629775"/>
  </r>
  <r>
    <s v="CZ"/>
    <x v="0"/>
    <x v="0"/>
    <n v="17156131.435104001"/>
    <n v="17156131.435104001"/>
    <n v="1"/>
    <x v="0"/>
    <n v="23160777.437390402"/>
    <n v="23160777.437390402"/>
    <n v="23.160777437390401"/>
    <n v="23.160777437390401"/>
  </r>
  <r>
    <s v="DE"/>
    <x v="0"/>
    <x v="0"/>
    <n v="5733618.0864275899"/>
    <n v="5522417.4332137899"/>
    <n v="4"/>
    <x v="0"/>
    <n v="7740384.4166772468"/>
    <n v="7455263.5348386168"/>
    <n v="7.7403844166772471"/>
    <n v="7.4552635348386165"/>
  </r>
  <r>
    <s v="DO"/>
    <x v="0"/>
    <x v="0"/>
    <n v="538678.71057025599"/>
    <n v="538678.71057025599"/>
    <n v="1"/>
    <x v="0"/>
    <n v="727216.25926984567"/>
    <n v="727216.25926984567"/>
    <n v="0.72721625926984568"/>
    <n v="0.72721625926984568"/>
  </r>
  <r>
    <s v="EE"/>
    <x v="0"/>
    <x v="0"/>
    <n v="56000"/>
    <n v="56000"/>
    <n v="1"/>
    <x v="0"/>
    <n v="75600"/>
    <n v="75600"/>
    <n v="7.5600000000000001E-2"/>
    <n v="7.5600000000000001E-2"/>
  </r>
  <r>
    <s v="ES"/>
    <x v="0"/>
    <x v="0"/>
    <n v="159239457.149555"/>
    <n v="89793522.3747776"/>
    <n v="6"/>
    <x v="0"/>
    <n v="214973267.15189925"/>
    <n v="121221255.20594977"/>
    <n v="214.97326715189925"/>
    <n v="121.22125520594977"/>
  </r>
  <r>
    <s v="FR"/>
    <x v="0"/>
    <x v="0"/>
    <n v="269694076.21544498"/>
    <n v="128815325.582451"/>
    <n v="21"/>
    <x v="0"/>
    <n v="364087002.89085072"/>
    <n v="173900689.53630885"/>
    <n v="364.08700289085073"/>
    <n v="173.90068953630885"/>
  </r>
  <r>
    <s v="GB"/>
    <x v="0"/>
    <x v="0"/>
    <n v="152000"/>
    <n v="152000"/>
    <n v="1"/>
    <x v="0"/>
    <n v="205200"/>
    <n v="205200"/>
    <n v="0.20519999999999999"/>
    <n v="0.20519999999999999"/>
  </r>
  <r>
    <s v="GI"/>
    <x v="0"/>
    <x v="0"/>
    <n v="2714095"/>
    <n v="2714095"/>
    <n v="1"/>
    <x v="0"/>
    <n v="3664028.2500000005"/>
    <n v="3664028.2500000005"/>
    <n v="3.6640282500000003"/>
    <n v="3.6640282500000003"/>
  </r>
  <r>
    <s v="GR"/>
    <x v="0"/>
    <x v="0"/>
    <n v="121154640.909997"/>
    <n v="95061619.364950493"/>
    <n v="22"/>
    <x v="0"/>
    <n v="163558765.22849596"/>
    <n v="128333186.14268318"/>
    <n v="163.55876522849596"/>
    <n v="128.33318614268319"/>
  </r>
  <r>
    <s v="GT"/>
    <x v="0"/>
    <x v="0"/>
    <n v="5197163.0890958002"/>
    <n v="5197163.0890958002"/>
    <n v="4"/>
    <x v="0"/>
    <n v="7016170.1702793306"/>
    <n v="7016170.1702793306"/>
    <n v="7.0161701702793309"/>
    <n v="7.0161701702793309"/>
  </r>
  <r>
    <s v="HK"/>
    <x v="0"/>
    <x v="0"/>
    <n v="69928150.6487097"/>
    <n v="50023445.727334499"/>
    <n v="20"/>
    <x v="0"/>
    <n v="94403003.375758097"/>
    <n v="67531651.731901571"/>
    <n v="94.40300337575809"/>
    <n v="67.531651731901576"/>
  </r>
  <r>
    <s v="ID"/>
    <x v="0"/>
    <x v="0"/>
    <n v="0"/>
    <n v="0"/>
    <n v="1"/>
    <x v="0"/>
    <n v="0"/>
    <n v="0"/>
    <n v="0"/>
    <n v="0"/>
  </r>
  <r>
    <s v="IE"/>
    <x v="0"/>
    <x v="0"/>
    <n v="59424635.864"/>
    <n v="42828507.564000003"/>
    <n v="11"/>
    <x v="0"/>
    <n v="80223258.4164"/>
    <n v="57818485.21140001"/>
    <n v="80.2232584164"/>
    <n v="57.818485211400009"/>
  </r>
  <r>
    <s v="IL"/>
    <x v="0"/>
    <x v="0"/>
    <n v="77873629.506023005"/>
    <n v="49272739.6517478"/>
    <n v="19"/>
    <x v="0"/>
    <n v="105129399.83313106"/>
    <n v="66518198.529859535"/>
    <n v="105.12939983313106"/>
    <n v="66.518198529859532"/>
  </r>
  <r>
    <s v="IN"/>
    <x v="0"/>
    <x v="0"/>
    <n v="15613768.340378201"/>
    <n v="7862072.3160697501"/>
    <n v="2"/>
    <x v="0"/>
    <n v="21078587.259510573"/>
    <n v="10613797.626694163"/>
    <n v="21.078587259510574"/>
    <n v="10.613797626694163"/>
  </r>
  <r>
    <s v="IT"/>
    <x v="0"/>
    <x v="0"/>
    <n v="26059506.934905998"/>
    <n v="24828728.933958299"/>
    <n v="8"/>
    <x v="0"/>
    <n v="35180334.362123102"/>
    <n v="33518784.060843706"/>
    <n v="35.180334362123105"/>
    <n v="33.518784060843707"/>
  </r>
  <r>
    <s v="JP"/>
    <x v="0"/>
    <x v="0"/>
    <n v="3060082.6430000402"/>
    <n v="1599407.4673806699"/>
    <n v="3"/>
    <x v="0"/>
    <n v="4131111.5680500544"/>
    <n v="2159200.0809639045"/>
    <n v="4.1311115680500547"/>
    <n v="2.1592000809639047"/>
  </r>
  <r>
    <s v="KE"/>
    <x v="0"/>
    <x v="0"/>
    <n v="507679.11671354901"/>
    <n v="253839.55835677401"/>
    <n v="1"/>
    <x v="0"/>
    <n v="685366.80756329116"/>
    <n v="342683.40378164494"/>
    <n v="0.68536680756329116"/>
    <n v="0.34268340378164497"/>
  </r>
  <r>
    <s v="KR"/>
    <x v="0"/>
    <x v="0"/>
    <n v="146853.97644368801"/>
    <n v="128615.13410249801"/>
    <n v="2"/>
    <x v="0"/>
    <n v="198252.86819897883"/>
    <n v="173630.43103837231"/>
    <n v="0.19825286819897883"/>
    <n v="0.17363043103837231"/>
  </r>
  <r>
    <s v="KW"/>
    <x v="0"/>
    <x v="0"/>
    <n v="129332.57118789401"/>
    <n v="129332.57118789401"/>
    <n v="1"/>
    <x v="0"/>
    <n v="174598.97110365692"/>
    <n v="174598.97110365692"/>
    <n v="0.17459897110365691"/>
    <n v="0.17459897110365691"/>
  </r>
  <r>
    <s v="KY"/>
    <x v="0"/>
    <x v="0"/>
    <n v="3716311.9180493001"/>
    <n v="3614964.1240090802"/>
    <n v="2"/>
    <x v="0"/>
    <n v="5017021.0893665552"/>
    <n v="4880201.5674122591"/>
    <n v="5.0170210893665548"/>
    <n v="4.880201567412259"/>
  </r>
  <r>
    <s v="LB"/>
    <x v="0"/>
    <x v="0"/>
    <n v="36233826.2675431"/>
    <n v="32540321.551768199"/>
    <n v="9"/>
    <x v="0"/>
    <n v="48915665.46118319"/>
    <n v="43929434.09488707"/>
    <n v="48.915665461183188"/>
    <n v="43.929434094887071"/>
  </r>
  <r>
    <s v="LT"/>
    <x v="0"/>
    <x v="0"/>
    <n v="3950744.8"/>
    <n v="3950744.8"/>
    <n v="2"/>
    <x v="0"/>
    <n v="5333505.4800000004"/>
    <n v="5333505.4800000004"/>
    <n v="5.3335054800000004"/>
    <n v="5.3335054800000004"/>
  </r>
  <r>
    <s v="LU"/>
    <x v="0"/>
    <x v="0"/>
    <n v="2723"/>
    <n v="2723"/>
    <n v="1"/>
    <x v="0"/>
    <n v="3676.05"/>
    <n v="3676.05"/>
    <n v="3.6760500000000002E-3"/>
    <n v="3.6760500000000002E-3"/>
  </r>
  <r>
    <s v="MA"/>
    <x v="0"/>
    <x v="0"/>
    <n v="160000"/>
    <n v="160000"/>
    <n v="1"/>
    <x v="0"/>
    <n v="216000"/>
    <n v="216000"/>
    <n v="0.216"/>
    <n v="0.216"/>
  </r>
  <r>
    <s v="MC"/>
    <x v="0"/>
    <x v="0"/>
    <n v="70175004.681579396"/>
    <n v="37352524.2664636"/>
    <n v="14"/>
    <x v="0"/>
    <n v="94736256.320132196"/>
    <n v="50425907.759725861"/>
    <n v="94.736256320132199"/>
    <n v="50.42590775972586"/>
  </r>
  <r>
    <s v="MT"/>
    <x v="0"/>
    <x v="0"/>
    <n v="2000"/>
    <n v="2000"/>
    <n v="1"/>
    <x v="0"/>
    <n v="2700"/>
    <n v="2700"/>
    <n v="2.7000000000000001E-3"/>
    <n v="2.7000000000000001E-3"/>
  </r>
  <r>
    <s v="MX"/>
    <x v="0"/>
    <x v="0"/>
    <n v="7114586.37314039"/>
    <n v="7114586.37314039"/>
    <n v="2"/>
    <x v="0"/>
    <n v="9604691.603739528"/>
    <n v="9604691.603739528"/>
    <n v="9.6046916037395285"/>
    <n v="9.6046916037395285"/>
  </r>
  <r>
    <s v="MY"/>
    <x v="0"/>
    <x v="0"/>
    <n v="3683494.0357105201"/>
    <n v="1841747.0178552601"/>
    <n v="1"/>
    <x v="0"/>
    <n v="4972716.9482092028"/>
    <n v="2486358.4741046014"/>
    <n v="4.9727169482092028"/>
    <n v="2.4863584741046014"/>
  </r>
  <r>
    <s v="NG"/>
    <x v="0"/>
    <x v="0"/>
    <n v="1504234.419892"/>
    <n v="752117.20994600002"/>
    <n v="1"/>
    <x v="0"/>
    <n v="2030716.4668542002"/>
    <n v="1015358.2334271001"/>
    <n v="2.0307164668542002"/>
    <n v="1.0153582334271001"/>
  </r>
  <r>
    <s v="NL"/>
    <x v="0"/>
    <x v="0"/>
    <n v="18020966.544"/>
    <n v="18020966.544"/>
    <n v="4"/>
    <x v="0"/>
    <n v="24328304.834400002"/>
    <n v="24328304.834400002"/>
    <n v="24.328304834400001"/>
    <n v="24.328304834400001"/>
  </r>
  <r>
    <s v="NZ"/>
    <x v="0"/>
    <x v="0"/>
    <n v="1258181.09177334"/>
    <n v="1258181.09177334"/>
    <n v="4"/>
    <x v="0"/>
    <n v="1698544.4738940091"/>
    <n v="1698544.4738940091"/>
    <n v="1.6985444738940092"/>
    <n v="1.6985444738940092"/>
  </r>
  <r>
    <s v="OM"/>
    <x v="0"/>
    <x v="0"/>
    <n v="2500"/>
    <n v="2500"/>
    <n v="1"/>
    <x v="0"/>
    <n v="3375"/>
    <n v="3375"/>
    <n v="3.375E-3"/>
    <n v="3.375E-3"/>
  </r>
  <r>
    <s v="PA"/>
    <x v="0"/>
    <x v="0"/>
    <n v="1009571.44361377"/>
    <n v="1009571.44361377"/>
    <n v="1"/>
    <x v="0"/>
    <n v="1362921.4488785896"/>
    <n v="1362921.4488785896"/>
    <n v="1.3629214488785895"/>
    <n v="1.3629214488785895"/>
  </r>
  <r>
    <s v="PH"/>
    <x v="0"/>
    <x v="0"/>
    <n v="169226.37223785001"/>
    <n v="84613.186118925005"/>
    <n v="1"/>
    <x v="0"/>
    <n v="228455.60252109752"/>
    <n v="114227.80126054876"/>
    <n v="0.22845560252109753"/>
    <n v="0.11422780126054877"/>
  </r>
  <r>
    <s v="PL"/>
    <x v="0"/>
    <x v="0"/>
    <n v="229138"/>
    <n v="229138"/>
    <n v="1"/>
    <x v="0"/>
    <n v="309336.30000000005"/>
    <n v="309336.30000000005"/>
    <n v="0.30933630000000006"/>
    <n v="0.30933630000000006"/>
  </r>
  <r>
    <s v="PT"/>
    <x v="0"/>
    <x v="0"/>
    <n v="7151550.60837257"/>
    <n v="7151550.60837257"/>
    <n v="2"/>
    <x v="0"/>
    <n v="9654593.3213029709"/>
    <n v="9654593.3213029709"/>
    <n v="9.6545933213029702"/>
    <n v="9.6545933213029702"/>
  </r>
  <r>
    <s v="PY"/>
    <x v="0"/>
    <x v="0"/>
    <n v="6421396.2303885501"/>
    <n v="6421396.2303885501"/>
    <n v="1"/>
    <x v="0"/>
    <n v="8668884.9110245425"/>
    <n v="8668884.9110245425"/>
    <n v="8.6688849110245432"/>
    <n v="8.6688849110245432"/>
  </r>
  <r>
    <s v="QA"/>
    <x v="0"/>
    <x v="0"/>
    <n v="2237.9556514087199"/>
    <n v="1118.9778257043599"/>
    <n v="1"/>
    <x v="0"/>
    <n v="3021.2401294017718"/>
    <n v="1510.6200647008859"/>
    <n v="3.021240129401772E-3"/>
    <n v="1.510620064700886E-3"/>
  </r>
  <r>
    <s v="RO"/>
    <x v="0"/>
    <x v="0"/>
    <n v="4000"/>
    <n v="4000"/>
    <n v="1"/>
    <x v="0"/>
    <n v="5400"/>
    <n v="5400"/>
    <n v="5.4000000000000003E-3"/>
    <n v="5.4000000000000003E-3"/>
  </r>
  <r>
    <s v="SA"/>
    <x v="0"/>
    <x v="0"/>
    <n v="12947615.8636562"/>
    <n v="6483807.9318281002"/>
    <n v="2"/>
    <x v="0"/>
    <n v="17479281.41593587"/>
    <n v="8753140.7079679351"/>
    <n v="17.479281415935869"/>
    <n v="8.7531407079679351"/>
  </r>
  <r>
    <s v="SC"/>
    <x v="0"/>
    <x v="0"/>
    <n v="4054620.6320793"/>
    <n v="2572200.43171527"/>
    <n v="3"/>
    <x v="0"/>
    <n v="5473737.8533070553"/>
    <n v="3472470.582815615"/>
    <n v="5.4737378533070551"/>
    <n v="3.4724705828156148"/>
  </r>
  <r>
    <s v="SE"/>
    <x v="0"/>
    <x v="0"/>
    <n v="264348333.14132801"/>
    <n v="216781498.117594"/>
    <n v="5"/>
    <x v="0"/>
    <n v="356870249.74079281"/>
    <n v="292655022.45875192"/>
    <n v="356.87024974079281"/>
    <n v="292.65502245875194"/>
  </r>
  <r>
    <s v="SG"/>
    <x v="0"/>
    <x v="0"/>
    <n v="21556194.915717699"/>
    <n v="10975771.4737285"/>
    <n v="7"/>
    <x v="0"/>
    <n v="29100863.136218894"/>
    <n v="14817291.489533477"/>
    <n v="29.100863136218894"/>
    <n v="14.817291489533476"/>
  </r>
  <r>
    <s v="SK"/>
    <x v="0"/>
    <x v="0"/>
    <n v="4200"/>
    <n v="4200"/>
    <n v="1"/>
    <x v="0"/>
    <n v="5670"/>
    <n v="5670"/>
    <n v="5.6699999999999997E-3"/>
    <n v="5.6699999999999997E-3"/>
  </r>
  <r>
    <s v="SN"/>
    <x v="0"/>
    <x v="0"/>
    <n v="683280"/>
    <n v="341640"/>
    <n v="1"/>
    <x v="0"/>
    <n v="922428.00000000012"/>
    <n v="461214.00000000006"/>
    <n v="0.92242800000000014"/>
    <n v="0.46121400000000007"/>
  </r>
  <r>
    <s v="TH"/>
    <x v="0"/>
    <x v="0"/>
    <n v="131620.51174054999"/>
    <n v="65810.255870274996"/>
    <n v="1"/>
    <x v="0"/>
    <n v="177687.6908497425"/>
    <n v="88843.845424871251"/>
    <n v="0.17768769084974251"/>
    <n v="8.8843845424871254E-2"/>
  </r>
  <r>
    <s v="TR"/>
    <x v="0"/>
    <x v="0"/>
    <n v="6637471.6075753197"/>
    <n v="3318735.8037876599"/>
    <n v="1"/>
    <x v="0"/>
    <n v="8960586.670226682"/>
    <n v="4480293.335113341"/>
    <n v="8.9605866702266823"/>
    <n v="4.4802933351133412"/>
  </r>
  <r>
    <s v="TW"/>
    <x v="0"/>
    <x v="0"/>
    <n v="2572431.9785195198"/>
    <n v="1341404.1351404099"/>
    <n v="2"/>
    <x v="0"/>
    <n v="3472783.1710013519"/>
    <n v="1810895.5824395535"/>
    <n v="3.4727831710013519"/>
    <n v="1.8108955824395534"/>
  </r>
  <r>
    <s v="US"/>
    <x v="0"/>
    <x v="0"/>
    <n v="2365811502.90905"/>
    <n v="1413295965.35532"/>
    <n v="326"/>
    <x v="0"/>
    <n v="3193845528.9272175"/>
    <n v="1907949553.2296822"/>
    <n v="3193.8455289272174"/>
    <n v="1907.9495532296821"/>
  </r>
  <r>
    <s v="UY"/>
    <x v="0"/>
    <x v="0"/>
    <n v="26957835.557093099"/>
    <n v="17031956.708133299"/>
    <n v="4"/>
    <x v="0"/>
    <n v="36393078.002075687"/>
    <n v="22993141.555979956"/>
    <n v="36.39307800207569"/>
    <n v="22.993141555979957"/>
  </r>
  <r>
    <s v="VN"/>
    <x v="0"/>
    <x v="0"/>
    <n v="11322"/>
    <n v="11322"/>
    <n v="1"/>
    <x v="0"/>
    <n v="15284.7"/>
    <n v="15284.7"/>
    <n v="1.52847E-2"/>
    <n v="1.52847E-2"/>
  </r>
  <r>
    <s v="ZA"/>
    <x v="0"/>
    <x v="0"/>
    <n v="93771188.575087801"/>
    <n v="90543098.617815599"/>
    <n v="11"/>
    <x v="0"/>
    <n v="126591104.57636854"/>
    <n v="122233183.13405107"/>
    <n v="126.59110457636854"/>
    <n v="122.23318313405107"/>
  </r>
  <r>
    <s v="AE"/>
    <x v="0"/>
    <x v="0"/>
    <n v="88675015.9611523"/>
    <n v="53579580.425126597"/>
    <n v="13"/>
    <x v="1"/>
    <n v="119711271.54755561"/>
    <n v="72332433.573920906"/>
    <n v="119.71127154755561"/>
    <n v="72.332433573920909"/>
  </r>
  <r>
    <s v="AR"/>
    <x v="0"/>
    <x v="0"/>
    <n v="43058200.416672803"/>
    <n v="43058200.416672803"/>
    <n v="18"/>
    <x v="1"/>
    <n v="58128570.562508285"/>
    <n v="58128570.562508285"/>
    <n v="58.128570562508287"/>
    <n v="58.128570562508287"/>
  </r>
  <r>
    <s v="AT"/>
    <x v="0"/>
    <x v="0"/>
    <n v="117299776.07014"/>
    <n v="59699152.014799498"/>
    <n v="12"/>
    <x v="1"/>
    <n v="158354697.69468901"/>
    <n v="80593855.219979331"/>
    <n v="158.35469769468901"/>
    <n v="80.593855219979332"/>
  </r>
  <r>
    <s v="AU"/>
    <x v="0"/>
    <x v="0"/>
    <n v="334471885.17615002"/>
    <n v="170352245.82164001"/>
    <n v="28"/>
    <x v="1"/>
    <n v="451537044.98780257"/>
    <n v="229975531.85921404"/>
    <n v="451.53704498780257"/>
    <n v="229.97553185921404"/>
  </r>
  <r>
    <s v="BE"/>
    <x v="0"/>
    <x v="0"/>
    <n v="280411812.08683199"/>
    <n v="203677116.44909"/>
    <n v="57"/>
    <x v="1"/>
    <n v="378555946.31722319"/>
    <n v="274964107.20627153"/>
    <n v="378.55594631722317"/>
    <n v="274.96410720627154"/>
  </r>
  <r>
    <s v="BM"/>
    <x v="0"/>
    <x v="0"/>
    <n v="7305574.8221618803"/>
    <n v="7305574.8221618803"/>
    <n v="5"/>
    <x v="1"/>
    <n v="9862526.0099185389"/>
    <n v="9862526.0099185389"/>
    <n v="9.8625260099185397"/>
    <n v="9.8625260099185397"/>
  </r>
  <r>
    <s v="BR"/>
    <x v="0"/>
    <x v="0"/>
    <n v="129080595.609275"/>
    <n v="93901441.289866"/>
    <n v="11"/>
    <x v="1"/>
    <n v="174258804.07252127"/>
    <n v="126766945.74131911"/>
    <n v="174.25880407252126"/>
    <n v="126.76694574131911"/>
  </r>
  <r>
    <s v="BS"/>
    <x v="0"/>
    <x v="0"/>
    <n v="10107545.451947199"/>
    <n v="8522400.14290227"/>
    <n v="7"/>
    <x v="1"/>
    <n v="13645186.360128719"/>
    <n v="11505240.192918066"/>
    <n v="13.645186360128719"/>
    <n v="11.505240192918066"/>
  </r>
  <r>
    <s v="CA"/>
    <x v="0"/>
    <x v="0"/>
    <n v="210957528.07712299"/>
    <n v="106631319.724132"/>
    <n v="18"/>
    <x v="1"/>
    <n v="284792662.90411603"/>
    <n v="143952281.6275782"/>
    <n v="284.79266290411601"/>
    <n v="143.9522816275782"/>
  </r>
  <r>
    <s v="CH"/>
    <x v="0"/>
    <x v="0"/>
    <n v="3452284902.2641902"/>
    <n v="2433750640.4874001"/>
    <n v="827"/>
    <x v="1"/>
    <n v="4660584618.0566568"/>
    <n v="3285563364.6579905"/>
    <n v="4660.5846180566568"/>
    <n v="3285.5633646579904"/>
  </r>
  <r>
    <s v="CI"/>
    <x v="0"/>
    <x v="0"/>
    <n v="2841840"/>
    <n v="1420920"/>
    <n v="1"/>
    <x v="1"/>
    <n v="3836484.0000000005"/>
    <n v="1918242.0000000002"/>
    <n v="3.8364840000000004"/>
    <n v="1.9182420000000002"/>
  </r>
  <r>
    <s v="CL"/>
    <x v="0"/>
    <x v="0"/>
    <n v="104253862.220359"/>
    <n v="79488495.521868095"/>
    <n v="40"/>
    <x v="1"/>
    <n v="140742713.99748465"/>
    <n v="107309468.95452194"/>
    <n v="140.74271399748466"/>
    <n v="107.30946895452193"/>
  </r>
  <r>
    <s v="CN"/>
    <x v="0"/>
    <x v="0"/>
    <n v="106172177.81325001"/>
    <n v="44299276.505305"/>
    <n v="14"/>
    <x v="1"/>
    <n v="143332440.0478875"/>
    <n v="59804023.28216175"/>
    <n v="143.3324400478875"/>
    <n v="59.804023282161751"/>
  </r>
  <r>
    <s v="CO"/>
    <x v="0"/>
    <x v="0"/>
    <n v="151583328.43964499"/>
    <n v="92511615.641904697"/>
    <n v="28"/>
    <x v="1"/>
    <n v="204637493.39352074"/>
    <n v="124890681.11657135"/>
    <n v="204.63749339352074"/>
    <n v="124.89068111657136"/>
  </r>
  <r>
    <s v="CR"/>
    <x v="0"/>
    <x v="0"/>
    <n v="1932798.11669851"/>
    <n v="1932798.11669851"/>
    <n v="2"/>
    <x v="1"/>
    <n v="2609277.4575429885"/>
    <n v="2609277.4575429885"/>
    <n v="2.6092774575429885"/>
    <n v="2.6092774575429885"/>
  </r>
  <r>
    <s v="CY"/>
    <x v="0"/>
    <x v="0"/>
    <n v="41104787.132814802"/>
    <n v="39213212.349800602"/>
    <n v="6"/>
    <x v="1"/>
    <n v="55491462.629299983"/>
    <n v="52937836.672230817"/>
    <n v="55.491462629299981"/>
    <n v="52.937836672230816"/>
  </r>
  <r>
    <s v="CZ"/>
    <x v="0"/>
    <x v="0"/>
    <n v="17725731.435104001"/>
    <n v="17725731.435104001"/>
    <n v="4"/>
    <x v="1"/>
    <n v="23929737.437390402"/>
    <n v="23929737.437390402"/>
    <n v="23.929737437390401"/>
    <n v="23.929737437390401"/>
  </r>
  <r>
    <s v="DE"/>
    <x v="0"/>
    <x v="0"/>
    <n v="183792082.082008"/>
    <n v="115503381.26928601"/>
    <n v="33"/>
    <x v="1"/>
    <n v="248119310.81071082"/>
    <n v="155929564.71353611"/>
    <n v="248.11931081071083"/>
    <n v="155.92956471353611"/>
  </r>
  <r>
    <s v="DK"/>
    <x v="0"/>
    <x v="0"/>
    <n v="618592460.80988503"/>
    <n v="568389716.21269202"/>
    <n v="154"/>
    <x v="1"/>
    <n v="835099822.09334481"/>
    <n v="767326116.88713431"/>
    <n v="835.09982209334476"/>
    <n v="767.32611688713428"/>
  </r>
  <r>
    <s v="DO"/>
    <x v="0"/>
    <x v="0"/>
    <n v="23167430.692603599"/>
    <n v="23167430.692603599"/>
    <n v="10"/>
    <x v="1"/>
    <n v="31276031.435014863"/>
    <n v="31276031.435014863"/>
    <n v="31.276031435014861"/>
    <n v="31.276031435014861"/>
  </r>
  <r>
    <s v="EC"/>
    <x v="0"/>
    <x v="0"/>
    <n v="6112118.1124866297"/>
    <n v="6112118.1124866297"/>
    <n v="3"/>
    <x v="1"/>
    <n v="8251359.4518569503"/>
    <n v="8251359.4518569503"/>
    <n v="8.2513594518569509"/>
    <n v="8.2513594518569509"/>
  </r>
  <r>
    <s v="ES"/>
    <x v="0"/>
    <x v="0"/>
    <n v="614384058.04658496"/>
    <n v="420289442.80860502"/>
    <n v="81"/>
    <x v="1"/>
    <n v="829418478.36288977"/>
    <n v="567390747.7916168"/>
    <n v="829.4184783628898"/>
    <n v="567.39074779161683"/>
  </r>
  <r>
    <s v="FI"/>
    <x v="0"/>
    <x v="0"/>
    <n v="178626629.44654199"/>
    <n v="141265503.43659601"/>
    <n v="32"/>
    <x v="1"/>
    <n v="241145949.7528317"/>
    <n v="190708429.63940462"/>
    <n v="241.14594975283171"/>
    <n v="190.70842963940461"/>
  </r>
  <r>
    <s v="FR"/>
    <x v="0"/>
    <x v="0"/>
    <n v="2275085169.2213302"/>
    <n v="1498937035.13832"/>
    <n v="333"/>
    <x v="1"/>
    <n v="3071364978.4487958"/>
    <n v="2023564997.4367321"/>
    <n v="3071.3649784487957"/>
    <n v="2023.564997436732"/>
  </r>
  <r>
    <s v="GB"/>
    <x v="0"/>
    <x v="0"/>
    <n v="9371114846.9960003"/>
    <n v="7182976179.9304304"/>
    <n v="1683"/>
    <x v="1"/>
    <n v="12651005043.444601"/>
    <n v="9697017842.9060822"/>
    <n v="12651.0050434446"/>
    <n v="9697.0178429060816"/>
  </r>
  <r>
    <s v="GG"/>
    <x v="0"/>
    <x v="0"/>
    <n v="5437249.79193429"/>
    <n v="5174549.8959671399"/>
    <n v="2"/>
    <x v="1"/>
    <n v="7340287.2191112917"/>
    <n v="6985642.3595556393"/>
    <n v="7.3402872191112918"/>
    <n v="6.9856423595556389"/>
  </r>
  <r>
    <s v="GH"/>
    <x v="0"/>
    <x v="0"/>
    <n v="911500"/>
    <n v="911500"/>
    <n v="2"/>
    <x v="1"/>
    <n v="1230525"/>
    <n v="1230525"/>
    <n v="1.2305250000000001"/>
    <n v="1.2305250000000001"/>
  </r>
  <r>
    <s v="GI"/>
    <x v="0"/>
    <x v="0"/>
    <n v="3760926.7362625799"/>
    <n v="3760926.7362625799"/>
    <n v="1"/>
    <x v="1"/>
    <n v="5077251.093954483"/>
    <n v="5077251.093954483"/>
    <n v="5.0772510939544828"/>
    <n v="5.0772510939544828"/>
  </r>
  <r>
    <s v="GR"/>
    <x v="0"/>
    <x v="0"/>
    <n v="281652901.34184998"/>
    <n v="209271148.13600299"/>
    <n v="43"/>
    <x v="1"/>
    <n v="380231416.81149751"/>
    <n v="282516049.98360407"/>
    <n v="380.23141681149752"/>
    <n v="282.51604998360409"/>
  </r>
  <r>
    <s v="GT"/>
    <x v="0"/>
    <x v="0"/>
    <n v="13445853.4424404"/>
    <n v="13445853.4424404"/>
    <n v="10"/>
    <x v="1"/>
    <n v="18151902.14729454"/>
    <n v="18151902.14729454"/>
    <n v="18.151902147294539"/>
    <n v="18.151902147294539"/>
  </r>
  <r>
    <s v="HK"/>
    <x v="0"/>
    <x v="0"/>
    <n v="103903349.83716799"/>
    <n v="83998644.915793002"/>
    <n v="31"/>
    <x v="1"/>
    <n v="140269522.28017679"/>
    <n v="113398170.63632056"/>
    <n v="140.2695222801768"/>
    <n v="113.39817063632056"/>
  </r>
  <r>
    <s v="HN"/>
    <x v="0"/>
    <x v="0"/>
    <n v="2133373.7661904502"/>
    <n v="2133373.7661904502"/>
    <n v="1"/>
    <x v="1"/>
    <n v="2880054.584357108"/>
    <n v="2880054.584357108"/>
    <n v="2.8800545843571079"/>
    <n v="2.8800545843571079"/>
  </r>
  <r>
    <s v="HU"/>
    <x v="0"/>
    <x v="0"/>
    <n v="4368800"/>
    <n v="4368800"/>
    <n v="1"/>
    <x v="1"/>
    <n v="5897880"/>
    <n v="5897880"/>
    <n v="5.8978799999999998"/>
    <n v="5.8978799999999998"/>
  </r>
  <r>
    <s v="ID"/>
    <x v="0"/>
    <x v="0"/>
    <n v="6355328.2382406304"/>
    <n v="3497181.3974508401"/>
    <n v="3"/>
    <x v="1"/>
    <n v="8579693.1216248516"/>
    <n v="4721194.8865586342"/>
    <n v="8.5796931216248513"/>
    <n v="4.7211948865586342"/>
  </r>
  <r>
    <s v="IE"/>
    <x v="0"/>
    <x v="0"/>
    <n v="310615190.88789898"/>
    <n v="210109419.360324"/>
    <n v="60"/>
    <x v="1"/>
    <n v="419330507.69866365"/>
    <n v="283647716.13643742"/>
    <n v="419.33050769866367"/>
    <n v="283.6477161364374"/>
  </r>
  <r>
    <s v="IL"/>
    <x v="0"/>
    <x v="0"/>
    <n v="118255692.51285399"/>
    <n v="88344175.712475702"/>
    <n v="38"/>
    <x v="1"/>
    <n v="159645184.89235291"/>
    <n v="119264637.21184221"/>
    <n v="159.64518489235292"/>
    <n v="119.26463721184221"/>
  </r>
  <r>
    <s v="IM"/>
    <x v="0"/>
    <x v="0"/>
    <n v="712941"/>
    <n v="712941"/>
    <n v="1"/>
    <x v="1"/>
    <n v="962470.35000000009"/>
    <n v="962470.35000000009"/>
    <n v="0.96247035000000014"/>
    <n v="0.96247035000000014"/>
  </r>
  <r>
    <s v="IN"/>
    <x v="0"/>
    <x v="0"/>
    <n v="15613768.340378201"/>
    <n v="7862072.3160697501"/>
    <n v="2"/>
    <x v="1"/>
    <n v="21078587.259510573"/>
    <n v="10613797.626694163"/>
    <n v="21.078587259510574"/>
    <n v="10.613797626694163"/>
  </r>
  <r>
    <s v="IS"/>
    <x v="0"/>
    <x v="0"/>
    <n v="5543424.1879841704"/>
    <n v="5543424.1879841704"/>
    <n v="4"/>
    <x v="1"/>
    <n v="7483622.6537786303"/>
    <n v="7483622.6537786303"/>
    <n v="7.4836226537786299"/>
    <n v="7.4836226537786299"/>
  </r>
  <r>
    <s v="IT"/>
    <x v="0"/>
    <x v="0"/>
    <n v="1171699364.2788999"/>
    <n v="824655516.07828498"/>
    <n v="206"/>
    <x v="1"/>
    <n v="1581794141.776515"/>
    <n v="1113284946.7056849"/>
    <n v="1581.7941417765151"/>
    <n v="1113.2849467056849"/>
  </r>
  <r>
    <s v="JO"/>
    <x v="0"/>
    <x v="0"/>
    <n v="5001"/>
    <n v="5001"/>
    <n v="1"/>
    <x v="1"/>
    <n v="6751.35"/>
    <n v="6751.35"/>
    <n v="6.7513500000000006E-3"/>
    <n v="6.7513500000000006E-3"/>
  </r>
  <r>
    <s v="JP"/>
    <x v="0"/>
    <x v="0"/>
    <n v="83586974.900705397"/>
    <n v="47547710.997818798"/>
    <n v="10"/>
    <x v="1"/>
    <n v="112842416.1159523"/>
    <n v="64189409.847055383"/>
    <n v="112.8424161159523"/>
    <n v="64.189409847055387"/>
  </r>
  <r>
    <s v="KE"/>
    <x v="0"/>
    <x v="0"/>
    <n v="507679.11671354901"/>
    <n v="253839.55835677401"/>
    <n v="1"/>
    <x v="1"/>
    <n v="685366.80756329116"/>
    <n v="342683.40378164494"/>
    <n v="0.68536680756329116"/>
    <n v="0.34268340378164497"/>
  </r>
  <r>
    <s v="KR"/>
    <x v="0"/>
    <x v="0"/>
    <n v="146853.97644368801"/>
    <n v="128615.13410249801"/>
    <n v="2"/>
    <x v="1"/>
    <n v="198252.86819897883"/>
    <n v="173630.43103837231"/>
    <n v="0.19825286819897883"/>
    <n v="0.17363043103837231"/>
  </r>
  <r>
    <s v="KY"/>
    <x v="0"/>
    <x v="0"/>
    <n v="3716311.9180493001"/>
    <n v="3614964.1240090802"/>
    <n v="2"/>
    <x v="1"/>
    <n v="5017021.0893665552"/>
    <n v="4880201.5674122591"/>
    <n v="5.0170210893665548"/>
    <n v="4.880201567412259"/>
  </r>
  <r>
    <s v="LB"/>
    <x v="0"/>
    <x v="0"/>
    <n v="25253041.3128957"/>
    <n v="21559536.597120799"/>
    <n v="9"/>
    <x v="1"/>
    <n v="34091605.772409201"/>
    <n v="29105374.406113081"/>
    <n v="34.091605772409203"/>
    <n v="29.105374406113082"/>
  </r>
  <r>
    <s v="LI"/>
    <x v="0"/>
    <x v="0"/>
    <n v="11747642.0318371"/>
    <n v="11747642.0318371"/>
    <n v="4"/>
    <x v="1"/>
    <n v="15859316.742980087"/>
    <n v="15859316.742980087"/>
    <n v="15.859316742980088"/>
    <n v="15.859316742980088"/>
  </r>
  <r>
    <s v="LT"/>
    <x v="0"/>
    <x v="0"/>
    <n v="3637140"/>
    <n v="3637140"/>
    <n v="4"/>
    <x v="1"/>
    <n v="4910139"/>
    <n v="4910139"/>
    <n v="4.910139"/>
    <n v="4.910139"/>
  </r>
  <r>
    <s v="LU"/>
    <x v="0"/>
    <x v="0"/>
    <n v="15425010.842777399"/>
    <n v="15425010.842777399"/>
    <n v="4"/>
    <x v="1"/>
    <n v="20823764.637749489"/>
    <n v="20823764.637749489"/>
    <n v="20.823764637749491"/>
    <n v="20.823764637749491"/>
  </r>
  <r>
    <s v="MA"/>
    <x v="0"/>
    <x v="0"/>
    <n v="636050.805517531"/>
    <n v="636050.805517531"/>
    <n v="2"/>
    <x v="1"/>
    <n v="858668.58744866692"/>
    <n v="858668.58744866692"/>
    <n v="0.85866858744866692"/>
    <n v="0.85866858744866692"/>
  </r>
  <r>
    <s v="MC"/>
    <x v="0"/>
    <x v="0"/>
    <n v="338920050.44963998"/>
    <n v="202397157.63661399"/>
    <n v="43"/>
    <x v="1"/>
    <n v="457542068.107014"/>
    <n v="273236162.80942893"/>
    <n v="457.54206810701402"/>
    <n v="273.23616280942895"/>
  </r>
  <r>
    <s v="MT"/>
    <x v="0"/>
    <x v="0"/>
    <n v="1199276"/>
    <n v="1199276"/>
    <n v="2"/>
    <x v="1"/>
    <n v="1619022.6"/>
    <n v="1619022.6"/>
    <n v="1.6190226000000001"/>
    <n v="1.6190226000000001"/>
  </r>
  <r>
    <s v="MX"/>
    <x v="0"/>
    <x v="0"/>
    <n v="22688725.593346398"/>
    <n v="22688725.593346398"/>
    <n v="13"/>
    <x v="1"/>
    <n v="30629779.551017638"/>
    <n v="30629779.551017638"/>
    <n v="30.629779551017638"/>
    <n v="30.629779551017638"/>
  </r>
  <r>
    <s v="MY"/>
    <x v="0"/>
    <x v="0"/>
    <n v="3683494.0357105201"/>
    <n v="1841747.0178552601"/>
    <n v="1"/>
    <x v="1"/>
    <n v="4972716.9482092028"/>
    <n v="2486358.4741046014"/>
    <n v="4.9727169482092028"/>
    <n v="2.4863584741046014"/>
  </r>
  <r>
    <s v="NG"/>
    <x v="0"/>
    <x v="0"/>
    <n v="1542234.419892"/>
    <n v="790117.20994600002"/>
    <n v="2"/>
    <x v="1"/>
    <n v="2082016.4668542002"/>
    <n v="1066658.2334271001"/>
    <n v="2.0820164668542001"/>
    <n v="1.0666582334271002"/>
  </r>
  <r>
    <s v="NL"/>
    <x v="0"/>
    <x v="0"/>
    <n v="51013102.484981701"/>
    <n v="43391627.5798162"/>
    <n v="23"/>
    <x v="1"/>
    <n v="68867688.354725301"/>
    <n v="58578697.232751876"/>
    <n v="68.867688354725303"/>
    <n v="58.578697232751878"/>
  </r>
  <r>
    <s v="NO"/>
    <x v="0"/>
    <x v="0"/>
    <n v="161170551.547867"/>
    <n v="93631415.333164901"/>
    <n v="17"/>
    <x v="1"/>
    <n v="217580244.58962047"/>
    <n v="126402410.69977263"/>
    <n v="217.58024458962046"/>
    <n v="126.40241069977263"/>
  </r>
  <r>
    <s v="NZ"/>
    <x v="0"/>
    <x v="0"/>
    <n v="9412113.3818318509"/>
    <n v="9412113.3818318509"/>
    <n v="11"/>
    <x v="1"/>
    <n v="12706353.065473"/>
    <n v="12706353.065473"/>
    <n v="12.706353065472999"/>
    <n v="12.706353065472999"/>
  </r>
  <r>
    <s v="PA"/>
    <x v="0"/>
    <x v="0"/>
    <n v="8016098.6176085696"/>
    <n v="8016098.6176085696"/>
    <n v="7"/>
    <x v="1"/>
    <n v="10821733.13377157"/>
    <n v="10821733.13377157"/>
    <n v="10.82173313377157"/>
    <n v="10.82173313377157"/>
  </r>
  <r>
    <s v="PE"/>
    <x v="0"/>
    <x v="0"/>
    <n v="147443397.54639"/>
    <n v="114492018.532066"/>
    <n v="40"/>
    <x v="1"/>
    <n v="199048586.68762651"/>
    <n v="154564225.01828912"/>
    <n v="199.04858668762651"/>
    <n v="154.56422501828911"/>
  </r>
  <r>
    <s v="PH"/>
    <x v="0"/>
    <x v="0"/>
    <n v="169226.37223785001"/>
    <n v="84613.186118925005"/>
    <n v="1"/>
    <x v="1"/>
    <n v="228455.60252109752"/>
    <n v="114227.80126054876"/>
    <n v="0.22845560252109753"/>
    <n v="0.11422780126054877"/>
  </r>
  <r>
    <s v="PL"/>
    <x v="0"/>
    <x v="0"/>
    <n v="11831807.3236029"/>
    <n v="11831807.3236029"/>
    <n v="6"/>
    <x v="1"/>
    <n v="15972939.886863915"/>
    <n v="15972939.886863915"/>
    <n v="15.972939886863916"/>
    <n v="15.972939886863916"/>
  </r>
  <r>
    <s v="PR"/>
    <x v="0"/>
    <x v="0"/>
    <n v="5830505.3024263196"/>
    <n v="5830505.3024263196"/>
    <n v="2"/>
    <x v="1"/>
    <n v="7871182.1582755316"/>
    <n v="7871182.1582755316"/>
    <n v="7.8711821582755315"/>
    <n v="7.8711821582755315"/>
  </r>
  <r>
    <s v="PT"/>
    <x v="0"/>
    <x v="0"/>
    <n v="115973936.62573101"/>
    <n v="49767654.610696599"/>
    <n v="12"/>
    <x v="1"/>
    <n v="156564814.44473687"/>
    <n v="67186333.724440411"/>
    <n v="156.56481444473687"/>
    <n v="67.186333724440416"/>
  </r>
  <r>
    <s v="QA"/>
    <x v="0"/>
    <x v="0"/>
    <n v="389545.22561635898"/>
    <n v="388426.247790655"/>
    <n v="2"/>
    <x v="1"/>
    <n v="525886.05458208465"/>
    <n v="524375.43451738427"/>
    <n v="0.52588605458208459"/>
    <n v="0.52437543451738422"/>
  </r>
  <r>
    <s v="RO"/>
    <x v="0"/>
    <x v="0"/>
    <n v="4000"/>
    <n v="4000"/>
    <n v="1"/>
    <x v="1"/>
    <n v="5400"/>
    <n v="5400"/>
    <n v="5.4000000000000003E-3"/>
    <n v="5.4000000000000003E-3"/>
  </r>
  <r>
    <s v="SA"/>
    <x v="0"/>
    <x v="0"/>
    <n v="12947615.8636562"/>
    <n v="6483807.9318281002"/>
    <n v="2"/>
    <x v="1"/>
    <n v="17479281.41593587"/>
    <n v="8753140.7079679351"/>
    <n v="17.479281415935869"/>
    <n v="8.7531407079679351"/>
  </r>
  <r>
    <s v="SC"/>
    <x v="0"/>
    <x v="0"/>
    <n v="485674.04744355398"/>
    <n v="242837.02372177699"/>
    <n v="1"/>
    <x v="1"/>
    <n v="655659.96404879796"/>
    <n v="327829.98202439898"/>
    <n v="0.65565996404879801"/>
    <n v="0.327829982024399"/>
  </r>
  <r>
    <s v="SE"/>
    <x v="0"/>
    <x v="0"/>
    <n v="2694309250.7946701"/>
    <n v="2430519956.7227502"/>
    <n v="462"/>
    <x v="1"/>
    <n v="3637317488.5728049"/>
    <n v="3281201941.5757132"/>
    <n v="3637.3174885728049"/>
    <n v="3281.2019415757131"/>
  </r>
  <r>
    <s v="SG"/>
    <x v="0"/>
    <x v="0"/>
    <n v="75340142.257757694"/>
    <n v="42846654.587549798"/>
    <n v="15"/>
    <x v="1"/>
    <n v="101709192.04797289"/>
    <n v="57842983.693192229"/>
    <n v="101.70919204797289"/>
    <n v="57.842983693192231"/>
  </r>
  <r>
    <s v="SK"/>
    <x v="0"/>
    <x v="0"/>
    <n v="7055894.3320447104"/>
    <n v="7055894.3320447104"/>
    <n v="2"/>
    <x v="1"/>
    <n v="9525457.3482603598"/>
    <n v="9525457.3482603598"/>
    <n v="9.5254573482603604"/>
    <n v="9.5254573482603604"/>
  </r>
  <r>
    <s v="SN"/>
    <x v="0"/>
    <x v="0"/>
    <n v="683280"/>
    <n v="341640"/>
    <n v="1"/>
    <x v="1"/>
    <n v="922428.00000000012"/>
    <n v="461214.00000000006"/>
    <n v="0.92242800000000014"/>
    <n v="0.46121400000000007"/>
  </r>
  <r>
    <s v="SV"/>
    <x v="0"/>
    <x v="0"/>
    <n v="2896398.3062320398"/>
    <n v="2896398.3062320398"/>
    <n v="4"/>
    <x v="1"/>
    <n v="3910137.7134132539"/>
    <n v="3910137.7134132539"/>
    <n v="3.910137713413254"/>
    <n v="3.910137713413254"/>
  </r>
  <r>
    <s v="TH"/>
    <x v="0"/>
    <x v="0"/>
    <n v="131620.51174054999"/>
    <n v="65810.255870274996"/>
    <n v="1"/>
    <x v="1"/>
    <n v="177687.6908497425"/>
    <n v="88843.845424871251"/>
    <n v="0.17768769084974251"/>
    <n v="8.8843845424871254E-2"/>
  </r>
  <r>
    <s v="TR"/>
    <x v="0"/>
    <x v="0"/>
    <n v="11289232.179395"/>
    <n v="7970496.3756073397"/>
    <n v="3"/>
    <x v="1"/>
    <n v="15240463.442183251"/>
    <n v="10760170.10706991"/>
    <n v="15.24046344218325"/>
    <n v="10.760170107069909"/>
  </r>
  <r>
    <s v="TW"/>
    <x v="0"/>
    <x v="0"/>
    <n v="2583834.2745195199"/>
    <n v="1352806.43114041"/>
    <n v="3"/>
    <x v="1"/>
    <n v="3488176.2706013522"/>
    <n v="1826288.6820395535"/>
    <n v="3.4881762706013522"/>
    <n v="1.8262886820395536"/>
  </r>
  <r>
    <s v="US"/>
    <x v="0"/>
    <x v="0"/>
    <n v="738973417.34851599"/>
    <n v="426252309.81766498"/>
    <n v="106"/>
    <x v="1"/>
    <n v="997614113.4204967"/>
    <n v="575440618.25384772"/>
    <n v="997.61411342049666"/>
    <n v="575.44061825384767"/>
  </r>
  <r>
    <s v="UY"/>
    <x v="0"/>
    <x v="0"/>
    <n v="4723077.2123527704"/>
    <n v="4723077.2123527704"/>
    <n v="3"/>
    <x v="1"/>
    <n v="6376154.2366762403"/>
    <n v="6376154.2366762403"/>
    <n v="6.37615423667624"/>
    <n v="6.37615423667624"/>
  </r>
  <r>
    <s v="VC"/>
    <x v="0"/>
    <x v="0"/>
    <n v="1800000"/>
    <n v="1800000"/>
    <n v="1"/>
    <x v="1"/>
    <n v="2430000"/>
    <n v="2430000"/>
    <n v="2.4300000000000002"/>
    <n v="2.4300000000000002"/>
  </r>
  <r>
    <s v="VN"/>
    <x v="0"/>
    <x v="0"/>
    <n v="11322"/>
    <n v="11322"/>
    <n v="1"/>
    <x v="1"/>
    <n v="15284.7"/>
    <n v="15284.7"/>
    <n v="1.52847E-2"/>
    <n v="1.52847E-2"/>
  </r>
  <r>
    <s v="ZA"/>
    <x v="0"/>
    <x v="0"/>
    <n v="161023016.795434"/>
    <n v="146142616.404347"/>
    <n v="26"/>
    <x v="1"/>
    <n v="217381072.6738359"/>
    <n v="197292532.14586848"/>
    <n v="217.38107267383592"/>
    <n v="197.29253214586848"/>
  </r>
  <r>
    <s v="AE"/>
    <x v="1"/>
    <x v="0"/>
    <n v="36000"/>
    <n v="36000"/>
    <n v="1"/>
    <x v="0"/>
    <n v="48600"/>
    <n v="48600"/>
    <n v="4.8599999999999997E-2"/>
    <n v="4.8599999999999997E-2"/>
  </r>
  <r>
    <s v="AU"/>
    <x v="1"/>
    <x v="0"/>
    <n v="108000"/>
    <n v="108000"/>
    <n v="1"/>
    <x v="0"/>
    <n v="145800"/>
    <n v="145800"/>
    <n v="0.14580000000000001"/>
    <n v="0.14580000000000001"/>
  </r>
  <r>
    <s v="CA"/>
    <x v="1"/>
    <x v="0"/>
    <n v="110000"/>
    <n v="110000"/>
    <n v="1"/>
    <x v="0"/>
    <n v="148500"/>
    <n v="148500"/>
    <n v="0.14849999999999999"/>
    <n v="0.14849999999999999"/>
  </r>
  <r>
    <s v="CO"/>
    <x v="1"/>
    <x v="0"/>
    <n v="185000"/>
    <n v="185000"/>
    <n v="1"/>
    <x v="0"/>
    <n v="249750.00000000003"/>
    <n v="249750.00000000003"/>
    <n v="0.24975000000000003"/>
    <n v="0.24975000000000003"/>
  </r>
  <r>
    <s v="IN"/>
    <x v="1"/>
    <x v="0"/>
    <n v="8000"/>
    <n v="8000"/>
    <n v="1"/>
    <x v="0"/>
    <n v="10800"/>
    <n v="10800"/>
    <n v="1.0800000000000001E-2"/>
    <n v="1.0800000000000001E-2"/>
  </r>
  <r>
    <s v="MX"/>
    <x v="1"/>
    <x v="0"/>
    <n v="200000"/>
    <n v="200000"/>
    <n v="1"/>
    <x v="0"/>
    <n v="270000"/>
    <n v="270000"/>
    <n v="0.27"/>
    <n v="0.27"/>
  </r>
  <r>
    <s v="SG"/>
    <x v="1"/>
    <x v="0"/>
    <n v="140000"/>
    <n v="140000"/>
    <n v="1"/>
    <x v="0"/>
    <n v="189000"/>
    <n v="189000"/>
    <n v="0.189"/>
    <n v="0.189"/>
  </r>
  <r>
    <s v="US"/>
    <x v="1"/>
    <x v="0"/>
    <n v="345000"/>
    <n v="345000"/>
    <n v="1"/>
    <x v="0"/>
    <n v="465750.00000000006"/>
    <n v="465750.00000000006"/>
    <n v="0.46575000000000005"/>
    <n v="0.46575000000000005"/>
  </r>
  <r>
    <s v="ZA"/>
    <x v="1"/>
    <x v="0"/>
    <n v="520000"/>
    <n v="520000"/>
    <n v="1"/>
    <x v="0"/>
    <n v="702000"/>
    <n v="702000"/>
    <n v="0.70199999999999996"/>
    <n v="0.70199999999999996"/>
  </r>
  <r>
    <s v="AE"/>
    <x v="1"/>
    <x v="0"/>
    <n v="36000"/>
    <n v="36000"/>
    <n v="1"/>
    <x v="1"/>
    <n v="48600"/>
    <n v="48600"/>
    <n v="4.8599999999999997E-2"/>
    <n v="4.8599999999999997E-2"/>
  </r>
  <r>
    <s v="AU"/>
    <x v="1"/>
    <x v="0"/>
    <n v="108000"/>
    <n v="108000"/>
    <n v="1"/>
    <x v="1"/>
    <n v="145800"/>
    <n v="145800"/>
    <n v="0.14580000000000001"/>
    <n v="0.14580000000000001"/>
  </r>
  <r>
    <s v="CA"/>
    <x v="1"/>
    <x v="0"/>
    <n v="110000"/>
    <n v="110000"/>
    <n v="1"/>
    <x v="1"/>
    <n v="148500"/>
    <n v="148500"/>
    <n v="0.14849999999999999"/>
    <n v="0.14849999999999999"/>
  </r>
  <r>
    <s v="CH"/>
    <x v="1"/>
    <x v="0"/>
    <n v="10994796.800000001"/>
    <n v="10994796.800000001"/>
    <n v="10"/>
    <x v="1"/>
    <n v="14842975.680000002"/>
    <n v="14842975.680000002"/>
    <n v="14.842975680000002"/>
    <n v="14.842975680000002"/>
  </r>
  <r>
    <s v="CO"/>
    <x v="1"/>
    <x v="0"/>
    <n v="185000"/>
    <n v="185000"/>
    <n v="1"/>
    <x v="1"/>
    <n v="249750.00000000003"/>
    <n v="249750.00000000003"/>
    <n v="0.24975000000000003"/>
    <n v="0.24975000000000003"/>
  </r>
  <r>
    <s v="GB"/>
    <x v="1"/>
    <x v="0"/>
    <n v="5578000"/>
    <n v="5578000"/>
    <n v="5"/>
    <x v="1"/>
    <n v="7530300.0000000009"/>
    <n v="7530300.0000000009"/>
    <n v="7.5303000000000013"/>
    <n v="7.5303000000000013"/>
  </r>
  <r>
    <s v="IN"/>
    <x v="1"/>
    <x v="0"/>
    <n v="8000"/>
    <n v="8000"/>
    <n v="1"/>
    <x v="1"/>
    <n v="10800"/>
    <n v="10800"/>
    <n v="1.0800000000000001E-2"/>
    <n v="1.0800000000000001E-2"/>
  </r>
  <r>
    <s v="MX"/>
    <x v="1"/>
    <x v="0"/>
    <n v="200000"/>
    <n v="200000"/>
    <n v="1"/>
    <x v="1"/>
    <n v="270000"/>
    <n v="270000"/>
    <n v="0.27"/>
    <n v="0.27"/>
  </r>
  <r>
    <s v="SG"/>
    <x v="1"/>
    <x v="0"/>
    <n v="212000"/>
    <n v="212000"/>
    <n v="2"/>
    <x v="1"/>
    <n v="286200"/>
    <n v="286200"/>
    <n v="0.28620000000000001"/>
    <n v="0.28620000000000001"/>
  </r>
  <r>
    <s v="US"/>
    <x v="1"/>
    <x v="0"/>
    <n v="2462700"/>
    <n v="2462700"/>
    <n v="3"/>
    <x v="1"/>
    <n v="3324645"/>
    <n v="3324645"/>
    <n v="3.3246449999999999"/>
    <n v="3.3246449999999999"/>
  </r>
  <r>
    <s v="ZA"/>
    <x v="1"/>
    <x v="0"/>
    <n v="520000"/>
    <n v="520000"/>
    <n v="1"/>
    <x v="1"/>
    <n v="702000"/>
    <n v="702000"/>
    <n v="0.70199999999999996"/>
    <n v="0.70199999999999996"/>
  </r>
  <r>
    <s v="AE"/>
    <x v="2"/>
    <x v="0"/>
    <n v="55056"/>
    <n v="55056"/>
    <n v="1"/>
    <x v="0"/>
    <n v="74325.600000000006"/>
    <n v="74325.600000000006"/>
    <n v="7.4325600000000006E-2"/>
    <n v="7.4325600000000006E-2"/>
  </r>
  <r>
    <s v="GB"/>
    <x v="2"/>
    <x v="0"/>
    <n v="7099946"/>
    <n v="7099946"/>
    <n v="15"/>
    <x v="0"/>
    <n v="9584927.1000000015"/>
    <n v="9584927.1000000015"/>
    <n v="9.5849271000000016"/>
    <n v="9.5849271000000016"/>
  </r>
  <r>
    <s v="GI"/>
    <x v="2"/>
    <x v="0"/>
    <n v="1314558"/>
    <n v="1314558"/>
    <n v="3"/>
    <x v="0"/>
    <n v="1774653.3"/>
    <n v="1774653.3"/>
    <n v="1.7746533"/>
    <n v="1.7746533"/>
  </r>
  <r>
    <s v="IM"/>
    <x v="2"/>
    <x v="0"/>
    <n v="4434700"/>
    <n v="4434700"/>
    <n v="1"/>
    <x v="0"/>
    <n v="5986845"/>
    <n v="5986845"/>
    <n v="5.9868449999999998"/>
    <n v="5.9868449999999998"/>
  </r>
  <r>
    <s v="JE"/>
    <x v="2"/>
    <x v="0"/>
    <n v="2156533.2000000002"/>
    <n v="2156533.2000000002"/>
    <n v="6"/>
    <x v="0"/>
    <n v="2911319.8200000003"/>
    <n v="2911319.8200000003"/>
    <n v="2.9113198200000001"/>
    <n v="2.9113198200000001"/>
  </r>
  <r>
    <s v="PK"/>
    <x v="2"/>
    <x v="0"/>
    <n v="17013.2"/>
    <n v="17013.2"/>
    <n v="1"/>
    <x v="0"/>
    <n v="22967.820000000003"/>
    <n v="22967.820000000003"/>
    <n v="2.2967820000000003E-2"/>
    <n v="2.2967820000000003E-2"/>
  </r>
  <r>
    <s v="SG"/>
    <x v="2"/>
    <x v="0"/>
    <n v="255000"/>
    <n v="255000"/>
    <n v="1"/>
    <x v="0"/>
    <n v="344250"/>
    <n v="344250"/>
    <n v="0.34425"/>
    <n v="0.34425"/>
  </r>
  <r>
    <s v="US"/>
    <x v="2"/>
    <x v="0"/>
    <n v="101000"/>
    <n v="101000"/>
    <n v="1"/>
    <x v="0"/>
    <n v="136350"/>
    <n v="136350"/>
    <n v="0.13635"/>
    <n v="0.13635"/>
  </r>
  <r>
    <s v="AU"/>
    <x v="2"/>
    <x v="0"/>
    <n v="151000"/>
    <n v="151000"/>
    <n v="3"/>
    <x v="1"/>
    <n v="203850"/>
    <n v="203850"/>
    <n v="0.20385"/>
    <n v="0.20385"/>
  </r>
  <r>
    <s v="CA"/>
    <x v="2"/>
    <x v="0"/>
    <n v="212000"/>
    <n v="212000"/>
    <n v="1"/>
    <x v="1"/>
    <n v="286200"/>
    <n v="286200"/>
    <n v="0.28620000000000001"/>
    <n v="0.28620000000000001"/>
  </r>
  <r>
    <s v="CH"/>
    <x v="2"/>
    <x v="0"/>
    <n v="218400"/>
    <n v="218400"/>
    <n v="1"/>
    <x v="1"/>
    <n v="294840"/>
    <n v="294840"/>
    <n v="0.29483999999999999"/>
    <n v="0.29483999999999999"/>
  </r>
  <r>
    <s v="GB"/>
    <x v="2"/>
    <x v="0"/>
    <n v="121287644939.62"/>
    <n v="121287644939.62"/>
    <n v="173171"/>
    <x v="1"/>
    <n v="163738320668.487"/>
    <n v="163738320668.487"/>
    <n v="163738.32066848699"/>
    <n v="163738.32066848699"/>
  </r>
  <r>
    <s v="GG"/>
    <x v="2"/>
    <x v="0"/>
    <n v="88198734.980000004"/>
    <n v="88198734.980000004"/>
    <n v="67"/>
    <x v="1"/>
    <n v="119068292.22300002"/>
    <n v="119068292.22300002"/>
    <n v="119.06829222300001"/>
    <n v="119.06829222300001"/>
  </r>
  <r>
    <s v="GI"/>
    <x v="2"/>
    <x v="0"/>
    <n v="2806992"/>
    <n v="2806992"/>
    <n v="4"/>
    <x v="1"/>
    <n v="3789439.2"/>
    <n v="3789439.2"/>
    <n v="3.7894392000000003"/>
    <n v="3.7894392000000003"/>
  </r>
  <r>
    <s v="HK"/>
    <x v="2"/>
    <x v="0"/>
    <n v="96000"/>
    <n v="96000"/>
    <n v="2"/>
    <x v="1"/>
    <n v="129600.00000000001"/>
    <n v="129600.00000000001"/>
    <n v="0.12960000000000002"/>
    <n v="0.12960000000000002"/>
  </r>
  <r>
    <s v="IM"/>
    <x v="2"/>
    <x v="0"/>
    <n v="198726910.06999999"/>
    <n v="198726910.06999999"/>
    <n v="184"/>
    <x v="1"/>
    <n v="268281328.59450001"/>
    <n v="268281328.59450001"/>
    <n v="268.2813285945"/>
    <n v="268.2813285945"/>
  </r>
  <r>
    <s v="IN"/>
    <x v="2"/>
    <x v="0"/>
    <n v="94000"/>
    <n v="94000"/>
    <n v="1"/>
    <x v="1"/>
    <n v="126900.00000000001"/>
    <n v="126900.00000000001"/>
    <n v="0.12690000000000001"/>
    <n v="0.12690000000000001"/>
  </r>
  <r>
    <s v="JE"/>
    <x v="2"/>
    <x v="0"/>
    <n v="123050348.81"/>
    <n v="123050348.81"/>
    <n v="179"/>
    <x v="1"/>
    <n v="166117970.8935"/>
    <n v="166117970.8935"/>
    <n v="166.1179708935"/>
    <n v="166.1179708935"/>
  </r>
  <r>
    <s v="JP"/>
    <x v="2"/>
    <x v="0"/>
    <n v="276000"/>
    <n v="276000"/>
    <n v="2"/>
    <x v="1"/>
    <n v="372600"/>
    <n v="372600"/>
    <n v="0.37259999999999999"/>
    <n v="0.37259999999999999"/>
  </r>
  <r>
    <s v="MK"/>
    <x v="2"/>
    <x v="0"/>
    <n v="109000"/>
    <n v="109000"/>
    <n v="1"/>
    <x v="1"/>
    <n v="147150"/>
    <n v="147150"/>
    <n v="0.14715"/>
    <n v="0.14715"/>
  </r>
  <r>
    <s v="SG"/>
    <x v="2"/>
    <x v="0"/>
    <n v="952584"/>
    <n v="952584"/>
    <n v="5"/>
    <x v="1"/>
    <n v="1285988.4000000001"/>
    <n v="1285988.4000000001"/>
    <n v="1.2859884000000001"/>
    <n v="1.2859884000000001"/>
  </r>
  <r>
    <s v="TH"/>
    <x v="2"/>
    <x v="0"/>
    <n v="20000"/>
    <n v="20000"/>
    <n v="1"/>
    <x v="1"/>
    <n v="27000"/>
    <n v="27000"/>
    <n v="2.7E-2"/>
    <n v="2.7E-2"/>
  </r>
  <r>
    <s v="TW"/>
    <x v="2"/>
    <x v="0"/>
    <n v="275000"/>
    <n v="275000"/>
    <n v="1"/>
    <x v="1"/>
    <n v="371250"/>
    <n v="371250"/>
    <n v="0.37125000000000002"/>
    <n v="0.37125000000000002"/>
  </r>
  <r>
    <s v="US"/>
    <x v="2"/>
    <x v="0"/>
    <n v="22746034"/>
    <n v="22746034"/>
    <n v="32"/>
    <x v="1"/>
    <n v="30707145.900000002"/>
    <n v="30707145.900000002"/>
    <n v="30.707145900000004"/>
    <n v="30.707145900000004"/>
  </r>
  <r>
    <s v="ZA"/>
    <x v="2"/>
    <x v="0"/>
    <n v="2075560"/>
    <n v="2075560"/>
    <n v="3"/>
    <x v="1"/>
    <n v="2802006"/>
    <n v="2802006"/>
    <n v="2.802006"/>
    <n v="2.802006"/>
  </r>
  <r>
    <s v="AE"/>
    <x v="3"/>
    <x v="0"/>
    <n v="719040.53024263296"/>
    <n v="719040.53024263296"/>
    <n v="1"/>
    <x v="0"/>
    <n v="970704.71582755458"/>
    <n v="970704.71582755458"/>
    <n v="0.97070471582755458"/>
    <n v="0.97070471582755458"/>
  </r>
  <r>
    <s v="BE"/>
    <x v="3"/>
    <x v="0"/>
    <n v="5588088.6783495499"/>
    <n v="5588088.6783495499"/>
    <n v="2"/>
    <x v="0"/>
    <n v="7543919.715771893"/>
    <n v="7543919.715771893"/>
    <n v="7.5439197157718931"/>
    <n v="7.5439197157718931"/>
  </r>
  <r>
    <s v="BR"/>
    <x v="3"/>
    <x v="0"/>
    <n v="28548158.064952798"/>
    <n v="27781750.628017802"/>
    <n v="3"/>
    <x v="0"/>
    <n v="38540013.387686282"/>
    <n v="37505363.347824037"/>
    <n v="38.54001338768628"/>
    <n v="37.505363347824037"/>
  </r>
  <r>
    <s v="CH"/>
    <x v="3"/>
    <x v="0"/>
    <n v="143985858.39507201"/>
    <n v="75833109.031291798"/>
    <n v="5"/>
    <x v="0"/>
    <n v="194380908.83334723"/>
    <n v="102374697.19224393"/>
    <n v="194.38090883334723"/>
    <n v="102.37469719224393"/>
  </r>
  <r>
    <s v="CO"/>
    <x v="3"/>
    <x v="0"/>
    <n v="1016712.0444050001"/>
    <n v="1016712.0444050001"/>
    <n v="1"/>
    <x v="0"/>
    <n v="1372561.2599467502"/>
    <n v="1372561.2599467502"/>
    <n v="1.3725612599467503"/>
    <n v="1.3725612599467503"/>
  </r>
  <r>
    <s v="ES"/>
    <x v="3"/>
    <x v="0"/>
    <n v="24551141.812452"/>
    <n v="24551141.812452"/>
    <n v="2"/>
    <x v="0"/>
    <n v="33144041.446810201"/>
    <n v="33144041.446810201"/>
    <n v="33.144041446810199"/>
    <n v="33.144041446810199"/>
  </r>
  <r>
    <s v="FR"/>
    <x v="3"/>
    <x v="0"/>
    <n v="55746827.551567502"/>
    <n v="31311597.9982449"/>
    <n v="4"/>
    <x v="0"/>
    <n v="75258217.194616139"/>
    <n v="42270657.297630616"/>
    <n v="75.258217194616137"/>
    <n v="42.270657297630613"/>
  </r>
  <r>
    <s v="GB"/>
    <x v="3"/>
    <x v="0"/>
    <n v="148840795.211043"/>
    <n v="75714983.240083203"/>
    <n v="5"/>
    <x v="0"/>
    <n v="200935073.53490806"/>
    <n v="102215227.37411234"/>
    <n v="200.93507353490804"/>
    <n v="102.21522737411233"/>
  </r>
  <r>
    <s v="GR"/>
    <x v="3"/>
    <x v="0"/>
    <n v="18549221.216549501"/>
    <n v="18549221.216549501"/>
    <n v="1"/>
    <x v="0"/>
    <n v="25041448.642341826"/>
    <n v="25041448.642341826"/>
    <n v="25.041448642341827"/>
    <n v="25.041448642341827"/>
  </r>
  <r>
    <s v="IL"/>
    <x v="3"/>
    <x v="0"/>
    <n v="973635.31152694696"/>
    <n v="973635.31152694696"/>
    <n v="1"/>
    <x v="0"/>
    <n v="1314407.6705613786"/>
    <n v="1314407.6705613786"/>
    <n v="1.3144076705613785"/>
    <n v="1.3144076705613785"/>
  </r>
  <r>
    <s v="IT"/>
    <x v="3"/>
    <x v="0"/>
    <n v="20857103.5460032"/>
    <n v="11670743.943722799"/>
    <n v="3"/>
    <x v="0"/>
    <n v="28157089.787104324"/>
    <n v="15755504.32402578"/>
    <n v="28.157089787104322"/>
    <n v="15.755504324025781"/>
  </r>
  <r>
    <s v="LB"/>
    <x v="3"/>
    <x v="0"/>
    <n v="1127054.33294724"/>
    <n v="1127054.33294724"/>
    <n v="2"/>
    <x v="0"/>
    <n v="1521523.349478774"/>
    <n v="1521523.349478774"/>
    <n v="1.5215233494787741"/>
    <n v="1.5215233494787741"/>
  </r>
  <r>
    <s v="MC"/>
    <x v="3"/>
    <x v="0"/>
    <n v="56759921.178116404"/>
    <n v="28379960.589058202"/>
    <n v="1"/>
    <x v="0"/>
    <n v="76625893.590457156"/>
    <n v="38312946.795228578"/>
    <n v="76.625893590457153"/>
    <n v="38.312946795228576"/>
  </r>
  <r>
    <s v="MX"/>
    <x v="3"/>
    <x v="0"/>
    <n v="16448885.4299854"/>
    <n v="16448885.4299854"/>
    <n v="3"/>
    <x v="0"/>
    <n v="22205995.330480292"/>
    <n v="22205995.330480292"/>
    <n v="22.205995330480292"/>
    <n v="22.205995330480292"/>
  </r>
  <r>
    <s v="PA"/>
    <x v="3"/>
    <x v="0"/>
    <n v="22262.669414401498"/>
    <n v="22262.669414401498"/>
    <n v="1"/>
    <x v="0"/>
    <n v="30054.603709442024"/>
    <n v="30054.603709442024"/>
    <n v="3.0054603709442025E-2"/>
    <n v="3.0054603709442025E-2"/>
  </r>
  <r>
    <s v="US"/>
    <x v="3"/>
    <x v="0"/>
    <n v="175292598.767708"/>
    <n v="87273963.569168001"/>
    <n v="20"/>
    <x v="0"/>
    <n v="236645008.33640581"/>
    <n v="117819850.81837681"/>
    <n v="236.64500833640582"/>
    <n v="117.81985081837681"/>
  </r>
  <r>
    <s v="AE"/>
    <x v="3"/>
    <x v="0"/>
    <n v="787078520.08497202"/>
    <n v="787078520.08497202"/>
    <n v="279"/>
    <x v="1"/>
    <n v="1062556002.1147124"/>
    <n v="1062556002.1147124"/>
    <n v="1062.5560021147123"/>
    <n v="1062.5560021147123"/>
  </r>
  <r>
    <s v="AR"/>
    <x v="3"/>
    <x v="0"/>
    <n v="220017634.19884399"/>
    <n v="140477801.933956"/>
    <n v="43"/>
    <x v="1"/>
    <n v="297023806.16843939"/>
    <n v="189645032.61084062"/>
    <n v="297.02380616843936"/>
    <n v="189.64503261084062"/>
  </r>
  <r>
    <s v="AT"/>
    <x v="3"/>
    <x v="0"/>
    <n v="10975035.9495856"/>
    <n v="10975035.9495856"/>
    <n v="5"/>
    <x v="1"/>
    <n v="14816298.531940561"/>
    <n v="14816298.531940561"/>
    <n v="14.816298531940561"/>
    <n v="14.816298531940561"/>
  </r>
  <r>
    <s v="BE"/>
    <x v="3"/>
    <x v="0"/>
    <n v="178447830.56103799"/>
    <n v="166364677.927349"/>
    <n v="46"/>
    <x v="1"/>
    <n v="240904571.25740129"/>
    <n v="224592315.20192116"/>
    <n v="240.9045712574013"/>
    <n v="224.59231520192117"/>
  </r>
  <r>
    <s v="BH"/>
    <x v="3"/>
    <x v="0"/>
    <n v="36117049.745032303"/>
    <n v="18058524.872516099"/>
    <n v="1"/>
    <x v="1"/>
    <n v="48758017.155793615"/>
    <n v="24379008.577896737"/>
    <n v="48.758017155793617"/>
    <n v="24.379008577896737"/>
  </r>
  <r>
    <s v="BL"/>
    <x v="3"/>
    <x v="0"/>
    <n v="63704.327682426003"/>
    <n v="63704.327682426003"/>
    <n v="1"/>
    <x v="1"/>
    <n v="86000.84237127511"/>
    <n v="86000.84237127511"/>
    <n v="8.6000842371275116E-2"/>
    <n v="8.6000842371275116E-2"/>
  </r>
  <r>
    <s v="BM"/>
    <x v="3"/>
    <x v="0"/>
    <n v="1854336.6371335201"/>
    <n v="1854336.6371335201"/>
    <n v="3"/>
    <x v="1"/>
    <n v="2503354.4601302524"/>
    <n v="2503354.4601302524"/>
    <n v="2.5033544601302524"/>
    <n v="2.5033544601302524"/>
  </r>
  <r>
    <s v="BN"/>
    <x v="3"/>
    <x v="0"/>
    <n v="510902.81141413102"/>
    <n v="510902.81141413102"/>
    <n v="1"/>
    <x v="1"/>
    <n v="689718.79540907696"/>
    <n v="689718.79540907696"/>
    <n v="0.68971879540907699"/>
    <n v="0.68971879540907699"/>
  </r>
  <r>
    <s v="BR"/>
    <x v="3"/>
    <x v="0"/>
    <n v="104350136.503858"/>
    <n v="90186641.264760301"/>
    <n v="34"/>
    <x v="1"/>
    <n v="140872684.28020832"/>
    <n v="121751965.70742641"/>
    <n v="140.87268428020832"/>
    <n v="121.75196570742641"/>
  </r>
  <r>
    <s v="BS"/>
    <x v="3"/>
    <x v="0"/>
    <n v="307121.14469982998"/>
    <n v="307121.14469982998"/>
    <n v="4"/>
    <x v="1"/>
    <n v="414613.54534477048"/>
    <n v="414613.54534477048"/>
    <n v="0.41461354534477046"/>
    <n v="0.41461354534477046"/>
  </r>
  <r>
    <s v="CA"/>
    <x v="3"/>
    <x v="0"/>
    <n v="7558346.1603288203"/>
    <n v="7558346.1603288203"/>
    <n v="4"/>
    <x v="1"/>
    <n v="10203767.316443909"/>
    <n v="10203767.316443909"/>
    <n v="10.203767316443908"/>
    <n v="10.203767316443908"/>
  </r>
  <r>
    <s v="CH"/>
    <x v="3"/>
    <x v="0"/>
    <n v="647581192.39024401"/>
    <n v="477046168.95240599"/>
    <n v="128"/>
    <x v="1"/>
    <n v="874234609.72682941"/>
    <n v="644012328.08574808"/>
    <n v="874.23460972682938"/>
    <n v="644.01232808574809"/>
  </r>
  <r>
    <s v="CL"/>
    <x v="3"/>
    <x v="0"/>
    <n v="33744152.288692698"/>
    <n v="19865822.289745599"/>
    <n v="7"/>
    <x v="1"/>
    <n v="45554605.589735143"/>
    <n v="26818860.091156561"/>
    <n v="45.554605589735139"/>
    <n v="26.818860091156562"/>
  </r>
  <r>
    <s v="CN"/>
    <x v="3"/>
    <x v="0"/>
    <n v="2901471.14126265"/>
    <n v="2901471.14126265"/>
    <n v="10"/>
    <x v="1"/>
    <n v="3916986.0407045777"/>
    <n v="3916986.0407045777"/>
    <n v="3.9169860407045776"/>
    <n v="3.9169860407045776"/>
  </r>
  <r>
    <s v="CO"/>
    <x v="3"/>
    <x v="0"/>
    <n v="26631650.897275802"/>
    <n v="26631650.897275802"/>
    <n v="20"/>
    <x v="1"/>
    <n v="35952728.711322337"/>
    <n v="35952728.711322337"/>
    <n v="35.952728711322337"/>
    <n v="35.952728711322337"/>
  </r>
  <r>
    <s v="CR"/>
    <x v="3"/>
    <x v="0"/>
    <n v="4187036.50776937"/>
    <n v="4187036.50776937"/>
    <n v="3"/>
    <x v="1"/>
    <n v="5652499.2854886502"/>
    <n v="5652499.2854886502"/>
    <n v="5.6524992854886502"/>
    <n v="5.6524992854886502"/>
  </r>
  <r>
    <s v="CY"/>
    <x v="3"/>
    <x v="0"/>
    <n v="13452560.008874999"/>
    <n v="13452560.008874999"/>
    <n v="3"/>
    <x v="1"/>
    <n v="18160956.011981249"/>
    <n v="18160956.011981249"/>
    <n v="18.160956011981249"/>
    <n v="18.160956011981249"/>
  </r>
  <r>
    <s v="CZ"/>
    <x v="3"/>
    <x v="0"/>
    <n v="2316867.8928684201"/>
    <n v="2316867.8928684201"/>
    <n v="2"/>
    <x v="1"/>
    <n v="3127771.6553723672"/>
    <n v="3127771.6553723672"/>
    <n v="3.1277716553723671"/>
    <n v="3.1277716553723671"/>
  </r>
  <r>
    <s v="DE"/>
    <x v="3"/>
    <x v="0"/>
    <n v="78023232.816889495"/>
    <n v="63972400.975255303"/>
    <n v="25"/>
    <x v="1"/>
    <n v="105331364.30280082"/>
    <n v="86362741.31659466"/>
    <n v="105.33136430280082"/>
    <n v="86.362741316594665"/>
  </r>
  <r>
    <s v="DK"/>
    <x v="3"/>
    <x v="0"/>
    <n v="915059.83491027297"/>
    <n v="915059.83491027297"/>
    <n v="2"/>
    <x v="1"/>
    <n v="1235330.7771288685"/>
    <n v="1235330.7771288685"/>
    <n v="1.2353307771288684"/>
    <n v="1.2353307771288684"/>
  </r>
  <r>
    <s v="DO"/>
    <x v="3"/>
    <x v="0"/>
    <n v="31309524.303163402"/>
    <n v="31309524.303163402"/>
    <n v="4"/>
    <x v="1"/>
    <n v="42267857.809270598"/>
    <n v="42267857.809270598"/>
    <n v="42.267857809270595"/>
    <n v="42.267857809270595"/>
  </r>
  <r>
    <s v="EC"/>
    <x v="3"/>
    <x v="0"/>
    <n v="2710341.91248364"/>
    <n v="2710341.91248364"/>
    <n v="5"/>
    <x v="1"/>
    <n v="3658961.5818529143"/>
    <n v="3658961.5818529143"/>
    <n v="3.6589615818529144"/>
    <n v="3.6589615818529144"/>
  </r>
  <r>
    <s v="ES"/>
    <x v="3"/>
    <x v="0"/>
    <n v="140190949.741963"/>
    <n v="132146400.356067"/>
    <n v="53"/>
    <x v="1"/>
    <n v="189257782.15165007"/>
    <n v="178397640.48069045"/>
    <n v="189.25778215165008"/>
    <n v="178.39764048069046"/>
  </r>
  <r>
    <s v="FI"/>
    <x v="3"/>
    <x v="0"/>
    <n v="311280.25391476997"/>
    <n v="311280.25391476997"/>
    <n v="2"/>
    <x v="1"/>
    <n v="420228.34278493951"/>
    <n v="420228.34278493951"/>
    <n v="0.42022834278493953"/>
    <n v="0.42022834278493953"/>
  </r>
  <r>
    <s v="FR"/>
    <x v="3"/>
    <x v="0"/>
    <n v="1194735297.7703199"/>
    <n v="899813220.698107"/>
    <n v="242"/>
    <x v="1"/>
    <n v="1612892651.9899321"/>
    <n v="1214747847.9424446"/>
    <n v="1612.8926519899321"/>
    <n v="1214.7478479424447"/>
  </r>
  <r>
    <s v="GB"/>
    <x v="3"/>
    <x v="0"/>
    <n v="1251298742.3322501"/>
    <n v="989829977.23415601"/>
    <n v="267"/>
    <x v="1"/>
    <n v="1689253302.1485379"/>
    <n v="1336270469.2661107"/>
    <n v="1689.2533021485378"/>
    <n v="1336.2704692661107"/>
  </r>
  <r>
    <s v="GI"/>
    <x v="3"/>
    <x v="0"/>
    <n v="64893037.650987498"/>
    <n v="32446518.825493701"/>
    <n v="1"/>
    <x v="1"/>
    <n v="87605600.828833133"/>
    <n v="43802800.414416499"/>
    <n v="87.605600828833133"/>
    <n v="43.802800414416502"/>
  </r>
  <r>
    <s v="GR"/>
    <x v="3"/>
    <x v="0"/>
    <n v="137250550.60093999"/>
    <n v="118380197.04944301"/>
    <n v="29"/>
    <x v="1"/>
    <n v="185288243.31126899"/>
    <n v="159813266.01674807"/>
    <n v="185.28824331126899"/>
    <n v="159.81326601674806"/>
  </r>
  <r>
    <s v="GT"/>
    <x v="3"/>
    <x v="0"/>
    <n v="31380321.6053189"/>
    <n v="31380321.6053189"/>
    <n v="4"/>
    <x v="1"/>
    <n v="42363434.167180516"/>
    <n v="42363434.167180516"/>
    <n v="42.363434167180515"/>
    <n v="42.363434167180515"/>
  </r>
  <r>
    <s v="HK"/>
    <x v="3"/>
    <x v="0"/>
    <n v="39769245.259781301"/>
    <n v="30005127.267633401"/>
    <n v="13"/>
    <x v="1"/>
    <n v="53688481.100704759"/>
    <n v="40506921.811305091"/>
    <n v="53.688481100704756"/>
    <n v="40.506921811305091"/>
  </r>
  <r>
    <s v="HU"/>
    <x v="3"/>
    <x v="0"/>
    <n v="3708462.3427698901"/>
    <n v="3708462.3427698901"/>
    <n v="2"/>
    <x v="1"/>
    <n v="5006424.1627393523"/>
    <n v="5006424.1627393523"/>
    <n v="5.0064241627393526"/>
    <n v="5.0064241627393526"/>
  </r>
  <r>
    <s v="IE"/>
    <x v="3"/>
    <x v="0"/>
    <n v="9256595.0065659806"/>
    <n v="9256595.0065659806"/>
    <n v="3"/>
    <x v="1"/>
    <n v="12496403.258864075"/>
    <n v="12496403.258864075"/>
    <n v="12.496403258864074"/>
    <n v="12.496403258864074"/>
  </r>
  <r>
    <s v="IL"/>
    <x v="3"/>
    <x v="0"/>
    <n v="23608335.4438469"/>
    <n v="23608335.4438469"/>
    <n v="23"/>
    <x v="1"/>
    <n v="31871252.849193316"/>
    <n v="31871252.849193316"/>
    <n v="31.871252849193315"/>
    <n v="31.871252849193315"/>
  </r>
  <r>
    <s v="IN"/>
    <x v="3"/>
    <x v="0"/>
    <n v="113009.371380435"/>
    <n v="113009.371380435"/>
    <n v="1"/>
    <x v="1"/>
    <n v="152562.65136358727"/>
    <n v="152562.65136358727"/>
    <n v="0.15256265136358726"/>
    <n v="0.15256265136358726"/>
  </r>
  <r>
    <s v="IS"/>
    <x v="3"/>
    <x v="0"/>
    <n v="220671.18939815601"/>
    <n v="220671.18939815601"/>
    <n v="1"/>
    <x v="1"/>
    <n v="297906.10568751063"/>
    <n v="297906.10568751063"/>
    <n v="0.29790610568751064"/>
    <n v="0.29790610568751064"/>
  </r>
  <r>
    <s v="IT"/>
    <x v="3"/>
    <x v="0"/>
    <n v="324243751.586941"/>
    <n v="233175880.16769499"/>
    <n v="84"/>
    <x v="1"/>
    <n v="437729064.6423704"/>
    <n v="314787438.22638828"/>
    <n v="437.72906464237042"/>
    <n v="314.7874382263883"/>
  </r>
  <r>
    <s v="JE"/>
    <x v="3"/>
    <x v="0"/>
    <n v="8328826.5467290403"/>
    <n v="8328826.5467290403"/>
    <n v="2"/>
    <x v="1"/>
    <n v="11243915.838084206"/>
    <n v="11243915.838084206"/>
    <n v="11.243915838084206"/>
    <n v="11.243915838084206"/>
  </r>
  <r>
    <s v="JO"/>
    <x v="3"/>
    <x v="0"/>
    <n v="25251.314926518098"/>
    <n v="25251.314926518098"/>
    <n v="1"/>
    <x v="1"/>
    <n v="34089.275150799433"/>
    <n v="34089.275150799433"/>
    <n v="3.4089275150799431E-2"/>
    <n v="3.4089275150799431E-2"/>
  </r>
  <r>
    <s v="JP"/>
    <x v="3"/>
    <x v="0"/>
    <n v="183525417.04899299"/>
    <n v="107035050.91833501"/>
    <n v="42"/>
    <x v="1"/>
    <n v="247759313.01614055"/>
    <n v="144497318.73975226"/>
    <n v="247.75931301614054"/>
    <n v="144.49731873975227"/>
  </r>
  <r>
    <s v="KE"/>
    <x v="3"/>
    <x v="0"/>
    <n v="200905.54912077499"/>
    <n v="200905.54912077499"/>
    <n v="1"/>
    <x v="1"/>
    <n v="271222.49131304625"/>
    <n v="271222.49131304625"/>
    <n v="0.27122249131304627"/>
    <n v="0.27122249131304627"/>
  </r>
  <r>
    <s v="KR"/>
    <x v="3"/>
    <x v="0"/>
    <n v="13972198.7394515"/>
    <n v="13972198.7394515"/>
    <n v="22"/>
    <x v="1"/>
    <n v="18862468.298259526"/>
    <n v="18862468.298259526"/>
    <n v="18.862468298259525"/>
    <n v="18.862468298259525"/>
  </r>
  <r>
    <s v="LB"/>
    <x v="3"/>
    <x v="0"/>
    <n v="25744511.735059202"/>
    <n v="25744511.735059202"/>
    <n v="8"/>
    <x v="1"/>
    <n v="34755090.842329927"/>
    <n v="34755090.842329927"/>
    <n v="34.755090842329928"/>
    <n v="34.755090842329928"/>
  </r>
  <r>
    <s v="LK"/>
    <x v="3"/>
    <x v="0"/>
    <n v="83045.021736187395"/>
    <n v="83045.021736187395"/>
    <n v="1"/>
    <x v="1"/>
    <n v="112110.77934385299"/>
    <n v="112110.77934385299"/>
    <n v="0.112110779343853"/>
    <n v="0.112110779343853"/>
  </r>
  <r>
    <s v="LU"/>
    <x v="3"/>
    <x v="0"/>
    <n v="5471783.9228177303"/>
    <n v="5471783.9228177303"/>
    <n v="2"/>
    <x v="1"/>
    <n v="7386908.2958039362"/>
    <n v="7386908.2958039362"/>
    <n v="7.386908295803936"/>
    <n v="7.386908295803936"/>
  </r>
  <r>
    <s v="MA"/>
    <x v="3"/>
    <x v="0"/>
    <n v="77594712.229696497"/>
    <n v="77380982.922133207"/>
    <n v="9"/>
    <x v="1"/>
    <n v="104752861.51009028"/>
    <n v="104464326.94487983"/>
    <n v="104.75286151009027"/>
    <n v="104.46432694487983"/>
  </r>
  <r>
    <s v="MC"/>
    <x v="3"/>
    <x v="0"/>
    <n v="79939924.406128198"/>
    <n v="51559963.81707"/>
    <n v="12"/>
    <x v="1"/>
    <n v="107918897.94827308"/>
    <n v="69605951.153044507"/>
    <n v="107.91889794827308"/>
    <n v="69.605951153044501"/>
  </r>
  <r>
    <s v="MU"/>
    <x v="3"/>
    <x v="0"/>
    <n v="2066021.52559455"/>
    <n v="2066021.52559455"/>
    <n v="1"/>
    <x v="1"/>
    <n v="2789129.0595526425"/>
    <n v="2789129.0595526425"/>
    <n v="2.7891290595526423"/>
    <n v="2.7891290595526423"/>
  </r>
  <r>
    <s v="MX"/>
    <x v="3"/>
    <x v="0"/>
    <n v="263034815.831615"/>
    <n v="239889344.47848099"/>
    <n v="90"/>
    <x v="1"/>
    <n v="355097001.37268025"/>
    <n v="323850615.04594934"/>
    <n v="355.09700137268027"/>
    <n v="323.85061504594933"/>
  </r>
  <r>
    <s v="MY"/>
    <x v="3"/>
    <x v="0"/>
    <n v="353495.08867461898"/>
    <n v="353495.08867461898"/>
    <n v="1"/>
    <x v="1"/>
    <n v="477218.36971073563"/>
    <n v="477218.36971073563"/>
    <n v="0.47721836971073561"/>
    <n v="0.47721836971073561"/>
  </r>
  <r>
    <s v="NL"/>
    <x v="3"/>
    <x v="0"/>
    <n v="22920435.965222102"/>
    <n v="17046919.4911348"/>
    <n v="13"/>
    <x v="1"/>
    <n v="30942588.55304984"/>
    <n v="23013341.313031983"/>
    <n v="30.942588553049841"/>
    <n v="23.013341313031983"/>
  </r>
  <r>
    <s v="NO"/>
    <x v="3"/>
    <x v="0"/>
    <n v="761095.809172821"/>
    <n v="761095.809172821"/>
    <n v="2"/>
    <x v="1"/>
    <n v="1027479.3423833085"/>
    <n v="1027479.3423833085"/>
    <n v="1.0274793423833084"/>
    <n v="1.0274793423833084"/>
  </r>
  <r>
    <s v="NZ"/>
    <x v="3"/>
    <x v="0"/>
    <n v="5695863.3553453004"/>
    <n v="5695863.3553453004"/>
    <n v="5"/>
    <x v="1"/>
    <n v="7689415.5297161564"/>
    <n v="7689415.5297161564"/>
    <n v="7.6894155297161566"/>
    <n v="7.6894155297161566"/>
  </r>
  <r>
    <s v="OM"/>
    <x v="3"/>
    <x v="0"/>
    <n v="3570559.5758810998"/>
    <n v="3570559.5758810998"/>
    <n v="2"/>
    <x v="1"/>
    <n v="4820255.4274394847"/>
    <n v="4820255.4274394847"/>
    <n v="4.8202554274394851"/>
    <n v="4.8202554274394851"/>
  </r>
  <r>
    <s v="PA"/>
    <x v="3"/>
    <x v="0"/>
    <n v="8624915.8004783392"/>
    <n v="8624915.8004783392"/>
    <n v="10"/>
    <x v="1"/>
    <n v="11643636.330645759"/>
    <n v="11643636.330645759"/>
    <n v="11.643636330645759"/>
    <n v="11.643636330645759"/>
  </r>
  <r>
    <s v="PE"/>
    <x v="3"/>
    <x v="0"/>
    <n v="21195725.717895798"/>
    <n v="21195725.717895798"/>
    <n v="11"/>
    <x v="1"/>
    <n v="28614229.719159331"/>
    <n v="28614229.719159331"/>
    <n v="28.614229719159333"/>
    <n v="28.614229719159333"/>
  </r>
  <r>
    <s v="PH"/>
    <x v="3"/>
    <x v="0"/>
    <n v="126666.01483175"/>
    <n v="126666.01483175"/>
    <n v="2"/>
    <x v="1"/>
    <n v="170999.12002286251"/>
    <n v="170999.12002286251"/>
    <n v="0.17099912002286252"/>
    <n v="0.17099912002286252"/>
  </r>
  <r>
    <s v="PL"/>
    <x v="3"/>
    <x v="0"/>
    <n v="962933.94816408202"/>
    <n v="962933.94816408202"/>
    <n v="1"/>
    <x v="1"/>
    <n v="1299960.8300215108"/>
    <n v="1299960.8300215108"/>
    <n v="1.2999608300215109"/>
    <n v="1.2999608300215109"/>
  </r>
  <r>
    <s v="PR"/>
    <x v="3"/>
    <x v="0"/>
    <n v="1849998.0745799399"/>
    <n v="1849998.0745799399"/>
    <n v="3"/>
    <x v="1"/>
    <n v="2497497.4006829192"/>
    <n v="2497497.4006829192"/>
    <n v="2.4974974006829194"/>
    <n v="2.4974974006829194"/>
  </r>
  <r>
    <s v="PT"/>
    <x v="3"/>
    <x v="0"/>
    <n v="70042765.727680907"/>
    <n v="45383301.701447003"/>
    <n v="12"/>
    <x v="1"/>
    <n v="94557733.732369229"/>
    <n v="61267457.296953455"/>
    <n v="94.557733732369229"/>
    <n v="61.267457296953452"/>
  </r>
  <r>
    <s v="QA"/>
    <x v="3"/>
    <x v="0"/>
    <n v="4789663.1225650199"/>
    <n v="4789663.1225650199"/>
    <n v="3"/>
    <x v="1"/>
    <n v="6466045.2154627768"/>
    <n v="6466045.2154627768"/>
    <n v="6.4660452154627768"/>
    <n v="6.4660452154627768"/>
  </r>
  <r>
    <s v="RS"/>
    <x v="3"/>
    <x v="0"/>
    <n v="143647.46762135401"/>
    <n v="143647.46762135401"/>
    <n v="1"/>
    <x v="1"/>
    <n v="193924.08128882793"/>
    <n v="193924.08128882793"/>
    <n v="0.19392408128882793"/>
    <n v="0.19392408128882793"/>
  </r>
  <r>
    <s v="SA"/>
    <x v="3"/>
    <x v="0"/>
    <n v="24501192.553291999"/>
    <n v="24501192.553291999"/>
    <n v="9"/>
    <x v="1"/>
    <n v="33076609.9469442"/>
    <n v="33076609.9469442"/>
    <n v="33.076609946944203"/>
    <n v="33.076609946944203"/>
  </r>
  <r>
    <s v="SE"/>
    <x v="3"/>
    <x v="0"/>
    <n v="119269832.531386"/>
    <n v="41431963.185427003"/>
    <n v="9"/>
    <x v="1"/>
    <n v="161014273.91737112"/>
    <n v="55933150.300326459"/>
    <n v="161.01427391737113"/>
    <n v="55.93315030032646"/>
  </r>
  <r>
    <s v="SG"/>
    <x v="3"/>
    <x v="0"/>
    <n v="32484666.484152801"/>
    <n v="32484666.484152801"/>
    <n v="8"/>
    <x v="1"/>
    <n v="43854299.753606282"/>
    <n v="43854299.753606282"/>
    <n v="43.854299753606284"/>
    <n v="43.854299753606284"/>
  </r>
  <r>
    <s v="SK"/>
    <x v="3"/>
    <x v="0"/>
    <n v="2137293.0760089699"/>
    <n v="2137293.0760089699"/>
    <n v="1"/>
    <x v="1"/>
    <n v="2885345.6526121097"/>
    <n v="2885345.6526121097"/>
    <n v="2.8853456526121097"/>
    <n v="2.8853456526121097"/>
  </r>
  <r>
    <s v="SV"/>
    <x v="3"/>
    <x v="0"/>
    <n v="1380511.1388558799"/>
    <n v="1380511.1388558799"/>
    <n v="1"/>
    <x v="1"/>
    <n v="1863690.0374554379"/>
    <n v="1863690.0374554379"/>
    <n v="1.8636900374554379"/>
    <n v="1.8636900374554379"/>
  </r>
  <r>
    <s v="TH"/>
    <x v="3"/>
    <x v="0"/>
    <n v="12562160.6862316"/>
    <n v="12279786.932414699"/>
    <n v="6"/>
    <x v="1"/>
    <n v="16958916.926412661"/>
    <n v="16577712.358759845"/>
    <n v="16.958916926412659"/>
    <n v="16.577712358759843"/>
  </r>
  <r>
    <s v="TR"/>
    <x v="3"/>
    <x v="0"/>
    <n v="362127.66437521699"/>
    <n v="362127.66437521699"/>
    <n v="2"/>
    <x v="1"/>
    <n v="488872.34690654295"/>
    <n v="488872.34690654295"/>
    <n v="0.48887234690654296"/>
    <n v="0.48887234690654296"/>
  </r>
  <r>
    <s v="TW"/>
    <x v="3"/>
    <x v="0"/>
    <n v="9125966.1908271797"/>
    <n v="9125966.1908271797"/>
    <n v="16"/>
    <x v="1"/>
    <n v="12320054.357616693"/>
    <n v="12320054.357616693"/>
    <n v="12.320054357616693"/>
    <n v="12.320054357616693"/>
  </r>
  <r>
    <s v="US"/>
    <x v="3"/>
    <x v="0"/>
    <n v="906507554.61050797"/>
    <n v="666539312.39975405"/>
    <n v="227"/>
    <x v="1"/>
    <n v="1223785198.7241859"/>
    <n v="899828071.73966801"/>
    <n v="1223.7851987241859"/>
    <n v="899.82807173966796"/>
  </r>
  <r>
    <s v="UY"/>
    <x v="3"/>
    <x v="0"/>
    <n v="18373346.465974201"/>
    <n v="18373346.465974201"/>
    <n v="13"/>
    <x v="1"/>
    <n v="24804017.729065172"/>
    <n v="24804017.729065172"/>
    <n v="24.804017729065173"/>
    <n v="24.804017729065173"/>
  </r>
  <r>
    <s v="VE"/>
    <x v="3"/>
    <x v="0"/>
    <n v="6914832.50349735"/>
    <n v="6914832.50349735"/>
    <n v="6"/>
    <x v="1"/>
    <n v="9335023.8797214236"/>
    <n v="9335023.8797214236"/>
    <n v="9.3350238797214242"/>
    <n v="9.3350238797214242"/>
  </r>
  <r>
    <s v="VG"/>
    <x v="3"/>
    <x v="0"/>
    <n v="200403.28524797299"/>
    <n v="200403.28524797299"/>
    <n v="1"/>
    <x v="1"/>
    <n v="270544.43508476357"/>
    <n v="270544.43508476357"/>
    <n v="0.27054443508476356"/>
    <n v="0.27054443508476356"/>
  </r>
  <r>
    <s v="VN"/>
    <x v="3"/>
    <x v="0"/>
    <n v="37605.860497299902"/>
    <n v="37605.860497299902"/>
    <n v="1"/>
    <x v="1"/>
    <n v="50767.911671354872"/>
    <n v="50767.911671354872"/>
    <n v="5.0767911671354873E-2"/>
    <n v="5.0767911671354873E-2"/>
  </r>
  <r>
    <s v="ZA"/>
    <x v="3"/>
    <x v="0"/>
    <n v="600583.34210803302"/>
    <n v="600583.34210803302"/>
    <n v="3"/>
    <x v="1"/>
    <n v="810787.51184584468"/>
    <n v="810787.51184584468"/>
    <n v="0.81078751184584463"/>
    <n v="0.81078751184584463"/>
  </r>
  <r>
    <s v="AT"/>
    <x v="4"/>
    <x v="0"/>
    <n v="965000"/>
    <n v="965000"/>
    <n v="1"/>
    <x v="0"/>
    <n v="1302750"/>
    <n v="1302750"/>
    <n v="1.3027500000000001"/>
    <n v="1.3027500000000001"/>
  </r>
  <r>
    <s v="BE"/>
    <x v="4"/>
    <x v="0"/>
    <n v="647970"/>
    <n v="647970"/>
    <n v="4"/>
    <x v="0"/>
    <n v="874759.5"/>
    <n v="874759.5"/>
    <n v="0.87475950000000002"/>
    <n v="0.87475950000000002"/>
  </r>
  <r>
    <s v="CY"/>
    <x v="4"/>
    <x v="0"/>
    <n v="570972"/>
    <n v="570972"/>
    <n v="1"/>
    <x v="0"/>
    <n v="770812.20000000007"/>
    <n v="770812.20000000007"/>
    <n v="0.77081220000000006"/>
    <n v="0.77081220000000006"/>
  </r>
  <r>
    <s v="DE"/>
    <x v="4"/>
    <x v="0"/>
    <n v="11303190"/>
    <n v="11303190"/>
    <n v="2"/>
    <x v="0"/>
    <n v="15259306.500000002"/>
    <n v="15259306.500000002"/>
    <n v="15.259306500000001"/>
    <n v="15.259306500000001"/>
  </r>
  <r>
    <s v="DK"/>
    <x v="4"/>
    <x v="0"/>
    <n v="78660"/>
    <n v="78660"/>
    <n v="1"/>
    <x v="0"/>
    <n v="106191"/>
    <n v="106191"/>
    <n v="0.10619099999999999"/>
    <n v="0.10619099999999999"/>
  </r>
  <r>
    <s v="ES"/>
    <x v="4"/>
    <x v="0"/>
    <n v="92939537"/>
    <n v="92939537"/>
    <n v="11"/>
    <x v="0"/>
    <n v="125468374.95"/>
    <n v="125468374.95"/>
    <n v="125.46837495"/>
    <n v="125.46837495"/>
  </r>
  <r>
    <s v="FR"/>
    <x v="4"/>
    <x v="0"/>
    <n v="61582623.200190403"/>
    <n v="61582623.200190403"/>
    <n v="97"/>
    <x v="0"/>
    <n v="83136541.320257053"/>
    <n v="83136541.320257053"/>
    <n v="83.136541320257052"/>
    <n v="83.136541320257052"/>
  </r>
  <r>
    <s v="GR"/>
    <x v="4"/>
    <x v="0"/>
    <n v="19052763.800000001"/>
    <n v="19052763.800000001"/>
    <n v="9"/>
    <x v="0"/>
    <n v="25721231.130000003"/>
    <n v="25721231.130000003"/>
    <n v="25.721231130000003"/>
    <n v="25.721231130000003"/>
  </r>
  <r>
    <s v="HR"/>
    <x v="4"/>
    <x v="0"/>
    <n v="102856"/>
    <n v="102856"/>
    <n v="1"/>
    <x v="0"/>
    <n v="138855.6"/>
    <n v="138855.6"/>
    <n v="0.1388556"/>
    <n v="0.1388556"/>
  </r>
  <r>
    <s v="IE"/>
    <x v="4"/>
    <x v="0"/>
    <n v="65258663.100000001"/>
    <n v="65258663.100000001"/>
    <n v="52"/>
    <x v="0"/>
    <n v="88099195.185000002"/>
    <n v="88099195.185000002"/>
    <n v="88.099195184999999"/>
    <n v="88.099195184999999"/>
  </r>
  <r>
    <s v="IT"/>
    <x v="4"/>
    <x v="0"/>
    <n v="29905790"/>
    <n v="29905790"/>
    <n v="6"/>
    <x v="0"/>
    <n v="40372816.5"/>
    <n v="40372816.5"/>
    <n v="40.372816499999999"/>
    <n v="40.372816499999999"/>
  </r>
  <r>
    <s v="LI"/>
    <x v="4"/>
    <x v="0"/>
    <n v="2761322"/>
    <n v="2761322"/>
    <n v="2"/>
    <x v="0"/>
    <n v="3727784.7"/>
    <n v="3727784.7"/>
    <n v="3.7277847000000004"/>
    <n v="3.7277847000000004"/>
  </r>
  <r>
    <s v="MC"/>
    <x v="4"/>
    <x v="0"/>
    <n v="1023468.8"/>
    <n v="1023468.8"/>
    <n v="1"/>
    <x v="0"/>
    <n v="1381682.8800000001"/>
    <n v="1381682.8800000001"/>
    <n v="1.3816828800000001"/>
    <n v="1.3816828800000001"/>
  </r>
  <r>
    <s v="PL"/>
    <x v="4"/>
    <x v="0"/>
    <n v="10000"/>
    <n v="10000"/>
    <n v="1"/>
    <x v="0"/>
    <n v="13500"/>
    <n v="13500"/>
    <n v="1.35E-2"/>
    <n v="1.35E-2"/>
  </r>
  <r>
    <s v="PT"/>
    <x v="4"/>
    <x v="0"/>
    <n v="62080493"/>
    <n v="62080493"/>
    <n v="4"/>
    <x v="0"/>
    <n v="83808665.550000012"/>
    <n v="83808665.550000012"/>
    <n v="83.808665550000015"/>
    <n v="83.808665550000015"/>
  </r>
  <r>
    <s v="RO"/>
    <x v="4"/>
    <x v="0"/>
    <n v="85713"/>
    <n v="85713"/>
    <n v="1"/>
    <x v="0"/>
    <n v="115712.55"/>
    <n v="115712.55"/>
    <n v="0.11571255"/>
    <n v="0.11571255"/>
  </r>
  <r>
    <s v="SE"/>
    <x v="4"/>
    <x v="0"/>
    <n v="891706.8"/>
    <n v="891706.8"/>
    <n v="6"/>
    <x v="0"/>
    <n v="1203804.1800000002"/>
    <n v="1203804.1800000002"/>
    <n v="1.2038041800000001"/>
    <n v="1.2038041800000001"/>
  </r>
  <r>
    <s v="SL"/>
    <x v="4"/>
    <x v="0"/>
    <n v="30400"/>
    <n v="30400"/>
    <n v="1"/>
    <x v="0"/>
    <n v="41040"/>
    <n v="41040"/>
    <n v="4.104E-2"/>
    <n v="4.104E-2"/>
  </r>
  <r>
    <s v="AD"/>
    <x v="4"/>
    <x v="0"/>
    <n v="9412556"/>
    <n v="9412556"/>
    <n v="5"/>
    <x v="1"/>
    <n v="12706950.600000001"/>
    <n v="12706950.600000001"/>
    <n v="12.706950600000001"/>
    <n v="12.706950600000001"/>
  </r>
  <r>
    <s v="AE"/>
    <x v="4"/>
    <x v="0"/>
    <n v="9164806.4000000004"/>
    <n v="7538297.2000000002"/>
    <n v="9"/>
    <x v="1"/>
    <n v="12372488.640000001"/>
    <n v="10176701.220000001"/>
    <n v="12.37248864"/>
    <n v="10.17670122"/>
  </r>
  <r>
    <s v="AT"/>
    <x v="4"/>
    <x v="0"/>
    <n v="1593469941.57634"/>
    <n v="1569310027.57634"/>
    <n v="2497"/>
    <x v="1"/>
    <n v="2151184421.1280589"/>
    <n v="2118568537.2280591"/>
    <n v="2151.1844211280591"/>
    <n v="2118.5685372280591"/>
  </r>
  <r>
    <s v="AU"/>
    <x v="4"/>
    <x v="0"/>
    <n v="1463282.4"/>
    <n v="1463282.4"/>
    <n v="12"/>
    <x v="1"/>
    <n v="1975431.24"/>
    <n v="1975431.24"/>
    <n v="1.97543124"/>
    <n v="1.97543124"/>
  </r>
  <r>
    <s v="BE"/>
    <x v="4"/>
    <x v="0"/>
    <n v="9409929762.7999992"/>
    <n v="8909949616"/>
    <n v="6013"/>
    <x v="1"/>
    <n v="12703405179.780001"/>
    <n v="12028431981.6"/>
    <n v="12703.40517978"/>
    <n v="12028.431981600001"/>
  </r>
  <r>
    <s v="BG"/>
    <x v="4"/>
    <x v="0"/>
    <n v="5408820"/>
    <n v="5408820"/>
    <n v="6"/>
    <x v="1"/>
    <n v="7301907.0000000009"/>
    <n v="7301907.0000000009"/>
    <n v="7.3019070000000008"/>
    <n v="7.3019070000000008"/>
  </r>
  <r>
    <s v="BH"/>
    <x v="4"/>
    <x v="0"/>
    <n v="185600"/>
    <n v="185600"/>
    <n v="1"/>
    <x v="1"/>
    <n v="250560.00000000003"/>
    <n v="250560.00000000003"/>
    <n v="0.25056"/>
    <n v="0.25056"/>
  </r>
  <r>
    <s v="BR"/>
    <x v="4"/>
    <x v="0"/>
    <n v="37120360"/>
    <n v="19120360"/>
    <n v="2"/>
    <x v="1"/>
    <n v="50112486"/>
    <n v="25812486"/>
    <n v="50.112485999999997"/>
    <n v="25.812486"/>
  </r>
  <r>
    <s v="CA"/>
    <x v="4"/>
    <x v="0"/>
    <n v="560000"/>
    <n v="560000"/>
    <n v="2"/>
    <x v="1"/>
    <n v="756000"/>
    <n v="756000"/>
    <n v="0.75600000000000001"/>
    <n v="0.75600000000000001"/>
  </r>
  <r>
    <s v="CH"/>
    <x v="4"/>
    <x v="0"/>
    <n v="358036.8"/>
    <n v="358036.8"/>
    <n v="4"/>
    <x v="1"/>
    <n v="483349.68"/>
    <n v="483349.68"/>
    <n v="0.48334968"/>
    <n v="0.48334968"/>
  </r>
  <r>
    <s v="CL"/>
    <x v="4"/>
    <x v="0"/>
    <n v="151336"/>
    <n v="151336"/>
    <n v="1"/>
    <x v="1"/>
    <n v="204303.6"/>
    <n v="204303.6"/>
    <n v="0.2043036"/>
    <n v="0.2043036"/>
  </r>
  <r>
    <s v="CN"/>
    <x v="4"/>
    <x v="0"/>
    <n v="926.4"/>
    <n v="926.4"/>
    <n v="1"/>
    <x v="1"/>
    <n v="1250.6400000000001"/>
    <n v="1250.6400000000001"/>
    <n v="1.2506400000000001E-3"/>
    <n v="1.2506400000000001E-3"/>
  </r>
  <r>
    <s v="CO"/>
    <x v="4"/>
    <x v="0"/>
    <n v="29828"/>
    <n v="29828"/>
    <n v="1"/>
    <x v="1"/>
    <n v="40267.800000000003"/>
    <n v="40267.800000000003"/>
    <n v="4.0267800000000006E-2"/>
    <n v="4.0267800000000006E-2"/>
  </r>
  <r>
    <s v="CR"/>
    <x v="4"/>
    <x v="0"/>
    <n v="58786.400000000001"/>
    <n v="58786.400000000001"/>
    <n v="1"/>
    <x v="1"/>
    <n v="79361.640000000014"/>
    <n v="79361.640000000014"/>
    <n v="7.9361640000000011E-2"/>
    <n v="7.9361640000000011E-2"/>
  </r>
  <r>
    <s v="CY"/>
    <x v="4"/>
    <x v="0"/>
    <n v="3929326"/>
    <n v="3929326"/>
    <n v="5"/>
    <x v="1"/>
    <n v="5304590.1000000006"/>
    <n v="5304590.1000000006"/>
    <n v="5.3045901000000004"/>
    <n v="5.3045901000000004"/>
  </r>
  <r>
    <s v="CZ"/>
    <x v="4"/>
    <x v="0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0"/>
    <n v="12604811140.750601"/>
    <n v="12542945496.660101"/>
    <n v="21741"/>
    <x v="1"/>
    <n v="17016495040.013311"/>
    <n v="16932976420.491137"/>
    <n v="17016.495040013313"/>
    <n v="16932.976420491137"/>
  </r>
  <r>
    <s v="DK"/>
    <x v="4"/>
    <x v="0"/>
    <n v="24492760.438889999"/>
    <n v="23901642.438889999"/>
    <n v="91"/>
    <x v="1"/>
    <n v="33065226.592501502"/>
    <n v="32267217.292501502"/>
    <n v="33.065226592501503"/>
    <n v="32.267217292501499"/>
  </r>
  <r>
    <s v="ES"/>
    <x v="4"/>
    <x v="0"/>
    <n v="9182639102.3885593"/>
    <n v="8993955713.5885601"/>
    <n v="6535"/>
    <x v="1"/>
    <n v="12396562788.224556"/>
    <n v="12141840213.344557"/>
    <n v="12396.562788224555"/>
    <n v="12141.840213344556"/>
  </r>
  <r>
    <s v="FI"/>
    <x v="4"/>
    <x v="0"/>
    <n v="10916559.199999999"/>
    <n v="10916559.199999999"/>
    <n v="64"/>
    <x v="1"/>
    <n v="14737354.92"/>
    <n v="14737354.92"/>
    <n v="14.73735492"/>
    <n v="14.73735492"/>
  </r>
  <r>
    <s v="FR"/>
    <x v="4"/>
    <x v="0"/>
    <n v="20646599039.407299"/>
    <n v="20218412584.742901"/>
    <n v="27517"/>
    <x v="1"/>
    <n v="27872908703.199856"/>
    <n v="27294856989.40292"/>
    <n v="27872.908703199857"/>
    <n v="27294.856989402921"/>
  </r>
  <r>
    <s v="GB"/>
    <x v="4"/>
    <x v="0"/>
    <n v="954681405.54719901"/>
    <n v="937681405.54719901"/>
    <n v="526"/>
    <x v="1"/>
    <n v="1288819897.4887187"/>
    <n v="1265869897.4887187"/>
    <n v="1288.8198974887187"/>
    <n v="1265.8698974887188"/>
  </r>
  <r>
    <s v="GR"/>
    <x v="4"/>
    <x v="0"/>
    <n v="51640059.700000003"/>
    <n v="51640059.700000003"/>
    <n v="43"/>
    <x v="1"/>
    <n v="69714080.595000014"/>
    <n v="69714080.595000014"/>
    <n v="69.714080595000013"/>
    <n v="69.714080595000013"/>
  </r>
  <r>
    <s v="HK"/>
    <x v="4"/>
    <x v="0"/>
    <n v="125613043.2"/>
    <n v="67166521.599999994"/>
    <n v="4"/>
    <x v="1"/>
    <n v="169577608.32000002"/>
    <n v="90674804.159999996"/>
    <n v="169.57760832000002"/>
    <n v="90.674804159999994"/>
  </r>
  <r>
    <s v="HR"/>
    <x v="4"/>
    <x v="0"/>
    <n v="214527712.56799999"/>
    <n v="214527712.56799999"/>
    <n v="629"/>
    <x v="1"/>
    <n v="289612411.96679997"/>
    <n v="289612411.96679997"/>
    <n v="289.61241196679998"/>
    <n v="289.61241196679998"/>
  </r>
  <r>
    <s v="HU"/>
    <x v="4"/>
    <x v="0"/>
    <n v="24783260.800000001"/>
    <n v="24783260.800000001"/>
    <n v="116"/>
    <x v="1"/>
    <n v="33457402.080000002"/>
    <n v="33457402.080000002"/>
    <n v="33.457402080000001"/>
    <n v="33.457402080000001"/>
  </r>
  <r>
    <s v="IE"/>
    <x v="4"/>
    <x v="0"/>
    <n v="5237425154.5585098"/>
    <n v="5237425154.5585098"/>
    <n v="9243"/>
    <x v="1"/>
    <n v="7070523958.6539888"/>
    <n v="7070523958.6539888"/>
    <n v="7070.5239586539892"/>
    <n v="7070.5239586539892"/>
  </r>
  <r>
    <s v="IL"/>
    <x v="4"/>
    <x v="0"/>
    <n v="3880302.4"/>
    <n v="3880302.4"/>
    <n v="3"/>
    <x v="1"/>
    <n v="5238408.24"/>
    <n v="5238408.24"/>
    <n v="5.23840824"/>
    <n v="5.23840824"/>
  </r>
  <r>
    <s v="IN"/>
    <x v="4"/>
    <x v="0"/>
    <n v="236400"/>
    <n v="236400"/>
    <n v="2"/>
    <x v="1"/>
    <n v="319140"/>
    <n v="319140"/>
    <n v="0.31913999999999998"/>
    <n v="0.31913999999999998"/>
  </r>
  <r>
    <s v="IS"/>
    <x v="4"/>
    <x v="0"/>
    <n v="1486287.2"/>
    <n v="1486287.2"/>
    <n v="1"/>
    <x v="1"/>
    <n v="2006487.72"/>
    <n v="2006487.72"/>
    <n v="2.00648772"/>
    <n v="2.00648772"/>
  </r>
  <r>
    <s v="IT"/>
    <x v="4"/>
    <x v="0"/>
    <n v="473456211.57402498"/>
    <n v="455808138.46297598"/>
    <n v="745"/>
    <x v="1"/>
    <n v="639165885.62493372"/>
    <n v="615340986.9250176"/>
    <n v="639.16588562493371"/>
    <n v="615.34098692501755"/>
  </r>
  <r>
    <s v="JP"/>
    <x v="4"/>
    <x v="0"/>
    <n v="20201080.800000001"/>
    <n v="20201080.800000001"/>
    <n v="23"/>
    <x v="1"/>
    <n v="27271459.080000002"/>
    <n v="27271459.080000002"/>
    <n v="27.271459080000003"/>
    <n v="27.271459080000003"/>
  </r>
  <r>
    <s v="LI"/>
    <x v="4"/>
    <x v="0"/>
    <n v="2821322"/>
    <n v="2821322"/>
    <n v="3"/>
    <x v="1"/>
    <n v="3808784.7"/>
    <n v="3808784.7"/>
    <n v="3.8087847000000004"/>
    <n v="3.8087847000000004"/>
  </r>
  <r>
    <s v="LT"/>
    <x v="4"/>
    <x v="0"/>
    <n v="48000"/>
    <n v="24000"/>
    <n v="1"/>
    <x v="1"/>
    <n v="64800.000000000007"/>
    <n v="32400.000000000004"/>
    <n v="6.480000000000001E-2"/>
    <n v="3.2400000000000005E-2"/>
  </r>
  <r>
    <s v="LU"/>
    <x v="4"/>
    <x v="0"/>
    <n v="364116653.60000002"/>
    <n v="364116653.60000002"/>
    <n v="592"/>
    <x v="1"/>
    <n v="491557482.36000007"/>
    <n v="491557482.36000007"/>
    <n v="491.55748236000005"/>
    <n v="491.55748236000005"/>
  </r>
  <r>
    <s v="LV"/>
    <x v="4"/>
    <x v="0"/>
    <n v="4000"/>
    <n v="4000"/>
    <n v="1"/>
    <x v="1"/>
    <n v="5400"/>
    <n v="5400"/>
    <n v="5.4000000000000003E-3"/>
    <n v="5.4000000000000003E-3"/>
  </r>
  <r>
    <s v="MA"/>
    <x v="4"/>
    <x v="0"/>
    <n v="23171460.57877"/>
    <n v="23171460.57877"/>
    <n v="4"/>
    <x v="1"/>
    <n v="31281471.781339504"/>
    <n v="31281471.781339504"/>
    <n v="31.281471781339505"/>
    <n v="31.281471781339505"/>
  </r>
  <r>
    <s v="MC"/>
    <x v="4"/>
    <x v="0"/>
    <n v="1050712996.61364"/>
    <n v="993449291.27688599"/>
    <n v="634"/>
    <x v="1"/>
    <n v="1418462545.4284141"/>
    <n v="1341156543.2237961"/>
    <n v="1418.4625454284142"/>
    <n v="1341.1565432237962"/>
  </r>
  <r>
    <s v="MT"/>
    <x v="4"/>
    <x v="0"/>
    <n v="4325600.1218699999"/>
    <n v="4325600.1218699999"/>
    <n v="13"/>
    <x v="1"/>
    <n v="5839560.1645245003"/>
    <n v="5839560.1645245003"/>
    <n v="5.8395601645245003"/>
    <n v="5.8395601645245003"/>
  </r>
  <r>
    <s v="MX"/>
    <x v="4"/>
    <x v="0"/>
    <n v="5264746.4000000004"/>
    <n v="5264746.4000000004"/>
    <n v="9"/>
    <x v="1"/>
    <n v="7107407.6400000006"/>
    <n v="7107407.6400000006"/>
    <n v="7.1074076400000008"/>
    <n v="7.1074076400000008"/>
  </r>
  <r>
    <s v="NL"/>
    <x v="4"/>
    <x v="0"/>
    <n v="10656038934.2896"/>
    <n v="10407871296.6896"/>
    <n v="8631"/>
    <x v="1"/>
    <n v="14385652561.290962"/>
    <n v="14050626250.53096"/>
    <n v="14385.652561290963"/>
    <n v="14050.626250530961"/>
  </r>
  <r>
    <s v="NO"/>
    <x v="4"/>
    <x v="0"/>
    <n v="43241820"/>
    <n v="43241820"/>
    <n v="161"/>
    <x v="1"/>
    <n v="58376457.000000007"/>
    <n v="58376457.000000007"/>
    <n v="58.376457000000009"/>
    <n v="58.376457000000009"/>
  </r>
  <r>
    <s v="NZ"/>
    <x v="4"/>
    <x v="0"/>
    <n v="284541.59999999998"/>
    <n v="284541.59999999998"/>
    <n v="1"/>
    <x v="1"/>
    <n v="384131.16"/>
    <n v="384131.16"/>
    <n v="0.38413115999999997"/>
    <n v="0.38413115999999997"/>
  </r>
  <r>
    <s v="PE"/>
    <x v="4"/>
    <x v="0"/>
    <n v="494000"/>
    <n v="494000"/>
    <n v="1"/>
    <x v="1"/>
    <n v="666900"/>
    <n v="666900"/>
    <n v="0.66690000000000005"/>
    <n v="0.66690000000000005"/>
  </r>
  <r>
    <s v="PL"/>
    <x v="4"/>
    <x v="0"/>
    <n v="5573336.4000000004"/>
    <n v="5573336.4000000004"/>
    <n v="126"/>
    <x v="1"/>
    <n v="7524004.1400000006"/>
    <n v="7524004.1400000006"/>
    <n v="7.5240041400000006"/>
    <n v="7.5240041400000006"/>
  </r>
  <r>
    <s v="PT"/>
    <x v="4"/>
    <x v="0"/>
    <n v="4166310549.0255299"/>
    <n v="4093631328.6255298"/>
    <n v="3338"/>
    <x v="1"/>
    <n v="5624519241.1844654"/>
    <n v="5526402293.6444654"/>
    <n v="5624.5192411844655"/>
    <n v="5526.4022936444653"/>
  </r>
  <r>
    <s v="RO"/>
    <x v="4"/>
    <x v="0"/>
    <n v="6003751.4000000004"/>
    <n v="6003751.4000000004"/>
    <n v="13"/>
    <x v="1"/>
    <n v="8105064.3900000006"/>
    <n v="8105064.3900000006"/>
    <n v="8.1050643900000008"/>
    <n v="8.1050643900000008"/>
  </r>
  <r>
    <s v="RS"/>
    <x v="4"/>
    <x v="0"/>
    <n v="56000"/>
    <n v="56000"/>
    <n v="1"/>
    <x v="1"/>
    <n v="75600"/>
    <n v="75600"/>
    <n v="7.5600000000000001E-2"/>
    <n v="7.5600000000000001E-2"/>
  </r>
  <r>
    <s v="RU"/>
    <x v="4"/>
    <x v="0"/>
    <n v="2307360"/>
    <n v="2307360"/>
    <n v="1"/>
    <x v="1"/>
    <n v="3114936"/>
    <n v="3114936"/>
    <n v="3.1149360000000001"/>
    <n v="3.1149360000000001"/>
  </r>
  <r>
    <s v="SA"/>
    <x v="4"/>
    <x v="0"/>
    <n v="2939697.5999999898"/>
    <n v="1469848.79999999"/>
    <n v="1"/>
    <x v="1"/>
    <n v="3968591.7599999867"/>
    <n v="1984295.8799999866"/>
    <n v="3.9685917599999869"/>
    <n v="1.9842958799999866"/>
  </r>
  <r>
    <s v="SE"/>
    <x v="4"/>
    <x v="0"/>
    <n v="90575537.400000006"/>
    <n v="90575537.400000006"/>
    <n v="336"/>
    <x v="1"/>
    <n v="122276975.49000001"/>
    <n v="122276975.49000001"/>
    <n v="122.27697549000001"/>
    <n v="122.27697549000001"/>
  </r>
  <r>
    <s v="SG"/>
    <x v="4"/>
    <x v="0"/>
    <n v="221300"/>
    <n v="221300"/>
    <n v="3"/>
    <x v="1"/>
    <n v="298755"/>
    <n v="298755"/>
    <n v="0.29875499999999999"/>
    <n v="0.29875499999999999"/>
  </r>
  <r>
    <s v="SI"/>
    <x v="4"/>
    <x v="0"/>
    <n v="2382800.7999999998"/>
    <n v="2382800.7999999998"/>
    <n v="12"/>
    <x v="1"/>
    <n v="3216781.08"/>
    <n v="3216781.08"/>
    <n v="3.2167810800000001"/>
    <n v="3.2167810800000001"/>
  </r>
  <r>
    <s v="SK"/>
    <x v="4"/>
    <x v="0"/>
    <n v="81600"/>
    <n v="81600"/>
    <n v="3"/>
    <x v="1"/>
    <n v="110160"/>
    <n v="110160"/>
    <n v="0.11015999999999999"/>
    <n v="0.11015999999999999"/>
  </r>
  <r>
    <s v="TN"/>
    <x v="4"/>
    <x v="0"/>
    <n v="163200"/>
    <n v="163200"/>
    <n v="1"/>
    <x v="1"/>
    <n v="220320"/>
    <n v="220320"/>
    <n v="0.22031999999999999"/>
    <n v="0.22031999999999999"/>
  </r>
  <r>
    <s v="TR"/>
    <x v="4"/>
    <x v="0"/>
    <n v="691280"/>
    <n v="691280"/>
    <n v="4"/>
    <x v="1"/>
    <n v="933228.00000000012"/>
    <n v="933228.00000000012"/>
    <n v="0.93322800000000017"/>
    <n v="0.93322800000000017"/>
  </r>
  <r>
    <s v="US"/>
    <x v="4"/>
    <x v="0"/>
    <n v="101774358.815952"/>
    <n v="100967402.815952"/>
    <n v="76"/>
    <x v="1"/>
    <n v="137395384.40153521"/>
    <n v="136305993.80153522"/>
    <n v="137.39538440153521"/>
    <n v="136.30599380153521"/>
  </r>
  <r>
    <s v="AT"/>
    <x v="0"/>
    <x v="1"/>
    <n v="721312.714344359"/>
    <n v="440490.42100297898"/>
    <n v="4"/>
    <x v="0"/>
    <n v="973772.16436488472"/>
    <n v="594662.06835402164"/>
    <n v="0.97377216436488467"/>
    <n v="0.59466206835402169"/>
  </r>
  <r>
    <s v="BE"/>
    <x v="0"/>
    <x v="1"/>
    <n v="15747994.657685401"/>
    <n v="8286041.5675902404"/>
    <n v="5"/>
    <x v="0"/>
    <n v="21259792.787875291"/>
    <n v="11186156.116246825"/>
    <n v="21.259792787875291"/>
    <n v="11.186156116246826"/>
  </r>
  <r>
    <s v="CZ"/>
    <x v="0"/>
    <x v="1"/>
    <n v="17156131.435104001"/>
    <n v="17156131.435104001"/>
    <n v="1"/>
    <x v="0"/>
    <n v="23160777.437390402"/>
    <n v="23160777.437390402"/>
    <n v="23.160777437390401"/>
    <n v="23.160777437390401"/>
  </r>
  <r>
    <s v="DE"/>
    <x v="0"/>
    <x v="1"/>
    <n v="5733618.0864275899"/>
    <n v="5522417.4332137899"/>
    <n v="4"/>
    <x v="0"/>
    <n v="7740384.4166772468"/>
    <n v="7455263.5348386168"/>
    <n v="7.7403844166772471"/>
    <n v="7.4552635348386165"/>
  </r>
  <r>
    <s v="FR"/>
    <x v="0"/>
    <x v="1"/>
    <n v="269694076.21544498"/>
    <n v="128815325.582451"/>
    <n v="21"/>
    <x v="0"/>
    <n v="364087002.89085072"/>
    <n v="173900689.53630885"/>
    <n v="364.08700289085073"/>
    <n v="173.90068953630885"/>
  </r>
  <r>
    <s v="GB"/>
    <x v="0"/>
    <x v="1"/>
    <n v="152000"/>
    <n v="152000"/>
    <n v="1"/>
    <x v="0"/>
    <n v="205200"/>
    <n v="205200"/>
    <n v="0.20519999999999999"/>
    <n v="0.20519999999999999"/>
  </r>
  <r>
    <s v="NL"/>
    <x v="0"/>
    <x v="1"/>
    <n v="18020966.544"/>
    <n v="18020966.544"/>
    <n v="4"/>
    <x v="0"/>
    <n v="24328304.834400002"/>
    <n v="24328304.834400002"/>
    <n v="24.328304834400001"/>
    <n v="24.328304834400001"/>
  </r>
  <r>
    <s v="PL"/>
    <x v="0"/>
    <x v="1"/>
    <n v="229138"/>
    <n v="229138"/>
    <n v="1"/>
    <x v="0"/>
    <n v="309336.30000000005"/>
    <n v="309336.30000000005"/>
    <n v="0.30933630000000006"/>
    <n v="0.30933630000000006"/>
  </r>
  <r>
    <s v="SE"/>
    <x v="0"/>
    <x v="1"/>
    <n v="264348333.14132801"/>
    <n v="216781498.117594"/>
    <n v="5"/>
    <x v="0"/>
    <n v="356870249.74079281"/>
    <n v="292655022.45875192"/>
    <n v="356.87024974079281"/>
    <n v="292.65502245875194"/>
  </r>
  <r>
    <s v="AT"/>
    <x v="0"/>
    <x v="1"/>
    <n v="117299776.07014"/>
    <n v="59699152.014799498"/>
    <n v="12"/>
    <x v="1"/>
    <n v="158354697.69468901"/>
    <n v="80593855.219979331"/>
    <n v="158.35469769468901"/>
    <n v="80.593855219979332"/>
  </r>
  <r>
    <s v="BE"/>
    <x v="0"/>
    <x v="1"/>
    <n v="280411812.08683199"/>
    <n v="203677116.44909"/>
    <n v="57"/>
    <x v="1"/>
    <n v="378555946.31722319"/>
    <n v="274964107.20627153"/>
    <n v="378.55594631722317"/>
    <n v="274.96410720627154"/>
  </r>
  <r>
    <s v="CZ"/>
    <x v="0"/>
    <x v="1"/>
    <n v="17725731.435104001"/>
    <n v="17725731.435104001"/>
    <n v="4"/>
    <x v="1"/>
    <n v="23929737.437390402"/>
    <n v="23929737.437390402"/>
    <n v="23.929737437390401"/>
    <n v="23.929737437390401"/>
  </r>
  <r>
    <s v="DE"/>
    <x v="0"/>
    <x v="1"/>
    <n v="183792082.082008"/>
    <n v="115503381.26928601"/>
    <n v="33"/>
    <x v="1"/>
    <n v="248119310.81071082"/>
    <n v="155929564.71353611"/>
    <n v="248.11931081071083"/>
    <n v="155.92956471353611"/>
  </r>
  <r>
    <s v="DK"/>
    <x v="0"/>
    <x v="1"/>
    <n v="618592460.80988503"/>
    <n v="568389716.21269202"/>
    <n v="154"/>
    <x v="1"/>
    <n v="835099822.09334481"/>
    <n v="767326116.88713431"/>
    <n v="835.09982209334476"/>
    <n v="767.32611688713428"/>
  </r>
  <r>
    <s v="FR"/>
    <x v="0"/>
    <x v="1"/>
    <n v="2275085169.2213302"/>
    <n v="1498937035.13832"/>
    <n v="333"/>
    <x v="1"/>
    <n v="3071364978.4487958"/>
    <n v="2023564997.4367321"/>
    <n v="3071.3649784487957"/>
    <n v="2023.564997436732"/>
  </r>
  <r>
    <s v="GB"/>
    <x v="0"/>
    <x v="1"/>
    <n v="9371114846.9960003"/>
    <n v="7182976179.9304304"/>
    <n v="1683"/>
    <x v="1"/>
    <n v="12651005043.444601"/>
    <n v="9697017842.9060822"/>
    <n v="12651.0050434446"/>
    <n v="9697.0178429060816"/>
  </r>
  <r>
    <s v="NL"/>
    <x v="0"/>
    <x v="1"/>
    <n v="51013102.484981701"/>
    <n v="43391627.5798162"/>
    <n v="23"/>
    <x v="1"/>
    <n v="68867688.354725301"/>
    <n v="58578697.232751876"/>
    <n v="68.867688354725303"/>
    <n v="58.578697232751878"/>
  </r>
  <r>
    <s v="PL"/>
    <x v="0"/>
    <x v="1"/>
    <n v="11831807.3236029"/>
    <n v="11831807.3236029"/>
    <n v="6"/>
    <x v="1"/>
    <n v="15972939.886863915"/>
    <n v="15972939.886863915"/>
    <n v="15.972939886863916"/>
    <n v="15.972939886863916"/>
  </r>
  <r>
    <s v="SE"/>
    <x v="0"/>
    <x v="1"/>
    <n v="2694309250.7946701"/>
    <n v="2430519956.7227502"/>
    <n v="462"/>
    <x v="1"/>
    <n v="3637317488.5728049"/>
    <n v="3281201941.5757132"/>
    <n v="3637.3174885728049"/>
    <n v="3281.2019415757131"/>
  </r>
  <r>
    <s v="GB"/>
    <x v="1"/>
    <x v="1"/>
    <n v="5578000"/>
    <n v="5578000"/>
    <n v="5"/>
    <x v="1"/>
    <n v="7530300.0000000009"/>
    <n v="7530300.0000000009"/>
    <n v="7.5303000000000013"/>
    <n v="7.5303000000000013"/>
  </r>
  <r>
    <s v="GB"/>
    <x v="2"/>
    <x v="1"/>
    <n v="7099946"/>
    <n v="7099946"/>
    <n v="15"/>
    <x v="0"/>
    <n v="9584927.1000000015"/>
    <n v="9584927.1000000015"/>
    <n v="9.5849271000000016"/>
    <n v="9.5849271000000016"/>
  </r>
  <r>
    <s v="GB"/>
    <x v="2"/>
    <x v="1"/>
    <n v="121287644939.62"/>
    <n v="121287644939.62"/>
    <n v="173171"/>
    <x v="1"/>
    <n v="163738320668.487"/>
    <n v="163738320668.487"/>
    <n v="163738.32066848699"/>
    <n v="163738.32066848699"/>
  </r>
  <r>
    <s v="BE"/>
    <x v="3"/>
    <x v="1"/>
    <n v="5588088.6783495499"/>
    <n v="5588088.6783495499"/>
    <n v="2"/>
    <x v="0"/>
    <n v="7543919.715771893"/>
    <n v="7543919.715771893"/>
    <n v="7.5439197157718931"/>
    <n v="7.5439197157718931"/>
  </r>
  <r>
    <s v="FR"/>
    <x v="3"/>
    <x v="1"/>
    <n v="55746827.551567502"/>
    <n v="31311597.9982449"/>
    <n v="4"/>
    <x v="0"/>
    <n v="75258217.194616139"/>
    <n v="42270657.297630616"/>
    <n v="75.258217194616137"/>
    <n v="42.270657297630613"/>
  </r>
  <r>
    <s v="GB"/>
    <x v="3"/>
    <x v="1"/>
    <n v="148840795.211043"/>
    <n v="75714983.240083203"/>
    <n v="5"/>
    <x v="0"/>
    <n v="200935073.53490806"/>
    <n v="102215227.37411234"/>
    <n v="200.93507353490804"/>
    <n v="102.21522737411233"/>
  </r>
  <r>
    <s v="AT"/>
    <x v="3"/>
    <x v="1"/>
    <n v="10975035.9495856"/>
    <n v="10975035.9495856"/>
    <n v="5"/>
    <x v="1"/>
    <n v="14816298.531940561"/>
    <n v="14816298.531940561"/>
    <n v="14.816298531940561"/>
    <n v="14.816298531940561"/>
  </r>
  <r>
    <s v="BE"/>
    <x v="3"/>
    <x v="1"/>
    <n v="178447830.56103799"/>
    <n v="166364677.927349"/>
    <n v="46"/>
    <x v="1"/>
    <n v="240904571.25740129"/>
    <n v="224592315.20192116"/>
    <n v="240.9045712574013"/>
    <n v="224.59231520192117"/>
  </r>
  <r>
    <s v="CZ"/>
    <x v="3"/>
    <x v="1"/>
    <n v="2316867.8928684201"/>
    <n v="2316867.8928684201"/>
    <n v="2"/>
    <x v="1"/>
    <n v="3127771.6553723672"/>
    <n v="3127771.6553723672"/>
    <n v="3.1277716553723671"/>
    <n v="3.1277716553723671"/>
  </r>
  <r>
    <s v="DE"/>
    <x v="3"/>
    <x v="1"/>
    <n v="78023232.816889495"/>
    <n v="63972400.975255303"/>
    <n v="25"/>
    <x v="1"/>
    <n v="105331364.30280082"/>
    <n v="86362741.31659466"/>
    <n v="105.33136430280082"/>
    <n v="86.362741316594665"/>
  </r>
  <r>
    <s v="DK"/>
    <x v="3"/>
    <x v="1"/>
    <n v="915059.83491027297"/>
    <n v="915059.83491027297"/>
    <n v="2"/>
    <x v="1"/>
    <n v="1235330.7771288685"/>
    <n v="1235330.7771288685"/>
    <n v="1.2353307771288684"/>
    <n v="1.2353307771288684"/>
  </r>
  <r>
    <s v="FR"/>
    <x v="3"/>
    <x v="1"/>
    <n v="1194735297.7703199"/>
    <n v="899813220.698107"/>
    <n v="242"/>
    <x v="1"/>
    <n v="1612892651.9899321"/>
    <n v="1214747847.9424446"/>
    <n v="1612.8926519899321"/>
    <n v="1214.7478479424447"/>
  </r>
  <r>
    <s v="GB"/>
    <x v="3"/>
    <x v="1"/>
    <n v="1251298742.3322501"/>
    <n v="989829977.23415601"/>
    <n v="267"/>
    <x v="1"/>
    <n v="1689253302.1485379"/>
    <n v="1336270469.2661107"/>
    <n v="1689.2533021485378"/>
    <n v="1336.2704692661107"/>
  </r>
  <r>
    <s v="NL"/>
    <x v="3"/>
    <x v="1"/>
    <n v="22920435.965222102"/>
    <n v="17046919.4911348"/>
    <n v="13"/>
    <x v="1"/>
    <n v="30942588.55304984"/>
    <n v="23013341.313031983"/>
    <n v="30.942588553049841"/>
    <n v="23.013341313031983"/>
  </r>
  <r>
    <s v="PL"/>
    <x v="3"/>
    <x v="1"/>
    <n v="962933.94816408202"/>
    <n v="962933.94816408202"/>
    <n v="1"/>
    <x v="1"/>
    <n v="1299960.8300215108"/>
    <n v="1299960.8300215108"/>
    <n v="1.2999608300215109"/>
    <n v="1.2999608300215109"/>
  </r>
  <r>
    <s v="SE"/>
    <x v="3"/>
    <x v="1"/>
    <n v="119269832.531386"/>
    <n v="41431963.185427003"/>
    <n v="9"/>
    <x v="1"/>
    <n v="161014273.91737112"/>
    <n v="55933150.300326459"/>
    <n v="161.01427391737113"/>
    <n v="55.93315030032646"/>
  </r>
  <r>
    <s v="AT"/>
    <x v="4"/>
    <x v="1"/>
    <n v="965000"/>
    <n v="965000"/>
    <n v="1"/>
    <x v="0"/>
    <n v="1302750"/>
    <n v="1302750"/>
    <n v="1.3027500000000001"/>
    <n v="1.3027500000000001"/>
  </r>
  <r>
    <s v="BE"/>
    <x v="4"/>
    <x v="1"/>
    <n v="647970"/>
    <n v="647970"/>
    <n v="4"/>
    <x v="0"/>
    <n v="874759.5"/>
    <n v="874759.5"/>
    <n v="0.87475950000000002"/>
    <n v="0.87475950000000002"/>
  </r>
  <r>
    <s v="DE"/>
    <x v="4"/>
    <x v="1"/>
    <n v="11303190"/>
    <n v="11303190"/>
    <n v="2"/>
    <x v="0"/>
    <n v="15259306.500000002"/>
    <n v="15259306.500000002"/>
    <n v="15.259306500000001"/>
    <n v="15.259306500000001"/>
  </r>
  <r>
    <s v="DK"/>
    <x v="4"/>
    <x v="1"/>
    <n v="78660"/>
    <n v="78660"/>
    <n v="1"/>
    <x v="0"/>
    <n v="106191"/>
    <n v="106191"/>
    <n v="0.10619099999999999"/>
    <n v="0.10619099999999999"/>
  </r>
  <r>
    <s v="FR"/>
    <x v="4"/>
    <x v="1"/>
    <n v="61582623.200190403"/>
    <n v="61582623.200190403"/>
    <n v="97"/>
    <x v="0"/>
    <n v="83136541.320257053"/>
    <n v="83136541.320257053"/>
    <n v="83.136541320257052"/>
    <n v="83.136541320257052"/>
  </r>
  <r>
    <s v="PL"/>
    <x v="4"/>
    <x v="1"/>
    <n v="10000"/>
    <n v="10000"/>
    <n v="1"/>
    <x v="0"/>
    <n v="13500"/>
    <n v="13500"/>
    <n v="1.35E-2"/>
    <n v="1.35E-2"/>
  </r>
  <r>
    <s v="SE"/>
    <x v="4"/>
    <x v="1"/>
    <n v="891706.8"/>
    <n v="891706.8"/>
    <n v="6"/>
    <x v="0"/>
    <n v="1203804.1800000002"/>
    <n v="1203804.1800000002"/>
    <n v="1.2038041800000001"/>
    <n v="1.2038041800000001"/>
  </r>
  <r>
    <s v="AT"/>
    <x v="4"/>
    <x v="1"/>
    <n v="1593469941.57634"/>
    <n v="1569310027.57634"/>
    <n v="2497"/>
    <x v="1"/>
    <n v="2151184421.1280589"/>
    <n v="2118568537.2280591"/>
    <n v="2151.1844211280591"/>
    <n v="2118.5685372280591"/>
  </r>
  <r>
    <s v="BE"/>
    <x v="4"/>
    <x v="1"/>
    <n v="9409929762.7999992"/>
    <n v="8909949616"/>
    <n v="6013"/>
    <x v="1"/>
    <n v="12703405179.780001"/>
    <n v="12028431981.6"/>
    <n v="12703.40517978"/>
    <n v="12028.431981600001"/>
  </r>
  <r>
    <s v="CZ"/>
    <x v="4"/>
    <x v="1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1"/>
    <n v="12604811140.750601"/>
    <n v="12542945496.660101"/>
    <n v="21741"/>
    <x v="1"/>
    <n v="17016495040.013311"/>
    <n v="16932976420.491137"/>
    <n v="17016.495040013313"/>
    <n v="16932.976420491137"/>
  </r>
  <r>
    <s v="DK"/>
    <x v="4"/>
    <x v="1"/>
    <n v="24492760.438889999"/>
    <n v="23901642.438889999"/>
    <n v="91"/>
    <x v="1"/>
    <n v="33065226.592501502"/>
    <n v="32267217.292501502"/>
    <n v="33.065226592501503"/>
    <n v="32.267217292501499"/>
  </r>
  <r>
    <s v="FR"/>
    <x v="4"/>
    <x v="1"/>
    <n v="20646599039.407299"/>
    <n v="20218412584.742901"/>
    <n v="27517"/>
    <x v="1"/>
    <n v="27872908703.199856"/>
    <n v="27294856989.40292"/>
    <n v="27872.908703199857"/>
    <n v="27294.856989402921"/>
  </r>
  <r>
    <s v="GB"/>
    <x v="4"/>
    <x v="1"/>
    <n v="954681405.54719901"/>
    <n v="937681405.54719901"/>
    <n v="526"/>
    <x v="1"/>
    <n v="1288819897.4887187"/>
    <n v="1265869897.4887187"/>
    <n v="1288.8198974887187"/>
    <n v="1265.8698974887188"/>
  </r>
  <r>
    <s v="NL"/>
    <x v="4"/>
    <x v="1"/>
    <n v="10656038934.2896"/>
    <n v="10407871296.6896"/>
    <n v="8631"/>
    <x v="1"/>
    <n v="14385652561.290962"/>
    <n v="14050626250.53096"/>
    <n v="14385.652561290963"/>
    <n v="14050.626250530961"/>
  </r>
  <r>
    <s v="PL"/>
    <x v="4"/>
    <x v="1"/>
    <n v="5573336.4000000004"/>
    <n v="5573336.4000000004"/>
    <n v="126"/>
    <x v="1"/>
    <n v="7524004.1400000006"/>
    <n v="7524004.1400000006"/>
    <n v="7.5240041400000006"/>
    <n v="7.5240041400000006"/>
  </r>
  <r>
    <s v="SE"/>
    <x v="4"/>
    <x v="1"/>
    <n v="90575537.400000006"/>
    <n v="90575537.400000006"/>
    <n v="336"/>
    <x v="1"/>
    <n v="122276975.49000001"/>
    <n v="122276975.49000001"/>
    <n v="122.27697549000001"/>
    <n v="122.27697549000001"/>
  </r>
  <r>
    <s v="JP"/>
    <x v="0"/>
    <x v="2"/>
    <n v="3060082.6430000402"/>
    <n v="1599407.4673806699"/>
    <n v="3"/>
    <x v="0"/>
    <n v="4131111.5680500544"/>
    <n v="2159200.0809639045"/>
    <n v="4.1311115680500547"/>
    <n v="2.1592000809639047"/>
  </r>
  <r>
    <s v="JP"/>
    <x v="0"/>
    <x v="2"/>
    <n v="83586974.900705397"/>
    <n v="47547710.997818798"/>
    <n v="10"/>
    <x v="1"/>
    <n v="112842416.1159523"/>
    <n v="64189409.847055383"/>
    <n v="112.8424161159523"/>
    <n v="64.189409847055387"/>
  </r>
  <r>
    <s v="JP"/>
    <x v="2"/>
    <x v="2"/>
    <n v="276000"/>
    <n v="276000"/>
    <n v="2"/>
    <x v="1"/>
    <n v="372600"/>
    <n v="372600"/>
    <n v="0.37259999999999999"/>
    <n v="0.37259999999999999"/>
  </r>
  <r>
    <s v="JP"/>
    <x v="3"/>
    <x v="2"/>
    <n v="183525417.04899299"/>
    <n v="107035050.91833501"/>
    <n v="42"/>
    <x v="1"/>
    <n v="247759313.01614055"/>
    <n v="144497318.73975226"/>
    <n v="247.75931301614054"/>
    <n v="144.49731873975227"/>
  </r>
  <r>
    <s v="JP"/>
    <x v="4"/>
    <x v="2"/>
    <n v="20201080.800000001"/>
    <n v="20201080.800000001"/>
    <n v="23"/>
    <x v="1"/>
    <n v="27271459.080000002"/>
    <n v="27271459.080000002"/>
    <n v="27.271459080000003"/>
    <n v="27.271459080000003"/>
  </r>
  <r>
    <s v="CA"/>
    <x v="0"/>
    <x v="3"/>
    <n v="18301343.574820001"/>
    <n v="16479715.6923308"/>
    <n v="4"/>
    <x v="0"/>
    <n v="24706813.826007001"/>
    <n v="22247616.18464658"/>
    <n v="24.706813826007"/>
    <n v="22.247616184646581"/>
  </r>
  <r>
    <s v="CA"/>
    <x v="0"/>
    <x v="3"/>
    <n v="210957528.07712299"/>
    <n v="106631319.724132"/>
    <n v="18"/>
    <x v="1"/>
    <n v="284792662.90411603"/>
    <n v="143952281.6275782"/>
    <n v="284.79266290411601"/>
    <n v="143.9522816275782"/>
  </r>
  <r>
    <s v="CA"/>
    <x v="1"/>
    <x v="3"/>
    <n v="110000"/>
    <n v="110000"/>
    <n v="1"/>
    <x v="0"/>
    <n v="148500"/>
    <n v="148500"/>
    <n v="0.14849999999999999"/>
    <n v="0.14849999999999999"/>
  </r>
  <r>
    <s v="CA"/>
    <x v="1"/>
    <x v="3"/>
    <n v="110000"/>
    <n v="110000"/>
    <n v="1"/>
    <x v="1"/>
    <n v="148500"/>
    <n v="148500"/>
    <n v="0.14849999999999999"/>
    <n v="0.14849999999999999"/>
  </r>
  <r>
    <s v="CA"/>
    <x v="2"/>
    <x v="3"/>
    <n v="212000"/>
    <n v="212000"/>
    <n v="1"/>
    <x v="1"/>
    <n v="286200"/>
    <n v="286200"/>
    <n v="0.28620000000000001"/>
    <n v="0.28620000000000001"/>
  </r>
  <r>
    <s v="CA"/>
    <x v="3"/>
    <x v="3"/>
    <n v="7558346.1603288203"/>
    <n v="7558346.1603288203"/>
    <n v="4"/>
    <x v="1"/>
    <n v="10203767.316443909"/>
    <n v="10203767.316443909"/>
    <n v="10.203767316443908"/>
    <n v="10.203767316443908"/>
  </r>
  <r>
    <s v="CA"/>
    <x v="4"/>
    <x v="3"/>
    <n v="560000"/>
    <n v="560000"/>
    <n v="2"/>
    <x v="1"/>
    <n v="756000"/>
    <n v="756000"/>
    <n v="0.75600000000000001"/>
    <n v="0.75600000000000001"/>
  </r>
  <r>
    <s v="MX"/>
    <x v="0"/>
    <x v="4"/>
    <n v="7114586.37314039"/>
    <n v="7114586.37314039"/>
    <n v="2"/>
    <x v="0"/>
    <n v="9604691.603739528"/>
    <n v="9604691.603739528"/>
    <n v="9.6046916037395285"/>
    <n v="9.6046916037395285"/>
  </r>
  <r>
    <s v="US"/>
    <x v="0"/>
    <x v="4"/>
    <n v="2365811502.90905"/>
    <n v="1413295965.35532"/>
    <n v="326"/>
    <x v="0"/>
    <n v="3193845528.9272175"/>
    <n v="1907949553.2296822"/>
    <n v="3193.8455289272174"/>
    <n v="1907.9495532296821"/>
  </r>
  <r>
    <s v="MX"/>
    <x v="0"/>
    <x v="4"/>
    <n v="22688725.593346398"/>
    <n v="22688725.593346398"/>
    <n v="13"/>
    <x v="1"/>
    <n v="30629779.551017638"/>
    <n v="30629779.551017638"/>
    <n v="30.629779551017638"/>
    <n v="30.629779551017638"/>
  </r>
  <r>
    <s v="US"/>
    <x v="0"/>
    <x v="4"/>
    <n v="738973417.34851599"/>
    <n v="426252309.81766498"/>
    <n v="106"/>
    <x v="1"/>
    <n v="997614113.4204967"/>
    <n v="575440618.25384772"/>
    <n v="997.61411342049666"/>
    <n v="575.44061825384767"/>
  </r>
  <r>
    <s v="MX"/>
    <x v="1"/>
    <x v="4"/>
    <n v="200000"/>
    <n v="200000"/>
    <n v="1"/>
    <x v="0"/>
    <n v="270000"/>
    <n v="270000"/>
    <n v="0.27"/>
    <n v="0.27"/>
  </r>
  <r>
    <s v="US"/>
    <x v="1"/>
    <x v="4"/>
    <n v="345000"/>
    <n v="345000"/>
    <n v="1"/>
    <x v="0"/>
    <n v="465750.00000000006"/>
    <n v="465750.00000000006"/>
    <n v="0.46575000000000005"/>
    <n v="0.46575000000000005"/>
  </r>
  <r>
    <s v="MX"/>
    <x v="1"/>
    <x v="4"/>
    <n v="200000"/>
    <n v="200000"/>
    <n v="1"/>
    <x v="1"/>
    <n v="270000"/>
    <n v="270000"/>
    <n v="0.27"/>
    <n v="0.27"/>
  </r>
  <r>
    <s v="US"/>
    <x v="1"/>
    <x v="4"/>
    <n v="2462700"/>
    <n v="2462700"/>
    <n v="3"/>
    <x v="1"/>
    <n v="3324645"/>
    <n v="3324645"/>
    <n v="3.3246449999999999"/>
    <n v="3.3246449999999999"/>
  </r>
  <r>
    <s v="US"/>
    <x v="2"/>
    <x v="4"/>
    <n v="101000"/>
    <n v="101000"/>
    <n v="1"/>
    <x v="0"/>
    <n v="136350"/>
    <n v="136350"/>
    <n v="0.13635"/>
    <n v="0.13635"/>
  </r>
  <r>
    <s v="US"/>
    <x v="2"/>
    <x v="4"/>
    <n v="22746034"/>
    <n v="22746034"/>
    <n v="32"/>
    <x v="1"/>
    <n v="30707145.900000002"/>
    <n v="30707145.900000002"/>
    <n v="30.707145900000004"/>
    <n v="30.707145900000004"/>
  </r>
  <r>
    <s v="MX"/>
    <x v="3"/>
    <x v="4"/>
    <n v="16448885.4299854"/>
    <n v="16448885.4299854"/>
    <n v="3"/>
    <x v="0"/>
    <n v="22205995.330480292"/>
    <n v="22205995.330480292"/>
    <n v="22.205995330480292"/>
    <n v="22.205995330480292"/>
  </r>
  <r>
    <s v="US"/>
    <x v="3"/>
    <x v="4"/>
    <n v="175292598.767708"/>
    <n v="87273963.569168001"/>
    <n v="20"/>
    <x v="0"/>
    <n v="236645008.33640581"/>
    <n v="117819850.81837681"/>
    <n v="236.64500833640582"/>
    <n v="117.81985081837681"/>
  </r>
  <r>
    <s v="BH"/>
    <x v="3"/>
    <x v="4"/>
    <n v="36117049.745032303"/>
    <n v="18058524.872516099"/>
    <n v="1"/>
    <x v="1"/>
    <n v="48758017.155793615"/>
    <n v="24379008.577896737"/>
    <n v="48.758017155793617"/>
    <n v="24.379008577896737"/>
  </r>
  <r>
    <s v="MX"/>
    <x v="3"/>
    <x v="4"/>
    <n v="263034815.831615"/>
    <n v="239889344.47848099"/>
    <n v="90"/>
    <x v="1"/>
    <n v="355097001.37268025"/>
    <n v="323850615.04594934"/>
    <n v="355.09700137268027"/>
    <n v="323.85061504594933"/>
  </r>
  <r>
    <s v="US"/>
    <x v="3"/>
    <x v="4"/>
    <n v="906507554.61050797"/>
    <n v="666539312.39975405"/>
    <n v="227"/>
    <x v="1"/>
    <n v="1223785198.7241859"/>
    <n v="899828071.73966801"/>
    <n v="1223.7851987241859"/>
    <n v="899.82807173966796"/>
  </r>
  <r>
    <s v="BH"/>
    <x v="4"/>
    <x v="4"/>
    <n v="185600"/>
    <n v="185600"/>
    <n v="1"/>
    <x v="1"/>
    <n v="250560.00000000003"/>
    <n v="250560.00000000003"/>
    <n v="0.25056"/>
    <n v="0.25056"/>
  </r>
  <r>
    <s v="MX"/>
    <x v="4"/>
    <x v="4"/>
    <n v="5264746.4000000004"/>
    <n v="5264746.4000000004"/>
    <n v="9"/>
    <x v="1"/>
    <n v="7107407.6400000006"/>
    <n v="7107407.6400000006"/>
    <n v="7.1074076400000008"/>
    <n v="7.1074076400000008"/>
  </r>
  <r>
    <s v="US"/>
    <x v="4"/>
    <x v="4"/>
    <n v="101774358.815952"/>
    <n v="100967402.815952"/>
    <n v="76"/>
    <x v="1"/>
    <n v="137395384.40153521"/>
    <n v="136305993.80153522"/>
    <n v="137.39538440153521"/>
    <n v="136.30599380153521"/>
  </r>
  <r>
    <s v="US"/>
    <x v="0"/>
    <x v="5"/>
    <n v="2365811502.90905"/>
    <n v="1413295965.35532"/>
    <n v="326"/>
    <x v="0"/>
    <n v="3193845528.9272175"/>
    <n v="1907949553.2296822"/>
    <n v="3193.8455289272174"/>
    <n v="1907.9495532296821"/>
  </r>
  <r>
    <s v="US"/>
    <x v="0"/>
    <x v="5"/>
    <n v="738973417.34851599"/>
    <n v="426252309.81766498"/>
    <n v="106"/>
    <x v="1"/>
    <n v="997614113.4204967"/>
    <n v="575440618.25384772"/>
    <n v="997.61411342049666"/>
    <n v="575.44061825384767"/>
  </r>
  <r>
    <s v="US"/>
    <x v="1"/>
    <x v="5"/>
    <n v="345000"/>
    <n v="345000"/>
    <n v="1"/>
    <x v="0"/>
    <n v="465750.00000000006"/>
    <n v="465750.00000000006"/>
    <n v="0.46575000000000005"/>
    <n v="0.46575000000000005"/>
  </r>
  <r>
    <s v="US"/>
    <x v="1"/>
    <x v="5"/>
    <n v="2462700"/>
    <n v="2462700"/>
    <n v="3"/>
    <x v="1"/>
    <n v="3324645"/>
    <n v="3324645"/>
    <n v="3.3246449999999999"/>
    <n v="3.3246449999999999"/>
  </r>
  <r>
    <s v="US"/>
    <x v="2"/>
    <x v="5"/>
    <n v="101000"/>
    <n v="101000"/>
    <n v="1"/>
    <x v="0"/>
    <n v="136350"/>
    <n v="136350"/>
    <n v="0.13635"/>
    <n v="0.13635"/>
  </r>
  <r>
    <s v="US"/>
    <x v="2"/>
    <x v="5"/>
    <n v="22746034"/>
    <n v="22746034"/>
    <n v="32"/>
    <x v="1"/>
    <n v="30707145.900000002"/>
    <n v="30707145.900000002"/>
    <n v="30.707145900000004"/>
    <n v="30.707145900000004"/>
  </r>
  <r>
    <s v="US"/>
    <x v="3"/>
    <x v="5"/>
    <n v="175292598.767708"/>
    <n v="87273963.569168001"/>
    <n v="20"/>
    <x v="0"/>
    <n v="236645008.33640581"/>
    <n v="117819850.81837681"/>
    <n v="236.64500833640582"/>
    <n v="117.81985081837681"/>
  </r>
  <r>
    <s v="US"/>
    <x v="3"/>
    <x v="5"/>
    <n v="906507554.61050797"/>
    <n v="666539312.39975405"/>
    <n v="227"/>
    <x v="1"/>
    <n v="1223785198.7241859"/>
    <n v="899828071.73966801"/>
    <n v="1223.7851987241859"/>
    <n v="899.82807173966796"/>
  </r>
  <r>
    <s v="US"/>
    <x v="4"/>
    <x v="5"/>
    <n v="101774358.815952"/>
    <n v="100967402.815952"/>
    <n v="76"/>
    <x v="1"/>
    <n v="137395384.40153521"/>
    <n v="136305993.80153522"/>
    <n v="137.39538440153521"/>
    <n v="136.30599380153521"/>
  </r>
  <r>
    <m/>
    <x v="5"/>
    <x v="6"/>
    <m/>
    <m/>
    <m/>
    <x v="2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">
  <r>
    <x v="0"/>
    <x v="0"/>
    <n v="4645929142.0892553"/>
    <n v="2931952651.3518133"/>
    <n v="663"/>
    <x v="0"/>
    <n v="6272004341.8204947"/>
    <n v="3958136079.3249483"/>
    <n v="6272.004341820495"/>
    <n v="3958.1360793249482"/>
  </r>
  <r>
    <x v="0"/>
    <x v="0"/>
    <n v="25152755367.618645"/>
    <n v="18626528497.776272"/>
    <n v="4678"/>
    <x v="1"/>
    <n v="33956219746.285172"/>
    <n v="25145813471.997967"/>
    <n v="33956.219746285169"/>
    <n v="25145.813471997968"/>
  </r>
  <r>
    <x v="1"/>
    <x v="0"/>
    <n v="1652000"/>
    <n v="1652000"/>
    <n v="9"/>
    <x v="0"/>
    <n v="2230200"/>
    <n v="2230200"/>
    <n v="2.2302"/>
    <n v="2.2302"/>
  </r>
  <r>
    <x v="1"/>
    <x v="0"/>
    <n v="20414496.800000001"/>
    <n v="20414496.800000001"/>
    <n v="27"/>
    <x v="1"/>
    <n v="27559570.680000003"/>
    <n v="27559570.680000003"/>
    <n v="27.559570680000004"/>
    <n v="27.559570680000004"/>
  </r>
  <r>
    <x v="2"/>
    <x v="0"/>
    <n v="15433806.399999999"/>
    <n v="15433806.399999999"/>
    <n v="29"/>
    <x v="0"/>
    <n v="20835638.640000001"/>
    <n v="20835638.640000001"/>
    <n v="20.835638639999999"/>
    <n v="20.835638639999999"/>
  </r>
  <r>
    <x v="2"/>
    <x v="0"/>
    <n v="121727653503.48"/>
    <n v="121727653503.48"/>
    <n v="173658"/>
    <x v="1"/>
    <n v="164332332229.698"/>
    <n v="164332332229.698"/>
    <n v="164332.33222969799"/>
    <n v="164332.33222969799"/>
  </r>
  <r>
    <x v="3"/>
    <x v="0"/>
    <n v="699027304.7403357"/>
    <n v="406962151.02545941"/>
    <n v="55"/>
    <x v="0"/>
    <n v="943686861.39945328"/>
    <n v="549398903.88437021"/>
    <n v="943.68686139945328"/>
    <n v="549.39890388437016"/>
  </r>
  <r>
    <x v="3"/>
    <x v="0"/>
    <n v="7347517214.2083454"/>
    <n v="5831772777.3838816"/>
    <n v="1915"/>
    <x v="1"/>
    <n v="9919148239.1812668"/>
    <n v="7872893249.4682407"/>
    <n v="9919.148239181266"/>
    <n v="7872.8932494682404"/>
  </r>
  <r>
    <x v="4"/>
    <x v="0"/>
    <n v="349291128.70019042"/>
    <n v="349291128.70019042"/>
    <n v="201"/>
    <x v="0"/>
    <n v="471543023.74525708"/>
    <n v="471543023.74525708"/>
    <n v="471.54302374525707"/>
    <n v="471.54302374525707"/>
  </r>
  <r>
    <x v="4"/>
    <x v="0"/>
    <n v="77211907517.554779"/>
    <n v="75515308379.152084"/>
    <n v="89851"/>
    <x v="1"/>
    <n v="104236075148.69896"/>
    <n v="101945666311.85532"/>
    <n v="104236.07514869896"/>
    <n v="101945.66631185531"/>
  </r>
  <r>
    <x v="0"/>
    <x v="1"/>
    <n v="591803570.79433429"/>
    <n v="395404009.10095602"/>
    <n v="46"/>
    <x v="0"/>
    <n v="798934820.57235134"/>
    <n v="533795412.28629065"/>
    <n v="798.93482057235133"/>
    <n v="533.79541228629068"/>
  </r>
  <r>
    <x v="0"/>
    <x v="1"/>
    <n v="15621176039.304554"/>
    <n v="12132651704.075891"/>
    <n v="2767"/>
    <x v="1"/>
    <n v="21088587653.06115"/>
    <n v="16379079800.502455"/>
    <n v="21088.587653061149"/>
    <n v="16379.079800502455"/>
  </r>
  <r>
    <x v="1"/>
    <x v="1"/>
    <n v="5578000"/>
    <n v="5578000"/>
    <n v="5"/>
    <x v="1"/>
    <n v="7530300.0000000009"/>
    <n v="7530300.0000000009"/>
    <n v="7.5303000000000013"/>
    <n v="7.5303000000000013"/>
  </r>
  <r>
    <x v="2"/>
    <x v="1"/>
    <n v="7099946"/>
    <n v="7099946"/>
    <n v="15"/>
    <x v="0"/>
    <n v="9584927.1000000015"/>
    <n v="9584927.1000000015"/>
    <n v="9.5849271000000016"/>
    <n v="9.5849271000000016"/>
  </r>
  <r>
    <x v="2"/>
    <x v="1"/>
    <n v="121287644939.62"/>
    <n v="121287644939.62"/>
    <n v="173171"/>
    <x v="1"/>
    <n v="163738320668.487"/>
    <n v="163738320668.487"/>
    <n v="163738.32066848699"/>
    <n v="163738.32066848699"/>
  </r>
  <r>
    <x v="3"/>
    <x v="1"/>
    <n v="210175711.44096005"/>
    <n v="112614669.91667765"/>
    <n v="11"/>
    <x v="0"/>
    <n v="283737210.44529611"/>
    <n v="152029804.38751483"/>
    <n v="283.73721044529611"/>
    <n v="152.02980438751484"/>
  </r>
  <r>
    <x v="3"/>
    <x v="1"/>
    <n v="2859865269.6026335"/>
    <n v="2193629057.1369576"/>
    <n v="612"/>
    <x v="1"/>
    <n v="3860818113.9635553"/>
    <n v="2961399227.1348929"/>
    <n v="3860.8181139635553"/>
    <n v="2961.399227134893"/>
  </r>
  <r>
    <x v="4"/>
    <x v="1"/>
    <n v="75479150.000190392"/>
    <n v="75479150.000190392"/>
    <n v="112"/>
    <x v="0"/>
    <n v="101896852.50025703"/>
    <n v="101896852.50025703"/>
    <n v="101.89685250025703"/>
    <n v="101.89685250025703"/>
  </r>
  <r>
    <x v="4"/>
    <x v="1"/>
    <n v="56019841640.20993"/>
    <n v="54739890725.055031"/>
    <n v="67520"/>
    <x v="1"/>
    <n v="75626786214.283417"/>
    <n v="73898852478.824295"/>
    <n v="75626.78621428342"/>
    <n v="73898.852478824294"/>
  </r>
  <r>
    <x v="0"/>
    <x v="2"/>
    <n v="3060082.6430000402"/>
    <n v="1599407.4673806699"/>
    <n v="3"/>
    <x v="0"/>
    <n v="4131111.5680500544"/>
    <n v="2159200.0809639045"/>
    <n v="4.1311115680500547"/>
    <n v="2.1592000809639047"/>
  </r>
  <r>
    <x v="0"/>
    <x v="2"/>
    <n v="83586974.900705397"/>
    <n v="47547710.997818798"/>
    <n v="10"/>
    <x v="1"/>
    <n v="112842416.1159523"/>
    <n v="64189409.847055383"/>
    <n v="112.8424161159523"/>
    <n v="64.189409847055387"/>
  </r>
  <r>
    <x v="2"/>
    <x v="2"/>
    <n v="276000"/>
    <n v="276000"/>
    <n v="2"/>
    <x v="1"/>
    <n v="372600"/>
    <n v="372600"/>
    <n v="0.37259999999999999"/>
    <n v="0.37259999999999999"/>
  </r>
  <r>
    <x v="3"/>
    <x v="2"/>
    <n v="183525417.04899299"/>
    <n v="107035050.91833501"/>
    <n v="42"/>
    <x v="1"/>
    <n v="247759313.01614055"/>
    <n v="144497318.73975226"/>
    <n v="247.75931301614054"/>
    <n v="144.49731873975227"/>
  </r>
  <r>
    <x v="4"/>
    <x v="2"/>
    <n v="20201080.800000001"/>
    <n v="20201080.800000001"/>
    <n v="23"/>
    <x v="1"/>
    <n v="27271459.080000002"/>
    <n v="27271459.080000002"/>
    <n v="27.271459080000003"/>
    <n v="27.271459080000003"/>
  </r>
  <r>
    <x v="0"/>
    <x v="3"/>
    <n v="18301343.574820001"/>
    <n v="16479715.6923308"/>
    <n v="4"/>
    <x v="0"/>
    <n v="24706813.826007001"/>
    <n v="22247616.18464658"/>
    <n v="24.706813826007"/>
    <n v="22.247616184646581"/>
  </r>
  <r>
    <x v="0"/>
    <x v="3"/>
    <n v="210957528.07712299"/>
    <n v="106631319.724132"/>
    <n v="18"/>
    <x v="1"/>
    <n v="284792662.90411603"/>
    <n v="143952281.6275782"/>
    <n v="284.79266290411601"/>
    <n v="143.9522816275782"/>
  </r>
  <r>
    <x v="1"/>
    <x v="3"/>
    <n v="110000"/>
    <n v="110000"/>
    <n v="1"/>
    <x v="0"/>
    <n v="148500"/>
    <n v="148500"/>
    <n v="0.14849999999999999"/>
    <n v="0.14849999999999999"/>
  </r>
  <r>
    <x v="1"/>
    <x v="3"/>
    <n v="110000"/>
    <n v="110000"/>
    <n v="1"/>
    <x v="1"/>
    <n v="148500"/>
    <n v="148500"/>
    <n v="0.14849999999999999"/>
    <n v="0.14849999999999999"/>
  </r>
  <r>
    <x v="2"/>
    <x v="3"/>
    <n v="212000"/>
    <n v="212000"/>
    <n v="1"/>
    <x v="1"/>
    <n v="286200"/>
    <n v="286200"/>
    <n v="0.28620000000000001"/>
    <n v="0.28620000000000001"/>
  </r>
  <r>
    <x v="3"/>
    <x v="3"/>
    <n v="7558346.1603288203"/>
    <n v="7558346.1603288203"/>
    <n v="4"/>
    <x v="1"/>
    <n v="10203767.316443909"/>
    <n v="10203767.316443909"/>
    <n v="10.203767316443908"/>
    <n v="10.203767316443908"/>
  </r>
  <r>
    <x v="4"/>
    <x v="3"/>
    <n v="560000"/>
    <n v="560000"/>
    <n v="2"/>
    <x v="1"/>
    <n v="756000"/>
    <n v="756000"/>
    <n v="0.75600000000000001"/>
    <n v="0.75600000000000001"/>
  </r>
  <r>
    <x v="0"/>
    <x v="4"/>
    <n v="2372926089.2821903"/>
    <n v="1420410551.7284603"/>
    <n v="328"/>
    <x v="0"/>
    <n v="3203450220.5309572"/>
    <n v="1917554244.8334215"/>
    <n v="3203.4502205309573"/>
    <n v="1917.5542448334215"/>
  </r>
  <r>
    <x v="0"/>
    <x v="4"/>
    <n v="761662142.94186234"/>
    <n v="448941035.4110114"/>
    <n v="119"/>
    <x v="1"/>
    <n v="1028243892.9715142"/>
    <n v="606070397.80486548"/>
    <n v="1028.2438929715142"/>
    <n v="606.07039780486548"/>
  </r>
  <r>
    <x v="1"/>
    <x v="4"/>
    <n v="545000"/>
    <n v="545000"/>
    <n v="2"/>
    <x v="0"/>
    <n v="735750"/>
    <n v="735750"/>
    <n v="0.73575000000000002"/>
    <n v="0.73575000000000002"/>
  </r>
  <r>
    <x v="1"/>
    <x v="4"/>
    <n v="2662700"/>
    <n v="2662700"/>
    <n v="4"/>
    <x v="1"/>
    <n v="3594645.0000000005"/>
    <n v="3594645.0000000005"/>
    <n v="3.5946450000000003"/>
    <n v="3.5946450000000003"/>
  </r>
  <r>
    <x v="2"/>
    <x v="4"/>
    <n v="101000"/>
    <n v="101000"/>
    <n v="1"/>
    <x v="0"/>
    <n v="136350"/>
    <n v="136350"/>
    <n v="0.13635"/>
    <n v="0.13635"/>
  </r>
  <r>
    <x v="2"/>
    <x v="4"/>
    <n v="22746034"/>
    <n v="22746034"/>
    <n v="32"/>
    <x v="1"/>
    <n v="30707145.900000002"/>
    <n v="30707145.900000002"/>
    <n v="30.707145900000004"/>
    <n v="30.707145900000004"/>
  </r>
  <r>
    <x v="3"/>
    <x v="4"/>
    <n v="191741484.19769341"/>
    <n v="103722848.99915341"/>
    <n v="23"/>
    <x v="0"/>
    <n v="258851003.66688612"/>
    <n v="140025846.14885712"/>
    <n v="258.85100366688613"/>
    <n v="140.02584614885711"/>
  </r>
  <r>
    <x v="3"/>
    <x v="4"/>
    <n v="1205659420.1871552"/>
    <n v="924487181.75075114"/>
    <n v="318"/>
    <x v="1"/>
    <n v="1627640217.2526598"/>
    <n v="1248057695.3635142"/>
    <n v="1627.6402172526598"/>
    <n v="1248.0576953635141"/>
  </r>
  <r>
    <x v="4"/>
    <x v="4"/>
    <n v="107224705.21595201"/>
    <n v="106417749.21595201"/>
    <n v="86"/>
    <x v="1"/>
    <n v="144753352.04153523"/>
    <n v="143663961.44153523"/>
    <n v="144.75335204153524"/>
    <n v="143.66396144153524"/>
  </r>
  <r>
    <x v="0"/>
    <x v="5"/>
    <n v="2365811502.90905"/>
    <n v="1413295965.35532"/>
    <n v="326"/>
    <x v="0"/>
    <n v="3193845528.9272175"/>
    <n v="1907949553.2296822"/>
    <n v="3193.8455289272174"/>
    <n v="1907.9495532296821"/>
  </r>
  <r>
    <x v="0"/>
    <x v="5"/>
    <n v="738973417.34851599"/>
    <n v="426252309.81766498"/>
    <n v="106"/>
    <x v="1"/>
    <n v="997614113.4204967"/>
    <n v="575440618.25384772"/>
    <n v="997.61411342049666"/>
    <n v="575.44061825384767"/>
  </r>
  <r>
    <x v="1"/>
    <x v="5"/>
    <n v="345000"/>
    <n v="345000"/>
    <n v="1"/>
    <x v="0"/>
    <n v="465750.00000000006"/>
    <n v="465750.00000000006"/>
    <n v="0.46575000000000005"/>
    <n v="0.46575000000000005"/>
  </r>
  <r>
    <x v="1"/>
    <x v="5"/>
    <n v="2462700"/>
    <n v="2462700"/>
    <n v="3"/>
    <x v="1"/>
    <n v="3324645"/>
    <n v="3324645"/>
    <n v="3.3246449999999999"/>
    <n v="3.3246449999999999"/>
  </r>
  <r>
    <x v="2"/>
    <x v="5"/>
    <n v="101000"/>
    <n v="101000"/>
    <n v="1"/>
    <x v="0"/>
    <n v="136350"/>
    <n v="136350"/>
    <n v="0.13635"/>
    <n v="0.13635"/>
  </r>
  <r>
    <x v="2"/>
    <x v="5"/>
    <n v="22746034"/>
    <n v="22746034"/>
    <n v="32"/>
    <x v="1"/>
    <n v="30707145.900000002"/>
    <n v="30707145.900000002"/>
    <n v="30.707145900000004"/>
    <n v="30.707145900000004"/>
  </r>
  <r>
    <x v="3"/>
    <x v="5"/>
    <n v="175292598.767708"/>
    <n v="87273963.569168001"/>
    <n v="20"/>
    <x v="0"/>
    <n v="236645008.33640581"/>
    <n v="117819850.81837681"/>
    <n v="236.64500833640582"/>
    <n v="117.81985081837681"/>
  </r>
  <r>
    <x v="3"/>
    <x v="5"/>
    <n v="906507554.61050797"/>
    <n v="666539312.39975405"/>
    <n v="227"/>
    <x v="1"/>
    <n v="1223785198.7241859"/>
    <n v="899828071.73966801"/>
    <n v="1223.7851987241859"/>
    <n v="899.82807173966796"/>
  </r>
  <r>
    <x v="4"/>
    <x v="5"/>
    <n v="101774358.815952"/>
    <n v="100967402.815952"/>
    <n v="76"/>
    <x v="1"/>
    <n v="137395384.40153521"/>
    <n v="136305993.80153522"/>
    <n v="137.39538440153521"/>
    <n v="136.3059938015352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70CF95-4F9A-41FB-9513-0ECFA6DDB5EC}" name="PivotTable1" cacheId="65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57:I68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2">
    <field x="0"/>
    <field x="-2"/>
  </rowFields>
  <row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381">
      <pivotArea type="all" dataOnly="0" outline="0" fieldPosition="0"/>
    </format>
    <format dxfId="380">
      <pivotArea outline="0" collapsedLevelsAreSubtotals="1" fieldPosition="0"/>
    </format>
    <format dxfId="379">
      <pivotArea type="origin" dataOnly="0" labelOnly="1" outline="0" fieldPosition="0"/>
    </format>
    <format dxfId="378">
      <pivotArea field="-2" type="button" dataOnly="0" labelOnly="1" outline="0" axis="axisRow" fieldPosition="1"/>
    </format>
    <format dxfId="377">
      <pivotArea field="5" type="button" dataOnly="0" labelOnly="1" outline="0"/>
    </format>
    <format dxfId="376">
      <pivotArea type="topRight" dataOnly="0" labelOnly="1" outline="0" fieldPosition="0"/>
    </format>
    <format dxfId="375">
      <pivotArea field="0" type="button" dataOnly="0" labelOnly="1" outline="0" axis="axisRow" fieldPosition="0"/>
    </format>
    <format dxfId="374">
      <pivotArea dataOnly="0" labelOnly="1" fieldPosition="0">
        <references count="1">
          <reference field="0" count="0"/>
        </references>
      </pivotArea>
    </format>
    <format dxfId="373">
      <pivotArea dataOnly="0" labelOnly="1" grandRow="1" outline="0" fieldPosition="0"/>
    </format>
    <format dxfId="372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371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370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369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368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E0215-1212-4581-BAB9-115323399CB2}" name="PivotTable2" cacheId="65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:J24" firstHeaderRow="1" firstDataRow="2" firstDataCol="3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3">
    <field x="0"/>
    <field x="5"/>
    <field x="-2"/>
  </rowFields>
  <rowItems count="20">
    <i>
      <x/>
      <x/>
      <x/>
    </i>
    <i r="2" i="1">
      <x v="1"/>
    </i>
    <i r="1">
      <x v="1"/>
      <x/>
    </i>
    <i r="2" i="1">
      <x v="1"/>
    </i>
    <i>
      <x v="1"/>
      <x/>
      <x/>
    </i>
    <i r="2" i="1">
      <x v="1"/>
    </i>
    <i r="1">
      <x v="1"/>
      <x/>
    </i>
    <i r="2" i="1">
      <x v="1"/>
    </i>
    <i>
      <x v="2"/>
      <x/>
      <x/>
    </i>
    <i r="2" i="1">
      <x v="1"/>
    </i>
    <i r="1">
      <x v="1"/>
      <x/>
    </i>
    <i r="2" i="1">
      <x v="1"/>
    </i>
    <i>
      <x v="3"/>
      <x/>
      <x/>
    </i>
    <i r="2" i="1">
      <x v="1"/>
    </i>
    <i r="1">
      <x v="1"/>
      <x/>
    </i>
    <i r="2" i="1">
      <x v="1"/>
    </i>
    <i>
      <x v="4"/>
      <x/>
      <x/>
    </i>
    <i r="2" i="1">
      <x v="1"/>
    </i>
    <i r="1">
      <x v="1"/>
      <x/>
    </i>
    <i r="2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197">
      <pivotArea type="all" dataOnly="0" outline="0" fieldPosition="0"/>
    </format>
    <format dxfId="198">
      <pivotArea outline="0" collapsedLevelsAreSubtotals="1" fieldPosition="0"/>
    </format>
    <format dxfId="199">
      <pivotArea type="origin" dataOnly="0" labelOnly="1" outline="0" fieldPosition="0"/>
    </format>
    <format dxfId="200">
      <pivotArea field="-2" type="button" dataOnly="0" labelOnly="1" outline="0" axis="axisRow" fieldPosition="2"/>
    </format>
    <format dxfId="201">
      <pivotArea field="5" type="button" dataOnly="0" labelOnly="1" outline="0" axis="axisRow" fieldPosition="1"/>
    </format>
    <format dxfId="202">
      <pivotArea type="topRight" dataOnly="0" labelOnly="1" outline="0" fieldPosition="0"/>
    </format>
    <format dxfId="203">
      <pivotArea field="0" type="button" dataOnly="0" labelOnly="1" outline="0" axis="axisRow" fieldPosition="0"/>
    </format>
    <format dxfId="204">
      <pivotArea dataOnly="0" labelOnly="1" fieldPosition="0">
        <references count="1">
          <reference field="0" count="0"/>
        </references>
      </pivotArea>
    </format>
    <format dxfId="205">
      <pivotArea dataOnly="0" labelOnly="1" grandRow="1" outline="0" fieldPosition="0"/>
    </format>
    <format dxfId="206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207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208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209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210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CB8F12-97D4-4B0F-B0FB-993461BD7CFF}" name="PivotTable3" cacheId="65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9:I50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dataField="1"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compact="0" numFmtId="164" outline="0" subtotalTop="0" showAll="0" defaultSubtotal="0"/>
    <pivotField compact="0" numFmtId="164" outline="0" subtotalTop="0" showAll="0" defaultSubtotal="0"/>
  </pivotFields>
  <rowFields count="2">
    <field x="0"/>
    <field x="5"/>
  </rowFields>
  <rowItems count="10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>
      <x v="4"/>
      <x/>
    </i>
    <i r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count_policies" fld="4" baseField="0" baseItem="0"/>
  </dataFields>
  <formats count="14">
    <format dxfId="395">
      <pivotArea type="all" dataOnly="0" outline="0" fieldPosition="0"/>
    </format>
    <format dxfId="394">
      <pivotArea outline="0" collapsedLevelsAreSubtotals="1" fieldPosition="0"/>
    </format>
    <format dxfId="393">
      <pivotArea type="origin" dataOnly="0" labelOnly="1" outline="0" fieldPosition="0"/>
    </format>
    <format dxfId="392">
      <pivotArea field="-2" type="button" dataOnly="0" labelOnly="1" outline="0" axis="axisValues" fieldPosition="0"/>
    </format>
    <format dxfId="391">
      <pivotArea field="5" type="button" dataOnly="0" labelOnly="1" outline="0" axis="axisRow" fieldPosition="1"/>
    </format>
    <format dxfId="390">
      <pivotArea type="topRight" dataOnly="0" labelOnly="1" outline="0" fieldPosition="0"/>
    </format>
    <format dxfId="389">
      <pivotArea field="0" type="button" dataOnly="0" labelOnly="1" outline="0" axis="axisRow" fieldPosition="0"/>
    </format>
    <format dxfId="388">
      <pivotArea dataOnly="0" labelOnly="1" fieldPosition="0">
        <references count="1">
          <reference field="0" count="0"/>
        </references>
      </pivotArea>
    </format>
    <format dxfId="387">
      <pivotArea dataOnly="0" labelOnly="1" grandRow="1" outline="0" fieldPosition="0"/>
    </format>
    <format dxfId="386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385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384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383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382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CC3441-9A1B-4C61-9716-9F9033EC5285}" name="PivotTable3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4:Q8" firstHeaderRow="0" firstDataRow="1" firstDataCol="1" rowPageCount="1" colPageCount="1"/>
  <pivotFields count="11">
    <pivotField showAll="0"/>
    <pivotField axis="axisPage" multipleItemSelectionAllowed="1" showAll="0">
      <items count="7">
        <item h="1" x="0"/>
        <item h="1" x="1"/>
        <item x="2"/>
        <item h="1" x="3"/>
        <item h="1" x="4"/>
        <item h="1" x="5"/>
        <item t="default"/>
      </items>
    </pivotField>
    <pivotField axis="axisRow" showAll="0">
      <items count="8">
        <item x="0"/>
        <item h="1" x="1"/>
        <item h="1" x="2"/>
        <item h="1" x="3"/>
        <item h="1" x="4"/>
        <item h="1" x="5"/>
        <item h="1" x="6"/>
        <item t="default"/>
      </items>
    </pivotField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dataField="1" showAll="0"/>
  </pivotFields>
  <rowFields count="2">
    <field x="2"/>
    <field x="6"/>
  </rowFields>
  <rowItems count="4">
    <i>
      <x/>
    </i>
    <i r="1">
      <x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-1"/>
  </pageFields>
  <dataFields count="3">
    <dataField name="Sum of count_policies" fld="5" baseField="0" baseItem="0"/>
    <dataField name="Sum of sum_pml_usd/1m" fld="9" baseField="0" baseItem="0" numFmtId="164"/>
    <dataField name="Sum of sum_net_usd/1m" fld="10" baseField="0" baseItem="0" numFmtId="164"/>
  </dataFields>
  <formats count="1">
    <format dxfId="367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000-000000000000}">
  <dimension ref="A1:B16"/>
  <sheetViews>
    <sheetView zoomScale="130" zoomScaleNormal="130" workbookViewId="0">
      <pane ySplit="4" topLeftCell="A5" activePane="bottomLeft" state="frozen"/>
      <selection pane="bottomLeft" activeCell="B13" sqref="B13"/>
    </sheetView>
  </sheetViews>
  <sheetFormatPr defaultRowHeight="12.5" ns3:dyDescent="0.25"/>
  <cols>
    <col min="1" max="1" width="32" customWidth="1"/>
    <col min="2" max="2" width="115" customWidth="1"/>
  </cols>
  <sheetData>
    <row r="1" spans="1:2" ns3:dyDescent="0.25">
      <c r="A1" t="s">
        <v>139</v>
      </c>
    </row>
    <row r="2" spans="1:2" ns3:dyDescent="0.25">
      <c r="A2" t="s">
        <v>140</v>
      </c>
      <c r="B2" t="s">
        <v>141</v>
      </c>
    </row>
    <row r="4" spans="1:2" ns3:dyDescent="0.25">
      <c r="A4" t="s">
        <v>142</v>
      </c>
      <c r="B4" t="s">
        <v>143</v>
      </c>
    </row>
    <row r="5" spans="1:2" ns3:dyDescent="0.25">
      <c r="A5" t="s">
        <v>144</v>
      </c>
      <c r="B5" t="s">
        <v>145</v>
      </c>
    </row>
    <row r="6" spans="1:2" ns3:dyDescent="0.25">
      <c r="A6" t="s">
        <v>146</v>
      </c>
      <c r="B6" t="s">
        <v>147</v>
      </c>
    </row>
    <row r="7" spans="1:2" ns3:dyDescent="0.25">
      <c r="A7" t="s">
        <v>148</v>
      </c>
      <c r="B7" t="s">
        <v>149</v>
      </c>
    </row>
    <row r="8" spans="1:2" ns3:dyDescent="0.25">
      <c r="A8" t="s">
        <v>150</v>
      </c>
      <c r="B8" t="s">
        <v>151</v>
      </c>
    </row>
    <row r="10" spans="1:2" ht="13" ns3:dyDescent="0.3">
      <c r="A10" s="5" t="s">
        <v>152</v>
      </c>
      <c r="B10" t="inlineStr">
        <is>
          <t>Set Settings!B7 to the entity, refresh the SQL/Power Query source, then review the linked schedules.</t>
        </is>
      </c>
    </row>
    <row r="11" spans="1:2" ns3:dyDescent="0.25">
      <c r="A11" t="s">
        <v>154</v>
      </c>
      <c r="B11" t="s">
        <v>245</v>
      </c>
    </row>
    <row r="12" spans="1:2" ns3:dyDescent="0.25">
      <c r="A12" t="s">
        <v>155</v>
      </c>
      <c r="B12" t="s">
        <v>245</v>
      </c>
    </row>
    <row r="13" spans="1:2" ns3:dyDescent="0.25">
      <c r="A13" t="s">
        <v>156</v>
      </c>
      <c r="B13" t="s">
        <v>157</v>
      </c>
    </row>
    <row r="14" spans="1:2" ns3:dyDescent="0.25">
      <c r="A14" t="s">
        <v>158</v>
      </c>
      <c r="B14" t="s">
        <v>159</v>
      </c>
    </row>
    <row r="15" spans="1:2" ns3:dyDescent="0.25">
      <c r="A15" t="s">
        <v>160</v>
      </c>
      <c r="B15" t="s">
        <v>161</v>
      </c>
    </row>
    <row r="16" spans="1:2" ns3:dyDescent="0.25">
      <c r="A16" t="s">
        <v>162</v>
      </c>
      <c r="B16" t="s">
        <v>163</v>
      </c>
    </row>
  </sheetData>
  <autoFilter ref="A4:B16" ns2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FFC09-4CC0-4002-99FA-D17E9D27A4C7}">
  <dimension ref="A2:L78"/>
  <sheetViews>
    <sheetView tabSelected="1" zoomScale="90" zoomScaleNormal="90" workbookViewId="0">
      <selection activeCell="D31" sqref="D31"/>
    </sheetView>
  </sheetViews>
  <sheetFormatPr defaultRowHeight="12.5" x14ac:dyDescent="0.25"/>
  <cols>
    <col min="1" max="1" width="23.453125" bestFit="1" customWidth="1"/>
    <col min="2" max="2" width="16.08984375" bestFit="1" customWidth="1"/>
    <col min="3" max="3" width="22.6328125" bestFit="1" customWidth="1"/>
    <col min="4" max="9" width="10.26953125" bestFit="1" customWidth="1"/>
    <col min="10" max="10" width="12.36328125" bestFit="1" customWidth="1"/>
    <col min="11" max="11" width="12.54296875" customWidth="1"/>
    <col min="12" max="13" width="15.7265625" bestFit="1" customWidth="1"/>
    <col min="14" max="14" width="12.7265625" bestFit="1" customWidth="1"/>
    <col min="15" max="24" width="20.1796875" bestFit="1" customWidth="1"/>
    <col min="25" max="25" width="22.26953125" bestFit="1" customWidth="1"/>
    <col min="26" max="26" width="25.26953125" bestFit="1" customWidth="1"/>
  </cols>
  <sheetData>
    <row r="2" spans="1:12" ht="13" x14ac:dyDescent="0.3">
      <c r="A2" s="5" t="s">
        <v>18</v>
      </c>
    </row>
    <row r="3" spans="1:12" x14ac:dyDescent="0.25">
      <c r="A3" s="3"/>
      <c r="B3" s="3"/>
      <c r="C3" s="3"/>
      <c r="D3" s="4" t="s">
        <v>1</v>
      </c>
      <c r="E3" s="3"/>
      <c r="F3" s="3"/>
      <c r="G3" s="3"/>
      <c r="H3" s="3"/>
      <c r="I3" s="3"/>
      <c r="J3" s="3"/>
    </row>
    <row r="4" spans="1:12" x14ac:dyDescent="0.25">
      <c r="A4" s="4" t="s">
        <v>0</v>
      </c>
      <c r="B4" s="4" t="s">
        <v>5</v>
      </c>
      <c r="C4" s="4" t="s">
        <v>16</v>
      </c>
      <c r="D4" s="3" t="s">
        <v>6</v>
      </c>
      <c r="E4" s="3" t="s">
        <v>10</v>
      </c>
      <c r="F4" s="3" t="s">
        <v>11</v>
      </c>
      <c r="G4" s="3" t="s">
        <v>12</v>
      </c>
      <c r="H4" s="3" t="s">
        <v>13</v>
      </c>
      <c r="I4" s="3" t="s">
        <v>14</v>
      </c>
      <c r="J4" s="3" t="s">
        <v>15</v>
      </c>
      <c r="K4" s="3" t="s">
        <v>246</v>
      </c>
    </row>
    <row r="5" spans="1:12" x14ac:dyDescent="0.25">
      <c r="A5" s="3">
        <v>33</v>
      </c>
      <c r="B5" s="3">
        <v>1</v>
      </c>
      <c r="C5" s="3" t="s">
        <v>30</v>
      </c>
      <c r="D5" s="3">
        <v>33956.219746285169</v>
      </c>
      <c r="E5" s="3">
        <v>21088.587653061149</v>
      </c>
      <c r="F5" s="3">
        <v>112.8424161159523</v>
      </c>
      <c r="G5" s="3">
        <v>284.79266290411601</v>
      </c>
      <c r="H5" s="3">
        <v>1028.2438929715142</v>
      </c>
      <c r="I5" s="3">
        <v>997.61411342049666</v>
      </c>
      <c r="J5" s="3">
        <v>57468.300484758394</v>
      </c>
      <c r="K5" s="3">
        <f>D5-I5</f>
        <v>32958.605632864674</v>
      </c>
      <c r="L5" t="s">
        <v>23</v>
      </c>
    </row>
    <row r="6" spans="1:12" x14ac:dyDescent="0.25">
      <c r="A6" s="3"/>
      <c r="B6" s="3"/>
      <c r="C6" s="3" t="s">
        <v>31</v>
      </c>
      <c r="D6" s="3">
        <v>25145.813471997968</v>
      </c>
      <c r="E6" s="3">
        <v>16379.079800502455</v>
      </c>
      <c r="F6" s="3">
        <v>64.189409847055387</v>
      </c>
      <c r="G6" s="3">
        <v>143.9522816275782</v>
      </c>
      <c r="H6" s="3">
        <v>606.07039780486548</v>
      </c>
      <c r="I6" s="3">
        <v>575.44061825384767</v>
      </c>
      <c r="J6" s="3">
        <v>42914.54598003377</v>
      </c>
      <c r="K6" s="3">
        <f t="shared" ref="K6:K24" si="0">D6-I6</f>
        <v>24570.37285374412</v>
      </c>
      <c r="L6" t="s">
        <v>24</v>
      </c>
    </row>
    <row r="7" spans="1:12" x14ac:dyDescent="0.25">
      <c r="A7" s="3"/>
      <c r="B7" s="3">
        <v>0</v>
      </c>
      <c r="C7" s="3" t="s">
        <v>30</v>
      </c>
      <c r="D7" s="3">
        <v>6272.004341820495</v>
      </c>
      <c r="E7" s="3">
        <v>798.93482057235133</v>
      </c>
      <c r="F7" s="3">
        <v>4.1311115680500547</v>
      </c>
      <c r="G7" s="3">
        <v>24.706813826007</v>
      </c>
      <c r="H7" s="3">
        <v>3203.4502205309573</v>
      </c>
      <c r="I7" s="3">
        <v>3193.8455289272174</v>
      </c>
      <c r="J7" s="3">
        <v>13497.072837245078</v>
      </c>
      <c r="K7" s="3">
        <f t="shared" si="0"/>
        <v>3078.1588128932776</v>
      </c>
    </row>
    <row r="8" spans="1:12" x14ac:dyDescent="0.25">
      <c r="A8" s="3"/>
      <c r="B8" s="3"/>
      <c r="C8" s="3" t="s">
        <v>31</v>
      </c>
      <c r="D8" s="3">
        <v>3958.1360793249482</v>
      </c>
      <c r="E8" s="3">
        <v>533.79541228629068</v>
      </c>
      <c r="F8" s="3">
        <v>2.1592000809639047</v>
      </c>
      <c r="G8" s="3">
        <v>22.247616184646581</v>
      </c>
      <c r="H8" s="3">
        <v>1917.5542448334215</v>
      </c>
      <c r="I8" s="3">
        <v>1907.9495532296821</v>
      </c>
      <c r="J8" s="3">
        <v>8341.8421059399534</v>
      </c>
      <c r="K8" s="3">
        <f t="shared" si="0"/>
        <v>2050.1865260952663</v>
      </c>
    </row>
    <row r="9" spans="1:12" x14ac:dyDescent="0.25">
      <c r="A9" s="3">
        <v>3624</v>
      </c>
      <c r="B9" s="3">
        <v>1</v>
      </c>
      <c r="C9" s="3" t="s">
        <v>30</v>
      </c>
      <c r="D9" s="3">
        <v>27.559570680000004</v>
      </c>
      <c r="E9" s="3">
        <v>7.5303000000000013</v>
      </c>
      <c r="F9" s="3"/>
      <c r="G9" s="3">
        <v>0.14849999999999999</v>
      </c>
      <c r="H9" s="3">
        <v>3.5946450000000003</v>
      </c>
      <c r="I9" s="3">
        <v>3.3246449999999999</v>
      </c>
      <c r="J9" s="3">
        <v>42.157660679999999</v>
      </c>
      <c r="K9" s="3">
        <f t="shared" si="0"/>
        <v>24.234925680000003</v>
      </c>
    </row>
    <row r="10" spans="1:12" x14ac:dyDescent="0.25">
      <c r="A10" s="3"/>
      <c r="B10" s="3"/>
      <c r="C10" s="3" t="s">
        <v>31</v>
      </c>
      <c r="D10" s="3">
        <v>27.559570680000004</v>
      </c>
      <c r="E10" s="3">
        <v>7.5303000000000013</v>
      </c>
      <c r="F10" s="3"/>
      <c r="G10" s="3">
        <v>0.14849999999999999</v>
      </c>
      <c r="H10" s="3">
        <v>3.5946450000000003</v>
      </c>
      <c r="I10" s="3">
        <v>3.3246449999999999</v>
      </c>
      <c r="J10" s="3">
        <v>42.157660679999999</v>
      </c>
      <c r="K10" s="3">
        <f t="shared" si="0"/>
        <v>24.234925680000003</v>
      </c>
    </row>
    <row r="11" spans="1:12" x14ac:dyDescent="0.25">
      <c r="A11" s="3"/>
      <c r="B11" s="3">
        <v>0</v>
      </c>
      <c r="C11" s="3" t="s">
        <v>30</v>
      </c>
      <c r="D11" s="3">
        <v>2.2302</v>
      </c>
      <c r="E11" s="3"/>
      <c r="F11" s="3"/>
      <c r="G11" s="3">
        <v>0.14849999999999999</v>
      </c>
      <c r="H11" s="3">
        <v>0.73575000000000002</v>
      </c>
      <c r="I11" s="3">
        <v>0.46575000000000005</v>
      </c>
      <c r="J11" s="3">
        <v>3.5801999999999996</v>
      </c>
      <c r="K11" s="3">
        <f t="shared" si="0"/>
        <v>1.7644499999999999</v>
      </c>
    </row>
    <row r="12" spans="1:12" x14ac:dyDescent="0.25">
      <c r="A12" s="3"/>
      <c r="B12" s="3"/>
      <c r="C12" s="3" t="s">
        <v>31</v>
      </c>
      <c r="D12" s="3">
        <v>2.2302</v>
      </c>
      <c r="E12" s="3"/>
      <c r="F12" s="3"/>
      <c r="G12" s="3">
        <v>0.14849999999999999</v>
      </c>
      <c r="H12" s="3">
        <v>0.73575000000000002</v>
      </c>
      <c r="I12" s="3">
        <v>0.46575000000000005</v>
      </c>
      <c r="J12" s="3">
        <v>3.5801999999999996</v>
      </c>
      <c r="K12" s="3">
        <f t="shared" si="0"/>
        <v>1.7644499999999999</v>
      </c>
    </row>
    <row r="13" spans="1:12" x14ac:dyDescent="0.25">
      <c r="A13" s="3" t="s">
        <v>7</v>
      </c>
      <c r="B13" s="3">
        <v>1</v>
      </c>
      <c r="C13" s="3" t="s">
        <v>30</v>
      </c>
      <c r="D13" s="3">
        <v>164332.33222969799</v>
      </c>
      <c r="E13" s="3">
        <v>163738.32066848699</v>
      </c>
      <c r="F13" s="3">
        <v>0.37259999999999999</v>
      </c>
      <c r="G13" s="3">
        <v>0.28620000000000001</v>
      </c>
      <c r="H13" s="3">
        <v>30.707145900000004</v>
      </c>
      <c r="I13" s="3">
        <v>30.707145900000004</v>
      </c>
      <c r="J13" s="3">
        <v>328132.72598998493</v>
      </c>
      <c r="K13" s="3">
        <f t="shared" si="0"/>
        <v>164301.62508379799</v>
      </c>
    </row>
    <row r="14" spans="1:12" x14ac:dyDescent="0.25">
      <c r="A14" s="3"/>
      <c r="B14" s="3"/>
      <c r="C14" s="3" t="s">
        <v>31</v>
      </c>
      <c r="D14" s="3">
        <v>164332.33222969799</v>
      </c>
      <c r="E14" s="3">
        <v>163738.32066848699</v>
      </c>
      <c r="F14" s="3">
        <v>0.37259999999999999</v>
      </c>
      <c r="G14" s="3">
        <v>0.28620000000000001</v>
      </c>
      <c r="H14" s="3">
        <v>30.707145900000004</v>
      </c>
      <c r="I14" s="3">
        <v>30.707145900000004</v>
      </c>
      <c r="J14" s="3">
        <v>328132.72598998493</v>
      </c>
      <c r="K14" s="3">
        <f t="shared" si="0"/>
        <v>164301.62508379799</v>
      </c>
    </row>
    <row r="15" spans="1:12" x14ac:dyDescent="0.25">
      <c r="A15" s="3"/>
      <c r="B15" s="3">
        <v>0</v>
      </c>
      <c r="C15" s="3" t="s">
        <v>30</v>
      </c>
      <c r="D15" s="3">
        <v>20.835638639999999</v>
      </c>
      <c r="E15" s="3">
        <v>9.5849271000000016</v>
      </c>
      <c r="F15" s="3"/>
      <c r="G15" s="3"/>
      <c r="H15" s="3">
        <v>0.13635</v>
      </c>
      <c r="I15" s="3">
        <v>0.13635</v>
      </c>
      <c r="J15" s="3">
        <v>30.693265740000001</v>
      </c>
      <c r="K15" s="3">
        <f t="shared" si="0"/>
        <v>20.699288639999999</v>
      </c>
    </row>
    <row r="16" spans="1:12" x14ac:dyDescent="0.25">
      <c r="A16" s="3"/>
      <c r="B16" s="3"/>
      <c r="C16" s="3" t="s">
        <v>31</v>
      </c>
      <c r="D16" s="3">
        <v>20.835638639999999</v>
      </c>
      <c r="E16" s="3">
        <v>9.5849271000000016</v>
      </c>
      <c r="F16" s="3"/>
      <c r="G16" s="3"/>
      <c r="H16" s="3">
        <v>0.13635</v>
      </c>
      <c r="I16" s="3">
        <v>0.13635</v>
      </c>
      <c r="J16" s="3">
        <v>30.693265740000001</v>
      </c>
      <c r="K16" s="3">
        <f t="shared" si="0"/>
        <v>20.699288639999999</v>
      </c>
    </row>
    <row r="17" spans="1:11" x14ac:dyDescent="0.25">
      <c r="A17" s="3" t="s">
        <v>8</v>
      </c>
      <c r="B17" s="3">
        <v>1</v>
      </c>
      <c r="C17" s="3" t="s">
        <v>30</v>
      </c>
      <c r="D17" s="3">
        <v>9919.148239181266</v>
      </c>
      <c r="E17" s="3">
        <v>3860.8181139635553</v>
      </c>
      <c r="F17" s="3">
        <v>247.75931301614054</v>
      </c>
      <c r="G17" s="3">
        <v>10.203767316443908</v>
      </c>
      <c r="H17" s="3">
        <v>1627.6402172526598</v>
      </c>
      <c r="I17" s="3">
        <v>1223.7851987241859</v>
      </c>
      <c r="J17" s="3">
        <v>16889.354849454248</v>
      </c>
      <c r="K17" s="3">
        <f t="shared" si="0"/>
        <v>8695.3630404570795</v>
      </c>
    </row>
    <row r="18" spans="1:11" x14ac:dyDescent="0.25">
      <c r="A18" s="3"/>
      <c r="B18" s="3"/>
      <c r="C18" s="3" t="s">
        <v>31</v>
      </c>
      <c r="D18" s="3">
        <v>7872.8932494682404</v>
      </c>
      <c r="E18" s="3">
        <v>2961.399227134893</v>
      </c>
      <c r="F18" s="3">
        <v>144.49731873975227</v>
      </c>
      <c r="G18" s="3">
        <v>10.203767316443908</v>
      </c>
      <c r="H18" s="3">
        <v>1248.0576953635141</v>
      </c>
      <c r="I18" s="3">
        <v>899.82807173966796</v>
      </c>
      <c r="J18" s="3">
        <v>13136.879329762511</v>
      </c>
      <c r="K18" s="3">
        <f t="shared" si="0"/>
        <v>6973.0651777285721</v>
      </c>
    </row>
    <row r="19" spans="1:11" x14ac:dyDescent="0.25">
      <c r="A19" s="3"/>
      <c r="B19" s="3">
        <v>0</v>
      </c>
      <c r="C19" s="3" t="s">
        <v>30</v>
      </c>
      <c r="D19" s="3">
        <v>943.68686139945328</v>
      </c>
      <c r="E19" s="3">
        <v>283.73721044529611</v>
      </c>
      <c r="F19" s="3"/>
      <c r="G19" s="3"/>
      <c r="H19" s="3">
        <v>258.85100366688613</v>
      </c>
      <c r="I19" s="3">
        <v>236.64500833640582</v>
      </c>
      <c r="J19" s="3">
        <v>1722.9200838480415</v>
      </c>
      <c r="K19" s="3">
        <f t="shared" si="0"/>
        <v>707.04185306304748</v>
      </c>
    </row>
    <row r="20" spans="1:11" x14ac:dyDescent="0.25">
      <c r="A20" s="3"/>
      <c r="B20" s="3"/>
      <c r="C20" s="3" t="s">
        <v>31</v>
      </c>
      <c r="D20" s="3">
        <v>549.39890388437016</v>
      </c>
      <c r="E20" s="3">
        <v>152.02980438751484</v>
      </c>
      <c r="F20" s="3"/>
      <c r="G20" s="3"/>
      <c r="H20" s="3">
        <v>140.02584614885711</v>
      </c>
      <c r="I20" s="3">
        <v>117.81985081837681</v>
      </c>
      <c r="J20" s="3">
        <v>959.27440523911889</v>
      </c>
      <c r="K20" s="3">
        <f t="shared" si="0"/>
        <v>431.57905306599332</v>
      </c>
    </row>
    <row r="21" spans="1:11" x14ac:dyDescent="0.25">
      <c r="A21" s="3" t="s">
        <v>9</v>
      </c>
      <c r="B21" s="3">
        <v>1</v>
      </c>
      <c r="C21" s="3" t="s">
        <v>30</v>
      </c>
      <c r="D21" s="3">
        <v>104236.07514869896</v>
      </c>
      <c r="E21" s="3">
        <v>75626.78621428342</v>
      </c>
      <c r="F21" s="3">
        <v>27.271459080000003</v>
      </c>
      <c r="G21" s="3">
        <v>0.75600000000000001</v>
      </c>
      <c r="H21" s="3">
        <v>144.75335204153524</v>
      </c>
      <c r="I21" s="3">
        <v>137.39538440153521</v>
      </c>
      <c r="J21" s="3">
        <v>180173.03755850543</v>
      </c>
      <c r="K21" s="3">
        <f t="shared" si="0"/>
        <v>104098.67976429743</v>
      </c>
    </row>
    <row r="22" spans="1:11" x14ac:dyDescent="0.25">
      <c r="A22" s="3"/>
      <c r="B22" s="3"/>
      <c r="C22" s="3" t="s">
        <v>31</v>
      </c>
      <c r="D22" s="3">
        <v>101945.66631185531</v>
      </c>
      <c r="E22" s="3">
        <v>73898.852478824294</v>
      </c>
      <c r="F22" s="3">
        <v>27.271459080000003</v>
      </c>
      <c r="G22" s="3">
        <v>0.75600000000000001</v>
      </c>
      <c r="H22" s="3">
        <v>143.66396144153524</v>
      </c>
      <c r="I22" s="3">
        <v>136.30599380153521</v>
      </c>
      <c r="J22" s="3">
        <v>176152.51620500267</v>
      </c>
      <c r="K22" s="3">
        <f t="shared" si="0"/>
        <v>101809.36031805378</v>
      </c>
    </row>
    <row r="23" spans="1:11" x14ac:dyDescent="0.25">
      <c r="A23" s="3"/>
      <c r="B23" s="3">
        <v>0</v>
      </c>
      <c r="C23" s="3" t="s">
        <v>30</v>
      </c>
      <c r="D23" s="3">
        <v>471.54302374525707</v>
      </c>
      <c r="E23" s="3">
        <v>101.89685250025703</v>
      </c>
      <c r="F23" s="3"/>
      <c r="G23" s="3"/>
      <c r="H23" s="3"/>
      <c r="I23" s="3"/>
      <c r="J23" s="3">
        <v>573.43987624551414</v>
      </c>
      <c r="K23" s="3">
        <f t="shared" si="0"/>
        <v>471.54302374525707</v>
      </c>
    </row>
    <row r="24" spans="1:11" x14ac:dyDescent="0.25">
      <c r="A24" s="3"/>
      <c r="B24" s="3"/>
      <c r="C24" s="3" t="s">
        <v>31</v>
      </c>
      <c r="D24" s="3">
        <v>471.54302374525707</v>
      </c>
      <c r="E24" s="3">
        <v>101.89685250025703</v>
      </c>
      <c r="F24" s="3"/>
      <c r="G24" s="3"/>
      <c r="H24" s="3"/>
      <c r="I24" s="3"/>
      <c r="J24" s="3">
        <v>573.43987624551414</v>
      </c>
      <c r="K24" s="3">
        <f t="shared" si="0"/>
        <v>471.54302374525707</v>
      </c>
    </row>
    <row r="25" spans="1:11" ht="13" x14ac:dyDescent="0.3">
      <c r="D25" s="5" t="s">
        <v>25</v>
      </c>
      <c r="I25" s="5" t="s">
        <v>22</v>
      </c>
      <c r="K25" s="5" t="s">
        <v>21</v>
      </c>
    </row>
    <row r="39" spans="1:10" x14ac:dyDescent="0.25">
      <c r="A39" s="4" t="s">
        <v>17</v>
      </c>
      <c r="B39" s="3"/>
      <c r="C39" s="4" t="s">
        <v>1</v>
      </c>
      <c r="D39" s="3"/>
      <c r="E39" s="3"/>
      <c r="F39" s="3"/>
      <c r="G39" s="3"/>
      <c r="H39" s="3"/>
      <c r="I39" s="3"/>
    </row>
    <row r="40" spans="1:10" x14ac:dyDescent="0.25">
      <c r="A40" s="4" t="s">
        <v>0</v>
      </c>
      <c r="B40" s="4" t="s">
        <v>5</v>
      </c>
      <c r="C40" s="3" t="s">
        <v>6</v>
      </c>
      <c r="D40" s="3" t="s">
        <v>10</v>
      </c>
      <c r="E40" s="3" t="s">
        <v>11</v>
      </c>
      <c r="F40" s="3" t="s">
        <v>12</v>
      </c>
      <c r="G40" s="3" t="s">
        <v>13</v>
      </c>
      <c r="H40" s="3" t="s">
        <v>14</v>
      </c>
      <c r="I40" s="3" t="s">
        <v>15</v>
      </c>
    </row>
    <row r="41" spans="1:10" x14ac:dyDescent="0.25">
      <c r="A41" s="3">
        <v>33</v>
      </c>
      <c r="B41" s="3">
        <v>1</v>
      </c>
      <c r="C41" s="3">
        <v>4678</v>
      </c>
      <c r="D41" s="3">
        <v>2767</v>
      </c>
      <c r="E41" s="3">
        <v>10</v>
      </c>
      <c r="F41" s="3">
        <v>18</v>
      </c>
      <c r="G41" s="3">
        <v>119</v>
      </c>
      <c r="H41" s="3">
        <v>106</v>
      </c>
      <c r="I41" s="3">
        <v>7698</v>
      </c>
      <c r="J41" s="3">
        <f>C41-H41</f>
        <v>4572</v>
      </c>
    </row>
    <row r="42" spans="1:10" x14ac:dyDescent="0.25">
      <c r="A42" s="3"/>
      <c r="B42" s="3">
        <v>0</v>
      </c>
      <c r="C42" s="3">
        <v>663</v>
      </c>
      <c r="D42" s="3">
        <v>46</v>
      </c>
      <c r="E42" s="3">
        <v>3</v>
      </c>
      <c r="F42" s="3">
        <v>4</v>
      </c>
      <c r="G42" s="3">
        <v>328</v>
      </c>
      <c r="H42" s="3">
        <v>326</v>
      </c>
      <c r="I42" s="3">
        <v>1370</v>
      </c>
      <c r="J42" s="3">
        <f t="shared" ref="J42:J50" si="1">C42-H42</f>
        <v>337</v>
      </c>
    </row>
    <row r="43" spans="1:10" x14ac:dyDescent="0.25">
      <c r="A43" s="3">
        <v>3624</v>
      </c>
      <c r="B43" s="3">
        <v>1</v>
      </c>
      <c r="C43" s="3">
        <v>27</v>
      </c>
      <c r="D43" s="3">
        <v>5</v>
      </c>
      <c r="E43" s="3"/>
      <c r="F43" s="3">
        <v>1</v>
      </c>
      <c r="G43" s="3">
        <v>4</v>
      </c>
      <c r="H43" s="3">
        <v>3</v>
      </c>
      <c r="I43" s="3">
        <v>40</v>
      </c>
      <c r="J43" s="3">
        <f t="shared" si="1"/>
        <v>24</v>
      </c>
    </row>
    <row r="44" spans="1:10" x14ac:dyDescent="0.25">
      <c r="A44" s="3"/>
      <c r="B44" s="3">
        <v>0</v>
      </c>
      <c r="C44" s="3">
        <v>9</v>
      </c>
      <c r="D44" s="3"/>
      <c r="E44" s="3"/>
      <c r="F44" s="3">
        <v>1</v>
      </c>
      <c r="G44" s="3">
        <v>2</v>
      </c>
      <c r="H44" s="3">
        <v>1</v>
      </c>
      <c r="I44" s="3">
        <v>13</v>
      </c>
      <c r="J44" s="3">
        <f t="shared" si="1"/>
        <v>8</v>
      </c>
    </row>
    <row r="45" spans="1:10" x14ac:dyDescent="0.25">
      <c r="A45" s="3" t="s">
        <v>7</v>
      </c>
      <c r="B45" s="3">
        <v>1</v>
      </c>
      <c r="C45" s="3">
        <v>173658</v>
      </c>
      <c r="D45" s="3">
        <v>173171</v>
      </c>
      <c r="E45" s="3">
        <v>2</v>
      </c>
      <c r="F45" s="3">
        <v>1</v>
      </c>
      <c r="G45" s="3">
        <v>32</v>
      </c>
      <c r="H45" s="3">
        <v>32</v>
      </c>
      <c r="I45" s="3">
        <v>346896</v>
      </c>
      <c r="J45" s="3">
        <f t="shared" si="1"/>
        <v>173626</v>
      </c>
    </row>
    <row r="46" spans="1:10" x14ac:dyDescent="0.25">
      <c r="A46" s="3"/>
      <c r="B46" s="3">
        <v>0</v>
      </c>
      <c r="C46" s="3">
        <v>29</v>
      </c>
      <c r="D46" s="3">
        <v>15</v>
      </c>
      <c r="E46" s="3"/>
      <c r="F46" s="3"/>
      <c r="G46" s="3">
        <v>1</v>
      </c>
      <c r="H46" s="3">
        <v>1</v>
      </c>
      <c r="I46" s="3">
        <v>46</v>
      </c>
      <c r="J46" s="3">
        <f t="shared" si="1"/>
        <v>28</v>
      </c>
    </row>
    <row r="47" spans="1:10" x14ac:dyDescent="0.25">
      <c r="A47" s="3" t="s">
        <v>8</v>
      </c>
      <c r="B47" s="3">
        <v>1</v>
      </c>
      <c r="C47" s="3">
        <v>1915</v>
      </c>
      <c r="D47" s="3">
        <v>612</v>
      </c>
      <c r="E47" s="3">
        <v>42</v>
      </c>
      <c r="F47" s="3">
        <v>4</v>
      </c>
      <c r="G47" s="3">
        <v>318</v>
      </c>
      <c r="H47" s="3">
        <v>227</v>
      </c>
      <c r="I47" s="3">
        <v>3118</v>
      </c>
      <c r="J47" s="3">
        <f t="shared" si="1"/>
        <v>1688</v>
      </c>
    </row>
    <row r="48" spans="1:10" x14ac:dyDescent="0.25">
      <c r="A48" s="3"/>
      <c r="B48" s="3">
        <v>0</v>
      </c>
      <c r="C48" s="3">
        <v>55</v>
      </c>
      <c r="D48" s="3">
        <v>11</v>
      </c>
      <c r="E48" s="3"/>
      <c r="F48" s="3"/>
      <c r="G48" s="3">
        <v>23</v>
      </c>
      <c r="H48" s="3">
        <v>20</v>
      </c>
      <c r="I48" s="3">
        <v>109</v>
      </c>
      <c r="J48" s="3">
        <f t="shared" si="1"/>
        <v>35</v>
      </c>
    </row>
    <row r="49" spans="1:11" x14ac:dyDescent="0.25">
      <c r="A49" s="3" t="s">
        <v>9</v>
      </c>
      <c r="B49" s="3">
        <v>1</v>
      </c>
      <c r="C49" s="3">
        <v>89851</v>
      </c>
      <c r="D49" s="3">
        <v>67520</v>
      </c>
      <c r="E49" s="3">
        <v>23</v>
      </c>
      <c r="F49" s="3">
        <v>2</v>
      </c>
      <c r="G49" s="3">
        <v>86</v>
      </c>
      <c r="H49" s="3">
        <v>76</v>
      </c>
      <c r="I49" s="3">
        <v>157558</v>
      </c>
      <c r="J49" s="3">
        <f t="shared" si="1"/>
        <v>89775</v>
      </c>
    </row>
    <row r="50" spans="1:11" x14ac:dyDescent="0.25">
      <c r="A50" s="3"/>
      <c r="B50" s="3">
        <v>0</v>
      </c>
      <c r="C50" s="3">
        <v>201</v>
      </c>
      <c r="D50" s="3">
        <v>112</v>
      </c>
      <c r="E50" s="3"/>
      <c r="F50" s="3"/>
      <c r="G50" s="3"/>
      <c r="H50" s="3"/>
      <c r="I50" s="3">
        <v>313</v>
      </c>
      <c r="J50" s="3">
        <f t="shared" si="1"/>
        <v>201</v>
      </c>
    </row>
    <row r="51" spans="1:11" ht="13" x14ac:dyDescent="0.3">
      <c r="A51" s="5" t="s">
        <v>20</v>
      </c>
      <c r="H51" s="5"/>
      <c r="J51" s="5"/>
    </row>
    <row r="56" spans="1:11" ht="13" x14ac:dyDescent="0.3">
      <c r="A56" s="5" t="s">
        <v>19</v>
      </c>
    </row>
    <row r="57" spans="1:11" x14ac:dyDescent="0.25">
      <c r="A57" s="3"/>
      <c r="B57" s="3"/>
      <c r="C57" s="4" t="s">
        <v>1</v>
      </c>
      <c r="D57" s="3"/>
      <c r="E57" s="3"/>
      <c r="F57" s="3"/>
      <c r="G57" s="3"/>
      <c r="H57" s="3"/>
      <c r="I57" s="3"/>
    </row>
    <row r="58" spans="1:11" x14ac:dyDescent="0.25">
      <c r="A58" s="4" t="s">
        <v>0</v>
      </c>
      <c r="B58" s="4" t="s">
        <v>16</v>
      </c>
      <c r="C58" s="3" t="s">
        <v>6</v>
      </c>
      <c r="D58" s="3" t="s">
        <v>10</v>
      </c>
      <c r="E58" s="3" t="s">
        <v>11</v>
      </c>
      <c r="F58" s="3" t="s">
        <v>12</v>
      </c>
      <c r="G58" s="3" t="s">
        <v>13</v>
      </c>
      <c r="H58" s="3" t="s">
        <v>14</v>
      </c>
      <c r="I58" s="3" t="s">
        <v>15</v>
      </c>
    </row>
    <row r="59" spans="1:11" x14ac:dyDescent="0.25">
      <c r="A59" s="3">
        <v>33</v>
      </c>
      <c r="B59" s="3" t="s">
        <v>30</v>
      </c>
      <c r="C59" s="3">
        <v>40228.224088105664</v>
      </c>
      <c r="D59" s="3">
        <v>21887.5224736335</v>
      </c>
      <c r="E59" s="3">
        <v>116.97352768400236</v>
      </c>
      <c r="F59" s="3">
        <v>309.49947673012304</v>
      </c>
      <c r="G59" s="3">
        <v>4231.6941135024717</v>
      </c>
      <c r="H59" s="3">
        <v>4191.4596423477142</v>
      </c>
      <c r="I59" s="3">
        <v>70965.373322003477</v>
      </c>
      <c r="K59" s="3">
        <f>D59-I59</f>
        <v>-49077.850848369977</v>
      </c>
    </row>
    <row r="60" spans="1:11" x14ac:dyDescent="0.25">
      <c r="A60" s="3"/>
      <c r="B60" s="3" t="s">
        <v>31</v>
      </c>
      <c r="C60" s="3">
        <v>29103.949551322916</v>
      </c>
      <c r="D60" s="3">
        <v>16912.875212788746</v>
      </c>
      <c r="E60" s="3">
        <v>66.348609928019286</v>
      </c>
      <c r="F60" s="3">
        <v>166.19989781222478</v>
      </c>
      <c r="G60" s="3">
        <v>2523.6246426382868</v>
      </c>
      <c r="H60" s="3">
        <v>2483.3901714835297</v>
      </c>
      <c r="I60" s="3">
        <v>51256.388085973726</v>
      </c>
      <c r="K60" s="3">
        <f t="shared" ref="K60:K78" si="2">D60-I60</f>
        <v>-34343.512873184984</v>
      </c>
    </row>
    <row r="61" spans="1:11" x14ac:dyDescent="0.25">
      <c r="A61" s="3">
        <v>3624</v>
      </c>
      <c r="B61" s="3" t="s">
        <v>30</v>
      </c>
      <c r="C61" s="3">
        <v>29.789770680000004</v>
      </c>
      <c r="D61" s="3">
        <v>7.5303000000000013</v>
      </c>
      <c r="E61" s="3"/>
      <c r="F61" s="3">
        <v>0.29699999999999999</v>
      </c>
      <c r="G61" s="3">
        <v>4.3303950000000002</v>
      </c>
      <c r="H61" s="3">
        <v>3.7903949999999997</v>
      </c>
      <c r="I61" s="3">
        <v>45.737860680000004</v>
      </c>
      <c r="K61" s="3">
        <f t="shared" si="2"/>
        <v>-38.20756068</v>
      </c>
    </row>
    <row r="62" spans="1:11" x14ac:dyDescent="0.25">
      <c r="A62" s="3"/>
      <c r="B62" s="3" t="s">
        <v>31</v>
      </c>
      <c r="C62" s="3">
        <v>29.789770680000004</v>
      </c>
      <c r="D62" s="3">
        <v>7.5303000000000013</v>
      </c>
      <c r="E62" s="3"/>
      <c r="F62" s="3">
        <v>0.29699999999999999</v>
      </c>
      <c r="G62" s="3">
        <v>4.3303950000000002</v>
      </c>
      <c r="H62" s="3">
        <v>3.7903949999999997</v>
      </c>
      <c r="I62" s="3">
        <v>45.737860680000004</v>
      </c>
      <c r="K62" s="3">
        <f t="shared" si="2"/>
        <v>-38.20756068</v>
      </c>
    </row>
    <row r="63" spans="1:11" x14ac:dyDescent="0.25">
      <c r="A63" s="3" t="s">
        <v>7</v>
      </c>
      <c r="B63" s="3" t="s">
        <v>30</v>
      </c>
      <c r="C63" s="3">
        <v>164353.167868338</v>
      </c>
      <c r="D63" s="3">
        <v>163747.90559558698</v>
      </c>
      <c r="E63" s="3">
        <v>0.37259999999999999</v>
      </c>
      <c r="F63" s="3">
        <v>0.28620000000000001</v>
      </c>
      <c r="G63" s="3">
        <v>30.843495900000004</v>
      </c>
      <c r="H63" s="3">
        <v>30.843495900000004</v>
      </c>
      <c r="I63" s="3">
        <v>328163.41925572493</v>
      </c>
      <c r="K63" s="3">
        <f t="shared" si="2"/>
        <v>-164415.51366013795</v>
      </c>
    </row>
    <row r="64" spans="1:11" x14ac:dyDescent="0.25">
      <c r="A64" s="3"/>
      <c r="B64" s="3" t="s">
        <v>31</v>
      </c>
      <c r="C64" s="3">
        <v>164353.167868338</v>
      </c>
      <c r="D64" s="3">
        <v>163747.90559558698</v>
      </c>
      <c r="E64" s="3">
        <v>0.37259999999999999</v>
      </c>
      <c r="F64" s="3">
        <v>0.28620000000000001</v>
      </c>
      <c r="G64" s="3">
        <v>30.843495900000004</v>
      </c>
      <c r="H64" s="3">
        <v>30.843495900000004</v>
      </c>
      <c r="I64" s="3">
        <v>328163.41925572493</v>
      </c>
      <c r="K64" s="3">
        <f t="shared" si="2"/>
        <v>-164415.51366013795</v>
      </c>
    </row>
    <row r="65" spans="1:11" x14ac:dyDescent="0.25">
      <c r="A65" s="3" t="s">
        <v>8</v>
      </c>
      <c r="B65" s="3" t="s">
        <v>30</v>
      </c>
      <c r="C65" s="3">
        <v>10862.83510058072</v>
      </c>
      <c r="D65" s="3">
        <v>4144.5553244088514</v>
      </c>
      <c r="E65" s="3">
        <v>247.75931301614054</v>
      </c>
      <c r="F65" s="3">
        <v>10.203767316443908</v>
      </c>
      <c r="G65" s="3">
        <v>1886.4912209195459</v>
      </c>
      <c r="H65" s="3">
        <v>1460.4302070605918</v>
      </c>
      <c r="I65" s="3">
        <v>18612.274933302291</v>
      </c>
      <c r="K65" s="3">
        <f t="shared" si="2"/>
        <v>-14467.71960889344</v>
      </c>
    </row>
    <row r="66" spans="1:11" x14ac:dyDescent="0.25">
      <c r="A66" s="3"/>
      <c r="B66" s="3" t="s">
        <v>31</v>
      </c>
      <c r="C66" s="3">
        <v>8422.2921533526096</v>
      </c>
      <c r="D66" s="3">
        <v>3113.429031522408</v>
      </c>
      <c r="E66" s="3">
        <v>144.49731873975227</v>
      </c>
      <c r="F66" s="3">
        <v>10.203767316443908</v>
      </c>
      <c r="G66" s="3">
        <v>1388.0835415123711</v>
      </c>
      <c r="H66" s="3">
        <v>1017.6479225580448</v>
      </c>
      <c r="I66" s="3">
        <v>14096.153735001628</v>
      </c>
      <c r="K66" s="3">
        <f t="shared" si="2"/>
        <v>-10982.72470347922</v>
      </c>
    </row>
    <row r="67" spans="1:11" x14ac:dyDescent="0.25">
      <c r="A67" s="3" t="s">
        <v>9</v>
      </c>
      <c r="B67" s="3" t="s">
        <v>30</v>
      </c>
      <c r="C67" s="3">
        <v>104707.61817244421</v>
      </c>
      <c r="D67" s="3">
        <v>75728.683066783677</v>
      </c>
      <c r="E67" s="3">
        <v>27.271459080000003</v>
      </c>
      <c r="F67" s="3">
        <v>0.75600000000000001</v>
      </c>
      <c r="G67" s="3">
        <v>144.75335204153524</v>
      </c>
      <c r="H67" s="3">
        <v>137.39538440153521</v>
      </c>
      <c r="I67" s="3">
        <v>180746.47743475094</v>
      </c>
      <c r="K67" s="3">
        <f t="shared" si="2"/>
        <v>-105017.79436796726</v>
      </c>
    </row>
    <row r="68" spans="1:11" x14ac:dyDescent="0.25">
      <c r="A68" s="3"/>
      <c r="B68" s="3" t="s">
        <v>31</v>
      </c>
      <c r="C68" s="3">
        <v>102417.20933560056</v>
      </c>
      <c r="D68" s="3">
        <v>74000.74933132455</v>
      </c>
      <c r="E68" s="3">
        <v>27.271459080000003</v>
      </c>
      <c r="F68" s="3">
        <v>0.75600000000000001</v>
      </c>
      <c r="G68" s="3">
        <v>143.66396144153524</v>
      </c>
      <c r="H68" s="3">
        <v>136.30599380153521</v>
      </c>
      <c r="I68" s="3">
        <v>176725.95608124818</v>
      </c>
      <c r="K68" s="3">
        <f t="shared" si="2"/>
        <v>-102725.20674992363</v>
      </c>
    </row>
    <row r="69" spans="1:11" ht="13" x14ac:dyDescent="0.3">
      <c r="C69" s="5"/>
      <c r="D69" s="6"/>
      <c r="E69" s="6"/>
      <c r="F69" s="6"/>
      <c r="G69" s="6"/>
      <c r="K69" s="3"/>
    </row>
    <row r="70" spans="1:11" x14ac:dyDescent="0.25">
      <c r="K70" s="3"/>
    </row>
    <row r="71" spans="1:11" x14ac:dyDescent="0.25">
      <c r="K71" s="3"/>
    </row>
    <row r="72" spans="1:11" x14ac:dyDescent="0.25">
      <c r="K72" s="3"/>
    </row>
    <row r="73" spans="1:11" x14ac:dyDescent="0.25">
      <c r="K73" s="3"/>
    </row>
    <row r="74" spans="1:11" x14ac:dyDescent="0.25">
      <c r="K74" s="3"/>
    </row>
    <row r="75" spans="1:11" x14ac:dyDescent="0.25">
      <c r="K75" s="3"/>
    </row>
    <row r="76" spans="1:11" x14ac:dyDescent="0.25">
      <c r="K76" s="3"/>
    </row>
    <row r="77" spans="1:11" x14ac:dyDescent="0.25">
      <c r="K77" s="3"/>
    </row>
    <row r="78" spans="1:11" x14ac:dyDescent="0.25">
      <c r="K78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FD6788F1-4B47-421A-9EF9-440A877182E4}">
  <dimension ref="A1:J82"/>
  <sheetViews>
    <sheetView zoomScale="115" zoomScaleNormal="115" workbookViewId="0">
      <selection activeCell="H5" sqref="H5"/>
    </sheetView>
  </sheetViews>
  <sheetFormatPr defaultRowHeight="12.5" ns3:dyDescent="0.25"/>
  <cols>
    <col min="1" max="1" width="9.453125" style="14" bestFit="1" customWidth="1"/>
    <col min="2" max="2" width="8.7265625" style="12"/>
    <col min="3" max="4" width="15" style="11" bestFit="1" customWidth="1"/>
    <col min="5" max="5" width="16.453125" style="12" bestFit="1" customWidth="1"/>
    <col min="6" max="6" width="14.81640625" style="12" bestFit="1" customWidth="1"/>
    <col min="7" max="7" width="18.7265625" style="12" bestFit="1" customWidth="1"/>
    <col min="8" max="8" width="16" style="17" bestFit="1" customWidth="1"/>
    <col min="9" max="9" width="17" style="17" bestFit="1" customWidth="1"/>
    <col min="10" max="10" width="16.54296875" style="17" bestFit="1" customWidth="1"/>
  </cols>
  <sheetData>
    <row r="1" spans="1:10" ns3:dyDescent="0.25">
      <c r="A1" s="19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26</v>
      </c>
      <c r="H1" s="15" t="s">
        <v>27</v>
      </c>
      <c r="I1" s="15" t="s">
        <v>28</v>
      </c>
      <c r="J1" s="15" t="s">
        <v>29</v>
      </c>
    </row>
    <row r="2" spans="1:10" ns3:dyDescent="0.25">
      <c r="A2" s="14">
        <v>33</v>
      </c>
      <c r="B2" s="12" t="s">
        <v>6</v>
      </c>
      <c r="C2" s="11">
        <f>SUMIFS('BSCR Source Data'!$D:$D,'BSCR Source Data'!$B:$B,$A2,'BSCR Source Data'!$C:$C,$B2,'BSCR Source Data'!$G:$G,$F2)</f>
        <v>4645929142.0892553</v>
      </c>
      <c r="D2" s="11">
        <f>SUMIFS('BSCR Source Data'!$E:$E,'BSCR Source Data'!$B:$B,$A2,'BSCR Source Data'!$C:$C,$B2,'BSCR Source Data'!$G:$G,$F2)</f>
        <v>2931952651.3518133</v>
      </c>
      <c r="E2" s="12">
        <f>SUMIFS('BSCR Source Data'!$F:$F,'BSCR Source Data'!$B:$B,$A2,'BSCR Source Data'!$C:$C,$B2,'BSCR Source Data'!$G:$G,$F2)</f>
        <v>663</v>
      </c>
      <c r="F2" s="12">
        <v>0</v>
      </c>
      <c r="G2" s="13">
        <f>C2*Settings!$B$3</f>
        <v>6272004341.8204947</v>
      </c>
      <c r="H2" s="15">
        <f>D2*Settings!$B$3</f>
        <v>3958136079.3249483</v>
      </c>
      <c r="I2" s="16">
        <f>G2/1000000</f>
        <v>6272.004341820495</v>
      </c>
      <c r="J2" s="16">
        <f>H2/1000000</f>
        <v>3958.1360793249482</v>
      </c>
    </row>
    <row r="3" spans="1:10" ns3:dyDescent="0.25">
      <c r="A3" s="14">
        <v>33</v>
      </c>
      <c r="B3" s="12" t="s">
        <v>6</v>
      </c>
      <c r="C3" s="11">
        <f>SUMIFS('BSCR Source Data'!$D:$D,'BSCR Source Data'!$B:$B,$A3,'BSCR Source Data'!$C:$C,$B3,'BSCR Source Data'!$G:$G,$F3)</f>
        <v>25152755367.618645</v>
      </c>
      <c r="D3" s="11">
        <f>SUMIFS('BSCR Source Data'!$E:$E,'BSCR Source Data'!$B:$B,$A3,'BSCR Source Data'!$C:$C,$B3,'BSCR Source Data'!$G:$G,$F3)</f>
        <v>18626528497.776272</v>
      </c>
      <c r="E3" s="12">
        <f>SUMIFS('BSCR Source Data'!$F:$F,'BSCR Source Data'!$B:$B,$A3,'BSCR Source Data'!$C:$C,$B3,'BSCR Source Data'!$G:$G,$F3)</f>
        <v>4678</v>
      </c>
      <c r="F3" s="12">
        <v>1</v>
      </c>
      <c r="G3" s="13">
        <f t="shared" ref="G3:G50" si="0">C3*1.35</f>
        <v>33956219746.285172</v>
      </c>
      <c r="H3" s="15">
        <f>D3*Settings!$B$3</f>
        <v>25145813471.997967</v>
      </c>
      <c r="I3" s="16">
        <f t="shared" ref="I3:I50" si="1">G3/1000000</f>
        <v>33956.219746285169</v>
      </c>
      <c r="J3" s="16">
        <f t="shared" ref="J3:J50" si="2">H3/1000000</f>
        <v>25145.813471997968</v>
      </c>
    </row>
    <row r="4" spans="1:10" ns3:dyDescent="0.25">
      <c r="A4" s="14">
        <v>3624</v>
      </c>
      <c r="B4" s="12" t="s">
        <v>6</v>
      </c>
      <c r="C4" s="12">
        <f>SUMIFS('BSCR Source Data'!$D:$D,'BSCR Source Data'!$B:$B,$A4,'BSCR Source Data'!$C:$C,$B4,'BSCR Source Data'!$G:$G,$F4)</f>
        <v>1652000</v>
      </c>
      <c r="D4" s="12">
        <f>SUMIFS('BSCR Source Data'!$E:$E,'BSCR Source Data'!$B:$B,$A4,'BSCR Source Data'!$C:$C,$B4,'BSCR Source Data'!$G:$G,$F4)</f>
        <v>1652000</v>
      </c>
      <c r="E4" s="12">
        <f>SUMIFS('BSCR Source Data'!$F:$F,'BSCR Source Data'!$B:$B,$A4,'BSCR Source Data'!$C:$C,$B4,'BSCR Source Data'!$G:$G,$F4)</f>
        <v>9</v>
      </c>
      <c r="F4" s="12">
        <v>0</v>
      </c>
      <c r="G4" s="13">
        <f t="shared" si="0"/>
        <v>2230200</v>
      </c>
      <c r="H4" s="15">
        <f>D4*Settings!$B$3</f>
        <v>2230200</v>
      </c>
      <c r="I4" s="16">
        <f t="shared" si="1"/>
        <v>2.2302</v>
      </c>
      <c r="J4" s="16">
        <f t="shared" si="2"/>
        <v>2.2302</v>
      </c>
    </row>
    <row r="5" spans="1:10" ns3:dyDescent="0.25">
      <c r="A5" s="14">
        <v>3624</v>
      </c>
      <c r="B5" s="12" t="s">
        <v>6</v>
      </c>
      <c r="C5" s="12">
        <f>SUMIFS('BSCR Source Data'!$D:$D,'BSCR Source Data'!$B:$B,$A5,'BSCR Source Data'!$C:$C,$B5,'BSCR Source Data'!$G:$G,$F5)</f>
        <v>20414496.800000001</v>
      </c>
      <c r="D5" s="12">
        <f>SUMIFS('BSCR Source Data'!$E:$E,'BSCR Source Data'!$B:$B,$A5,'BSCR Source Data'!$C:$C,$B5,'BSCR Source Data'!$G:$G,$F5)</f>
        <v>20414496.800000001</v>
      </c>
      <c r="E5" s="12">
        <f>SUMIFS('BSCR Source Data'!$F:$F,'BSCR Source Data'!$B:$B,$A5,'BSCR Source Data'!$C:$C,$B5,'BSCR Source Data'!$G:$G,$F5)</f>
        <v>27</v>
      </c>
      <c r="F5" s="12">
        <v>1</v>
      </c>
      <c r="G5" s="13">
        <f t="shared" si="0"/>
        <v>27559570.680000003</v>
      </c>
      <c r="H5" s="15">
        <f>D5*Settings!$B$3</f>
        <v>27559570.680000003</v>
      </c>
      <c r="I5" s="16">
        <f t="shared" si="1"/>
        <v>27.559570680000004</v>
      </c>
      <c r="J5" s="16">
        <f t="shared" si="2"/>
        <v>27.559570680000004</v>
      </c>
    </row>
    <row r="6" spans="1:10" ns3:dyDescent="0.25">
      <c r="A6" s="14" t="s">
        <v>7</v>
      </c>
      <c r="B6" s="12" t="s">
        <v>6</v>
      </c>
      <c r="C6" s="12">
        <f>SUMIFS('BSCR Source Data'!$D:$D,'BSCR Source Data'!$B:$B,$A6,'BSCR Source Data'!$C:$C,$B6,'BSCR Source Data'!$G:$G,$F6)</f>
        <v>15433806.399999999</v>
      </c>
      <c r="D6" s="12">
        <f>SUMIFS('BSCR Source Data'!$E:$E,'BSCR Source Data'!$B:$B,$A6,'BSCR Source Data'!$C:$C,$B6,'BSCR Source Data'!$G:$G,$F6)</f>
        <v>15433806.399999999</v>
      </c>
      <c r="E6" s="12">
        <f>SUMIFS('BSCR Source Data'!$F:$F,'BSCR Source Data'!$B:$B,$A6,'BSCR Source Data'!$C:$C,$B6,'BSCR Source Data'!$G:$G,$F6)</f>
        <v>29</v>
      </c>
      <c r="F6" s="12">
        <v>0</v>
      </c>
      <c r="G6" s="13">
        <f t="shared" si="0"/>
        <v>20835638.640000001</v>
      </c>
      <c r="H6" s="15">
        <f>D6*Settings!$B$3</f>
        <v>20835638.640000001</v>
      </c>
      <c r="I6" s="16">
        <f t="shared" si="1"/>
        <v>20.835638639999999</v>
      </c>
      <c r="J6" s="16">
        <f t="shared" si="2"/>
        <v>20.835638639999999</v>
      </c>
    </row>
    <row r="7" spans="1:10" ns3:dyDescent="0.25">
      <c r="A7" s="14" t="s">
        <v>7</v>
      </c>
      <c r="B7" s="12" t="s">
        <v>6</v>
      </c>
      <c r="C7" s="12">
        <f>SUMIFS('BSCR Source Data'!$D:$D,'BSCR Source Data'!$B:$B,$A7,'BSCR Source Data'!$C:$C,$B7,'BSCR Source Data'!$G:$G,$F7)</f>
        <v>121727653503.48</v>
      </c>
      <c r="D7" s="12">
        <f>SUMIFS('BSCR Source Data'!$E:$E,'BSCR Source Data'!$B:$B,$A7,'BSCR Source Data'!$C:$C,$B7,'BSCR Source Data'!$G:$G,$F7)</f>
        <v>121727653503.48</v>
      </c>
      <c r="E7" s="12">
        <f>SUMIFS('BSCR Source Data'!$F:$F,'BSCR Source Data'!$B:$B,$A7,'BSCR Source Data'!$C:$C,$B7,'BSCR Source Data'!$G:$G,$F7)</f>
        <v>173658</v>
      </c>
      <c r="F7" s="12">
        <v>1</v>
      </c>
      <c r="G7" s="13">
        <f t="shared" si="0"/>
        <v>164332332229.698</v>
      </c>
      <c r="H7" s="15">
        <f>D7*Settings!$B$3</f>
        <v>164332332229.698</v>
      </c>
      <c r="I7" s="16">
        <f t="shared" si="1"/>
        <v>164332.33222969799</v>
      </c>
      <c r="J7" s="16">
        <f t="shared" si="2"/>
        <v>164332.33222969799</v>
      </c>
    </row>
    <row r="8" spans="1:10" ns3:dyDescent="0.25">
      <c r="A8" s="14" t="s">
        <v>8</v>
      </c>
      <c r="B8" s="12" t="s">
        <v>6</v>
      </c>
      <c r="C8" s="12">
        <f>SUMIFS('BSCR Source Data'!$D:$D,'BSCR Source Data'!$B:$B,$A8,'BSCR Source Data'!$C:$C,$B8,'BSCR Source Data'!$G:$G,$F8)</f>
        <v>699027304.7403357</v>
      </c>
      <c r="D8" s="12">
        <f>SUMIFS('BSCR Source Data'!$E:$E,'BSCR Source Data'!$B:$B,$A8,'BSCR Source Data'!$C:$C,$B8,'BSCR Source Data'!$G:$G,$F8)</f>
        <v>406962151.02545941</v>
      </c>
      <c r="E8" s="12">
        <f>SUMIFS('BSCR Source Data'!$F:$F,'BSCR Source Data'!$B:$B,$A8,'BSCR Source Data'!$C:$C,$B8,'BSCR Source Data'!$G:$G,$F8)</f>
        <v>55</v>
      </c>
      <c r="F8" s="12">
        <v>0</v>
      </c>
      <c r="G8" s="13">
        <f t="shared" si="0"/>
        <v>943686861.39945328</v>
      </c>
      <c r="H8" s="15">
        <f>D8*Settings!$B$3</f>
        <v>549398903.88437021</v>
      </c>
      <c r="I8" s="16">
        <f t="shared" si="1"/>
        <v>943.68686139945328</v>
      </c>
      <c r="J8" s="16">
        <f t="shared" si="2"/>
        <v>549.39890388437016</v>
      </c>
    </row>
    <row r="9" spans="1:10" ns3:dyDescent="0.25">
      <c r="A9" s="14" t="s">
        <v>8</v>
      </c>
      <c r="B9" s="12" t="s">
        <v>6</v>
      </c>
      <c r="C9" s="12">
        <f>SUMIFS('BSCR Source Data'!$D:$D,'BSCR Source Data'!$B:$B,$A9,'BSCR Source Data'!$C:$C,$B9,'BSCR Source Data'!$G:$G,$F9)</f>
        <v>7347517214.2083454</v>
      </c>
      <c r="D9" s="12">
        <f>SUMIFS('BSCR Source Data'!$E:$E,'BSCR Source Data'!$B:$B,$A9,'BSCR Source Data'!$C:$C,$B9,'BSCR Source Data'!$G:$G,$F9)</f>
        <v>5831772777.3838816</v>
      </c>
      <c r="E9" s="12">
        <f>SUMIFS('BSCR Source Data'!$F:$F,'BSCR Source Data'!$B:$B,$A9,'BSCR Source Data'!$C:$C,$B9,'BSCR Source Data'!$G:$G,$F9)</f>
        <v>1915</v>
      </c>
      <c r="F9" s="12">
        <v>1</v>
      </c>
      <c r="G9" s="13">
        <f t="shared" si="0"/>
        <v>9919148239.1812668</v>
      </c>
      <c r="H9" s="15">
        <f>D9*Settings!$B$3</f>
        <v>7872893249.4682407</v>
      </c>
      <c r="I9" s="16">
        <f t="shared" si="1"/>
        <v>9919.148239181266</v>
      </c>
      <c r="J9" s="16">
        <f t="shared" si="2"/>
        <v>7872.8932494682404</v>
      </c>
    </row>
    <row r="10" spans="1:10" ns3:dyDescent="0.25">
      <c r="A10" s="14" t="s">
        <v>9</v>
      </c>
      <c r="B10" s="12" t="s">
        <v>6</v>
      </c>
      <c r="C10" s="12">
        <f>SUMIFS('BSCR Source Data'!$D:$D,'BSCR Source Data'!$B:$B,$A10,'BSCR Source Data'!$C:$C,$B10,'BSCR Source Data'!$G:$G,$F10)</f>
        <v>349291128.70019042</v>
      </c>
      <c r="D10" s="12">
        <f>SUMIFS('BSCR Source Data'!$E:$E,'BSCR Source Data'!$B:$B,$A10,'BSCR Source Data'!$C:$C,$B10,'BSCR Source Data'!$G:$G,$F10)</f>
        <v>349291128.70019042</v>
      </c>
      <c r="E10" s="12">
        <f>SUMIFS('BSCR Source Data'!$F:$F,'BSCR Source Data'!$B:$B,$A10,'BSCR Source Data'!$C:$C,$B10,'BSCR Source Data'!$G:$G,$F10)</f>
        <v>201</v>
      </c>
      <c r="F10" s="12">
        <v>0</v>
      </c>
      <c r="G10" s="13">
        <f t="shared" si="0"/>
        <v>471543023.74525708</v>
      </c>
      <c r="H10" s="15">
        <f>D10*Settings!$B$3</f>
        <v>471543023.74525708</v>
      </c>
      <c r="I10" s="16">
        <f t="shared" si="1"/>
        <v>471.54302374525707</v>
      </c>
      <c r="J10" s="16">
        <f t="shared" si="2"/>
        <v>471.54302374525707</v>
      </c>
    </row>
    <row r="11" spans="1:10" ns3:dyDescent="0.25">
      <c r="A11" s="14" t="s">
        <v>9</v>
      </c>
      <c r="B11" s="12" t="s">
        <v>6</v>
      </c>
      <c r="C11" s="12">
        <f>SUMIFS('BSCR Source Data'!$D:$D,'BSCR Source Data'!$B:$B,$A11,'BSCR Source Data'!$C:$C,$B11,'BSCR Source Data'!$G:$G,$F11)</f>
        <v>77211907517.554779</v>
      </c>
      <c r="D11" s="12">
        <f>SUMIFS('BSCR Source Data'!$E:$E,'BSCR Source Data'!$B:$B,$A11,'BSCR Source Data'!$C:$C,$B11,'BSCR Source Data'!$G:$G,$F11)</f>
        <v>75515308379.152084</v>
      </c>
      <c r="E11" s="12">
        <f>SUMIFS('BSCR Source Data'!$F:$F,'BSCR Source Data'!$B:$B,$A11,'BSCR Source Data'!$C:$C,$B11,'BSCR Source Data'!$G:$G,$F11)</f>
        <v>89851</v>
      </c>
      <c r="F11" s="12">
        <v>1</v>
      </c>
      <c r="G11" s="13">
        <f t="shared" si="0"/>
        <v>104236075148.69896</v>
      </c>
      <c r="H11" s="15">
        <f>D11*Settings!$B$3</f>
        <v>101945666311.85532</v>
      </c>
      <c r="I11" s="16">
        <f t="shared" si="1"/>
        <v>104236.07514869896</v>
      </c>
      <c r="J11" s="16">
        <f t="shared" si="2"/>
        <v>101945.66631185531</v>
      </c>
    </row>
    <row r="12" spans="1:10" ns3:dyDescent="0.25">
      <c r="A12" s="14">
        <v>33</v>
      </c>
      <c r="B12" s="12" t="s">
        <v>10</v>
      </c>
      <c r="C12" s="11">
        <f>SUMIFS('BSCR Source Data'!$D:$D,'BSCR Source Data'!$B:$B,$A12,'BSCR Source Data'!$C:$C,$B12,'BSCR Source Data'!$G:$G,$F12)</f>
        <v>591803570.79433429</v>
      </c>
      <c r="D12" s="11">
        <f>SUMIFS('BSCR Source Data'!$E:$E,'BSCR Source Data'!$B:$B,$A12,'BSCR Source Data'!$C:$C,$B12,'BSCR Source Data'!$G:$G,$F12)</f>
        <v>395404009.10095602</v>
      </c>
      <c r="E12" s="12">
        <f>SUMIFS('BSCR Source Data'!$F:$F,'BSCR Source Data'!$B:$B,$A12,'BSCR Source Data'!$C:$C,$B12,'BSCR Source Data'!$G:$G,$F12)</f>
        <v>46</v>
      </c>
      <c r="F12" s="12">
        <v>0</v>
      </c>
      <c r="G12" s="13">
        <f t="shared" si="0"/>
        <v>798934820.57235134</v>
      </c>
      <c r="H12" s="15">
        <f>D12*Settings!$B$3</f>
        <v>533795412.28629065</v>
      </c>
      <c r="I12" s="16">
        <f t="shared" si="1"/>
        <v>798.93482057235133</v>
      </c>
      <c r="J12" s="16">
        <f t="shared" si="2"/>
        <v>533.79541228629068</v>
      </c>
    </row>
    <row r="13" spans="1:10" ns3:dyDescent="0.25">
      <c r="A13" s="14">
        <v>33</v>
      </c>
      <c r="B13" s="12" t="s">
        <v>10</v>
      </c>
      <c r="C13" s="11">
        <f>SUMIFS('BSCR Source Data'!$D:$D,'BSCR Source Data'!$B:$B,$A13,'BSCR Source Data'!$C:$C,$B13,'BSCR Source Data'!$G:$G,$F13)</f>
        <v>15621176039.304554</v>
      </c>
      <c r="D13" s="11">
        <f>SUMIFS('BSCR Source Data'!$E:$E,'BSCR Source Data'!$B:$B,$A13,'BSCR Source Data'!$C:$C,$B13,'BSCR Source Data'!$G:$G,$F13)</f>
        <v>12132651704.075891</v>
      </c>
      <c r="E13" s="12">
        <f>SUMIFS('BSCR Source Data'!$F:$F,'BSCR Source Data'!$B:$B,$A13,'BSCR Source Data'!$C:$C,$B13,'BSCR Source Data'!$G:$G,$F13)</f>
        <v>2767</v>
      </c>
      <c r="F13" s="12">
        <v>1</v>
      </c>
      <c r="G13" s="13">
        <f t="shared" si="0"/>
        <v>21088587653.06115</v>
      </c>
      <c r="H13" s="15">
        <f>D13*Settings!$B$3</f>
        <v>16379079800.502455</v>
      </c>
      <c r="I13" s="16">
        <f t="shared" si="1"/>
        <v>21088.587653061149</v>
      </c>
      <c r="J13" s="16">
        <f t="shared" si="2"/>
        <v>16379.079800502455</v>
      </c>
    </row>
    <row r="14" spans="1:10" ns3:dyDescent="0.25">
      <c r="A14" s="14">
        <v>3624</v>
      </c>
      <c r="B14" s="12" t="s">
        <v>10</v>
      </c>
      <c r="C14" s="12">
        <f>SUMIFS('BSCR Source Data'!$D:$D,'BSCR Source Data'!$B:$B,$A14,'BSCR Source Data'!$C:$C,$B14,'BSCR Source Data'!$G:$G,$F14)</f>
        <v>5578000</v>
      </c>
      <c r="D14" s="12">
        <f>SUMIFS('BSCR Source Data'!$E:$E,'BSCR Source Data'!$B:$B,$A14,'BSCR Source Data'!$C:$C,$B14,'BSCR Source Data'!$G:$G,$F14)</f>
        <v>5578000</v>
      </c>
      <c r="E14" s="12">
        <f>SUMIFS('BSCR Source Data'!$F:$F,'BSCR Source Data'!$B:$B,$A14,'BSCR Source Data'!$C:$C,$B14,'BSCR Source Data'!$G:$G,$F14)</f>
        <v>5</v>
      </c>
      <c r="F14" s="12">
        <v>1</v>
      </c>
      <c r="G14" s="13">
        <f t="shared" si="0"/>
        <v>7530300.0000000009</v>
      </c>
      <c r="H14" s="15">
        <f>D14*Settings!$B$3</f>
        <v>7530300.0000000009</v>
      </c>
      <c r="I14" s="16">
        <f t="shared" si="1"/>
        <v>7.5303000000000013</v>
      </c>
      <c r="J14" s="16">
        <f t="shared" si="2"/>
        <v>7.5303000000000013</v>
      </c>
    </row>
    <row r="15" spans="1:10" ns3:dyDescent="0.25">
      <c r="A15" s="14" t="s">
        <v>7</v>
      </c>
      <c r="B15" s="12" t="s">
        <v>10</v>
      </c>
      <c r="C15" s="12">
        <f>SUMIFS('BSCR Source Data'!$D:$D,'BSCR Source Data'!$B:$B,$A15,'BSCR Source Data'!$C:$C,$B15,'BSCR Source Data'!$G:$G,$F15)</f>
        <v>7099946</v>
      </c>
      <c r="D15" s="12">
        <f>SUMIFS('BSCR Source Data'!$E:$E,'BSCR Source Data'!$B:$B,$A15,'BSCR Source Data'!$C:$C,$B15,'BSCR Source Data'!$G:$G,$F15)</f>
        <v>7099946</v>
      </c>
      <c r="E15" s="12">
        <f>SUMIFS('BSCR Source Data'!$F:$F,'BSCR Source Data'!$B:$B,$A15,'BSCR Source Data'!$C:$C,$B15,'BSCR Source Data'!$G:$G,$F15)</f>
        <v>15</v>
      </c>
      <c r="F15" s="12">
        <v>0</v>
      </c>
      <c r="G15" s="13">
        <f t="shared" si="0"/>
        <v>9584927.1000000015</v>
      </c>
      <c r="H15" s="15">
        <f>D15*Settings!$B$3</f>
        <v>9584927.1000000015</v>
      </c>
      <c r="I15" s="16">
        <f t="shared" si="1"/>
        <v>9.5849271000000016</v>
      </c>
      <c r="J15" s="16">
        <f t="shared" si="2"/>
        <v>9.5849271000000016</v>
      </c>
    </row>
    <row r="16" spans="1:10" ns3:dyDescent="0.25">
      <c r="A16" s="14" t="s">
        <v>7</v>
      </c>
      <c r="B16" s="12" t="s">
        <v>10</v>
      </c>
      <c r="C16" s="12">
        <f>SUMIFS('BSCR Source Data'!$D:$D,'BSCR Source Data'!$B:$B,$A16,'BSCR Source Data'!$C:$C,$B16,'BSCR Source Data'!$G:$G,$F16)</f>
        <v>121287644939.62</v>
      </c>
      <c r="D16" s="12">
        <f>SUMIFS('BSCR Source Data'!$E:$E,'BSCR Source Data'!$B:$B,$A16,'BSCR Source Data'!$C:$C,$B16,'BSCR Source Data'!$G:$G,$F16)</f>
        <v>121287644939.62</v>
      </c>
      <c r="E16" s="12">
        <f>SUMIFS('BSCR Source Data'!$F:$F,'BSCR Source Data'!$B:$B,$A16,'BSCR Source Data'!$C:$C,$B16,'BSCR Source Data'!$G:$G,$F16)</f>
        <v>173171</v>
      </c>
      <c r="F16" s="12">
        <v>1</v>
      </c>
      <c r="G16" s="13">
        <f t="shared" si="0"/>
        <v>163738320668.487</v>
      </c>
      <c r="H16" s="15">
        <f>D16*Settings!$B$3</f>
        <v>163738320668.487</v>
      </c>
      <c r="I16" s="16">
        <f t="shared" si="1"/>
        <v>163738.32066848699</v>
      </c>
      <c r="J16" s="16">
        <f t="shared" si="2"/>
        <v>163738.32066848699</v>
      </c>
    </row>
    <row r="17" spans="1:10" ns3:dyDescent="0.25">
      <c r="A17" s="14" t="s">
        <v>8</v>
      </c>
      <c r="B17" s="12" t="s">
        <v>10</v>
      </c>
      <c r="C17" s="12">
        <f>SUMIFS('BSCR Source Data'!$D:$D,'BSCR Source Data'!$B:$B,$A17,'BSCR Source Data'!$C:$C,$B17,'BSCR Source Data'!$G:$G,$F17)</f>
        <v>210175711.44096005</v>
      </c>
      <c r="D17" s="12">
        <f>SUMIFS('BSCR Source Data'!$E:$E,'BSCR Source Data'!$B:$B,$A17,'BSCR Source Data'!$C:$C,$B17,'BSCR Source Data'!$G:$G,$F17)</f>
        <v>112614669.91667765</v>
      </c>
      <c r="E17" s="12">
        <f>SUMIFS('BSCR Source Data'!$F:$F,'BSCR Source Data'!$B:$B,$A17,'BSCR Source Data'!$C:$C,$B17,'BSCR Source Data'!$G:$G,$F17)</f>
        <v>11</v>
      </c>
      <c r="F17" s="12">
        <v>0</v>
      </c>
      <c r="G17" s="13">
        <f t="shared" si="0"/>
        <v>283737210.44529611</v>
      </c>
      <c r="H17" s="15">
        <f>D17*Settings!$B$3</f>
        <v>152029804.38751483</v>
      </c>
      <c r="I17" s="16">
        <f t="shared" si="1"/>
        <v>283.73721044529611</v>
      </c>
      <c r="J17" s="16">
        <f t="shared" si="2"/>
        <v>152.02980438751484</v>
      </c>
    </row>
    <row r="18" spans="1:10" ns3:dyDescent="0.25">
      <c r="A18" s="14" t="s">
        <v>8</v>
      </c>
      <c r="B18" s="12" t="s">
        <v>10</v>
      </c>
      <c r="C18" s="12">
        <f>SUMIFS('BSCR Source Data'!$D:$D,'BSCR Source Data'!$B:$B,$A18,'BSCR Source Data'!$C:$C,$B18,'BSCR Source Data'!$G:$G,$F18)</f>
        <v>2859865269.6026335</v>
      </c>
      <c r="D18" s="12">
        <f>SUMIFS('BSCR Source Data'!$E:$E,'BSCR Source Data'!$B:$B,$A18,'BSCR Source Data'!$C:$C,$B18,'BSCR Source Data'!$G:$G,$F18)</f>
        <v>2193629057.1369576</v>
      </c>
      <c r="E18" s="12">
        <f>SUMIFS('BSCR Source Data'!$F:$F,'BSCR Source Data'!$B:$B,$A18,'BSCR Source Data'!$C:$C,$B18,'BSCR Source Data'!$G:$G,$F18)</f>
        <v>612</v>
      </c>
      <c r="F18" s="12">
        <v>1</v>
      </c>
      <c r="G18" s="13">
        <f t="shared" si="0"/>
        <v>3860818113.9635553</v>
      </c>
      <c r="H18" s="15">
        <f>D18*Settings!$B$3</f>
        <v>2961399227.1348929</v>
      </c>
      <c r="I18" s="16">
        <f t="shared" si="1"/>
        <v>3860.8181139635553</v>
      </c>
      <c r="J18" s="16">
        <f t="shared" si="2"/>
        <v>2961.399227134893</v>
      </c>
    </row>
    <row r="19" spans="1:10" ns3:dyDescent="0.25">
      <c r="A19" s="14" t="s">
        <v>9</v>
      </c>
      <c r="B19" s="12" t="s">
        <v>10</v>
      </c>
      <c r="C19" s="12">
        <f>SUMIFS('BSCR Source Data'!$D:$D,'BSCR Source Data'!$B:$B,$A19,'BSCR Source Data'!$C:$C,$B19,'BSCR Source Data'!$G:$G,$F19)</f>
        <v>75479150.000190392</v>
      </c>
      <c r="D19" s="12">
        <f>SUMIFS('BSCR Source Data'!$E:$E,'BSCR Source Data'!$B:$B,$A19,'BSCR Source Data'!$C:$C,$B19,'BSCR Source Data'!$G:$G,$F19)</f>
        <v>75479150.000190392</v>
      </c>
      <c r="E19" s="12">
        <f>SUMIFS('BSCR Source Data'!$F:$F,'BSCR Source Data'!$B:$B,$A19,'BSCR Source Data'!$C:$C,$B19,'BSCR Source Data'!$G:$G,$F19)</f>
        <v>112</v>
      </c>
      <c r="F19" s="12">
        <v>0</v>
      </c>
      <c r="G19" s="13">
        <f t="shared" si="0"/>
        <v>101896852.50025703</v>
      </c>
      <c r="H19" s="15">
        <f>D19*Settings!$B$3</f>
        <v>101896852.50025703</v>
      </c>
      <c r="I19" s="16">
        <f t="shared" si="1"/>
        <v>101.89685250025703</v>
      </c>
      <c r="J19" s="16">
        <f t="shared" si="2"/>
        <v>101.89685250025703</v>
      </c>
    </row>
    <row r="20" spans="1:10" ns3:dyDescent="0.25">
      <c r="A20" s="14" t="s">
        <v>9</v>
      </c>
      <c r="B20" s="12" t="s">
        <v>10</v>
      </c>
      <c r="C20" s="12">
        <f>SUMIFS('BSCR Source Data'!$D:$D,'BSCR Source Data'!$B:$B,$A20,'BSCR Source Data'!$C:$C,$B20,'BSCR Source Data'!$G:$G,$F20)</f>
        <v>56019841640.20993</v>
      </c>
      <c r="D20" s="12">
        <f>SUMIFS('BSCR Source Data'!$E:$E,'BSCR Source Data'!$B:$B,$A20,'BSCR Source Data'!$C:$C,$B20,'BSCR Source Data'!$G:$G,$F20)</f>
        <v>54739890725.055031</v>
      </c>
      <c r="E20" s="12">
        <f>SUMIFS('BSCR Source Data'!$F:$F,'BSCR Source Data'!$B:$B,$A20,'BSCR Source Data'!$C:$C,$B20,'BSCR Source Data'!$G:$G,$F20)</f>
        <v>67520</v>
      </c>
      <c r="F20" s="12">
        <v>1</v>
      </c>
      <c r="G20" s="13">
        <f t="shared" si="0"/>
        <v>75626786214.283417</v>
      </c>
      <c r="H20" s="15">
        <f>D20*Settings!$B$3</f>
        <v>73898852478.824295</v>
      </c>
      <c r="I20" s="16">
        <f t="shared" si="1"/>
        <v>75626.78621428342</v>
      </c>
      <c r="J20" s="16">
        <f t="shared" si="2"/>
        <v>73898.852478824294</v>
      </c>
    </row>
    <row r="21" spans="1:10" ns3:dyDescent="0.25">
      <c r="A21" s="14">
        <v>33</v>
      </c>
      <c r="B21" s="12" t="s">
        <v>11</v>
      </c>
      <c r="C21" s="11">
        <f>SUMIFS('BSCR Source Data'!$D:$D,'BSCR Source Data'!$B:$B,$A21,'BSCR Source Data'!$C:$C,$B21,'BSCR Source Data'!$G:$G,$F21)</f>
        <v>3060082.6430000402</v>
      </c>
      <c r="D21" s="11">
        <f>SUMIFS('BSCR Source Data'!$E:$E,'BSCR Source Data'!$B:$B,$A21,'BSCR Source Data'!$C:$C,$B21,'BSCR Source Data'!$G:$G,$F21)</f>
        <v>1599407.4673806699</v>
      </c>
      <c r="E21" s="12">
        <f>SUMIFS('BSCR Source Data'!$F:$F,'BSCR Source Data'!$B:$B,$A21,'BSCR Source Data'!$C:$C,$B21,'BSCR Source Data'!$G:$G,$F21)</f>
        <v>3</v>
      </c>
      <c r="F21" s="12">
        <v>0</v>
      </c>
      <c r="G21" s="13">
        <f t="shared" si="0"/>
        <v>4131111.5680500544</v>
      </c>
      <c r="H21" s="15">
        <f>D21*Settings!$B$3</f>
        <v>2159200.0809639045</v>
      </c>
      <c r="I21" s="16">
        <f t="shared" si="1"/>
        <v>4.1311115680500547</v>
      </c>
      <c r="J21" s="16">
        <f t="shared" si="2"/>
        <v>2.1592000809639047</v>
      </c>
    </row>
    <row r="22" spans="1:10" ns3:dyDescent="0.25">
      <c r="A22" s="14">
        <v>33</v>
      </c>
      <c r="B22" s="12" t="s">
        <v>11</v>
      </c>
      <c r="C22" s="11">
        <f>SUMIFS('BSCR Source Data'!$D:$D,'BSCR Source Data'!$B:$B,$A22,'BSCR Source Data'!$C:$C,$B22,'BSCR Source Data'!$G:$G,$F22)</f>
        <v>83586974.900705397</v>
      </c>
      <c r="D22" s="11">
        <f>SUMIFS('BSCR Source Data'!$E:$E,'BSCR Source Data'!$B:$B,$A22,'BSCR Source Data'!$C:$C,$B22,'BSCR Source Data'!$G:$G,$F22)</f>
        <v>47547710.997818798</v>
      </c>
      <c r="E22" s="12">
        <f>SUMIFS('BSCR Source Data'!$F:$F,'BSCR Source Data'!$B:$B,$A22,'BSCR Source Data'!$C:$C,$B22,'BSCR Source Data'!$G:$G,$F22)</f>
        <v>10</v>
      </c>
      <c r="F22" s="12">
        <v>1</v>
      </c>
      <c r="G22" s="13">
        <f t="shared" si="0"/>
        <v>112842416.1159523</v>
      </c>
      <c r="H22" s="15">
        <f>D22*Settings!$B$3</f>
        <v>64189409.847055383</v>
      </c>
      <c r="I22" s="16">
        <f t="shared" si="1"/>
        <v>112.8424161159523</v>
      </c>
      <c r="J22" s="16">
        <f t="shared" si="2"/>
        <v>64.189409847055387</v>
      </c>
    </row>
    <row r="23" spans="1:10" ns3:dyDescent="0.25">
      <c r="A23" s="14" t="s">
        <v>7</v>
      </c>
      <c r="B23" s="12" t="s">
        <v>11</v>
      </c>
      <c r="C23" s="12">
        <f>SUMIFS('BSCR Source Data'!$D:$D,'BSCR Source Data'!$B:$B,$A23,'BSCR Source Data'!$C:$C,$B23,'BSCR Source Data'!$G:$G,$F23)</f>
        <v>276000</v>
      </c>
      <c r="D23" s="12">
        <f>SUMIFS('BSCR Source Data'!$E:$E,'BSCR Source Data'!$B:$B,$A23,'BSCR Source Data'!$C:$C,$B23,'BSCR Source Data'!$G:$G,$F23)</f>
        <v>276000</v>
      </c>
      <c r="E23" s="12">
        <f>SUMIFS('BSCR Source Data'!$F:$F,'BSCR Source Data'!$B:$B,$A23,'BSCR Source Data'!$C:$C,$B23,'BSCR Source Data'!$G:$G,$F23)</f>
        <v>2</v>
      </c>
      <c r="F23" s="12">
        <v>1</v>
      </c>
      <c r="G23" s="13">
        <f t="shared" si="0"/>
        <v>372600</v>
      </c>
      <c r="H23" s="15">
        <f>D23*Settings!$B$3</f>
        <v>372600</v>
      </c>
      <c r="I23" s="16">
        <f t="shared" si="1"/>
        <v>0.37259999999999999</v>
      </c>
      <c r="J23" s="16">
        <f t="shared" si="2"/>
        <v>0.37259999999999999</v>
      </c>
    </row>
    <row r="24" spans="1:10" ns3:dyDescent="0.25">
      <c r="A24" s="14" t="s">
        <v>8</v>
      </c>
      <c r="B24" s="12" t="s">
        <v>11</v>
      </c>
      <c r="C24" s="12">
        <f>SUMIFS('BSCR Source Data'!$D:$D,'BSCR Source Data'!$B:$B,$A24,'BSCR Source Data'!$C:$C,$B24,'BSCR Source Data'!$G:$G,$F24)</f>
        <v>183525417.04899299</v>
      </c>
      <c r="D24" s="12">
        <f>SUMIFS('BSCR Source Data'!$E:$E,'BSCR Source Data'!$B:$B,$A24,'BSCR Source Data'!$C:$C,$B24,'BSCR Source Data'!$G:$G,$F24)</f>
        <v>107035050.91833501</v>
      </c>
      <c r="E24" s="12">
        <f>SUMIFS('BSCR Source Data'!$F:$F,'BSCR Source Data'!$B:$B,$A24,'BSCR Source Data'!$C:$C,$B24,'BSCR Source Data'!$G:$G,$F24)</f>
        <v>42</v>
      </c>
      <c r="F24" s="12">
        <v>1</v>
      </c>
      <c r="G24" s="13">
        <f t="shared" si="0"/>
        <v>247759313.01614055</v>
      </c>
      <c r="H24" s="15">
        <f>D24*Settings!$B$3</f>
        <v>144497318.73975226</v>
      </c>
      <c r="I24" s="16">
        <f t="shared" si="1"/>
        <v>247.75931301614054</v>
      </c>
      <c r="J24" s="16">
        <f t="shared" si="2"/>
        <v>144.49731873975227</v>
      </c>
    </row>
    <row r="25" spans="1:10" ns3:dyDescent="0.25">
      <c r="A25" s="14" t="s">
        <v>9</v>
      </c>
      <c r="B25" s="12" t="s">
        <v>11</v>
      </c>
      <c r="C25" s="12">
        <f>SUMIFS('BSCR Source Data'!$D:$D,'BSCR Source Data'!$B:$B,$A25,'BSCR Source Data'!$C:$C,$B25,'BSCR Source Data'!$G:$G,$F25)</f>
        <v>20201080.800000001</v>
      </c>
      <c r="D25" s="12">
        <f>SUMIFS('BSCR Source Data'!$E:$E,'BSCR Source Data'!$B:$B,$A25,'BSCR Source Data'!$C:$C,$B25,'BSCR Source Data'!$G:$G,$F25)</f>
        <v>20201080.800000001</v>
      </c>
      <c r="E25" s="12">
        <f>SUMIFS('BSCR Source Data'!$F:$F,'BSCR Source Data'!$B:$B,$A25,'BSCR Source Data'!$C:$C,$B25,'BSCR Source Data'!$G:$G,$F25)</f>
        <v>23</v>
      </c>
      <c r="F25" s="12">
        <v>1</v>
      </c>
      <c r="G25" s="13">
        <f t="shared" si="0"/>
        <v>27271459.080000002</v>
      </c>
      <c r="H25" s="15">
        <f>D25*Settings!$B$3</f>
        <v>27271459.080000002</v>
      </c>
      <c r="I25" s="16">
        <f t="shared" si="1"/>
        <v>27.271459080000003</v>
      </c>
      <c r="J25" s="16">
        <f t="shared" si="2"/>
        <v>27.271459080000003</v>
      </c>
    </row>
    <row r="26" spans="1:10" ns3:dyDescent="0.25">
      <c r="A26" s="14">
        <v>33</v>
      </c>
      <c r="B26" s="12" t="s">
        <v>12</v>
      </c>
      <c r="C26" s="11">
        <f>SUMIFS('BSCR Source Data'!$D:$D,'BSCR Source Data'!$B:$B,$A26,'BSCR Source Data'!$C:$C,$B26,'BSCR Source Data'!$G:$G,$F26)</f>
        <v>18301343.574820001</v>
      </c>
      <c r="D26" s="11">
        <f>SUMIFS('BSCR Source Data'!$E:$E,'BSCR Source Data'!$B:$B,$A26,'BSCR Source Data'!$C:$C,$B26,'BSCR Source Data'!$G:$G,$F26)</f>
        <v>16479715.6923308</v>
      </c>
      <c r="E26" s="12">
        <f>SUMIFS('BSCR Source Data'!$F:$F,'BSCR Source Data'!$B:$B,$A26,'BSCR Source Data'!$C:$C,$B26,'BSCR Source Data'!$G:$G,$F26)</f>
        <v>4</v>
      </c>
      <c r="F26" s="12">
        <v>0</v>
      </c>
      <c r="G26" s="13">
        <f t="shared" si="0"/>
        <v>24706813.826007001</v>
      </c>
      <c r="H26" s="15">
        <f>D26*Settings!$B$3</f>
        <v>22247616.18464658</v>
      </c>
      <c r="I26" s="16">
        <f t="shared" si="1"/>
        <v>24.706813826007</v>
      </c>
      <c r="J26" s="16">
        <f t="shared" si="2"/>
        <v>22.247616184646581</v>
      </c>
    </row>
    <row r="27" spans="1:10" ns3:dyDescent="0.25">
      <c r="A27" s="14">
        <v>33</v>
      </c>
      <c r="B27" s="12" t="s">
        <v>12</v>
      </c>
      <c r="C27" s="11">
        <f>SUMIFS('BSCR Source Data'!$D:$D,'BSCR Source Data'!$B:$B,$A27,'BSCR Source Data'!$C:$C,$B27,'BSCR Source Data'!$G:$G,$F27)</f>
        <v>210957528.07712299</v>
      </c>
      <c r="D27" s="11">
        <f>SUMIFS('BSCR Source Data'!$E:$E,'BSCR Source Data'!$B:$B,$A27,'BSCR Source Data'!$C:$C,$B27,'BSCR Source Data'!$G:$G,$F27)</f>
        <v>106631319.724132</v>
      </c>
      <c r="E27" s="12">
        <f>SUMIFS('BSCR Source Data'!$F:$F,'BSCR Source Data'!$B:$B,$A27,'BSCR Source Data'!$C:$C,$B27,'BSCR Source Data'!$G:$G,$F27)</f>
        <v>18</v>
      </c>
      <c r="F27" s="12">
        <v>1</v>
      </c>
      <c r="G27" s="13">
        <f t="shared" si="0"/>
        <v>284792662.90411603</v>
      </c>
      <c r="H27" s="15">
        <f>D27*Settings!$B$3</f>
        <v>143952281.6275782</v>
      </c>
      <c r="I27" s="16">
        <f t="shared" si="1"/>
        <v>284.79266290411601</v>
      </c>
      <c r="J27" s="16">
        <f t="shared" si="2"/>
        <v>143.9522816275782</v>
      </c>
    </row>
    <row r="28" spans="1:10" ns3:dyDescent="0.25">
      <c r="A28" s="14">
        <v>3624</v>
      </c>
      <c r="B28" s="12" t="s">
        <v>12</v>
      </c>
      <c r="C28" s="12">
        <f>SUMIFS('BSCR Source Data'!$D:$D,'BSCR Source Data'!$B:$B,$A28,'BSCR Source Data'!$C:$C,$B28,'BSCR Source Data'!$G:$G,$F28)</f>
        <v>110000</v>
      </c>
      <c r="D28" s="12">
        <f>SUMIFS('BSCR Source Data'!$E:$E,'BSCR Source Data'!$B:$B,$A28,'BSCR Source Data'!$C:$C,$B28,'BSCR Source Data'!$G:$G,$F28)</f>
        <v>110000</v>
      </c>
      <c r="E28" s="12">
        <f>SUMIFS('BSCR Source Data'!$F:$F,'BSCR Source Data'!$B:$B,$A28,'BSCR Source Data'!$C:$C,$B28,'BSCR Source Data'!$G:$G,$F28)</f>
        <v>1</v>
      </c>
      <c r="F28" s="12">
        <v>0</v>
      </c>
      <c r="G28" s="13">
        <f t="shared" si="0"/>
        <v>148500</v>
      </c>
      <c r="H28" s="15">
        <f>D28*Settings!$B$3</f>
        <v>148500</v>
      </c>
      <c r="I28" s="16">
        <f t="shared" si="1"/>
        <v>0.14849999999999999</v>
      </c>
      <c r="J28" s="16">
        <f t="shared" si="2"/>
        <v>0.14849999999999999</v>
      </c>
    </row>
    <row r="29" spans="1:10" ns3:dyDescent="0.25">
      <c r="A29" s="14">
        <v>3624</v>
      </c>
      <c r="B29" s="12" t="s">
        <v>12</v>
      </c>
      <c r="C29" s="12">
        <f>SUMIFS('BSCR Source Data'!$D:$D,'BSCR Source Data'!$B:$B,$A29,'BSCR Source Data'!$C:$C,$B29,'BSCR Source Data'!$G:$G,$F29)</f>
        <v>110000</v>
      </c>
      <c r="D29" s="12">
        <f>SUMIFS('BSCR Source Data'!$E:$E,'BSCR Source Data'!$B:$B,$A29,'BSCR Source Data'!$C:$C,$B29,'BSCR Source Data'!$G:$G,$F29)</f>
        <v>110000</v>
      </c>
      <c r="E29" s="12">
        <f>SUMIFS('BSCR Source Data'!$F:$F,'BSCR Source Data'!$B:$B,$A29,'BSCR Source Data'!$C:$C,$B29,'BSCR Source Data'!$G:$G,$F29)</f>
        <v>1</v>
      </c>
      <c r="F29" s="12">
        <v>1</v>
      </c>
      <c r="G29" s="13">
        <f t="shared" si="0"/>
        <v>148500</v>
      </c>
      <c r="H29" s="15">
        <f>D29*Settings!$B$3</f>
        <v>148500</v>
      </c>
      <c r="I29" s="16">
        <f t="shared" si="1"/>
        <v>0.14849999999999999</v>
      </c>
      <c r="J29" s="16">
        <f t="shared" si="2"/>
        <v>0.14849999999999999</v>
      </c>
    </row>
    <row r="30" spans="1:10" ns3:dyDescent="0.25">
      <c r="A30" s="14" t="s">
        <v>7</v>
      </c>
      <c r="B30" s="12" t="s">
        <v>12</v>
      </c>
      <c r="C30" s="12">
        <f>SUMIFS('BSCR Source Data'!$D:$D,'BSCR Source Data'!$B:$B,$A30,'BSCR Source Data'!$C:$C,$B30,'BSCR Source Data'!$G:$G,$F30)</f>
        <v>212000</v>
      </c>
      <c r="D30" s="12">
        <f>SUMIFS('BSCR Source Data'!$E:$E,'BSCR Source Data'!$B:$B,$A30,'BSCR Source Data'!$C:$C,$B30,'BSCR Source Data'!$G:$G,$F30)</f>
        <v>212000</v>
      </c>
      <c r="E30" s="12">
        <f>SUMIFS('BSCR Source Data'!$F:$F,'BSCR Source Data'!$B:$B,$A30,'BSCR Source Data'!$C:$C,$B30,'BSCR Source Data'!$G:$G,$F30)</f>
        <v>1</v>
      </c>
      <c r="F30" s="12">
        <v>1</v>
      </c>
      <c r="G30" s="13">
        <f t="shared" si="0"/>
        <v>286200</v>
      </c>
      <c r="H30" s="15">
        <f>D30*Settings!$B$3</f>
        <v>286200</v>
      </c>
      <c r="I30" s="16">
        <f t="shared" si="1"/>
        <v>0.28620000000000001</v>
      </c>
      <c r="J30" s="16">
        <f t="shared" si="2"/>
        <v>0.28620000000000001</v>
      </c>
    </row>
    <row r="31" spans="1:10" ns3:dyDescent="0.25">
      <c r="A31" s="14" t="s">
        <v>8</v>
      </c>
      <c r="B31" s="12" t="s">
        <v>12</v>
      </c>
      <c r="C31" s="12">
        <f>SUMIFS('BSCR Source Data'!$D:$D,'BSCR Source Data'!$B:$B,$A31,'BSCR Source Data'!$C:$C,$B31,'BSCR Source Data'!$G:$G,$F31)</f>
        <v>7558346.1603288203</v>
      </c>
      <c r="D31" s="12">
        <f>SUMIFS('BSCR Source Data'!$E:$E,'BSCR Source Data'!$B:$B,$A31,'BSCR Source Data'!$C:$C,$B31,'BSCR Source Data'!$G:$G,$F31)</f>
        <v>7558346.1603288203</v>
      </c>
      <c r="E31" s="12">
        <f>SUMIFS('BSCR Source Data'!$F:$F,'BSCR Source Data'!$B:$B,$A31,'BSCR Source Data'!$C:$C,$B31,'BSCR Source Data'!$G:$G,$F31)</f>
        <v>4</v>
      </c>
      <c r="F31" s="12">
        <v>1</v>
      </c>
      <c r="G31" s="13">
        <f t="shared" si="0"/>
        <v>10203767.316443909</v>
      </c>
      <c r="H31" s="15">
        <f>D31*Settings!$B$3</f>
        <v>10203767.316443909</v>
      </c>
      <c r="I31" s="16">
        <f t="shared" si="1"/>
        <v>10.203767316443908</v>
      </c>
      <c r="J31" s="16">
        <f t="shared" si="2"/>
        <v>10.203767316443908</v>
      </c>
    </row>
    <row r="32" spans="1:10" ns3:dyDescent="0.25">
      <c r="A32" s="14" t="s">
        <v>9</v>
      </c>
      <c r="B32" s="12" t="s">
        <v>12</v>
      </c>
      <c r="C32" s="12">
        <f>SUMIFS('BSCR Source Data'!$D:$D,'BSCR Source Data'!$B:$B,$A32,'BSCR Source Data'!$C:$C,$B32,'BSCR Source Data'!$G:$G,$F32)</f>
        <v>560000</v>
      </c>
      <c r="D32" s="12">
        <f>SUMIFS('BSCR Source Data'!$E:$E,'BSCR Source Data'!$B:$B,$A32,'BSCR Source Data'!$C:$C,$B32,'BSCR Source Data'!$G:$G,$F32)</f>
        <v>560000</v>
      </c>
      <c r="E32" s="12">
        <f>SUMIFS('BSCR Source Data'!$F:$F,'BSCR Source Data'!$B:$B,$A32,'BSCR Source Data'!$C:$C,$B32,'BSCR Source Data'!$G:$G,$F32)</f>
        <v>2</v>
      </c>
      <c r="F32" s="12">
        <v>1</v>
      </c>
      <c r="G32" s="13">
        <f t="shared" si="0"/>
        <v>756000</v>
      </c>
      <c r="H32" s="15">
        <f>D32*Settings!$B$3</f>
        <v>756000</v>
      </c>
      <c r="I32" s="16">
        <f t="shared" si="1"/>
        <v>0.75600000000000001</v>
      </c>
      <c r="J32" s="16">
        <f t="shared" si="2"/>
        <v>0.75600000000000001</v>
      </c>
    </row>
    <row r="33" spans="1:10" ns3:dyDescent="0.25">
      <c r="A33" s="14">
        <v>33</v>
      </c>
      <c r="B33" s="12" t="s">
        <v>13</v>
      </c>
      <c r="C33" s="11">
        <f>SUMIFS('BSCR Source Data'!$D:$D,'BSCR Source Data'!$B:$B,$A33,'BSCR Source Data'!$C:$C,$B33,'BSCR Source Data'!$G:$G,$F33)</f>
        <v>2372926089.2821903</v>
      </c>
      <c r="D33" s="11">
        <f>SUMIFS('BSCR Source Data'!$E:$E,'BSCR Source Data'!$B:$B,$A33,'BSCR Source Data'!$C:$C,$B33,'BSCR Source Data'!$G:$G,$F33)</f>
        <v>1420410551.7284603</v>
      </c>
      <c r="E33" s="12">
        <f>SUMIFS('BSCR Source Data'!$F:$F,'BSCR Source Data'!$B:$B,$A33,'BSCR Source Data'!$C:$C,$B33,'BSCR Source Data'!$G:$G,$F33)</f>
        <v>328</v>
      </c>
      <c r="F33" s="12">
        <v>0</v>
      </c>
      <c r="G33" s="13">
        <f t="shared" si="0"/>
        <v>3203450220.5309572</v>
      </c>
      <c r="H33" s="15">
        <f>D33*Settings!$B$3</f>
        <v>1917554244.8334215</v>
      </c>
      <c r="I33" s="16">
        <f t="shared" si="1"/>
        <v>3203.4502205309573</v>
      </c>
      <c r="J33" s="16">
        <f t="shared" si="2"/>
        <v>1917.5542448334215</v>
      </c>
    </row>
    <row r="34" spans="1:10" ns3:dyDescent="0.25">
      <c r="A34" s="14">
        <v>33</v>
      </c>
      <c r="B34" s="12" t="s">
        <v>13</v>
      </c>
      <c r="C34" s="11">
        <f>SUMIFS('BSCR Source Data'!$D:$D,'BSCR Source Data'!$B:$B,$A34,'BSCR Source Data'!$C:$C,$B34,'BSCR Source Data'!$G:$G,$F34)</f>
        <v>761662142.94186234</v>
      </c>
      <c r="D34" s="11">
        <f>SUMIFS('BSCR Source Data'!$E:$E,'BSCR Source Data'!$B:$B,$A34,'BSCR Source Data'!$C:$C,$B34,'BSCR Source Data'!$G:$G,$F34)</f>
        <v>448941035.4110114</v>
      </c>
      <c r="E34" s="12">
        <f>SUMIFS('BSCR Source Data'!$F:$F,'BSCR Source Data'!$B:$B,$A34,'BSCR Source Data'!$C:$C,$B34,'BSCR Source Data'!$G:$G,$F34)</f>
        <v>119</v>
      </c>
      <c r="F34" s="12">
        <v>1</v>
      </c>
      <c r="G34" s="13">
        <f t="shared" si="0"/>
        <v>1028243892.9715142</v>
      </c>
      <c r="H34" s="15">
        <f>D34*Settings!$B$3</f>
        <v>606070397.80486548</v>
      </c>
      <c r="I34" s="16">
        <f t="shared" si="1"/>
        <v>1028.2438929715142</v>
      </c>
      <c r="J34" s="16">
        <f t="shared" si="2"/>
        <v>606.07039780486548</v>
      </c>
    </row>
    <row r="35" spans="1:10" ns3:dyDescent="0.25">
      <c r="A35" s="14">
        <v>3624</v>
      </c>
      <c r="B35" s="12" t="s">
        <v>13</v>
      </c>
      <c r="C35" s="12">
        <f>SUMIFS('BSCR Source Data'!$D:$D,'BSCR Source Data'!$B:$B,$A35,'BSCR Source Data'!$C:$C,$B35,'BSCR Source Data'!$G:$G,$F35)</f>
        <v>545000</v>
      </c>
      <c r="D35" s="12">
        <f>SUMIFS('BSCR Source Data'!$E:$E,'BSCR Source Data'!$B:$B,$A35,'BSCR Source Data'!$C:$C,$B35,'BSCR Source Data'!$G:$G,$F35)</f>
        <v>545000</v>
      </c>
      <c r="E35" s="12">
        <f>SUMIFS('BSCR Source Data'!$F:$F,'BSCR Source Data'!$B:$B,$A35,'BSCR Source Data'!$C:$C,$B35,'BSCR Source Data'!$G:$G,$F35)</f>
        <v>2</v>
      </c>
      <c r="F35" s="12">
        <v>0</v>
      </c>
      <c r="G35" s="13">
        <f t="shared" si="0"/>
        <v>735750</v>
      </c>
      <c r="H35" s="15">
        <f>D35*Settings!$B$3</f>
        <v>735750</v>
      </c>
      <c r="I35" s="16">
        <f t="shared" si="1"/>
        <v>0.73575000000000002</v>
      </c>
      <c r="J35" s="16">
        <f t="shared" si="2"/>
        <v>0.73575000000000002</v>
      </c>
    </row>
    <row r="36" spans="1:10" ns3:dyDescent="0.25">
      <c r="A36" s="14">
        <v>3624</v>
      </c>
      <c r="B36" s="12" t="s">
        <v>13</v>
      </c>
      <c r="C36" s="12">
        <f>SUMIFS('BSCR Source Data'!$D:$D,'BSCR Source Data'!$B:$B,$A36,'BSCR Source Data'!$C:$C,$B36,'BSCR Source Data'!$G:$G,$F36)</f>
        <v>2662700</v>
      </c>
      <c r="D36" s="12">
        <f>SUMIFS('BSCR Source Data'!$E:$E,'BSCR Source Data'!$B:$B,$A36,'BSCR Source Data'!$C:$C,$B36,'BSCR Source Data'!$G:$G,$F36)</f>
        <v>2662700</v>
      </c>
      <c r="E36" s="12">
        <f>SUMIFS('BSCR Source Data'!$F:$F,'BSCR Source Data'!$B:$B,$A36,'BSCR Source Data'!$C:$C,$B36,'BSCR Source Data'!$G:$G,$F36)</f>
        <v>4</v>
      </c>
      <c r="F36" s="12">
        <v>1</v>
      </c>
      <c r="G36" s="13">
        <f t="shared" si="0"/>
        <v>3594645.0000000005</v>
      </c>
      <c r="H36" s="15">
        <f>D36*Settings!$B$3</f>
        <v>3594645.0000000005</v>
      </c>
      <c r="I36" s="16">
        <f t="shared" si="1"/>
        <v>3.5946450000000003</v>
      </c>
      <c r="J36" s="16">
        <f t="shared" si="2"/>
        <v>3.5946450000000003</v>
      </c>
    </row>
    <row r="37" spans="1:10" ns3:dyDescent="0.25">
      <c r="A37" s="14" t="s">
        <v>7</v>
      </c>
      <c r="B37" s="12" t="s">
        <v>13</v>
      </c>
      <c r="C37" s="12">
        <f>SUMIFS('BSCR Source Data'!$D:$D,'BSCR Source Data'!$B:$B,$A37,'BSCR Source Data'!$C:$C,$B37,'BSCR Source Data'!$G:$G,$F37)</f>
        <v>101000</v>
      </c>
      <c r="D37" s="12">
        <f>SUMIFS('BSCR Source Data'!$E:$E,'BSCR Source Data'!$B:$B,$A37,'BSCR Source Data'!$C:$C,$B37,'BSCR Source Data'!$G:$G,$F37)</f>
        <v>101000</v>
      </c>
      <c r="E37" s="12">
        <f>SUMIFS('BSCR Source Data'!$F:$F,'BSCR Source Data'!$B:$B,$A37,'BSCR Source Data'!$C:$C,$B37,'BSCR Source Data'!$G:$G,$F37)</f>
        <v>1</v>
      </c>
      <c r="F37" s="12">
        <v>0</v>
      </c>
      <c r="G37" s="13">
        <f t="shared" si="0"/>
        <v>136350</v>
      </c>
      <c r="H37" s="15">
        <f>D37*Settings!$B$3</f>
        <v>136350</v>
      </c>
      <c r="I37" s="16">
        <f t="shared" si="1"/>
        <v>0.13635</v>
      </c>
      <c r="J37" s="16">
        <f t="shared" si="2"/>
        <v>0.13635</v>
      </c>
    </row>
    <row r="38" spans="1:10" ns3:dyDescent="0.25">
      <c r="A38" s="14" t="s">
        <v>7</v>
      </c>
      <c r="B38" s="12" t="s">
        <v>13</v>
      </c>
      <c r="C38" s="12">
        <f>SUMIFS('BSCR Source Data'!$D:$D,'BSCR Source Data'!$B:$B,$A38,'BSCR Source Data'!$C:$C,$B38,'BSCR Source Data'!$G:$G,$F38)</f>
        <v>22746034</v>
      </c>
      <c r="D38" s="12">
        <f>SUMIFS('BSCR Source Data'!$E:$E,'BSCR Source Data'!$B:$B,$A38,'BSCR Source Data'!$C:$C,$B38,'BSCR Source Data'!$G:$G,$F38)</f>
        <v>22746034</v>
      </c>
      <c r="E38" s="12">
        <f>SUMIFS('BSCR Source Data'!$F:$F,'BSCR Source Data'!$B:$B,$A38,'BSCR Source Data'!$C:$C,$B38,'BSCR Source Data'!$G:$G,$F38)</f>
        <v>32</v>
      </c>
      <c r="F38" s="12">
        <v>1</v>
      </c>
      <c r="G38" s="13">
        <f t="shared" si="0"/>
        <v>30707145.900000002</v>
      </c>
      <c r="H38" s="15">
        <f>D38*Settings!$B$3</f>
        <v>30707145.900000002</v>
      </c>
      <c r="I38" s="16">
        <f t="shared" si="1"/>
        <v>30.707145900000004</v>
      </c>
      <c r="J38" s="16">
        <f t="shared" si="2"/>
        <v>30.707145900000004</v>
      </c>
    </row>
    <row r="39" spans="1:10" ns3:dyDescent="0.25">
      <c r="A39" s="14" t="s">
        <v>8</v>
      </c>
      <c r="B39" s="12" t="s">
        <v>13</v>
      </c>
      <c r="C39" s="12">
        <f>SUMIFS('BSCR Source Data'!$D:$D,'BSCR Source Data'!$B:$B,$A39,'BSCR Source Data'!$C:$C,$B39,'BSCR Source Data'!$G:$G,$F39)</f>
        <v>191741484.19769341</v>
      </c>
      <c r="D39" s="12">
        <f>SUMIFS('BSCR Source Data'!$E:$E,'BSCR Source Data'!$B:$B,$A39,'BSCR Source Data'!$C:$C,$B39,'BSCR Source Data'!$G:$G,$F39)</f>
        <v>103722848.99915341</v>
      </c>
      <c r="E39" s="12">
        <f>SUMIFS('BSCR Source Data'!$F:$F,'BSCR Source Data'!$B:$B,$A39,'BSCR Source Data'!$C:$C,$B39,'BSCR Source Data'!$G:$G,$F39)</f>
        <v>23</v>
      </c>
      <c r="F39" s="12">
        <v>0</v>
      </c>
      <c r="G39" s="13">
        <f t="shared" si="0"/>
        <v>258851003.66688612</v>
      </c>
      <c r="H39" s="15">
        <f>D39*Settings!$B$3</f>
        <v>140025846.14885712</v>
      </c>
      <c r="I39" s="16">
        <f t="shared" si="1"/>
        <v>258.85100366688613</v>
      </c>
      <c r="J39" s="16">
        <f t="shared" si="2"/>
        <v>140.02584614885711</v>
      </c>
    </row>
    <row r="40" spans="1:10" ns3:dyDescent="0.25">
      <c r="A40" s="14" t="s">
        <v>8</v>
      </c>
      <c r="B40" s="12" t="s">
        <v>13</v>
      </c>
      <c r="C40" s="12">
        <f>SUMIFS('BSCR Source Data'!$D:$D,'BSCR Source Data'!$B:$B,$A40,'BSCR Source Data'!$C:$C,$B40,'BSCR Source Data'!$G:$G,$F40)</f>
        <v>1205659420.1871552</v>
      </c>
      <c r="D40" s="12">
        <f>SUMIFS('BSCR Source Data'!$E:$E,'BSCR Source Data'!$B:$B,$A40,'BSCR Source Data'!$C:$C,$B40,'BSCR Source Data'!$G:$G,$F40)</f>
        <v>924487181.75075114</v>
      </c>
      <c r="E40" s="12">
        <f>SUMIFS('BSCR Source Data'!$F:$F,'BSCR Source Data'!$B:$B,$A40,'BSCR Source Data'!$C:$C,$B40,'BSCR Source Data'!$G:$G,$F40)</f>
        <v>318</v>
      </c>
      <c r="F40" s="12">
        <v>1</v>
      </c>
      <c r="G40" s="13">
        <f t="shared" si="0"/>
        <v>1627640217.2526598</v>
      </c>
      <c r="H40" s="15">
        <f>D40*Settings!$B$3</f>
        <v>1248057695.3635142</v>
      </c>
      <c r="I40" s="16">
        <f t="shared" si="1"/>
        <v>1627.6402172526598</v>
      </c>
      <c r="J40" s="16">
        <f t="shared" si="2"/>
        <v>1248.0576953635141</v>
      </c>
    </row>
    <row r="41" spans="1:10" ns3:dyDescent="0.25">
      <c r="A41" s="14" t="s">
        <v>9</v>
      </c>
      <c r="B41" s="12" t="s">
        <v>13</v>
      </c>
      <c r="C41" s="12">
        <f>SUMIFS('BSCR Source Data'!$D:$D,'BSCR Source Data'!$B:$B,$A41,'BSCR Source Data'!$C:$C,$B41,'BSCR Source Data'!$G:$G,$F41)</f>
        <v>107224705.21595201</v>
      </c>
      <c r="D41" s="12">
        <f>SUMIFS('BSCR Source Data'!$E:$E,'BSCR Source Data'!$B:$B,$A41,'BSCR Source Data'!$C:$C,$B41,'BSCR Source Data'!$G:$G,$F41)</f>
        <v>106417749.21595201</v>
      </c>
      <c r="E41" s="12">
        <f>SUMIFS('BSCR Source Data'!$F:$F,'BSCR Source Data'!$B:$B,$A41,'BSCR Source Data'!$C:$C,$B41,'BSCR Source Data'!$G:$G,$F41)</f>
        <v>86</v>
      </c>
      <c r="F41" s="12">
        <v>1</v>
      </c>
      <c r="G41" s="13">
        <f t="shared" si="0"/>
        <v>144753352.04153523</v>
      </c>
      <c r="H41" s="15">
        <f>D41*Settings!$B$3</f>
        <v>143663961.44153523</v>
      </c>
      <c r="I41" s="16">
        <f t="shared" si="1"/>
        <v>144.75335204153524</v>
      </c>
      <c r="J41" s="16">
        <f t="shared" si="2"/>
        <v>143.66396144153524</v>
      </c>
    </row>
    <row r="42" spans="1:10" ns3:dyDescent="0.25">
      <c r="A42" s="14">
        <v>33</v>
      </c>
      <c r="B42" s="12" t="s">
        <v>14</v>
      </c>
      <c r="C42" s="11">
        <f>SUMIFS('BSCR Source Data'!$D:$D,'BSCR Source Data'!$B:$B,$A42,'BSCR Source Data'!$C:$C,$B42,'BSCR Source Data'!$G:$G,$F42)</f>
        <v>2365811502.90905</v>
      </c>
      <c r="D42" s="11">
        <f>SUMIFS('BSCR Source Data'!$E:$E,'BSCR Source Data'!$B:$B,$A42,'BSCR Source Data'!$C:$C,$B42,'BSCR Source Data'!$G:$G,$F42)</f>
        <v>1413295965.35532</v>
      </c>
      <c r="E42" s="12">
        <f>SUMIFS('BSCR Source Data'!$F:$F,'BSCR Source Data'!$B:$B,$A42,'BSCR Source Data'!$C:$C,$B42,'BSCR Source Data'!$G:$G,$F42)</f>
        <v>326</v>
      </c>
      <c r="F42" s="12">
        <v>0</v>
      </c>
      <c r="G42" s="13">
        <f t="shared" si="0"/>
        <v>3193845528.9272175</v>
      </c>
      <c r="H42" s="15">
        <f>D42*Settings!$B$3</f>
        <v>1907949553.2296822</v>
      </c>
      <c r="I42" s="16">
        <f t="shared" si="1"/>
        <v>3193.8455289272174</v>
      </c>
      <c r="J42" s="16">
        <f t="shared" si="2"/>
        <v>1907.9495532296821</v>
      </c>
    </row>
    <row r="43" spans="1:10" ns3:dyDescent="0.25">
      <c r="A43" s="14">
        <v>33</v>
      </c>
      <c r="B43" s="12" t="s">
        <v>14</v>
      </c>
      <c r="C43" s="11">
        <f>SUMIFS('BSCR Source Data'!$D:$D,'BSCR Source Data'!$B:$B,$A43,'BSCR Source Data'!$C:$C,$B43,'BSCR Source Data'!$G:$G,$F43)</f>
        <v>738973417.34851599</v>
      </c>
      <c r="D43" s="11">
        <f>SUMIFS('BSCR Source Data'!$E:$E,'BSCR Source Data'!$B:$B,$A43,'BSCR Source Data'!$C:$C,$B43,'BSCR Source Data'!$G:$G,$F43)</f>
        <v>426252309.81766498</v>
      </c>
      <c r="E43" s="12">
        <f>SUMIFS('BSCR Source Data'!$F:$F,'BSCR Source Data'!$B:$B,$A43,'BSCR Source Data'!$C:$C,$B43,'BSCR Source Data'!$G:$G,$F43)</f>
        <v>106</v>
      </c>
      <c r="F43" s="12">
        <v>1</v>
      </c>
      <c r="G43" s="13">
        <f t="shared" si="0"/>
        <v>997614113.4204967</v>
      </c>
      <c r="H43" s="15">
        <f>D43*Settings!$B$3</f>
        <v>575440618.25384772</v>
      </c>
      <c r="I43" s="16">
        <f t="shared" si="1"/>
        <v>997.61411342049666</v>
      </c>
      <c r="J43" s="16">
        <f t="shared" si="2"/>
        <v>575.44061825384767</v>
      </c>
    </row>
    <row r="44" spans="1:10" ns3:dyDescent="0.25">
      <c r="A44" s="14">
        <v>3624</v>
      </c>
      <c r="B44" s="12" t="s">
        <v>14</v>
      </c>
      <c r="C44" s="12">
        <f>SUMIFS('BSCR Source Data'!$D:$D,'BSCR Source Data'!$B:$B,$A44,'BSCR Source Data'!$C:$C,$B44,'BSCR Source Data'!$G:$G,$F44)</f>
        <v>345000</v>
      </c>
      <c r="D44" s="12">
        <f>SUMIFS('BSCR Source Data'!$E:$E,'BSCR Source Data'!$B:$B,$A44,'BSCR Source Data'!$C:$C,$B44,'BSCR Source Data'!$G:$G,$F44)</f>
        <v>345000</v>
      </c>
      <c r="E44" s="12">
        <f>SUMIFS('BSCR Source Data'!$F:$F,'BSCR Source Data'!$B:$B,$A44,'BSCR Source Data'!$C:$C,$B44,'BSCR Source Data'!$G:$G,$F44)</f>
        <v>1</v>
      </c>
      <c r="F44" s="12">
        <v>0</v>
      </c>
      <c r="G44" s="13">
        <f t="shared" si="0"/>
        <v>465750.00000000006</v>
      </c>
      <c r="H44" s="15">
        <f>D44*Settings!$B$3</f>
        <v>465750.00000000006</v>
      </c>
      <c r="I44" s="16">
        <f t="shared" si="1"/>
        <v>0.46575000000000005</v>
      </c>
      <c r="J44" s="16">
        <f t="shared" si="2"/>
        <v>0.46575000000000005</v>
      </c>
    </row>
    <row r="45" spans="1:10" ns3:dyDescent="0.25">
      <c r="A45" s="14">
        <v>3624</v>
      </c>
      <c r="B45" s="12" t="s">
        <v>14</v>
      </c>
      <c r="C45" s="12">
        <f>SUMIFS('BSCR Source Data'!$D:$D,'BSCR Source Data'!$B:$B,$A45,'BSCR Source Data'!$C:$C,$B45,'BSCR Source Data'!$G:$G,$F45)</f>
        <v>2462700</v>
      </c>
      <c r="D45" s="12">
        <f>SUMIFS('BSCR Source Data'!$E:$E,'BSCR Source Data'!$B:$B,$A45,'BSCR Source Data'!$C:$C,$B45,'BSCR Source Data'!$G:$G,$F45)</f>
        <v>2462700</v>
      </c>
      <c r="E45" s="12">
        <f>SUMIFS('BSCR Source Data'!$F:$F,'BSCR Source Data'!$B:$B,$A45,'BSCR Source Data'!$C:$C,$B45,'BSCR Source Data'!$G:$G,$F45)</f>
        <v>3</v>
      </c>
      <c r="F45" s="12">
        <v>1</v>
      </c>
      <c r="G45" s="13">
        <f t="shared" si="0"/>
        <v>3324645</v>
      </c>
      <c r="H45" s="15">
        <f>D45*Settings!$B$3</f>
        <v>3324645</v>
      </c>
      <c r="I45" s="16">
        <f t="shared" si="1"/>
        <v>3.3246449999999999</v>
      </c>
      <c r="J45" s="16">
        <f t="shared" si="2"/>
        <v>3.3246449999999999</v>
      </c>
    </row>
    <row r="46" spans="1:10" ns3:dyDescent="0.25">
      <c r="A46" s="14" t="s">
        <v>7</v>
      </c>
      <c r="B46" s="12" t="s">
        <v>14</v>
      </c>
      <c r="C46" s="12">
        <f>SUMIFS('BSCR Source Data'!$D:$D,'BSCR Source Data'!$B:$B,$A46,'BSCR Source Data'!$C:$C,$B46,'BSCR Source Data'!$G:$G,$F46)</f>
        <v>101000</v>
      </c>
      <c r="D46" s="12">
        <f>SUMIFS('BSCR Source Data'!$E:$E,'BSCR Source Data'!$B:$B,$A46,'BSCR Source Data'!$C:$C,$B46,'BSCR Source Data'!$G:$G,$F46)</f>
        <v>101000</v>
      </c>
      <c r="E46" s="12">
        <f>SUMIFS('BSCR Source Data'!$F:$F,'BSCR Source Data'!$B:$B,$A46,'BSCR Source Data'!$C:$C,$B46,'BSCR Source Data'!$G:$G,$F46)</f>
        <v>1</v>
      </c>
      <c r="F46" s="12">
        <v>0</v>
      </c>
      <c r="G46" s="13">
        <f t="shared" si="0"/>
        <v>136350</v>
      </c>
      <c r="H46" s="15">
        <f>D46*Settings!$B$3</f>
        <v>136350</v>
      </c>
      <c r="I46" s="16">
        <f t="shared" si="1"/>
        <v>0.13635</v>
      </c>
      <c r="J46" s="16">
        <f t="shared" si="2"/>
        <v>0.13635</v>
      </c>
    </row>
    <row r="47" spans="1:10" ns3:dyDescent="0.25">
      <c r="A47" s="14" t="s">
        <v>7</v>
      </c>
      <c r="B47" s="12" t="s">
        <v>14</v>
      </c>
      <c r="C47" s="12">
        <f>SUMIFS('BSCR Source Data'!$D:$D,'BSCR Source Data'!$B:$B,$A47,'BSCR Source Data'!$C:$C,$B47,'BSCR Source Data'!$G:$G,$F47)</f>
        <v>22746034</v>
      </c>
      <c r="D47" s="12">
        <f>SUMIFS('BSCR Source Data'!$E:$E,'BSCR Source Data'!$B:$B,$A47,'BSCR Source Data'!$C:$C,$B47,'BSCR Source Data'!$G:$G,$F47)</f>
        <v>22746034</v>
      </c>
      <c r="E47" s="12">
        <f>SUMIFS('BSCR Source Data'!$F:$F,'BSCR Source Data'!$B:$B,$A47,'BSCR Source Data'!$C:$C,$B47,'BSCR Source Data'!$G:$G,$F47)</f>
        <v>32</v>
      </c>
      <c r="F47" s="12">
        <v>1</v>
      </c>
      <c r="G47" s="13">
        <f t="shared" si="0"/>
        <v>30707145.900000002</v>
      </c>
      <c r="H47" s="15">
        <f>D47*Settings!$B$3</f>
        <v>30707145.900000002</v>
      </c>
      <c r="I47" s="16">
        <f t="shared" si="1"/>
        <v>30.707145900000004</v>
      </c>
      <c r="J47" s="16">
        <f t="shared" si="2"/>
        <v>30.707145900000004</v>
      </c>
    </row>
    <row r="48" spans="1:10" ns3:dyDescent="0.25">
      <c r="A48" s="14" t="s">
        <v>8</v>
      </c>
      <c r="B48" s="12" t="s">
        <v>14</v>
      </c>
      <c r="C48" s="12">
        <f>SUMIFS('BSCR Source Data'!$D:$D,'BSCR Source Data'!$B:$B,$A48,'BSCR Source Data'!$C:$C,$B48,'BSCR Source Data'!$G:$G,$F48)</f>
        <v>175292598.767708</v>
      </c>
      <c r="D48" s="12">
        <f>SUMIFS('BSCR Source Data'!$E:$E,'BSCR Source Data'!$B:$B,$A48,'BSCR Source Data'!$C:$C,$B48,'BSCR Source Data'!$G:$G,$F48)</f>
        <v>87273963.569168001</v>
      </c>
      <c r="E48" s="12">
        <f>SUMIFS('BSCR Source Data'!$F:$F,'BSCR Source Data'!$B:$B,$A48,'BSCR Source Data'!$C:$C,$B48,'BSCR Source Data'!$G:$G,$F48)</f>
        <v>20</v>
      </c>
      <c r="F48" s="12">
        <v>0</v>
      </c>
      <c r="G48" s="13">
        <f t="shared" si="0"/>
        <v>236645008.33640581</v>
      </c>
      <c r="H48" s="15">
        <f>D48*Settings!$B$3</f>
        <v>117819850.81837681</v>
      </c>
      <c r="I48" s="16">
        <f t="shared" si="1"/>
        <v>236.64500833640582</v>
      </c>
      <c r="J48" s="16">
        <f t="shared" si="2"/>
        <v>117.81985081837681</v>
      </c>
    </row>
    <row r="49" spans="1:10" ns3:dyDescent="0.25">
      <c r="A49" s="14" t="s">
        <v>8</v>
      </c>
      <c r="B49" s="12" t="s">
        <v>14</v>
      </c>
      <c r="C49" s="12">
        <f>SUMIFS('BSCR Source Data'!$D:$D,'BSCR Source Data'!$B:$B,$A49,'BSCR Source Data'!$C:$C,$B49,'BSCR Source Data'!$G:$G,$F49)</f>
        <v>906507554.61050797</v>
      </c>
      <c r="D49" s="12">
        <f>SUMIFS('BSCR Source Data'!$E:$E,'BSCR Source Data'!$B:$B,$A49,'BSCR Source Data'!$C:$C,$B49,'BSCR Source Data'!$G:$G,$F49)</f>
        <v>666539312.39975405</v>
      </c>
      <c r="E49" s="12">
        <f>SUMIFS('BSCR Source Data'!$F:$F,'BSCR Source Data'!$B:$B,$A49,'BSCR Source Data'!$C:$C,$B49,'BSCR Source Data'!$G:$G,$F49)</f>
        <v>227</v>
      </c>
      <c r="F49" s="12">
        <v>1</v>
      </c>
      <c r="G49" s="13">
        <f t="shared" si="0"/>
        <v>1223785198.7241859</v>
      </c>
      <c r="H49" s="15">
        <f>D49*Settings!$B$3</f>
        <v>899828071.73966801</v>
      </c>
      <c r="I49" s="16">
        <f t="shared" si="1"/>
        <v>1223.7851987241859</v>
      </c>
      <c r="J49" s="16">
        <f t="shared" si="2"/>
        <v>899.82807173966796</v>
      </c>
    </row>
    <row r="50" spans="1:10" ns3:dyDescent="0.25">
      <c r="A50" s="14" t="s">
        <v>9</v>
      </c>
      <c r="B50" s="12" t="s">
        <v>14</v>
      </c>
      <c r="C50" s="12">
        <f>SUMIFS('BSCR Source Data'!$D:$D,'BSCR Source Data'!$B:$B,$A50,'BSCR Source Data'!$C:$C,$B50,'BSCR Source Data'!$G:$G,$F50)</f>
        <v>101774358.815952</v>
      </c>
      <c r="D50" s="12">
        <f>SUMIFS('BSCR Source Data'!$E:$E,'BSCR Source Data'!$B:$B,$A50,'BSCR Source Data'!$C:$C,$B50,'BSCR Source Data'!$G:$G,$F50)</f>
        <v>100967402.815952</v>
      </c>
      <c r="E50" s="12">
        <f>SUMIFS('BSCR Source Data'!$F:$F,'BSCR Source Data'!$B:$B,$A50,'BSCR Source Data'!$C:$C,$B50,'BSCR Source Data'!$G:$G,$F50)</f>
        <v>76</v>
      </c>
      <c r="F50" s="12">
        <v>1</v>
      </c>
      <c r="G50" s="13">
        <f t="shared" si="0"/>
        <v>137395384.40153521</v>
      </c>
      <c r="H50" s="15">
        <f>D50*Settings!$B$3</f>
        <v>136305993.80153522</v>
      </c>
      <c r="I50" s="16">
        <f t="shared" si="1"/>
        <v>137.39538440153521</v>
      </c>
      <c r="J50" s="16">
        <f t="shared" si="2"/>
        <v>136.30599380153521</v>
      </c>
    </row>
    <row r="51" spans="1:10" ns3:dyDescent="0.25">
      <c r="A51" s="14" t="inlineStr">
        <is>
          <t>33</t>
        </is>
      </c>
      <c r="B51" s="12" t="inlineStr">
        <is>
          <t>is_jp_eq</t>
        </is>
      </c>
      <c r="C51" s="12">
        <f>SUMIFS('BSCR Source Data'!$D:$D,'BSCR Source Data'!$B:$B,$A51,'BSCR Source Data'!$C:$C,$B51,'BSCR Source Data'!$G:$G,$F51)</f>
        <v>0</v>
      </c>
      <c r="D51" s="12">
        <f>SUMIFS('BSCR Source Data'!$E:$E,'BSCR Source Data'!$B:$B,$A51,'BSCR Source Data'!$C:$C,$B51,'BSCR Source Data'!$G:$G,$F51)</f>
        <v>0</v>
      </c>
      <c r="E51" s="12">
        <f>SUMIFS('BSCR Source Data'!$F:$F,'BSCR Source Data'!$B:$B,$A51,'BSCR Source Data'!$C:$C,$B51,'BSCR Source Data'!$G:$G,$F51)</f>
        <v>0</v>
      </c>
      <c r="F51" s="12">
        <v>0</v>
      </c>
      <c r="G51" s="13">
        <f t="shared" si="0"/>
        <v>0</v>
      </c>
      <c r="H51" s="15">
        <f>D51*Settings!$B$3</f>
        <v>0</v>
      </c>
      <c r="I51" s="16">
        <f t="shared" si="1"/>
        <v>0</v>
      </c>
      <c r="J51" s="16">
        <f t="shared" si="2"/>
        <v>0</v>
      </c>
    </row>
    <row r="52" spans="1:10" ns3:dyDescent="0.25">
      <c r="A52" s="14" t="inlineStr">
        <is>
          <t>33</t>
        </is>
      </c>
      <c r="B52" s="12" t="inlineStr">
        <is>
          <t>is_jp_eq</t>
        </is>
      </c>
      <c r="C52" s="12">
        <f>SUMIFS('BSCR Source Data'!$D:$D,'BSCR Source Data'!$B:$B,$A52,'BSCR Source Data'!$C:$C,$B52,'BSCR Source Data'!$G:$G,$F52)</f>
        <v>0</v>
      </c>
      <c r="D52" s="12">
        <f>SUMIFS('BSCR Source Data'!$E:$E,'BSCR Source Data'!$B:$B,$A52,'BSCR Source Data'!$C:$C,$B52,'BSCR Source Data'!$G:$G,$F52)</f>
        <v>0</v>
      </c>
      <c r="E52" s="12">
        <f>SUMIFS('BSCR Source Data'!$F:$F,'BSCR Source Data'!$B:$B,$A52,'BSCR Source Data'!$C:$C,$B52,'BSCR Source Data'!$G:$G,$F52)</f>
        <v>0</v>
      </c>
      <c r="F52" s="12">
        <v>1</v>
      </c>
      <c r="G52" s="13">
        <f t="shared" si="0"/>
        <v>0</v>
      </c>
      <c r="H52" s="15">
        <f>D52*Settings!$B$3</f>
        <v>0</v>
      </c>
      <c r="I52" s="16">
        <f t="shared" si="1"/>
        <v>0</v>
      </c>
      <c r="J52" s="16">
        <f t="shared" si="2"/>
        <v>0</v>
      </c>
    </row>
    <row r="53" spans="1:10" ns3:dyDescent="0.25">
      <c r="A53" s="14" t="inlineStr">
        <is>
          <t>3624</t>
        </is>
      </c>
      <c r="B53" s="12" t="inlineStr">
        <is>
          <t>is_jp_eq</t>
        </is>
      </c>
      <c r="C53" s="12">
        <f>SUMIFS('BSCR Source Data'!$D:$D,'BSCR Source Data'!$B:$B,$A53,'BSCR Source Data'!$C:$C,$B53,'BSCR Source Data'!$G:$G,$F53)</f>
        <v>0</v>
      </c>
      <c r="D53" s="12">
        <f>SUMIFS('BSCR Source Data'!$E:$E,'BSCR Source Data'!$B:$B,$A53,'BSCR Source Data'!$C:$C,$B53,'BSCR Source Data'!$G:$G,$F53)</f>
        <v>0</v>
      </c>
      <c r="E53" s="12">
        <f>SUMIFS('BSCR Source Data'!$F:$F,'BSCR Source Data'!$B:$B,$A53,'BSCR Source Data'!$C:$C,$B53,'BSCR Source Data'!$G:$G,$F53)</f>
        <v>0</v>
      </c>
      <c r="F53" s="12">
        <v>0</v>
      </c>
      <c r="G53" s="13">
        <f t="shared" si="0"/>
        <v>0</v>
      </c>
      <c r="H53" s="15">
        <f>D53*Settings!$B$3</f>
        <v>0</v>
      </c>
      <c r="I53" s="16">
        <f t="shared" si="1"/>
        <v>0</v>
      </c>
      <c r="J53" s="16">
        <f t="shared" si="2"/>
        <v>0</v>
      </c>
    </row>
    <row r="54" spans="1:10" ns3:dyDescent="0.25">
      <c r="A54" s="14" t="inlineStr">
        <is>
          <t>3624</t>
        </is>
      </c>
      <c r="B54" s="12" t="inlineStr">
        <is>
          <t>is_jp_eq</t>
        </is>
      </c>
      <c r="C54" s="12">
        <f>SUMIFS('BSCR Source Data'!$D:$D,'BSCR Source Data'!$B:$B,$A54,'BSCR Source Data'!$C:$C,$B54,'BSCR Source Data'!$G:$G,$F54)</f>
        <v>0</v>
      </c>
      <c r="D54" s="12">
        <f>SUMIFS('BSCR Source Data'!$E:$E,'BSCR Source Data'!$B:$B,$A54,'BSCR Source Data'!$C:$C,$B54,'BSCR Source Data'!$G:$G,$F54)</f>
        <v>0</v>
      </c>
      <c r="E54" s="12">
        <f>SUMIFS('BSCR Source Data'!$F:$F,'BSCR Source Data'!$B:$B,$A54,'BSCR Source Data'!$C:$C,$B54,'BSCR Source Data'!$G:$G,$F54)</f>
        <v>0</v>
      </c>
      <c r="F54" s="12">
        <v>1</v>
      </c>
      <c r="G54" s="13">
        <f t="shared" si="0"/>
        <v>0</v>
      </c>
      <c r="H54" s="15">
        <f>D54*Settings!$B$3</f>
        <v>0</v>
      </c>
      <c r="I54" s="16">
        <f t="shared" si="1"/>
        <v>0</v>
      </c>
      <c r="J54" s="16">
        <f t="shared" si="2"/>
        <v>0</v>
      </c>
    </row>
    <row r="55" spans="1:10" ns3:dyDescent="0.25">
      <c r="A55" s="14" t="inlineStr">
        <is>
          <t>HIC</t>
        </is>
      </c>
      <c r="B55" s="12" t="inlineStr">
        <is>
          <t>is_jp_eq</t>
        </is>
      </c>
      <c r="C55" s="12">
        <f>SUMIFS('BSCR Source Data'!$D:$D,'BSCR Source Data'!$B:$B,$A55,'BSCR Source Data'!$C:$C,$B55,'BSCR Source Data'!$G:$G,$F55)</f>
        <v>0</v>
      </c>
      <c r="D55" s="12">
        <f>SUMIFS('BSCR Source Data'!$E:$E,'BSCR Source Data'!$B:$B,$A55,'BSCR Source Data'!$C:$C,$B55,'BSCR Source Data'!$G:$G,$F55)</f>
        <v>0</v>
      </c>
      <c r="E55" s="12">
        <f>SUMIFS('BSCR Source Data'!$F:$F,'BSCR Source Data'!$B:$B,$A55,'BSCR Source Data'!$C:$C,$B55,'BSCR Source Data'!$G:$G,$F55)</f>
        <v>0</v>
      </c>
      <c r="F55" s="12">
        <v>0</v>
      </c>
      <c r="G55" s="13">
        <f t="shared" si="0"/>
        <v>0</v>
      </c>
      <c r="H55" s="15">
        <f>D55*Settings!$B$3</f>
        <v>0</v>
      </c>
      <c r="I55" s="16">
        <f t="shared" si="1"/>
        <v>0</v>
      </c>
      <c r="J55" s="16">
        <f t="shared" si="2"/>
        <v>0</v>
      </c>
    </row>
    <row r="56" spans="1:10" ns3:dyDescent="0.25">
      <c r="A56" s="14" t="inlineStr">
        <is>
          <t>HIC</t>
        </is>
      </c>
      <c r="B56" s="12" t="inlineStr">
        <is>
          <t>is_jp_eq</t>
        </is>
      </c>
      <c r="C56" s="12">
        <f>SUMIFS('BSCR Source Data'!$D:$D,'BSCR Source Data'!$B:$B,$A56,'BSCR Source Data'!$C:$C,$B56,'BSCR Source Data'!$G:$G,$F56)</f>
        <v>0</v>
      </c>
      <c r="D56" s="12">
        <f>SUMIFS('BSCR Source Data'!$E:$E,'BSCR Source Data'!$B:$B,$A56,'BSCR Source Data'!$C:$C,$B56,'BSCR Source Data'!$G:$G,$F56)</f>
        <v>0</v>
      </c>
      <c r="E56" s="12">
        <f>SUMIFS('BSCR Source Data'!$F:$F,'BSCR Source Data'!$B:$B,$A56,'BSCR Source Data'!$C:$C,$B56,'BSCR Source Data'!$G:$G,$F56)</f>
        <v>0</v>
      </c>
      <c r="F56" s="12">
        <v>1</v>
      </c>
      <c r="G56" s="13">
        <f t="shared" si="0"/>
        <v>0</v>
      </c>
      <c r="H56" s="15">
        <f>D56*Settings!$B$3</f>
        <v>0</v>
      </c>
      <c r="I56" s="16">
        <f t="shared" si="1"/>
        <v>0</v>
      </c>
      <c r="J56" s="16">
        <f t="shared" si="2"/>
        <v>0</v>
      </c>
    </row>
    <row r="57" spans="1:10" ns3:dyDescent="0.25">
      <c r="A57" s="14" t="inlineStr">
        <is>
          <t>HIG</t>
        </is>
      </c>
      <c r="B57" s="12" t="inlineStr">
        <is>
          <t>is_jp_eq</t>
        </is>
      </c>
      <c r="C57" s="12">
        <f>SUMIFS('BSCR Source Data'!$D:$D,'BSCR Source Data'!$B:$B,$A57,'BSCR Source Data'!$C:$C,$B57,'BSCR Source Data'!$G:$G,$F57)</f>
        <v>0</v>
      </c>
      <c r="D57" s="12">
        <f>SUMIFS('BSCR Source Data'!$E:$E,'BSCR Source Data'!$B:$B,$A57,'BSCR Source Data'!$C:$C,$B57,'BSCR Source Data'!$G:$G,$F57)</f>
        <v>0</v>
      </c>
      <c r="E57" s="12">
        <f>SUMIFS('BSCR Source Data'!$F:$F,'BSCR Source Data'!$B:$B,$A57,'BSCR Source Data'!$C:$C,$B57,'BSCR Source Data'!$G:$G,$F57)</f>
        <v>0</v>
      </c>
      <c r="F57" s="12">
        <v>0</v>
      </c>
      <c r="G57" s="13">
        <f t="shared" si="0"/>
        <v>0</v>
      </c>
      <c r="H57" s="15">
        <f>D57*Settings!$B$3</f>
        <v>0</v>
      </c>
      <c r="I57" s="16">
        <f t="shared" si="1"/>
        <v>0</v>
      </c>
      <c r="J57" s="16">
        <f t="shared" si="2"/>
        <v>0</v>
      </c>
    </row>
    <row r="58" spans="1:10" ns3:dyDescent="0.25">
      <c r="A58" s="14" t="inlineStr">
        <is>
          <t>HIG</t>
        </is>
      </c>
      <c r="B58" s="12" t="inlineStr">
        <is>
          <t>is_jp_eq</t>
        </is>
      </c>
      <c r="C58" s="12">
        <f>SUMIFS('BSCR Source Data'!$D:$D,'BSCR Source Data'!$B:$B,$A58,'BSCR Source Data'!$C:$C,$B58,'BSCR Source Data'!$G:$G,$F58)</f>
        <v>0</v>
      </c>
      <c r="D58" s="12">
        <f>SUMIFS('BSCR Source Data'!$E:$E,'BSCR Source Data'!$B:$B,$A58,'BSCR Source Data'!$C:$C,$B58,'BSCR Source Data'!$G:$G,$F58)</f>
        <v>0</v>
      </c>
      <c r="E58" s="12">
        <f>SUMIFS('BSCR Source Data'!$F:$F,'BSCR Source Data'!$B:$B,$A58,'BSCR Source Data'!$C:$C,$B58,'BSCR Source Data'!$G:$G,$F58)</f>
        <v>0</v>
      </c>
      <c r="F58" s="12">
        <v>1</v>
      </c>
      <c r="G58" s="13">
        <f t="shared" si="0"/>
        <v>0</v>
      </c>
      <c r="H58" s="15">
        <f>D58*Settings!$B$3</f>
        <v>0</v>
      </c>
      <c r="I58" s="16">
        <f t="shared" si="1"/>
        <v>0</v>
      </c>
      <c r="J58" s="16">
        <f t="shared" si="2"/>
        <v>0</v>
      </c>
    </row>
    <row r="59" spans="1:10" ns3:dyDescent="0.25">
      <c r="A59" s="14" t="inlineStr">
        <is>
          <t>HSA</t>
        </is>
      </c>
      <c r="B59" s="12" t="inlineStr">
        <is>
          <t>is_jp_eq</t>
        </is>
      </c>
      <c r="C59" s="12">
        <f>SUMIFS('BSCR Source Data'!$D:$D,'BSCR Source Data'!$B:$B,$A59,'BSCR Source Data'!$C:$C,$B59,'BSCR Source Data'!$G:$G,$F59)</f>
        <v>0</v>
      </c>
      <c r="D59" s="12">
        <f>SUMIFS('BSCR Source Data'!$E:$E,'BSCR Source Data'!$B:$B,$A59,'BSCR Source Data'!$C:$C,$B59,'BSCR Source Data'!$G:$G,$F59)</f>
        <v>0</v>
      </c>
      <c r="E59" s="12">
        <f>SUMIFS('BSCR Source Data'!$F:$F,'BSCR Source Data'!$B:$B,$A59,'BSCR Source Data'!$C:$C,$B59,'BSCR Source Data'!$G:$G,$F59)</f>
        <v>0</v>
      </c>
      <c r="F59" s="12">
        <v>0</v>
      </c>
      <c r="G59" s="13">
        <f t="shared" si="0"/>
        <v>0</v>
      </c>
      <c r="H59" s="15">
        <f>D59*Settings!$B$3</f>
        <v>0</v>
      </c>
      <c r="I59" s="16">
        <f t="shared" si="1"/>
        <v>0</v>
      </c>
      <c r="J59" s="16">
        <f t="shared" si="2"/>
        <v>0</v>
      </c>
    </row>
    <row r="60" spans="1:10" ns3:dyDescent="0.25">
      <c r="A60" s="14" t="inlineStr">
        <is>
          <t>HSA</t>
        </is>
      </c>
      <c r="B60" s="12" t="inlineStr">
        <is>
          <t>is_jp_eq</t>
        </is>
      </c>
      <c r="C60" s="12">
        <f>SUMIFS('BSCR Source Data'!$D:$D,'BSCR Source Data'!$B:$B,$A60,'BSCR Source Data'!$C:$C,$B60,'BSCR Source Data'!$G:$G,$F60)</f>
        <v>0</v>
      </c>
      <c r="D60" s="12">
        <f>SUMIFS('BSCR Source Data'!$E:$E,'BSCR Source Data'!$B:$B,$A60,'BSCR Source Data'!$C:$C,$B60,'BSCR Source Data'!$G:$G,$F60)</f>
        <v>0</v>
      </c>
      <c r="E60" s="12">
        <f>SUMIFS('BSCR Source Data'!$F:$F,'BSCR Source Data'!$B:$B,$A60,'BSCR Source Data'!$C:$C,$B60,'BSCR Source Data'!$G:$G,$F60)</f>
        <v>0</v>
      </c>
      <c r="F60" s="12">
        <v>1</v>
      </c>
      <c r="G60" s="13">
        <f t="shared" si="0"/>
        <v>0</v>
      </c>
      <c r="H60" s="15">
        <f>D60*Settings!$B$3</f>
        <v>0</v>
      </c>
      <c r="I60" s="16">
        <f t="shared" si="1"/>
        <v>0</v>
      </c>
      <c r="J60" s="16">
        <f t="shared" si="2"/>
        <v>0</v>
      </c>
    </row>
    <row r="61" spans="1:10" ns3:dyDescent="0.25">
      <c r="A61" s="14" t="inlineStr">
        <is>
          <t>33</t>
        </is>
      </c>
      <c r="B61" s="12" t="inlineStr">
        <is>
          <t>is_non_us</t>
        </is>
      </c>
      <c r="C61" s="12">
        <f>SUMIFS('BSCR Source Data'!$D:$D,'BSCR Source Data'!$B:$B,$A61,'BSCR Source Data'!$C:$C,$B61,'BSCR Source Data'!$G:$G,$F61)</f>
        <v>0</v>
      </c>
      <c r="D61" s="12">
        <f>SUMIFS('BSCR Source Data'!$E:$E,'BSCR Source Data'!$B:$B,$A61,'BSCR Source Data'!$C:$C,$B61,'BSCR Source Data'!$G:$G,$F61)</f>
        <v>0</v>
      </c>
      <c r="E61" s="12">
        <f>SUMIFS('BSCR Source Data'!$F:$F,'BSCR Source Data'!$B:$B,$A61,'BSCR Source Data'!$C:$C,$B61,'BSCR Source Data'!$G:$G,$F61)</f>
        <v>0</v>
      </c>
      <c r="F61" s="12">
        <v>0</v>
      </c>
      <c r="G61" s="13">
        <f t="shared" si="0"/>
        <v>0</v>
      </c>
      <c r="H61" s="15">
        <f>D61*Settings!$B$3</f>
        <v>0</v>
      </c>
      <c r="I61" s="16">
        <f t="shared" si="1"/>
        <v>0</v>
      </c>
      <c r="J61" s="16">
        <f t="shared" si="2"/>
        <v>0</v>
      </c>
    </row>
    <row r="62" spans="1:10" ns3:dyDescent="0.25">
      <c r="A62" s="14" t="inlineStr">
        <is>
          <t>33</t>
        </is>
      </c>
      <c r="B62" s="12" t="inlineStr">
        <is>
          <t>is_non_us</t>
        </is>
      </c>
      <c r="C62" s="12">
        <f>SUMIFS('BSCR Source Data'!$D:$D,'BSCR Source Data'!$B:$B,$A62,'BSCR Source Data'!$C:$C,$B62,'BSCR Source Data'!$G:$G,$F62)</f>
        <v>0</v>
      </c>
      <c r="D62" s="12">
        <f>SUMIFS('BSCR Source Data'!$E:$E,'BSCR Source Data'!$B:$B,$A62,'BSCR Source Data'!$C:$C,$B62,'BSCR Source Data'!$G:$G,$F62)</f>
        <v>0</v>
      </c>
      <c r="E62" s="12">
        <f>SUMIFS('BSCR Source Data'!$F:$F,'BSCR Source Data'!$B:$B,$A62,'BSCR Source Data'!$C:$C,$B62,'BSCR Source Data'!$G:$G,$F62)</f>
        <v>0</v>
      </c>
      <c r="F62" s="12">
        <v>1</v>
      </c>
      <c r="G62" s="13">
        <f t="shared" si="0"/>
        <v>0</v>
      </c>
      <c r="H62" s="15">
        <f>D62*Settings!$B$3</f>
        <v>0</v>
      </c>
      <c r="I62" s="16">
        <f t="shared" si="1"/>
        <v>0</v>
      </c>
      <c r="J62" s="16">
        <f t="shared" si="2"/>
        <v>0</v>
      </c>
    </row>
    <row r="63" spans="1:10" ns3:dyDescent="0.25">
      <c r="A63" s="14" t="inlineStr">
        <is>
          <t>3624</t>
        </is>
      </c>
      <c r="B63" s="12" t="inlineStr">
        <is>
          <t>is_non_us</t>
        </is>
      </c>
      <c r="C63" s="12">
        <f>SUMIFS('BSCR Source Data'!$D:$D,'BSCR Source Data'!$B:$B,$A63,'BSCR Source Data'!$C:$C,$B63,'BSCR Source Data'!$G:$G,$F63)</f>
        <v>0</v>
      </c>
      <c r="D63" s="12">
        <f>SUMIFS('BSCR Source Data'!$E:$E,'BSCR Source Data'!$B:$B,$A63,'BSCR Source Data'!$C:$C,$B63,'BSCR Source Data'!$G:$G,$F63)</f>
        <v>0</v>
      </c>
      <c r="E63" s="12">
        <f>SUMIFS('BSCR Source Data'!$F:$F,'BSCR Source Data'!$B:$B,$A63,'BSCR Source Data'!$C:$C,$B63,'BSCR Source Data'!$G:$G,$F63)</f>
        <v>0</v>
      </c>
      <c r="F63" s="12">
        <v>0</v>
      </c>
      <c r="G63" s="13">
        <f t="shared" si="0"/>
        <v>0</v>
      </c>
      <c r="H63" s="15">
        <f>D63*Settings!$B$3</f>
        <v>0</v>
      </c>
      <c r="I63" s="16">
        <f t="shared" si="1"/>
        <v>0</v>
      </c>
      <c r="J63" s="16">
        <f t="shared" si="2"/>
        <v>0</v>
      </c>
    </row>
    <row r="64" spans="1:10" ns3:dyDescent="0.25">
      <c r="A64" s="14" t="inlineStr">
        <is>
          <t>3624</t>
        </is>
      </c>
      <c r="B64" s="12" t="inlineStr">
        <is>
          <t>is_non_us</t>
        </is>
      </c>
      <c r="C64" s="12">
        <f>SUMIFS('BSCR Source Data'!$D:$D,'BSCR Source Data'!$B:$B,$A64,'BSCR Source Data'!$C:$C,$B64,'BSCR Source Data'!$G:$G,$F64)</f>
        <v>0</v>
      </c>
      <c r="D64" s="12">
        <f>SUMIFS('BSCR Source Data'!$E:$E,'BSCR Source Data'!$B:$B,$A64,'BSCR Source Data'!$C:$C,$B64,'BSCR Source Data'!$G:$G,$F64)</f>
        <v>0</v>
      </c>
      <c r="E64" s="12">
        <f>SUMIFS('BSCR Source Data'!$F:$F,'BSCR Source Data'!$B:$B,$A64,'BSCR Source Data'!$C:$C,$B64,'BSCR Source Data'!$G:$G,$F64)</f>
        <v>0</v>
      </c>
      <c r="F64" s="12">
        <v>1</v>
      </c>
      <c r="G64" s="13">
        <f t="shared" si="0"/>
        <v>0</v>
      </c>
      <c r="H64" s="15">
        <f>D64*Settings!$B$3</f>
        <v>0</v>
      </c>
      <c r="I64" s="16">
        <f t="shared" si="1"/>
        <v>0</v>
      </c>
      <c r="J64" s="16">
        <f t="shared" si="2"/>
        <v>0</v>
      </c>
    </row>
    <row r="65" spans="1:10" ns3:dyDescent="0.25">
      <c r="A65" s="14" t="inlineStr">
        <is>
          <t>HIC</t>
        </is>
      </c>
      <c r="B65" s="12" t="inlineStr">
        <is>
          <t>is_non_us</t>
        </is>
      </c>
      <c r="C65" s="12">
        <f>SUMIFS('BSCR Source Data'!$D:$D,'BSCR Source Data'!$B:$B,$A65,'BSCR Source Data'!$C:$C,$B65,'BSCR Source Data'!$G:$G,$F65)</f>
        <v>0</v>
      </c>
      <c r="D65" s="12">
        <f>SUMIFS('BSCR Source Data'!$E:$E,'BSCR Source Data'!$B:$B,$A65,'BSCR Source Data'!$C:$C,$B65,'BSCR Source Data'!$G:$G,$F65)</f>
        <v>0</v>
      </c>
      <c r="E65" s="12">
        <f>SUMIFS('BSCR Source Data'!$F:$F,'BSCR Source Data'!$B:$B,$A65,'BSCR Source Data'!$C:$C,$B65,'BSCR Source Data'!$G:$G,$F65)</f>
        <v>0</v>
      </c>
      <c r="F65" s="12">
        <v>0</v>
      </c>
      <c r="G65" s="13">
        <f t="shared" si="0"/>
        <v>0</v>
      </c>
      <c r="H65" s="15">
        <f>D65*Settings!$B$3</f>
        <v>0</v>
      </c>
      <c r="I65" s="16">
        <f t="shared" si="1"/>
        <v>0</v>
      </c>
      <c r="J65" s="16">
        <f t="shared" si="2"/>
        <v>0</v>
      </c>
    </row>
    <row r="66" spans="1:10" ns3:dyDescent="0.25">
      <c r="A66" s="14" t="inlineStr">
        <is>
          <t>HIC</t>
        </is>
      </c>
      <c r="B66" s="12" t="inlineStr">
        <is>
          <t>is_non_us</t>
        </is>
      </c>
      <c r="C66" s="12">
        <f>SUMIFS('BSCR Source Data'!$D:$D,'BSCR Source Data'!$B:$B,$A66,'BSCR Source Data'!$C:$C,$B66,'BSCR Source Data'!$G:$G,$F66)</f>
        <v>0</v>
      </c>
      <c r="D66" s="12">
        <f>SUMIFS('BSCR Source Data'!$E:$E,'BSCR Source Data'!$B:$B,$A66,'BSCR Source Data'!$C:$C,$B66,'BSCR Source Data'!$G:$G,$F66)</f>
        <v>0</v>
      </c>
      <c r="E66" s="12">
        <f>SUMIFS('BSCR Source Data'!$F:$F,'BSCR Source Data'!$B:$B,$A66,'BSCR Source Data'!$C:$C,$B66,'BSCR Source Data'!$G:$G,$F66)</f>
        <v>0</v>
      </c>
      <c r="F66" s="12">
        <v>1</v>
      </c>
      <c r="G66" s="13">
        <f t="shared" si="0"/>
        <v>0</v>
      </c>
      <c r="H66" s="15">
        <f>D66*Settings!$B$3</f>
        <v>0</v>
      </c>
      <c r="I66" s="16">
        <f t="shared" si="1"/>
        <v>0</v>
      </c>
      <c r="J66" s="16">
        <f t="shared" si="2"/>
        <v>0</v>
      </c>
    </row>
    <row r="67" spans="1:10" ns3:dyDescent="0.25">
      <c r="A67" s="14" t="inlineStr">
        <is>
          <t>HIG</t>
        </is>
      </c>
      <c r="B67" s="12" t="inlineStr">
        <is>
          <t>is_non_us</t>
        </is>
      </c>
      <c r="C67" s="12">
        <f>SUMIFS('BSCR Source Data'!$D:$D,'BSCR Source Data'!$B:$B,$A67,'BSCR Source Data'!$C:$C,$B67,'BSCR Source Data'!$G:$G,$F67)</f>
        <v>0</v>
      </c>
      <c r="D67" s="12">
        <f>SUMIFS('BSCR Source Data'!$E:$E,'BSCR Source Data'!$B:$B,$A67,'BSCR Source Data'!$C:$C,$B67,'BSCR Source Data'!$G:$G,$F67)</f>
        <v>0</v>
      </c>
      <c r="E67" s="12">
        <f>SUMIFS('BSCR Source Data'!$F:$F,'BSCR Source Data'!$B:$B,$A67,'BSCR Source Data'!$C:$C,$B67,'BSCR Source Data'!$G:$G,$F67)</f>
        <v>0</v>
      </c>
      <c r="F67" s="12">
        <v>0</v>
      </c>
      <c r="G67" s="13">
        <f t="shared" si="0"/>
        <v>0</v>
      </c>
      <c r="H67" s="15">
        <f>D67*Settings!$B$3</f>
        <v>0</v>
      </c>
      <c r="I67" s="16">
        <f t="shared" si="1"/>
        <v>0</v>
      </c>
      <c r="J67" s="16">
        <f t="shared" si="2"/>
        <v>0</v>
      </c>
    </row>
    <row r="68" spans="1:10" ns3:dyDescent="0.25">
      <c r="A68" s="14" t="inlineStr">
        <is>
          <t>HIG</t>
        </is>
      </c>
      <c r="B68" s="12" t="inlineStr">
        <is>
          <t>is_non_us</t>
        </is>
      </c>
      <c r="C68" s="12">
        <f>SUMIFS('BSCR Source Data'!$D:$D,'BSCR Source Data'!$B:$B,$A68,'BSCR Source Data'!$C:$C,$B68,'BSCR Source Data'!$G:$G,$F68)</f>
        <v>0</v>
      </c>
      <c r="D68" s="12">
        <f>SUMIFS('BSCR Source Data'!$E:$E,'BSCR Source Data'!$B:$B,$A68,'BSCR Source Data'!$C:$C,$B68,'BSCR Source Data'!$G:$G,$F68)</f>
        <v>0</v>
      </c>
      <c r="E68" s="12">
        <f>SUMIFS('BSCR Source Data'!$F:$F,'BSCR Source Data'!$B:$B,$A68,'BSCR Source Data'!$C:$C,$B68,'BSCR Source Data'!$G:$G,$F68)</f>
        <v>0</v>
      </c>
      <c r="F68" s="12">
        <v>1</v>
      </c>
      <c r="G68" s="13">
        <f t="shared" si="0"/>
        <v>0</v>
      </c>
      <c r="H68" s="15">
        <f>D68*Settings!$B$3</f>
        <v>0</v>
      </c>
      <c r="I68" s="16">
        <f t="shared" si="1"/>
        <v>0</v>
      </c>
      <c r="J68" s="16">
        <f t="shared" si="2"/>
        <v>0</v>
      </c>
    </row>
    <row r="69" spans="1:10" ns3:dyDescent="0.25">
      <c r="A69" s="14" t="inlineStr">
        <is>
          <t>HSA</t>
        </is>
      </c>
      <c r="B69" s="12" t="inlineStr">
        <is>
          <t>is_non_us</t>
        </is>
      </c>
      <c r="C69" s="12">
        <f>SUMIFS('BSCR Source Data'!$D:$D,'BSCR Source Data'!$B:$B,$A69,'BSCR Source Data'!$C:$C,$B69,'BSCR Source Data'!$G:$G,$F69)</f>
        <v>0</v>
      </c>
      <c r="D69" s="12">
        <f>SUMIFS('BSCR Source Data'!$E:$E,'BSCR Source Data'!$B:$B,$A69,'BSCR Source Data'!$C:$C,$B69,'BSCR Source Data'!$G:$G,$F69)</f>
        <v>0</v>
      </c>
      <c r="E69" s="12">
        <f>SUMIFS('BSCR Source Data'!$F:$F,'BSCR Source Data'!$B:$B,$A69,'BSCR Source Data'!$C:$C,$B69,'BSCR Source Data'!$G:$G,$F69)</f>
        <v>0</v>
      </c>
      <c r="F69" s="12">
        <v>0</v>
      </c>
      <c r="G69" s="13">
        <f t="shared" si="0"/>
        <v>0</v>
      </c>
      <c r="H69" s="15">
        <f>D69*Settings!$B$3</f>
        <v>0</v>
      </c>
      <c r="I69" s="16">
        <f t="shared" si="1"/>
        <v>0</v>
      </c>
      <c r="J69" s="16">
        <f t="shared" si="2"/>
        <v>0</v>
      </c>
    </row>
    <row r="70" spans="1:10" ns3:dyDescent="0.25">
      <c r="A70" s="14" t="inlineStr">
        <is>
          <t>HSA</t>
        </is>
      </c>
      <c r="B70" s="12" t="inlineStr">
        <is>
          <t>is_non_us</t>
        </is>
      </c>
      <c r="C70" s="12">
        <f>SUMIFS('BSCR Source Data'!$D:$D,'BSCR Source Data'!$B:$B,$A70,'BSCR Source Data'!$C:$C,$B70,'BSCR Source Data'!$G:$G,$F70)</f>
        <v>0</v>
      </c>
      <c r="D70" s="12">
        <f>SUMIFS('BSCR Source Data'!$E:$E,'BSCR Source Data'!$B:$B,$A70,'BSCR Source Data'!$C:$C,$B70,'BSCR Source Data'!$G:$G,$F70)</f>
        <v>0</v>
      </c>
      <c r="E70" s="12">
        <f>SUMIFS('BSCR Source Data'!$F:$F,'BSCR Source Data'!$B:$B,$A70,'BSCR Source Data'!$C:$C,$B70,'BSCR Source Data'!$G:$G,$F70)</f>
        <v>0</v>
      </c>
      <c r="F70" s="12">
        <v>1</v>
      </c>
      <c r="G70" s="13">
        <f t="shared" si="0"/>
        <v>0</v>
      </c>
      <c r="H70" s="15">
        <f>D70*Settings!$B$3</f>
        <v>0</v>
      </c>
      <c r="I70" s="16">
        <f t="shared" si="1"/>
        <v>0</v>
      </c>
      <c r="J70" s="16">
        <f t="shared" si="2"/>
        <v>0</v>
      </c>
    </row>
    <row r="71" spans="9:10" ns3:dyDescent="0.25">
      <c r="I71" s="16"/>
      <c r="J71" s="16"/>
    </row>
    <row r="72" spans="9:10" ns3:dyDescent="0.25">
      <c r="I72" s="16"/>
      <c r="J72" s="16"/>
    </row>
    <row r="73" spans="9:10" ns3:dyDescent="0.25">
      <c r="I73" s="16"/>
      <c r="J73" s="16"/>
    </row>
    <row r="74" spans="9:10" ns3:dyDescent="0.25">
      <c r="I74" s="16"/>
      <c r="J74" s="16"/>
    </row>
    <row r="75" spans="9:10" ns3:dyDescent="0.25">
      <c r="I75" s="16"/>
      <c r="J75" s="16"/>
    </row>
    <row r="76" spans="9:10" ns3:dyDescent="0.25">
      <c r="I76" s="16"/>
      <c r="J76" s="16"/>
    </row>
    <row r="77" spans="9:10" ns3:dyDescent="0.25">
      <c r="I77" s="16"/>
      <c r="J77" s="16"/>
    </row>
    <row r="78" spans="9:10" ns3:dyDescent="0.25">
      <c r="I78" s="16"/>
      <c r="J78" s="16"/>
    </row>
    <row r="79" spans="9:10" ns3:dyDescent="0.25">
      <c r="I79" s="16"/>
      <c r="J79" s="16"/>
    </row>
    <row r="80" spans="9:10" ns3:dyDescent="0.25">
      <c r="I80" s="16"/>
      <c r="J80" s="16"/>
    </row>
    <row r="81" spans="9:10" ns3:dyDescent="0.25">
      <c r="I81" s="16"/>
      <c r="J81" s="16"/>
    </row>
    <row r="82" spans="9:10" ns3:dyDescent="0.25">
      <c r="I82" s="16"/>
      <c r="J82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8D1C-8141-46BC-BBA6-9DC9DE3AA0B9}">
  <dimension ref="A1:W453"/>
  <sheetViews>
    <sheetView topLeftCell="K1" workbookViewId="0">
      <selection activeCell="H32" sqref="H32"/>
    </sheetView>
  </sheetViews>
  <sheetFormatPr defaultRowHeight="12.5" x14ac:dyDescent="0.25"/>
  <cols>
    <col min="4" max="5" width="12" bestFit="1" customWidth="1"/>
    <col min="8" max="8" width="18.7265625" bestFit="1" customWidth="1"/>
    <col min="9" max="9" width="16" bestFit="1" customWidth="1"/>
    <col min="14" max="14" width="13" bestFit="1" customWidth="1"/>
    <col min="15" max="15" width="20.08984375" bestFit="1" customWidth="1"/>
    <col min="16" max="16" width="22.7265625" bestFit="1" customWidth="1"/>
    <col min="17" max="17" width="22.36328125" bestFit="1" customWidth="1"/>
    <col min="18" max="18" width="12" bestFit="1" customWidth="1"/>
    <col min="19" max="19" width="11.453125" bestFit="1" customWidth="1"/>
    <col min="20" max="21" width="17.7265625" bestFit="1" customWidth="1"/>
    <col min="22" max="22" width="15.81640625" bestFit="1" customWidth="1"/>
    <col min="23" max="23" width="15.453125" bestFit="1" customWidth="1"/>
  </cols>
  <sheetData>
    <row r="1" spans="1:17" x14ac:dyDescent="0.25">
      <c r="A1" t="s">
        <v>32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1" t="s">
        <v>26</v>
      </c>
      <c r="I1" s="1" t="s">
        <v>27</v>
      </c>
      <c r="J1" s="1" t="s">
        <v>28</v>
      </c>
      <c r="K1" s="1" t="s">
        <v>29</v>
      </c>
    </row>
    <row r="2" spans="1:17" x14ac:dyDescent="0.25">
      <c r="A2" s="20" t="s">
        <v>33</v>
      </c>
      <c r="B2" s="20">
        <v>33</v>
      </c>
      <c r="C2" s="20" t="s">
        <v>6</v>
      </c>
      <c r="D2" s="20">
        <v>13444442.0719324</v>
      </c>
      <c r="E2" s="20">
        <v>10874902.2548474</v>
      </c>
      <c r="F2" s="20">
        <v>5</v>
      </c>
      <c r="G2" s="20">
        <v>0</v>
      </c>
      <c r="H2" s="7">
        <f>D2*Settings!$B$3</f>
        <v>18149996.79710874</v>
      </c>
      <c r="I2" s="1">
        <f>E2*Settings!$B$3</f>
        <v>14681118.044043992</v>
      </c>
      <c r="J2" s="7">
        <f>H2/1000000</f>
        <v>18.149996797108738</v>
      </c>
      <c r="K2" s="7">
        <f>I2/1000000</f>
        <v>14.681118044043991</v>
      </c>
      <c r="N2" s="8" t="s">
        <v>0</v>
      </c>
      <c r="O2" t="s">
        <v>7</v>
      </c>
    </row>
    <row r="3" spans="1:17" x14ac:dyDescent="0.25">
      <c r="A3" s="20" t="s">
        <v>34</v>
      </c>
      <c r="B3" s="20">
        <v>33</v>
      </c>
      <c r="C3" s="20" t="s">
        <v>6</v>
      </c>
      <c r="D3" s="20">
        <v>1280103.49132808</v>
      </c>
      <c r="E3" s="20">
        <v>1280103.49132808</v>
      </c>
      <c r="F3" s="20">
        <v>2</v>
      </c>
      <c r="G3" s="20">
        <v>0</v>
      </c>
      <c r="H3" s="7">
        <f t="shared" ref="H3:H66" si="0">D3*1.35</f>
        <v>1728139.7132929082</v>
      </c>
      <c r="I3" s="1">
        <f t="shared" ref="I3:I66" si="1">E3*1.35</f>
        <v>1728139.7132929082</v>
      </c>
      <c r="J3" s="7">
        <f t="shared" ref="J3:J66" si="2">H3/1000000</f>
        <v>1.7281397132929082</v>
      </c>
      <c r="K3" s="7">
        <f t="shared" ref="K3:K66" si="3">I3/1000000</f>
        <v>1.7281397132929082</v>
      </c>
    </row>
    <row r="4" spans="1:17" x14ac:dyDescent="0.25">
      <c r="A4" s="20" t="s">
        <v>35</v>
      </c>
      <c r="B4" s="20">
        <v>33</v>
      </c>
      <c r="C4" s="20" t="s">
        <v>6</v>
      </c>
      <c r="D4" s="20">
        <v>721312.714344359</v>
      </c>
      <c r="E4" s="20">
        <v>440490.42100297898</v>
      </c>
      <c r="F4" s="20">
        <v>4</v>
      </c>
      <c r="G4" s="20">
        <v>0</v>
      </c>
      <c r="H4" s="7">
        <f t="shared" si="0"/>
        <v>973772.16436488472</v>
      </c>
      <c r="I4" s="1">
        <f t="shared" si="1"/>
        <v>594662.06835402164</v>
      </c>
      <c r="J4" s="7">
        <f t="shared" si="2"/>
        <v>0.97377216436488467</v>
      </c>
      <c r="K4" s="7">
        <f t="shared" si="3"/>
        <v>0.59466206835402169</v>
      </c>
      <c r="N4" s="8" t="s">
        <v>138</v>
      </c>
      <c r="O4" t="s">
        <v>17</v>
      </c>
      <c r="P4" t="s">
        <v>30</v>
      </c>
      <c r="Q4" t="s">
        <v>31</v>
      </c>
    </row>
    <row r="5" spans="1:17" x14ac:dyDescent="0.25">
      <c r="A5" s="20" t="s">
        <v>36</v>
      </c>
      <c r="B5" s="20">
        <v>33</v>
      </c>
      <c r="C5" s="20" t="s">
        <v>6</v>
      </c>
      <c r="D5" s="20">
        <v>25890584.562796898</v>
      </c>
      <c r="E5" s="20">
        <v>20120637.850301199</v>
      </c>
      <c r="F5" s="20">
        <v>9</v>
      </c>
      <c r="G5" s="20">
        <v>0</v>
      </c>
      <c r="H5" s="7">
        <f t="shared" si="0"/>
        <v>34952289.159775816</v>
      </c>
      <c r="I5" s="1">
        <f t="shared" si="1"/>
        <v>27162861.097906619</v>
      </c>
      <c r="J5" s="7">
        <f t="shared" si="2"/>
        <v>34.952289159775816</v>
      </c>
      <c r="K5" s="7">
        <f t="shared" si="3"/>
        <v>27.162861097906621</v>
      </c>
      <c r="N5" s="2" t="s">
        <v>6</v>
      </c>
      <c r="O5" s="18">
        <v>173687</v>
      </c>
      <c r="P5" s="7">
        <v>164353.167868338</v>
      </c>
      <c r="Q5" s="7">
        <v>164353.167868338</v>
      </c>
    </row>
    <row r="6" spans="1:17" x14ac:dyDescent="0.25">
      <c r="A6" s="20" t="s">
        <v>37</v>
      </c>
      <c r="B6" s="20">
        <v>33</v>
      </c>
      <c r="C6" s="20" t="s">
        <v>6</v>
      </c>
      <c r="D6" s="20">
        <v>15747994.657685401</v>
      </c>
      <c r="E6" s="20">
        <v>8286041.5675902404</v>
      </c>
      <c r="F6" s="20">
        <v>5</v>
      </c>
      <c r="G6" s="20">
        <v>0</v>
      </c>
      <c r="H6" s="7">
        <f t="shared" si="0"/>
        <v>21259792.787875291</v>
      </c>
      <c r="I6" s="1">
        <f t="shared" si="1"/>
        <v>11186156.116246825</v>
      </c>
      <c r="J6" s="7">
        <f t="shared" si="2"/>
        <v>21.259792787875291</v>
      </c>
      <c r="K6" s="7">
        <f t="shared" si="3"/>
        <v>11.186156116246826</v>
      </c>
      <c r="N6" s="10">
        <v>0</v>
      </c>
      <c r="O6" s="18">
        <v>29</v>
      </c>
      <c r="P6" s="7">
        <v>20.835638640000003</v>
      </c>
      <c r="Q6" s="7">
        <v>20.835638640000003</v>
      </c>
    </row>
    <row r="7" spans="1:17" x14ac:dyDescent="0.25">
      <c r="A7" s="20" t="s">
        <v>38</v>
      </c>
      <c r="B7" s="20">
        <v>33</v>
      </c>
      <c r="C7" s="20" t="s">
        <v>6</v>
      </c>
      <c r="D7" s="20">
        <v>4196482.9344605003</v>
      </c>
      <c r="E7" s="20">
        <v>4196482.9344605003</v>
      </c>
      <c r="F7" s="20">
        <v>3</v>
      </c>
      <c r="G7" s="20">
        <v>0</v>
      </c>
      <c r="H7" s="7">
        <f t="shared" si="0"/>
        <v>5665251.9615216758</v>
      </c>
      <c r="I7" s="1">
        <f t="shared" si="1"/>
        <v>5665251.9615216758</v>
      </c>
      <c r="J7" s="7">
        <f t="shared" si="2"/>
        <v>5.6652519615216761</v>
      </c>
      <c r="K7" s="7">
        <f t="shared" si="3"/>
        <v>5.6652519615216761</v>
      </c>
      <c r="N7" s="10">
        <v>1</v>
      </c>
      <c r="O7" s="18">
        <v>173658</v>
      </c>
      <c r="P7" s="7">
        <v>164332.33222969799</v>
      </c>
      <c r="Q7" s="7">
        <v>164332.33222969799</v>
      </c>
    </row>
    <row r="8" spans="1:17" x14ac:dyDescent="0.25">
      <c r="A8" s="20" t="s">
        <v>39</v>
      </c>
      <c r="B8" s="20">
        <v>33</v>
      </c>
      <c r="C8" s="20" t="s">
        <v>6</v>
      </c>
      <c r="D8" s="20">
        <v>96654148.179259598</v>
      </c>
      <c r="E8" s="20">
        <v>62620844.429203197</v>
      </c>
      <c r="F8" s="20">
        <v>4</v>
      </c>
      <c r="G8" s="20">
        <v>0</v>
      </c>
      <c r="H8" s="7">
        <f t="shared" si="0"/>
        <v>130483100.04200047</v>
      </c>
      <c r="I8" s="1">
        <f t="shared" si="1"/>
        <v>84538139.979424328</v>
      </c>
      <c r="J8" s="7">
        <f t="shared" si="2"/>
        <v>130.48310004200047</v>
      </c>
      <c r="K8" s="7">
        <f t="shared" si="3"/>
        <v>84.538139979424329</v>
      </c>
      <c r="N8" s="2" t="s">
        <v>15</v>
      </c>
      <c r="O8" s="18">
        <v>173687</v>
      </c>
      <c r="P8" s="7">
        <v>164353.167868338</v>
      </c>
      <c r="Q8" s="7">
        <v>164353.167868338</v>
      </c>
    </row>
    <row r="9" spans="1:17" x14ac:dyDescent="0.25">
      <c r="A9" s="20" t="s">
        <v>40</v>
      </c>
      <c r="B9" s="20">
        <v>33</v>
      </c>
      <c r="C9" s="20" t="s">
        <v>6</v>
      </c>
      <c r="D9" s="20">
        <v>3238733.2841949998</v>
      </c>
      <c r="E9" s="20">
        <v>1653587.9751500399</v>
      </c>
      <c r="F9" s="20">
        <v>4</v>
      </c>
      <c r="G9" s="20">
        <v>0</v>
      </c>
      <c r="H9" s="7">
        <f t="shared" si="0"/>
        <v>4372289.9336632499</v>
      </c>
      <c r="I9" s="1">
        <f t="shared" si="1"/>
        <v>2232343.7664525541</v>
      </c>
      <c r="J9" s="7">
        <f t="shared" si="2"/>
        <v>4.3722899336632501</v>
      </c>
      <c r="K9" s="7">
        <f t="shared" si="3"/>
        <v>2.2323437664525541</v>
      </c>
    </row>
    <row r="10" spans="1:17" x14ac:dyDescent="0.25">
      <c r="A10" s="20" t="s">
        <v>41</v>
      </c>
      <c r="B10" s="20">
        <v>33</v>
      </c>
      <c r="C10" s="20" t="s">
        <v>6</v>
      </c>
      <c r="D10" s="20">
        <v>819000</v>
      </c>
      <c r="E10" s="20">
        <v>819000</v>
      </c>
      <c r="F10" s="20">
        <v>1</v>
      </c>
      <c r="G10" s="20">
        <v>0</v>
      </c>
      <c r="H10" s="7">
        <f t="shared" si="0"/>
        <v>1105650</v>
      </c>
      <c r="I10" s="1">
        <f t="shared" si="1"/>
        <v>1105650</v>
      </c>
      <c r="J10" s="7">
        <f t="shared" si="2"/>
        <v>1.10565</v>
      </c>
      <c r="K10" s="7">
        <f t="shared" si="3"/>
        <v>1.10565</v>
      </c>
    </row>
    <row r="11" spans="1:17" x14ac:dyDescent="0.25">
      <c r="A11" s="20" t="s">
        <v>42</v>
      </c>
      <c r="B11" s="20">
        <v>33</v>
      </c>
      <c r="C11" s="20" t="s">
        <v>6</v>
      </c>
      <c r="D11" s="20">
        <v>18301343.574820001</v>
      </c>
      <c r="E11" s="20">
        <v>16479715.6923308</v>
      </c>
      <c r="F11" s="20">
        <v>4</v>
      </c>
      <c r="G11" s="20">
        <v>0</v>
      </c>
      <c r="H11" s="7">
        <f t="shared" si="0"/>
        <v>24706813.826007001</v>
      </c>
      <c r="I11" s="1">
        <f t="shared" si="1"/>
        <v>22247616.18464658</v>
      </c>
      <c r="J11" s="7">
        <f t="shared" si="2"/>
        <v>24.706813826007</v>
      </c>
      <c r="K11" s="7">
        <f t="shared" si="3"/>
        <v>22.247616184646581</v>
      </c>
    </row>
    <row r="12" spans="1:17" x14ac:dyDescent="0.25">
      <c r="A12" s="20" t="s">
        <v>43</v>
      </c>
      <c r="B12" s="20">
        <v>33</v>
      </c>
      <c r="C12" s="20" t="s">
        <v>6</v>
      </c>
      <c r="D12" s="20">
        <v>567471554.12594998</v>
      </c>
      <c r="E12" s="20">
        <v>316798265.652394</v>
      </c>
      <c r="F12" s="20">
        <v>37</v>
      </c>
      <c r="G12" s="20">
        <v>0</v>
      </c>
      <c r="H12" s="7">
        <f t="shared" si="0"/>
        <v>766086598.07003248</v>
      </c>
      <c r="I12" s="1">
        <f t="shared" si="1"/>
        <v>427677658.63073194</v>
      </c>
      <c r="J12" s="7">
        <f t="shared" si="2"/>
        <v>766.08659807003244</v>
      </c>
      <c r="K12" s="7">
        <f t="shared" si="3"/>
        <v>427.67765863073191</v>
      </c>
    </row>
    <row r="13" spans="1:17" x14ac:dyDescent="0.25">
      <c r="A13" s="20" t="s">
        <v>44</v>
      </c>
      <c r="B13" s="20">
        <v>33</v>
      </c>
      <c r="C13" s="20" t="s">
        <v>6</v>
      </c>
      <c r="D13" s="20">
        <v>2841840</v>
      </c>
      <c r="E13" s="20">
        <v>1420920</v>
      </c>
      <c r="F13" s="20">
        <v>1</v>
      </c>
      <c r="G13" s="20">
        <v>0</v>
      </c>
      <c r="H13" s="7">
        <f t="shared" si="0"/>
        <v>3836484.0000000005</v>
      </c>
      <c r="I13" s="1">
        <f t="shared" si="1"/>
        <v>1918242.0000000002</v>
      </c>
      <c r="J13" s="7">
        <f t="shared" si="2"/>
        <v>3.8364840000000004</v>
      </c>
      <c r="K13" s="7">
        <f t="shared" si="3"/>
        <v>1.9182420000000002</v>
      </c>
    </row>
    <row r="14" spans="1:17" x14ac:dyDescent="0.25">
      <c r="A14" s="20" t="s">
        <v>45</v>
      </c>
      <c r="B14" s="20">
        <v>33</v>
      </c>
      <c r="C14" s="20" t="s">
        <v>6</v>
      </c>
      <c r="D14" s="20">
        <v>13778406.4595901</v>
      </c>
      <c r="E14" s="20">
        <v>13778406.4595901</v>
      </c>
      <c r="F14" s="20">
        <v>11</v>
      </c>
      <c r="G14" s="20">
        <v>0</v>
      </c>
      <c r="H14" s="7">
        <f t="shared" si="0"/>
        <v>18600848.720446635</v>
      </c>
      <c r="I14" s="1">
        <f t="shared" si="1"/>
        <v>18600848.720446635</v>
      </c>
      <c r="J14" s="7">
        <f t="shared" si="2"/>
        <v>18.600848720446635</v>
      </c>
      <c r="K14" s="7">
        <f t="shared" si="3"/>
        <v>18.600848720446635</v>
      </c>
    </row>
    <row r="15" spans="1:17" x14ac:dyDescent="0.25">
      <c r="A15" s="20" t="s">
        <v>46</v>
      </c>
      <c r="B15" s="20">
        <v>33</v>
      </c>
      <c r="C15" s="20" t="s">
        <v>6</v>
      </c>
      <c r="D15" s="20">
        <v>65415404.641072698</v>
      </c>
      <c r="E15" s="20">
        <v>46728236.224840596</v>
      </c>
      <c r="F15" s="20">
        <v>16</v>
      </c>
      <c r="G15" s="20">
        <v>0</v>
      </c>
      <c r="H15" s="7">
        <f t="shared" si="0"/>
        <v>88310796.265448153</v>
      </c>
      <c r="I15" s="1">
        <f t="shared" si="1"/>
        <v>63083118.903534807</v>
      </c>
      <c r="J15" s="7">
        <f t="shared" si="2"/>
        <v>88.310796265448147</v>
      </c>
      <c r="K15" s="7">
        <f t="shared" si="3"/>
        <v>63.08311890353481</v>
      </c>
    </row>
    <row r="16" spans="1:17" x14ac:dyDescent="0.25">
      <c r="A16" s="20" t="s">
        <v>47</v>
      </c>
      <c r="B16" s="20">
        <v>33</v>
      </c>
      <c r="C16" s="20" t="s">
        <v>6</v>
      </c>
      <c r="D16" s="20">
        <v>11968513.2604634</v>
      </c>
      <c r="E16" s="20">
        <v>10758732.7282653</v>
      </c>
      <c r="F16" s="20">
        <v>8</v>
      </c>
      <c r="G16" s="20">
        <v>0</v>
      </c>
      <c r="H16" s="7">
        <f t="shared" si="0"/>
        <v>16157492.90162559</v>
      </c>
      <c r="I16" s="1">
        <f t="shared" si="1"/>
        <v>14524289.183158157</v>
      </c>
      <c r="J16" s="7">
        <f t="shared" si="2"/>
        <v>16.157492901625591</v>
      </c>
      <c r="K16" s="7">
        <f t="shared" si="3"/>
        <v>14.524289183158157</v>
      </c>
    </row>
    <row r="17" spans="1:23" x14ac:dyDescent="0.25">
      <c r="A17" s="20" t="s">
        <v>48</v>
      </c>
      <c r="B17" s="20">
        <v>33</v>
      </c>
      <c r="C17" s="20" t="s">
        <v>6</v>
      </c>
      <c r="D17" s="20">
        <v>9480466.5</v>
      </c>
      <c r="E17" s="20">
        <v>9480466.5</v>
      </c>
      <c r="F17" s="20">
        <v>3</v>
      </c>
      <c r="G17" s="20">
        <v>0</v>
      </c>
      <c r="H17" s="7">
        <f t="shared" si="0"/>
        <v>12798629.775</v>
      </c>
      <c r="I17" s="1">
        <f t="shared" si="1"/>
        <v>12798629.775</v>
      </c>
      <c r="J17" s="7">
        <f t="shared" si="2"/>
        <v>12.798629775</v>
      </c>
      <c r="K17" s="7">
        <f t="shared" si="3"/>
        <v>12.798629775</v>
      </c>
    </row>
    <row r="18" spans="1:23" x14ac:dyDescent="0.25">
      <c r="A18" s="20" t="s">
        <v>49</v>
      </c>
      <c r="B18" s="20">
        <v>33</v>
      </c>
      <c r="C18" s="20" t="s">
        <v>6</v>
      </c>
      <c r="D18" s="20">
        <v>17156131.435104001</v>
      </c>
      <c r="E18" s="20">
        <v>17156131.435104001</v>
      </c>
      <c r="F18" s="20">
        <v>1</v>
      </c>
      <c r="G18" s="20">
        <v>0</v>
      </c>
      <c r="H18" s="7">
        <f t="shared" si="0"/>
        <v>23160777.437390402</v>
      </c>
      <c r="I18" s="1">
        <f t="shared" si="1"/>
        <v>23160777.437390402</v>
      </c>
      <c r="J18" s="7">
        <f t="shared" si="2"/>
        <v>23.160777437390401</v>
      </c>
      <c r="K18" s="7">
        <f t="shared" si="3"/>
        <v>23.160777437390401</v>
      </c>
    </row>
    <row r="19" spans="1:23" x14ac:dyDescent="0.25">
      <c r="A19" s="20" t="s">
        <v>50</v>
      </c>
      <c r="B19" s="20">
        <v>33</v>
      </c>
      <c r="C19" s="20" t="s">
        <v>6</v>
      </c>
      <c r="D19" s="20">
        <v>5733618.0864275899</v>
      </c>
      <c r="E19" s="20">
        <v>5522417.4332137899</v>
      </c>
      <c r="F19" s="20">
        <v>4</v>
      </c>
      <c r="G19" s="20">
        <v>0</v>
      </c>
      <c r="H19" s="7">
        <f t="shared" si="0"/>
        <v>7740384.4166772468</v>
      </c>
      <c r="I19" s="1">
        <f t="shared" si="1"/>
        <v>7455263.5348386168</v>
      </c>
      <c r="J19" s="7">
        <f t="shared" si="2"/>
        <v>7.7403844166772471</v>
      </c>
      <c r="K19" s="7">
        <f t="shared" si="3"/>
        <v>7.4552635348386165</v>
      </c>
    </row>
    <row r="20" spans="1:23" x14ac:dyDescent="0.25">
      <c r="A20" s="20" t="s">
        <v>51</v>
      </c>
      <c r="B20" s="20">
        <v>33</v>
      </c>
      <c r="C20" s="20" t="s">
        <v>6</v>
      </c>
      <c r="D20" s="20">
        <v>538678.71057025599</v>
      </c>
      <c r="E20" s="20">
        <v>538678.71057025599</v>
      </c>
      <c r="F20" s="20">
        <v>1</v>
      </c>
      <c r="G20" s="20">
        <v>0</v>
      </c>
      <c r="H20" s="7">
        <f t="shared" si="0"/>
        <v>727216.25926984567</v>
      </c>
      <c r="I20" s="1">
        <f t="shared" si="1"/>
        <v>727216.25926984567</v>
      </c>
      <c r="J20" s="7">
        <f t="shared" si="2"/>
        <v>0.72721625926984568</v>
      </c>
      <c r="K20" s="7">
        <f t="shared" si="3"/>
        <v>0.72721625926984568</v>
      </c>
    </row>
    <row r="21" spans="1:23" x14ac:dyDescent="0.25">
      <c r="A21" s="20" t="s">
        <v>52</v>
      </c>
      <c r="B21" s="20">
        <v>33</v>
      </c>
      <c r="C21" s="20" t="s">
        <v>6</v>
      </c>
      <c r="D21" s="20">
        <v>56000</v>
      </c>
      <c r="E21" s="20">
        <v>56000</v>
      </c>
      <c r="F21" s="20">
        <v>1</v>
      </c>
      <c r="G21" s="20">
        <v>0</v>
      </c>
      <c r="H21" s="7">
        <f t="shared" si="0"/>
        <v>75600</v>
      </c>
      <c r="I21" s="1">
        <f t="shared" si="1"/>
        <v>75600</v>
      </c>
      <c r="J21" s="7">
        <f t="shared" si="2"/>
        <v>7.5600000000000001E-2</v>
      </c>
      <c r="K21" s="7">
        <f t="shared" si="3"/>
        <v>7.5600000000000001E-2</v>
      </c>
    </row>
    <row r="22" spans="1:23" x14ac:dyDescent="0.25">
      <c r="A22" s="20" t="s">
        <v>53</v>
      </c>
      <c r="B22" s="20">
        <v>33</v>
      </c>
      <c r="C22" s="20" t="s">
        <v>6</v>
      </c>
      <c r="D22" s="20">
        <v>159239457.149555</v>
      </c>
      <c r="E22" s="20">
        <v>89793522.3747776</v>
      </c>
      <c r="F22" s="20">
        <v>6</v>
      </c>
      <c r="G22" s="20">
        <v>0</v>
      </c>
      <c r="H22" s="7">
        <f t="shared" si="0"/>
        <v>214973267.15189925</v>
      </c>
      <c r="I22" s="1">
        <f t="shared" si="1"/>
        <v>121221255.20594977</v>
      </c>
      <c r="J22" s="7">
        <f t="shared" si="2"/>
        <v>214.97326715189925</v>
      </c>
      <c r="K22" s="7">
        <f t="shared" si="3"/>
        <v>121.22125520594977</v>
      </c>
    </row>
    <row r="23" spans="1:23" x14ac:dyDescent="0.25">
      <c r="A23" s="20" t="s">
        <v>54</v>
      </c>
      <c r="B23" s="20">
        <v>33</v>
      </c>
      <c r="C23" s="20" t="s">
        <v>6</v>
      </c>
      <c r="D23" s="20">
        <v>269694076.21544498</v>
      </c>
      <c r="E23" s="20">
        <v>128815325.582451</v>
      </c>
      <c r="F23" s="20">
        <v>21</v>
      </c>
      <c r="G23" s="20">
        <v>0</v>
      </c>
      <c r="H23" s="7">
        <f t="shared" si="0"/>
        <v>364087002.89085072</v>
      </c>
      <c r="I23" s="1">
        <f t="shared" si="1"/>
        <v>173900689.53630885</v>
      </c>
      <c r="J23" s="7">
        <f t="shared" si="2"/>
        <v>364.08700289085073</v>
      </c>
      <c r="K23" s="7">
        <f t="shared" si="3"/>
        <v>173.90068953630885</v>
      </c>
    </row>
    <row r="24" spans="1:23" x14ac:dyDescent="0.25">
      <c r="A24" s="20" t="s">
        <v>55</v>
      </c>
      <c r="B24" s="20">
        <v>33</v>
      </c>
      <c r="C24" s="20" t="s">
        <v>6</v>
      </c>
      <c r="D24" s="20">
        <v>152000</v>
      </c>
      <c r="E24" s="20">
        <v>152000</v>
      </c>
      <c r="F24" s="20">
        <v>1</v>
      </c>
      <c r="G24" s="20">
        <v>0</v>
      </c>
      <c r="H24" s="7">
        <f t="shared" si="0"/>
        <v>205200</v>
      </c>
      <c r="I24" s="1">
        <f t="shared" si="1"/>
        <v>205200</v>
      </c>
      <c r="J24" s="7">
        <f t="shared" si="2"/>
        <v>0.20519999999999999</v>
      </c>
      <c r="K24" s="7">
        <f t="shared" si="3"/>
        <v>0.20519999999999999</v>
      </c>
    </row>
    <row r="25" spans="1:23" x14ac:dyDescent="0.25">
      <c r="A25" s="20" t="s">
        <v>56</v>
      </c>
      <c r="B25" s="20">
        <v>33</v>
      </c>
      <c r="C25" s="20" t="s">
        <v>6</v>
      </c>
      <c r="D25" s="20">
        <v>2714095</v>
      </c>
      <c r="E25" s="20">
        <v>2714095</v>
      </c>
      <c r="F25" s="20">
        <v>1</v>
      </c>
      <c r="G25" s="20">
        <v>0</v>
      </c>
      <c r="H25" s="7">
        <f t="shared" si="0"/>
        <v>3664028.2500000005</v>
      </c>
      <c r="I25" s="1">
        <f t="shared" si="1"/>
        <v>3664028.2500000005</v>
      </c>
      <c r="J25" s="7">
        <f t="shared" si="2"/>
        <v>3.6640282500000003</v>
      </c>
      <c r="K25" s="7">
        <f t="shared" si="3"/>
        <v>3.6640282500000003</v>
      </c>
    </row>
    <row r="26" spans="1:23" x14ac:dyDescent="0.25">
      <c r="A26" s="20" t="s">
        <v>57</v>
      </c>
      <c r="B26" s="20">
        <v>33</v>
      </c>
      <c r="C26" s="20" t="s">
        <v>6</v>
      </c>
      <c r="D26" s="20">
        <v>121154640.909997</v>
      </c>
      <c r="E26" s="20">
        <v>95061619.364950493</v>
      </c>
      <c r="F26" s="20">
        <v>22</v>
      </c>
      <c r="G26" s="20">
        <v>0</v>
      </c>
      <c r="H26" s="7">
        <f t="shared" si="0"/>
        <v>163558765.22849596</v>
      </c>
      <c r="I26" s="1">
        <f t="shared" si="1"/>
        <v>128333186.14268318</v>
      </c>
      <c r="J26" s="7">
        <f t="shared" si="2"/>
        <v>163.55876522849596</v>
      </c>
      <c r="K26" s="7">
        <f t="shared" si="3"/>
        <v>128.33318614268319</v>
      </c>
    </row>
    <row r="27" spans="1:23" x14ac:dyDescent="0.25">
      <c r="A27" s="20" t="s">
        <v>58</v>
      </c>
      <c r="B27" s="20">
        <v>33</v>
      </c>
      <c r="C27" s="20" t="s">
        <v>6</v>
      </c>
      <c r="D27" s="20">
        <v>5197163.0890958002</v>
      </c>
      <c r="E27" s="20">
        <v>5197163.0890958002</v>
      </c>
      <c r="F27" s="20">
        <v>4</v>
      </c>
      <c r="G27" s="20">
        <v>0</v>
      </c>
      <c r="H27" s="7">
        <f t="shared" si="0"/>
        <v>7016170.1702793306</v>
      </c>
      <c r="I27" s="1">
        <f t="shared" si="1"/>
        <v>7016170.1702793306</v>
      </c>
      <c r="J27" s="7">
        <f t="shared" si="2"/>
        <v>7.0161701702793309</v>
      </c>
      <c r="K27" s="7">
        <f t="shared" si="3"/>
        <v>7.0161701702793309</v>
      </c>
    </row>
    <row r="28" spans="1:23" x14ac:dyDescent="0.25">
      <c r="A28" s="20" t="s">
        <v>59</v>
      </c>
      <c r="B28" s="20">
        <v>33</v>
      </c>
      <c r="C28" s="20" t="s">
        <v>6</v>
      </c>
      <c r="D28" s="20">
        <v>69928150.6487097</v>
      </c>
      <c r="E28" s="20">
        <v>50023445.727334499</v>
      </c>
      <c r="F28" s="20">
        <v>20</v>
      </c>
      <c r="G28" s="20">
        <v>0</v>
      </c>
      <c r="H28" s="7">
        <f t="shared" si="0"/>
        <v>94403003.375758097</v>
      </c>
      <c r="I28" s="1">
        <f t="shared" si="1"/>
        <v>67531651.731901571</v>
      </c>
      <c r="J28" s="7">
        <f t="shared" si="2"/>
        <v>94.40300337575809</v>
      </c>
      <c r="K28" s="7">
        <f t="shared" si="3"/>
        <v>67.531651731901576</v>
      </c>
      <c r="N28" t="s">
        <v>0</v>
      </c>
      <c r="O28" t="s">
        <v>1</v>
      </c>
      <c r="P28" t="s">
        <v>2</v>
      </c>
      <c r="Q28" t="s">
        <v>3</v>
      </c>
      <c r="R28" t="s">
        <v>4</v>
      </c>
      <c r="S28" t="s">
        <v>5</v>
      </c>
      <c r="T28" t="s">
        <v>26</v>
      </c>
      <c r="U28" t="s">
        <v>27</v>
      </c>
      <c r="V28" t="s">
        <v>28</v>
      </c>
      <c r="W28" t="s">
        <v>29</v>
      </c>
    </row>
    <row r="29" spans="1:23" x14ac:dyDescent="0.25">
      <c r="A29" s="20" t="s">
        <v>60</v>
      </c>
      <c r="B29" s="20">
        <v>33</v>
      </c>
      <c r="C29" s="20" t="s">
        <v>6</v>
      </c>
      <c r="D29" s="20">
        <v>0</v>
      </c>
      <c r="E29" s="20">
        <v>0</v>
      </c>
      <c r="F29" s="20">
        <v>1</v>
      </c>
      <c r="G29" s="20">
        <v>0</v>
      </c>
      <c r="H29" s="7">
        <f t="shared" si="0"/>
        <v>0</v>
      </c>
      <c r="I29" s="1">
        <f t="shared" si="1"/>
        <v>0</v>
      </c>
      <c r="J29" s="7">
        <f t="shared" si="2"/>
        <v>0</v>
      </c>
      <c r="K29" s="7">
        <f t="shared" si="3"/>
        <v>0</v>
      </c>
      <c r="N29">
        <v>33</v>
      </c>
      <c r="O29" t="s">
        <v>6</v>
      </c>
      <c r="P29" s="9">
        <v>4645929142.0892601</v>
      </c>
      <c r="Q29" s="9">
        <v>2931952651.35181</v>
      </c>
      <c r="R29">
        <v>663</v>
      </c>
      <c r="S29">
        <v>0</v>
      </c>
      <c r="T29" s="9">
        <v>6272004341.8205013</v>
      </c>
      <c r="U29" s="9">
        <v>3958136079.3249435</v>
      </c>
      <c r="V29" s="9">
        <v>6272.0043418205014</v>
      </c>
      <c r="W29" s="9">
        <v>3958.1360793249437</v>
      </c>
    </row>
    <row r="30" spans="1:23" x14ac:dyDescent="0.25">
      <c r="A30" s="20" t="s">
        <v>61</v>
      </c>
      <c r="B30" s="20">
        <v>33</v>
      </c>
      <c r="C30" s="20" t="s">
        <v>6</v>
      </c>
      <c r="D30" s="20">
        <v>59424635.864</v>
      </c>
      <c r="E30" s="20">
        <v>42828507.564000003</v>
      </c>
      <c r="F30" s="20">
        <v>11</v>
      </c>
      <c r="G30" s="20">
        <v>0</v>
      </c>
      <c r="H30" s="7">
        <f t="shared" si="0"/>
        <v>80223258.4164</v>
      </c>
      <c r="I30" s="1">
        <f t="shared" si="1"/>
        <v>57818485.21140001</v>
      </c>
      <c r="J30" s="7">
        <f t="shared" si="2"/>
        <v>80.2232584164</v>
      </c>
      <c r="K30" s="7">
        <f t="shared" si="3"/>
        <v>57.818485211400009</v>
      </c>
      <c r="N30">
        <v>33</v>
      </c>
      <c r="O30" t="s">
        <v>6</v>
      </c>
      <c r="P30" s="9">
        <v>25152755367.618698</v>
      </c>
      <c r="Q30" s="9">
        <v>18626528497.776199</v>
      </c>
      <c r="R30">
        <v>4678</v>
      </c>
      <c r="S30">
        <v>1</v>
      </c>
      <c r="T30" s="9">
        <v>33956219746.285244</v>
      </c>
      <c r="U30" s="9">
        <v>25145813471.997871</v>
      </c>
      <c r="V30" s="9">
        <v>33956.219746285242</v>
      </c>
      <c r="W30" s="9">
        <v>25145.81347199787</v>
      </c>
    </row>
    <row r="31" spans="1:23" x14ac:dyDescent="0.25">
      <c r="A31" s="20" t="s">
        <v>62</v>
      </c>
      <c r="B31" s="20">
        <v>33</v>
      </c>
      <c r="C31" s="20" t="s">
        <v>6</v>
      </c>
      <c r="D31" s="20">
        <v>77873629.506023005</v>
      </c>
      <c r="E31" s="20">
        <v>49272739.6517478</v>
      </c>
      <c r="F31" s="20">
        <v>19</v>
      </c>
      <c r="G31" s="20">
        <v>0</v>
      </c>
      <c r="H31" s="7">
        <f t="shared" si="0"/>
        <v>105129399.83313106</v>
      </c>
      <c r="I31" s="1">
        <f t="shared" si="1"/>
        <v>66518198.529859535</v>
      </c>
      <c r="J31" s="7">
        <f t="shared" si="2"/>
        <v>105.12939983313106</v>
      </c>
      <c r="K31" s="7">
        <f t="shared" si="3"/>
        <v>66.518198529859532</v>
      </c>
      <c r="N31">
        <v>33</v>
      </c>
      <c r="O31" t="s">
        <v>10</v>
      </c>
      <c r="P31" s="9">
        <v>591803570.79433501</v>
      </c>
      <c r="Q31" s="9">
        <v>395404009.10095602</v>
      </c>
      <c r="R31">
        <v>46</v>
      </c>
      <c r="S31">
        <v>0</v>
      </c>
      <c r="T31" s="9">
        <v>798934820.57235229</v>
      </c>
      <c r="U31" s="9">
        <v>533795412.28629065</v>
      </c>
      <c r="V31" s="9">
        <v>798.93482057235224</v>
      </c>
      <c r="W31" s="9">
        <v>533.79541228629068</v>
      </c>
    </row>
    <row r="32" spans="1:23" x14ac:dyDescent="0.25">
      <c r="A32" s="20" t="s">
        <v>63</v>
      </c>
      <c r="B32" s="20">
        <v>33</v>
      </c>
      <c r="C32" s="20" t="s">
        <v>6</v>
      </c>
      <c r="D32" s="20">
        <v>15613768.340378201</v>
      </c>
      <c r="E32" s="20">
        <v>7862072.3160697501</v>
      </c>
      <c r="F32" s="20">
        <v>2</v>
      </c>
      <c r="G32" s="20">
        <v>0</v>
      </c>
      <c r="H32" s="7">
        <f t="shared" si="0"/>
        <v>21078587.259510573</v>
      </c>
      <c r="I32" s="1">
        <f t="shared" si="1"/>
        <v>10613797.626694163</v>
      </c>
      <c r="J32" s="7">
        <f t="shared" si="2"/>
        <v>21.078587259510574</v>
      </c>
      <c r="K32" s="7">
        <f t="shared" si="3"/>
        <v>10.613797626694163</v>
      </c>
      <c r="N32">
        <v>33</v>
      </c>
      <c r="O32" t="s">
        <v>10</v>
      </c>
      <c r="P32" s="9">
        <v>15621176039.304501</v>
      </c>
      <c r="Q32" s="9">
        <v>12132651704.075899</v>
      </c>
      <c r="R32">
        <v>2767</v>
      </c>
      <c r="S32">
        <v>1</v>
      </c>
      <c r="T32" s="9">
        <v>21088587653.061077</v>
      </c>
      <c r="U32" s="9">
        <v>16379079800.502464</v>
      </c>
      <c r="V32" s="9">
        <v>21088.587653061077</v>
      </c>
      <c r="W32" s="9">
        <v>16379.079800502464</v>
      </c>
    </row>
    <row r="33" spans="1:23" x14ac:dyDescent="0.25">
      <c r="A33" s="20" t="s">
        <v>64</v>
      </c>
      <c r="B33" s="20">
        <v>33</v>
      </c>
      <c r="C33" s="20" t="s">
        <v>6</v>
      </c>
      <c r="D33" s="20">
        <v>26059506.934905998</v>
      </c>
      <c r="E33" s="20">
        <v>24828728.933958299</v>
      </c>
      <c r="F33" s="20">
        <v>8</v>
      </c>
      <c r="G33" s="20">
        <v>0</v>
      </c>
      <c r="H33" s="7">
        <f t="shared" si="0"/>
        <v>35180334.362123102</v>
      </c>
      <c r="I33" s="1">
        <f t="shared" si="1"/>
        <v>33518784.060843706</v>
      </c>
      <c r="J33" s="7">
        <f t="shared" si="2"/>
        <v>35.180334362123105</v>
      </c>
      <c r="K33" s="7">
        <f t="shared" si="3"/>
        <v>33.518784060843707</v>
      </c>
      <c r="N33">
        <v>33</v>
      </c>
      <c r="O33" t="s">
        <v>11</v>
      </c>
      <c r="P33" s="9">
        <v>3060082.6430000402</v>
      </c>
      <c r="Q33" s="9">
        <v>1599407.4673806699</v>
      </c>
      <c r="R33">
        <v>3</v>
      </c>
      <c r="S33">
        <v>0</v>
      </c>
      <c r="T33" s="9">
        <v>4131111.5680500544</v>
      </c>
      <c r="U33" s="9">
        <v>2159200.0809639045</v>
      </c>
      <c r="V33" s="9">
        <v>4.1311115680500547</v>
      </c>
      <c r="W33" s="9">
        <v>2.1592000809639047</v>
      </c>
    </row>
    <row r="34" spans="1:23" x14ac:dyDescent="0.25">
      <c r="A34" s="20" t="s">
        <v>65</v>
      </c>
      <c r="B34" s="20">
        <v>33</v>
      </c>
      <c r="C34" s="20" t="s">
        <v>6</v>
      </c>
      <c r="D34" s="20">
        <v>3060082.6430000402</v>
      </c>
      <c r="E34" s="20">
        <v>1599407.4673806699</v>
      </c>
      <c r="F34" s="20">
        <v>3</v>
      </c>
      <c r="G34" s="20">
        <v>0</v>
      </c>
      <c r="H34" s="7">
        <f t="shared" si="0"/>
        <v>4131111.5680500544</v>
      </c>
      <c r="I34" s="1">
        <f t="shared" si="1"/>
        <v>2159200.0809639045</v>
      </c>
      <c r="J34" s="7">
        <f t="shared" si="2"/>
        <v>4.1311115680500547</v>
      </c>
      <c r="K34" s="7">
        <f t="shared" si="3"/>
        <v>2.1592000809639047</v>
      </c>
      <c r="N34">
        <v>33</v>
      </c>
      <c r="O34" t="s">
        <v>11</v>
      </c>
      <c r="P34" s="9">
        <v>83586974.900705397</v>
      </c>
      <c r="Q34" s="9">
        <v>47547710.997818798</v>
      </c>
      <c r="R34">
        <v>10</v>
      </c>
      <c r="S34">
        <v>1</v>
      </c>
      <c r="T34" s="9">
        <v>112842416.1159523</v>
      </c>
      <c r="U34" s="9">
        <v>64189409.847055383</v>
      </c>
      <c r="V34" s="9">
        <v>112.8424161159523</v>
      </c>
      <c r="W34" s="9">
        <v>64.189409847055387</v>
      </c>
    </row>
    <row r="35" spans="1:23" x14ac:dyDescent="0.25">
      <c r="A35" s="20" t="s">
        <v>66</v>
      </c>
      <c r="B35" s="20">
        <v>33</v>
      </c>
      <c r="C35" s="20" t="s">
        <v>6</v>
      </c>
      <c r="D35" s="20">
        <v>507679.11671354901</v>
      </c>
      <c r="E35" s="20">
        <v>253839.55835677401</v>
      </c>
      <c r="F35" s="20">
        <v>1</v>
      </c>
      <c r="G35" s="20">
        <v>0</v>
      </c>
      <c r="H35" s="7">
        <f t="shared" si="0"/>
        <v>685366.80756329116</v>
      </c>
      <c r="I35" s="1">
        <f t="shared" si="1"/>
        <v>342683.40378164494</v>
      </c>
      <c r="J35" s="7">
        <f t="shared" si="2"/>
        <v>0.68536680756329116</v>
      </c>
      <c r="K35" s="7">
        <f t="shared" si="3"/>
        <v>0.34268340378164497</v>
      </c>
      <c r="N35">
        <v>33</v>
      </c>
      <c r="O35" t="s">
        <v>12</v>
      </c>
      <c r="P35" s="9">
        <v>18301343.574820001</v>
      </c>
      <c r="Q35" s="9">
        <v>16479715.6923308</v>
      </c>
      <c r="R35">
        <v>4</v>
      </c>
      <c r="S35">
        <v>0</v>
      </c>
      <c r="T35" s="9">
        <v>24706813.826007001</v>
      </c>
      <c r="U35" s="9">
        <v>22247616.18464658</v>
      </c>
      <c r="V35" s="9">
        <v>24.706813826007</v>
      </c>
      <c r="W35" s="9">
        <v>22.247616184646581</v>
      </c>
    </row>
    <row r="36" spans="1:23" x14ac:dyDescent="0.25">
      <c r="A36" s="20" t="s">
        <v>67</v>
      </c>
      <c r="B36" s="20">
        <v>33</v>
      </c>
      <c r="C36" s="20" t="s">
        <v>6</v>
      </c>
      <c r="D36" s="20">
        <v>146853.97644368801</v>
      </c>
      <c r="E36" s="20">
        <v>128615.13410249801</v>
      </c>
      <c r="F36" s="20">
        <v>2</v>
      </c>
      <c r="G36" s="20">
        <v>0</v>
      </c>
      <c r="H36" s="7">
        <f t="shared" si="0"/>
        <v>198252.86819897883</v>
      </c>
      <c r="I36" s="1">
        <f t="shared" si="1"/>
        <v>173630.43103837231</v>
      </c>
      <c r="J36" s="7">
        <f t="shared" si="2"/>
        <v>0.19825286819897883</v>
      </c>
      <c r="K36" s="7">
        <f t="shared" si="3"/>
        <v>0.17363043103837231</v>
      </c>
      <c r="N36">
        <v>33</v>
      </c>
      <c r="O36" t="s">
        <v>12</v>
      </c>
      <c r="P36" s="9">
        <v>210957528.07712299</v>
      </c>
      <c r="Q36" s="9">
        <v>106631319.724132</v>
      </c>
      <c r="R36">
        <v>18</v>
      </c>
      <c r="S36">
        <v>1</v>
      </c>
      <c r="T36" s="9">
        <v>284792662.90411603</v>
      </c>
      <c r="U36" s="9">
        <v>143952281.6275782</v>
      </c>
      <c r="V36" s="9">
        <v>284.79266290411601</v>
      </c>
      <c r="W36" s="9">
        <v>143.9522816275782</v>
      </c>
    </row>
    <row r="37" spans="1:23" x14ac:dyDescent="0.25">
      <c r="A37" s="20" t="s">
        <v>68</v>
      </c>
      <c r="B37" s="20">
        <v>33</v>
      </c>
      <c r="C37" s="20" t="s">
        <v>6</v>
      </c>
      <c r="D37" s="20">
        <v>129332.57118789401</v>
      </c>
      <c r="E37" s="20">
        <v>129332.57118789401</v>
      </c>
      <c r="F37" s="20">
        <v>1</v>
      </c>
      <c r="G37" s="20">
        <v>0</v>
      </c>
      <c r="H37" s="7">
        <f t="shared" si="0"/>
        <v>174598.97110365692</v>
      </c>
      <c r="I37" s="1">
        <f t="shared" si="1"/>
        <v>174598.97110365692</v>
      </c>
      <c r="J37" s="7">
        <f t="shared" si="2"/>
        <v>0.17459897110365691</v>
      </c>
      <c r="K37" s="7">
        <f t="shared" si="3"/>
        <v>0.17459897110365691</v>
      </c>
      <c r="N37">
        <v>33</v>
      </c>
      <c r="O37" t="s">
        <v>13</v>
      </c>
      <c r="P37" s="9">
        <v>2372926089.2821898</v>
      </c>
      <c r="Q37" s="9">
        <v>1420410551.7284601</v>
      </c>
      <c r="R37">
        <v>328</v>
      </c>
      <c r="S37">
        <v>0</v>
      </c>
      <c r="T37" s="9">
        <v>3203450220.5309563</v>
      </c>
      <c r="U37" s="9">
        <v>1917554244.8334212</v>
      </c>
      <c r="V37" s="9">
        <v>3203.4502205309564</v>
      </c>
      <c r="W37" s="9">
        <v>1917.5542448334213</v>
      </c>
    </row>
    <row r="38" spans="1:23" x14ac:dyDescent="0.25">
      <c r="A38" s="20" t="s">
        <v>69</v>
      </c>
      <c r="B38" s="20">
        <v>33</v>
      </c>
      <c r="C38" s="20" t="s">
        <v>6</v>
      </c>
      <c r="D38" s="20">
        <v>3716311.9180493001</v>
      </c>
      <c r="E38" s="20">
        <v>3614964.1240090802</v>
      </c>
      <c r="F38" s="20">
        <v>2</v>
      </c>
      <c r="G38" s="20">
        <v>0</v>
      </c>
      <c r="H38" s="7">
        <f t="shared" si="0"/>
        <v>5017021.0893665552</v>
      </c>
      <c r="I38" s="1">
        <f t="shared" si="1"/>
        <v>4880201.5674122591</v>
      </c>
      <c r="J38" s="7">
        <f t="shared" si="2"/>
        <v>5.0170210893665548</v>
      </c>
      <c r="K38" s="7">
        <f t="shared" si="3"/>
        <v>4.880201567412259</v>
      </c>
      <c r="N38">
        <v>33</v>
      </c>
      <c r="O38" t="s">
        <v>13</v>
      </c>
      <c r="P38" s="9">
        <v>761662142.94186294</v>
      </c>
      <c r="Q38" s="9">
        <v>448941035.41101199</v>
      </c>
      <c r="R38">
        <v>119</v>
      </c>
      <c r="S38">
        <v>1</v>
      </c>
      <c r="T38" s="9">
        <v>1028243892.9715151</v>
      </c>
      <c r="U38" s="9">
        <v>606070397.80486619</v>
      </c>
      <c r="V38" s="9">
        <v>1028.2438929715152</v>
      </c>
      <c r="W38" s="9">
        <v>606.07039780486616</v>
      </c>
    </row>
    <row r="39" spans="1:23" x14ac:dyDescent="0.25">
      <c r="A39" s="20" t="s">
        <v>70</v>
      </c>
      <c r="B39" s="20">
        <v>33</v>
      </c>
      <c r="C39" s="20" t="s">
        <v>6</v>
      </c>
      <c r="D39" s="20">
        <v>36233826.2675431</v>
      </c>
      <c r="E39" s="20">
        <v>32540321.551768199</v>
      </c>
      <c r="F39" s="20">
        <v>9</v>
      </c>
      <c r="G39" s="20">
        <v>0</v>
      </c>
      <c r="H39" s="7">
        <f t="shared" si="0"/>
        <v>48915665.46118319</v>
      </c>
      <c r="I39" s="1">
        <f t="shared" si="1"/>
        <v>43929434.09488707</v>
      </c>
      <c r="J39" s="7">
        <f t="shared" si="2"/>
        <v>48.915665461183188</v>
      </c>
      <c r="K39" s="7">
        <f t="shared" si="3"/>
        <v>43.929434094887071</v>
      </c>
      <c r="N39">
        <v>33</v>
      </c>
      <c r="O39" t="s">
        <v>14</v>
      </c>
      <c r="P39" s="9">
        <v>2365811502.90905</v>
      </c>
      <c r="Q39" s="9">
        <v>1413295965.35532</v>
      </c>
      <c r="R39">
        <v>326</v>
      </c>
      <c r="S39">
        <v>0</v>
      </c>
      <c r="T39" s="9">
        <v>3193845528.9272175</v>
      </c>
      <c r="U39" s="9">
        <v>1907949553.2296822</v>
      </c>
      <c r="V39" s="9">
        <v>3193.8455289272174</v>
      </c>
      <c r="W39" s="9">
        <v>1907.9495532296821</v>
      </c>
    </row>
    <row r="40" spans="1:23" x14ac:dyDescent="0.25">
      <c r="A40" s="20" t="s">
        <v>71</v>
      </c>
      <c r="B40" s="20">
        <v>33</v>
      </c>
      <c r="C40" s="20" t="s">
        <v>6</v>
      </c>
      <c r="D40" s="20">
        <v>3950744.8</v>
      </c>
      <c r="E40" s="20">
        <v>3950744.8</v>
      </c>
      <c r="F40" s="20">
        <v>2</v>
      </c>
      <c r="G40" s="20">
        <v>0</v>
      </c>
      <c r="H40" s="7">
        <f t="shared" si="0"/>
        <v>5333505.4800000004</v>
      </c>
      <c r="I40" s="1">
        <f t="shared" si="1"/>
        <v>5333505.4800000004</v>
      </c>
      <c r="J40" s="7">
        <f t="shared" si="2"/>
        <v>5.3335054800000004</v>
      </c>
      <c r="K40" s="7">
        <f t="shared" si="3"/>
        <v>5.3335054800000004</v>
      </c>
      <c r="N40">
        <v>33</v>
      </c>
      <c r="O40" t="s">
        <v>14</v>
      </c>
      <c r="P40" s="9">
        <v>738973417.34851599</v>
      </c>
      <c r="Q40" s="9">
        <v>426252309.81766498</v>
      </c>
      <c r="R40">
        <v>106</v>
      </c>
      <c r="S40">
        <v>1</v>
      </c>
      <c r="T40" s="9">
        <v>997614113.4204967</v>
      </c>
      <c r="U40" s="9">
        <v>575440618.25384772</v>
      </c>
      <c r="V40" s="9">
        <v>997.61411342049666</v>
      </c>
      <c r="W40" s="9">
        <v>575.44061825384767</v>
      </c>
    </row>
    <row r="41" spans="1:23" x14ac:dyDescent="0.25">
      <c r="A41" s="20" t="s">
        <v>72</v>
      </c>
      <c r="B41" s="20">
        <v>33</v>
      </c>
      <c r="C41" s="20" t="s">
        <v>6</v>
      </c>
      <c r="D41" s="20">
        <v>2723</v>
      </c>
      <c r="E41" s="20">
        <v>2723</v>
      </c>
      <c r="F41" s="20">
        <v>1</v>
      </c>
      <c r="G41" s="20">
        <v>0</v>
      </c>
      <c r="H41" s="7">
        <f t="shared" si="0"/>
        <v>3676.05</v>
      </c>
      <c r="I41" s="1">
        <f t="shared" si="1"/>
        <v>3676.05</v>
      </c>
      <c r="J41" s="7">
        <f t="shared" si="2"/>
        <v>3.6760500000000002E-3</v>
      </c>
      <c r="K41" s="7">
        <f t="shared" si="3"/>
        <v>3.6760500000000002E-3</v>
      </c>
    </row>
    <row r="42" spans="1:23" x14ac:dyDescent="0.25">
      <c r="A42" s="20" t="s">
        <v>73</v>
      </c>
      <c r="B42" s="20">
        <v>33</v>
      </c>
      <c r="C42" s="20" t="s">
        <v>6</v>
      </c>
      <c r="D42" s="20">
        <v>160000</v>
      </c>
      <c r="E42" s="20">
        <v>160000</v>
      </c>
      <c r="F42" s="20">
        <v>1</v>
      </c>
      <c r="G42" s="20">
        <v>0</v>
      </c>
      <c r="H42" s="7">
        <f t="shared" si="0"/>
        <v>216000</v>
      </c>
      <c r="I42" s="1">
        <f t="shared" si="1"/>
        <v>216000</v>
      </c>
      <c r="J42" s="7">
        <f t="shared" si="2"/>
        <v>0.216</v>
      </c>
      <c r="K42" s="7">
        <f t="shared" si="3"/>
        <v>0.216</v>
      </c>
    </row>
    <row r="43" spans="1:23" x14ac:dyDescent="0.25">
      <c r="A43" s="20" t="s">
        <v>74</v>
      </c>
      <c r="B43" s="20">
        <v>33</v>
      </c>
      <c r="C43" s="20" t="s">
        <v>6</v>
      </c>
      <c r="D43" s="20">
        <v>70175004.681579396</v>
      </c>
      <c r="E43" s="20">
        <v>37352524.2664636</v>
      </c>
      <c r="F43" s="20">
        <v>14</v>
      </c>
      <c r="G43" s="20">
        <v>0</v>
      </c>
      <c r="H43" s="7">
        <f t="shared" si="0"/>
        <v>94736256.320132196</v>
      </c>
      <c r="I43" s="1">
        <f t="shared" si="1"/>
        <v>50425907.759725861</v>
      </c>
      <c r="J43" s="7">
        <f t="shared" si="2"/>
        <v>94.736256320132199</v>
      </c>
      <c r="K43" s="7">
        <f t="shared" si="3"/>
        <v>50.42590775972586</v>
      </c>
    </row>
    <row r="44" spans="1:23" x14ac:dyDescent="0.25">
      <c r="A44" s="20" t="s">
        <v>75</v>
      </c>
      <c r="B44" s="20">
        <v>33</v>
      </c>
      <c r="C44" s="20" t="s">
        <v>6</v>
      </c>
      <c r="D44" s="20">
        <v>2000</v>
      </c>
      <c r="E44" s="20">
        <v>2000</v>
      </c>
      <c r="F44" s="20">
        <v>1</v>
      </c>
      <c r="G44" s="20">
        <v>0</v>
      </c>
      <c r="H44" s="7">
        <f t="shared" si="0"/>
        <v>2700</v>
      </c>
      <c r="I44" s="1">
        <f t="shared" si="1"/>
        <v>2700</v>
      </c>
      <c r="J44" s="7">
        <f t="shared" si="2"/>
        <v>2.7000000000000001E-3</v>
      </c>
      <c r="K44" s="7">
        <f t="shared" si="3"/>
        <v>2.7000000000000001E-3</v>
      </c>
    </row>
    <row r="45" spans="1:23" x14ac:dyDescent="0.25">
      <c r="A45" s="20" t="s">
        <v>76</v>
      </c>
      <c r="B45" s="20">
        <v>33</v>
      </c>
      <c r="C45" s="20" t="s">
        <v>6</v>
      </c>
      <c r="D45" s="20">
        <v>7114586.37314039</v>
      </c>
      <c r="E45" s="20">
        <v>7114586.37314039</v>
      </c>
      <c r="F45" s="20">
        <v>2</v>
      </c>
      <c r="G45" s="20">
        <v>0</v>
      </c>
      <c r="H45" s="7">
        <f t="shared" si="0"/>
        <v>9604691.603739528</v>
      </c>
      <c r="I45" s="1">
        <f t="shared" si="1"/>
        <v>9604691.603739528</v>
      </c>
      <c r="J45" s="7">
        <f t="shared" si="2"/>
        <v>9.6046916037395285</v>
      </c>
      <c r="K45" s="7">
        <f t="shared" si="3"/>
        <v>9.6046916037395285</v>
      </c>
    </row>
    <row r="46" spans="1:23" x14ac:dyDescent="0.25">
      <c r="A46" s="20" t="s">
        <v>77</v>
      </c>
      <c r="B46" s="20">
        <v>33</v>
      </c>
      <c r="C46" s="20" t="s">
        <v>6</v>
      </c>
      <c r="D46" s="20">
        <v>3683494.0357105201</v>
      </c>
      <c r="E46" s="20">
        <v>1841747.0178552601</v>
      </c>
      <c r="F46" s="20">
        <v>1</v>
      </c>
      <c r="G46" s="20">
        <v>0</v>
      </c>
      <c r="H46" s="7">
        <f t="shared" si="0"/>
        <v>4972716.9482092028</v>
      </c>
      <c r="I46" s="1">
        <f t="shared" si="1"/>
        <v>2486358.4741046014</v>
      </c>
      <c r="J46" s="7">
        <f t="shared" si="2"/>
        <v>4.9727169482092028</v>
      </c>
      <c r="K46" s="7">
        <f t="shared" si="3"/>
        <v>2.4863584741046014</v>
      </c>
    </row>
    <row r="47" spans="1:23" x14ac:dyDescent="0.25">
      <c r="A47" s="20" t="s">
        <v>78</v>
      </c>
      <c r="B47" s="20">
        <v>33</v>
      </c>
      <c r="C47" s="20" t="s">
        <v>6</v>
      </c>
      <c r="D47" s="20">
        <v>1504234.419892</v>
      </c>
      <c r="E47" s="20">
        <v>752117.20994600002</v>
      </c>
      <c r="F47" s="20">
        <v>1</v>
      </c>
      <c r="G47" s="20">
        <v>0</v>
      </c>
      <c r="H47" s="7">
        <f t="shared" si="0"/>
        <v>2030716.4668542002</v>
      </c>
      <c r="I47" s="1">
        <f t="shared" si="1"/>
        <v>1015358.2334271001</v>
      </c>
      <c r="J47" s="7">
        <f t="shared" si="2"/>
        <v>2.0307164668542002</v>
      </c>
      <c r="K47" s="7">
        <f t="shared" si="3"/>
        <v>1.0153582334271001</v>
      </c>
    </row>
    <row r="48" spans="1:23" x14ac:dyDescent="0.25">
      <c r="A48" s="20" t="s">
        <v>79</v>
      </c>
      <c r="B48" s="20">
        <v>33</v>
      </c>
      <c r="C48" s="20" t="s">
        <v>6</v>
      </c>
      <c r="D48" s="20">
        <v>18020966.544</v>
      </c>
      <c r="E48" s="20">
        <v>18020966.544</v>
      </c>
      <c r="F48" s="20">
        <v>4</v>
      </c>
      <c r="G48" s="20">
        <v>0</v>
      </c>
      <c r="H48" s="7">
        <f t="shared" si="0"/>
        <v>24328304.834400002</v>
      </c>
      <c r="I48" s="1">
        <f t="shared" si="1"/>
        <v>24328304.834400002</v>
      </c>
      <c r="J48" s="7">
        <f t="shared" si="2"/>
        <v>24.328304834400001</v>
      </c>
      <c r="K48" s="7">
        <f t="shared" si="3"/>
        <v>24.328304834400001</v>
      </c>
    </row>
    <row r="49" spans="1:11" x14ac:dyDescent="0.25">
      <c r="A49" s="20" t="s">
        <v>80</v>
      </c>
      <c r="B49" s="20">
        <v>33</v>
      </c>
      <c r="C49" s="20" t="s">
        <v>6</v>
      </c>
      <c r="D49" s="20">
        <v>1258181.09177334</v>
      </c>
      <c r="E49" s="20">
        <v>1258181.09177334</v>
      </c>
      <c r="F49" s="20">
        <v>4</v>
      </c>
      <c r="G49" s="20">
        <v>0</v>
      </c>
      <c r="H49" s="7">
        <f t="shared" si="0"/>
        <v>1698544.4738940091</v>
      </c>
      <c r="I49" s="1">
        <f t="shared" si="1"/>
        <v>1698544.4738940091</v>
      </c>
      <c r="J49" s="7">
        <f t="shared" si="2"/>
        <v>1.6985444738940092</v>
      </c>
      <c r="K49" s="7">
        <f t="shared" si="3"/>
        <v>1.6985444738940092</v>
      </c>
    </row>
    <row r="50" spans="1:11" x14ac:dyDescent="0.25">
      <c r="A50" s="20" t="s">
        <v>81</v>
      </c>
      <c r="B50" s="20">
        <v>33</v>
      </c>
      <c r="C50" s="20" t="s">
        <v>6</v>
      </c>
      <c r="D50" s="20">
        <v>2500</v>
      </c>
      <c r="E50" s="20">
        <v>2500</v>
      </c>
      <c r="F50" s="20">
        <v>1</v>
      </c>
      <c r="G50" s="20">
        <v>0</v>
      </c>
      <c r="H50" s="7">
        <f t="shared" si="0"/>
        <v>3375</v>
      </c>
      <c r="I50" s="1">
        <f t="shared" si="1"/>
        <v>3375</v>
      </c>
      <c r="J50" s="7">
        <f t="shared" si="2"/>
        <v>3.375E-3</v>
      </c>
      <c r="K50" s="7">
        <f t="shared" si="3"/>
        <v>3.375E-3</v>
      </c>
    </row>
    <row r="51" spans="1:11" x14ac:dyDescent="0.25">
      <c r="A51" s="20" t="s">
        <v>82</v>
      </c>
      <c r="B51" s="20">
        <v>33</v>
      </c>
      <c r="C51" s="20" t="s">
        <v>6</v>
      </c>
      <c r="D51" s="20">
        <v>1009571.44361377</v>
      </c>
      <c r="E51" s="20">
        <v>1009571.44361377</v>
      </c>
      <c r="F51" s="20">
        <v>1</v>
      </c>
      <c r="G51" s="20">
        <v>0</v>
      </c>
      <c r="H51" s="7">
        <f t="shared" si="0"/>
        <v>1362921.4488785896</v>
      </c>
      <c r="I51" s="1">
        <f t="shared" si="1"/>
        <v>1362921.4488785896</v>
      </c>
      <c r="J51" s="7">
        <f t="shared" si="2"/>
        <v>1.3629214488785895</v>
      </c>
      <c r="K51" s="7">
        <f t="shared" si="3"/>
        <v>1.3629214488785895</v>
      </c>
    </row>
    <row r="52" spans="1:11" x14ac:dyDescent="0.25">
      <c r="A52" s="20" t="s">
        <v>83</v>
      </c>
      <c r="B52" s="20">
        <v>33</v>
      </c>
      <c r="C52" s="20" t="s">
        <v>6</v>
      </c>
      <c r="D52" s="20">
        <v>169226.37223785001</v>
      </c>
      <c r="E52" s="20">
        <v>84613.186118925005</v>
      </c>
      <c r="F52" s="20">
        <v>1</v>
      </c>
      <c r="G52" s="20">
        <v>0</v>
      </c>
      <c r="H52" s="7">
        <f t="shared" si="0"/>
        <v>228455.60252109752</v>
      </c>
      <c r="I52" s="1">
        <f t="shared" si="1"/>
        <v>114227.80126054876</v>
      </c>
      <c r="J52" s="7">
        <f t="shared" si="2"/>
        <v>0.22845560252109753</v>
      </c>
      <c r="K52" s="7">
        <f t="shared" si="3"/>
        <v>0.11422780126054877</v>
      </c>
    </row>
    <row r="53" spans="1:11" x14ac:dyDescent="0.25">
      <c r="A53" s="20" t="s">
        <v>84</v>
      </c>
      <c r="B53" s="20">
        <v>33</v>
      </c>
      <c r="C53" s="20" t="s">
        <v>6</v>
      </c>
      <c r="D53" s="20">
        <v>229138</v>
      </c>
      <c r="E53" s="20">
        <v>229138</v>
      </c>
      <c r="F53" s="20">
        <v>1</v>
      </c>
      <c r="G53" s="20">
        <v>0</v>
      </c>
      <c r="H53" s="7">
        <f t="shared" si="0"/>
        <v>309336.30000000005</v>
      </c>
      <c r="I53" s="1">
        <f t="shared" si="1"/>
        <v>309336.30000000005</v>
      </c>
      <c r="J53" s="7">
        <f t="shared" si="2"/>
        <v>0.30933630000000006</v>
      </c>
      <c r="K53" s="7">
        <f t="shared" si="3"/>
        <v>0.30933630000000006</v>
      </c>
    </row>
    <row r="54" spans="1:11" x14ac:dyDescent="0.25">
      <c r="A54" s="20" t="s">
        <v>85</v>
      </c>
      <c r="B54" s="20">
        <v>33</v>
      </c>
      <c r="C54" s="20" t="s">
        <v>6</v>
      </c>
      <c r="D54" s="20">
        <v>7151550.60837257</v>
      </c>
      <c r="E54" s="20">
        <v>7151550.60837257</v>
      </c>
      <c r="F54" s="20">
        <v>2</v>
      </c>
      <c r="G54" s="20">
        <v>0</v>
      </c>
      <c r="H54" s="7">
        <f t="shared" si="0"/>
        <v>9654593.3213029709</v>
      </c>
      <c r="I54" s="1">
        <f t="shared" si="1"/>
        <v>9654593.3213029709</v>
      </c>
      <c r="J54" s="7">
        <f t="shared" si="2"/>
        <v>9.6545933213029702</v>
      </c>
      <c r="K54" s="7">
        <f t="shared" si="3"/>
        <v>9.6545933213029702</v>
      </c>
    </row>
    <row r="55" spans="1:11" x14ac:dyDescent="0.25">
      <c r="A55" s="20" t="s">
        <v>86</v>
      </c>
      <c r="B55" s="20">
        <v>33</v>
      </c>
      <c r="C55" s="20" t="s">
        <v>6</v>
      </c>
      <c r="D55" s="20">
        <v>6421396.2303885501</v>
      </c>
      <c r="E55" s="20">
        <v>6421396.2303885501</v>
      </c>
      <c r="F55" s="20">
        <v>1</v>
      </c>
      <c r="G55" s="20">
        <v>0</v>
      </c>
      <c r="H55" s="7">
        <f t="shared" si="0"/>
        <v>8668884.9110245425</v>
      </c>
      <c r="I55" s="1">
        <f t="shared" si="1"/>
        <v>8668884.9110245425</v>
      </c>
      <c r="J55" s="7">
        <f t="shared" si="2"/>
        <v>8.6688849110245432</v>
      </c>
      <c r="K55" s="7">
        <f t="shared" si="3"/>
        <v>8.6688849110245432</v>
      </c>
    </row>
    <row r="56" spans="1:11" x14ac:dyDescent="0.25">
      <c r="A56" s="20" t="s">
        <v>87</v>
      </c>
      <c r="B56" s="20">
        <v>33</v>
      </c>
      <c r="C56" s="20" t="s">
        <v>6</v>
      </c>
      <c r="D56" s="20">
        <v>2237.9556514087199</v>
      </c>
      <c r="E56" s="20">
        <v>1118.9778257043599</v>
      </c>
      <c r="F56" s="20">
        <v>1</v>
      </c>
      <c r="G56" s="20">
        <v>0</v>
      </c>
      <c r="H56" s="7">
        <f t="shared" si="0"/>
        <v>3021.2401294017718</v>
      </c>
      <c r="I56" s="1">
        <f t="shared" si="1"/>
        <v>1510.6200647008859</v>
      </c>
      <c r="J56" s="7">
        <f t="shared" si="2"/>
        <v>3.021240129401772E-3</v>
      </c>
      <c r="K56" s="7">
        <f t="shared" si="3"/>
        <v>1.510620064700886E-3</v>
      </c>
    </row>
    <row r="57" spans="1:11" x14ac:dyDescent="0.25">
      <c r="A57" s="20" t="s">
        <v>88</v>
      </c>
      <c r="B57" s="20">
        <v>33</v>
      </c>
      <c r="C57" s="20" t="s">
        <v>6</v>
      </c>
      <c r="D57" s="20">
        <v>4000</v>
      </c>
      <c r="E57" s="20">
        <v>4000</v>
      </c>
      <c r="F57" s="20">
        <v>1</v>
      </c>
      <c r="G57" s="20">
        <v>0</v>
      </c>
      <c r="H57" s="7">
        <f t="shared" si="0"/>
        <v>5400</v>
      </c>
      <c r="I57" s="1">
        <f t="shared" si="1"/>
        <v>5400</v>
      </c>
      <c r="J57" s="7">
        <f t="shared" si="2"/>
        <v>5.4000000000000003E-3</v>
      </c>
      <c r="K57" s="7">
        <f t="shared" si="3"/>
        <v>5.4000000000000003E-3</v>
      </c>
    </row>
    <row r="58" spans="1:11" x14ac:dyDescent="0.25">
      <c r="A58" s="20" t="s">
        <v>89</v>
      </c>
      <c r="B58" s="20">
        <v>33</v>
      </c>
      <c r="C58" s="20" t="s">
        <v>6</v>
      </c>
      <c r="D58" s="20">
        <v>12947615.8636562</v>
      </c>
      <c r="E58" s="20">
        <v>6483807.9318281002</v>
      </c>
      <c r="F58" s="20">
        <v>2</v>
      </c>
      <c r="G58" s="20">
        <v>0</v>
      </c>
      <c r="H58" s="7">
        <f t="shared" si="0"/>
        <v>17479281.41593587</v>
      </c>
      <c r="I58" s="1">
        <f t="shared" si="1"/>
        <v>8753140.7079679351</v>
      </c>
      <c r="J58" s="7">
        <f t="shared" si="2"/>
        <v>17.479281415935869</v>
      </c>
      <c r="K58" s="7">
        <f t="shared" si="3"/>
        <v>8.7531407079679351</v>
      </c>
    </row>
    <row r="59" spans="1:11" x14ac:dyDescent="0.25">
      <c r="A59" s="20" t="s">
        <v>90</v>
      </c>
      <c r="B59" s="20">
        <v>33</v>
      </c>
      <c r="C59" s="20" t="s">
        <v>6</v>
      </c>
      <c r="D59" s="20">
        <v>4054620.6320793</v>
      </c>
      <c r="E59" s="20">
        <v>2572200.43171527</v>
      </c>
      <c r="F59" s="20">
        <v>3</v>
      </c>
      <c r="G59" s="20">
        <v>0</v>
      </c>
      <c r="H59" s="7">
        <f t="shared" si="0"/>
        <v>5473737.8533070553</v>
      </c>
      <c r="I59" s="1">
        <f t="shared" si="1"/>
        <v>3472470.582815615</v>
      </c>
      <c r="J59" s="7">
        <f t="shared" si="2"/>
        <v>5.4737378533070551</v>
      </c>
      <c r="K59" s="7">
        <f t="shared" si="3"/>
        <v>3.4724705828156148</v>
      </c>
    </row>
    <row r="60" spans="1:11" x14ac:dyDescent="0.25">
      <c r="A60" s="20" t="s">
        <v>91</v>
      </c>
      <c r="B60" s="20">
        <v>33</v>
      </c>
      <c r="C60" s="20" t="s">
        <v>6</v>
      </c>
      <c r="D60" s="20">
        <v>264348333.14132801</v>
      </c>
      <c r="E60" s="20">
        <v>216781498.117594</v>
      </c>
      <c r="F60" s="20">
        <v>5</v>
      </c>
      <c r="G60" s="20">
        <v>0</v>
      </c>
      <c r="H60" s="7">
        <f t="shared" si="0"/>
        <v>356870249.74079281</v>
      </c>
      <c r="I60" s="1">
        <f t="shared" si="1"/>
        <v>292655022.45875192</v>
      </c>
      <c r="J60" s="7">
        <f t="shared" si="2"/>
        <v>356.87024974079281</v>
      </c>
      <c r="K60" s="7">
        <f t="shared" si="3"/>
        <v>292.65502245875194</v>
      </c>
    </row>
    <row r="61" spans="1:11" x14ac:dyDescent="0.25">
      <c r="A61" s="20" t="s">
        <v>92</v>
      </c>
      <c r="B61" s="20">
        <v>33</v>
      </c>
      <c r="C61" s="20" t="s">
        <v>6</v>
      </c>
      <c r="D61" s="20">
        <v>21556194.915717699</v>
      </c>
      <c r="E61" s="20">
        <v>10975771.4737285</v>
      </c>
      <c r="F61" s="20">
        <v>7</v>
      </c>
      <c r="G61" s="20">
        <v>0</v>
      </c>
      <c r="H61" s="7">
        <f t="shared" si="0"/>
        <v>29100863.136218894</v>
      </c>
      <c r="I61" s="1">
        <f t="shared" si="1"/>
        <v>14817291.489533477</v>
      </c>
      <c r="J61" s="7">
        <f t="shared" si="2"/>
        <v>29.100863136218894</v>
      </c>
      <c r="K61" s="7">
        <f t="shared" si="3"/>
        <v>14.817291489533476</v>
      </c>
    </row>
    <row r="62" spans="1:11" x14ac:dyDescent="0.25">
      <c r="A62" s="20" t="s">
        <v>93</v>
      </c>
      <c r="B62" s="20">
        <v>33</v>
      </c>
      <c r="C62" s="20" t="s">
        <v>6</v>
      </c>
      <c r="D62" s="20">
        <v>4200</v>
      </c>
      <c r="E62" s="20">
        <v>4200</v>
      </c>
      <c r="F62" s="20">
        <v>1</v>
      </c>
      <c r="G62" s="20">
        <v>0</v>
      </c>
      <c r="H62" s="7">
        <f t="shared" si="0"/>
        <v>5670</v>
      </c>
      <c r="I62" s="1">
        <f t="shared" si="1"/>
        <v>5670</v>
      </c>
      <c r="J62" s="7">
        <f t="shared" si="2"/>
        <v>5.6699999999999997E-3</v>
      </c>
      <c r="K62" s="7">
        <f t="shared" si="3"/>
        <v>5.6699999999999997E-3</v>
      </c>
    </row>
    <row r="63" spans="1:11" x14ac:dyDescent="0.25">
      <c r="A63" s="20" t="s">
        <v>94</v>
      </c>
      <c r="B63" s="20">
        <v>33</v>
      </c>
      <c r="C63" s="20" t="s">
        <v>6</v>
      </c>
      <c r="D63" s="20">
        <v>683280</v>
      </c>
      <c r="E63" s="20">
        <v>341640</v>
      </c>
      <c r="F63" s="20">
        <v>1</v>
      </c>
      <c r="G63" s="20">
        <v>0</v>
      </c>
      <c r="H63" s="7">
        <f t="shared" si="0"/>
        <v>922428.00000000012</v>
      </c>
      <c r="I63" s="1">
        <f t="shared" si="1"/>
        <v>461214.00000000006</v>
      </c>
      <c r="J63" s="7">
        <f t="shared" si="2"/>
        <v>0.92242800000000014</v>
      </c>
      <c r="K63" s="7">
        <f t="shared" si="3"/>
        <v>0.46121400000000007</v>
      </c>
    </row>
    <row r="64" spans="1:11" x14ac:dyDescent="0.25">
      <c r="A64" s="20" t="s">
        <v>95</v>
      </c>
      <c r="B64" s="20">
        <v>33</v>
      </c>
      <c r="C64" s="20" t="s">
        <v>6</v>
      </c>
      <c r="D64" s="20">
        <v>131620.51174054999</v>
      </c>
      <c r="E64" s="20">
        <v>65810.255870274996</v>
      </c>
      <c r="F64" s="20">
        <v>1</v>
      </c>
      <c r="G64" s="20">
        <v>0</v>
      </c>
      <c r="H64" s="7">
        <f t="shared" si="0"/>
        <v>177687.6908497425</v>
      </c>
      <c r="I64" s="1">
        <f t="shared" si="1"/>
        <v>88843.845424871251</v>
      </c>
      <c r="J64" s="7">
        <f t="shared" si="2"/>
        <v>0.17768769084974251</v>
      </c>
      <c r="K64" s="7">
        <f t="shared" si="3"/>
        <v>8.8843845424871254E-2</v>
      </c>
    </row>
    <row r="65" spans="1:11" x14ac:dyDescent="0.25">
      <c r="A65" s="20" t="s">
        <v>96</v>
      </c>
      <c r="B65" s="20">
        <v>33</v>
      </c>
      <c r="C65" s="20" t="s">
        <v>6</v>
      </c>
      <c r="D65" s="20">
        <v>6637471.6075753197</v>
      </c>
      <c r="E65" s="20">
        <v>3318735.8037876599</v>
      </c>
      <c r="F65" s="20">
        <v>1</v>
      </c>
      <c r="G65" s="20">
        <v>0</v>
      </c>
      <c r="H65" s="7">
        <f t="shared" si="0"/>
        <v>8960586.670226682</v>
      </c>
      <c r="I65" s="1">
        <f t="shared" si="1"/>
        <v>4480293.335113341</v>
      </c>
      <c r="J65" s="7">
        <f t="shared" si="2"/>
        <v>8.9605866702266823</v>
      </c>
      <c r="K65" s="7">
        <f t="shared" si="3"/>
        <v>4.4802933351133412</v>
      </c>
    </row>
    <row r="66" spans="1:11" x14ac:dyDescent="0.25">
      <c r="A66" s="20" t="s">
        <v>97</v>
      </c>
      <c r="B66" s="20">
        <v>33</v>
      </c>
      <c r="C66" s="20" t="s">
        <v>6</v>
      </c>
      <c r="D66" s="20">
        <v>2572431.9785195198</v>
      </c>
      <c r="E66" s="20">
        <v>1341404.1351404099</v>
      </c>
      <c r="F66" s="20">
        <v>2</v>
      </c>
      <c r="G66" s="20">
        <v>0</v>
      </c>
      <c r="H66" s="7">
        <f t="shared" si="0"/>
        <v>3472783.1710013519</v>
      </c>
      <c r="I66" s="1">
        <f t="shared" si="1"/>
        <v>1810895.5824395535</v>
      </c>
      <c r="J66" s="7">
        <f t="shared" si="2"/>
        <v>3.4727831710013519</v>
      </c>
      <c r="K66" s="7">
        <f t="shared" si="3"/>
        <v>1.8108955824395534</v>
      </c>
    </row>
    <row r="67" spans="1:11" x14ac:dyDescent="0.25">
      <c r="A67" s="20" t="s">
        <v>98</v>
      </c>
      <c r="B67" s="20">
        <v>33</v>
      </c>
      <c r="C67" s="20" t="s">
        <v>6</v>
      </c>
      <c r="D67" s="20">
        <v>2365811502.90905</v>
      </c>
      <c r="E67" s="20">
        <v>1413295965.35532</v>
      </c>
      <c r="F67" s="20">
        <v>326</v>
      </c>
      <c r="G67" s="20">
        <v>0</v>
      </c>
      <c r="H67" s="7">
        <f t="shared" ref="H67:H130" si="4">D67*1.35</f>
        <v>3193845528.9272175</v>
      </c>
      <c r="I67" s="1">
        <f t="shared" ref="I67:I130" si="5">E67*1.35</f>
        <v>1907949553.2296822</v>
      </c>
      <c r="J67" s="7">
        <f t="shared" ref="J67:J130" si="6">H67/1000000</f>
        <v>3193.8455289272174</v>
      </c>
      <c r="K67" s="7">
        <f t="shared" ref="K67:K130" si="7">I67/1000000</f>
        <v>1907.9495532296821</v>
      </c>
    </row>
    <row r="68" spans="1:11" x14ac:dyDescent="0.25">
      <c r="A68" s="20" t="s">
        <v>99</v>
      </c>
      <c r="B68" s="20">
        <v>33</v>
      </c>
      <c r="C68" s="20" t="s">
        <v>6</v>
      </c>
      <c r="D68" s="20">
        <v>26957835.557093099</v>
      </c>
      <c r="E68" s="20">
        <v>17031956.708133299</v>
      </c>
      <c r="F68" s="20">
        <v>4</v>
      </c>
      <c r="G68" s="20">
        <v>0</v>
      </c>
      <c r="H68" s="7">
        <f t="shared" si="4"/>
        <v>36393078.002075687</v>
      </c>
      <c r="I68" s="1">
        <f t="shared" si="5"/>
        <v>22993141.555979956</v>
      </c>
      <c r="J68" s="7">
        <f t="shared" si="6"/>
        <v>36.39307800207569</v>
      </c>
      <c r="K68" s="7">
        <f t="shared" si="7"/>
        <v>22.993141555979957</v>
      </c>
    </row>
    <row r="69" spans="1:11" x14ac:dyDescent="0.25">
      <c r="A69" s="20" t="s">
        <v>100</v>
      </c>
      <c r="B69" s="20">
        <v>33</v>
      </c>
      <c r="C69" s="20" t="s">
        <v>6</v>
      </c>
      <c r="D69" s="20">
        <v>11322</v>
      </c>
      <c r="E69" s="20">
        <v>11322</v>
      </c>
      <c r="F69" s="20">
        <v>1</v>
      </c>
      <c r="G69" s="20">
        <v>0</v>
      </c>
      <c r="H69" s="7">
        <f t="shared" si="4"/>
        <v>15284.7</v>
      </c>
      <c r="I69" s="1">
        <f t="shared" si="5"/>
        <v>15284.7</v>
      </c>
      <c r="J69" s="7">
        <f t="shared" si="6"/>
        <v>1.52847E-2</v>
      </c>
      <c r="K69" s="7">
        <f t="shared" si="7"/>
        <v>1.52847E-2</v>
      </c>
    </row>
    <row r="70" spans="1:11" x14ac:dyDescent="0.25">
      <c r="A70" s="20" t="s">
        <v>101</v>
      </c>
      <c r="B70" s="20">
        <v>33</v>
      </c>
      <c r="C70" s="20" t="s">
        <v>6</v>
      </c>
      <c r="D70" s="20">
        <v>93771188.575087801</v>
      </c>
      <c r="E70" s="20">
        <v>90543098.617815599</v>
      </c>
      <c r="F70" s="20">
        <v>11</v>
      </c>
      <c r="G70" s="20">
        <v>0</v>
      </c>
      <c r="H70" s="7">
        <f t="shared" si="4"/>
        <v>126591104.57636854</v>
      </c>
      <c r="I70" s="1">
        <f t="shared" si="5"/>
        <v>122233183.13405107</v>
      </c>
      <c r="J70" s="7">
        <f t="shared" si="6"/>
        <v>126.59110457636854</v>
      </c>
      <c r="K70" s="7">
        <f t="shared" si="7"/>
        <v>122.23318313405107</v>
      </c>
    </row>
    <row r="71" spans="1:11" x14ac:dyDescent="0.25">
      <c r="A71" s="20" t="s">
        <v>33</v>
      </c>
      <c r="B71" s="20">
        <v>33</v>
      </c>
      <c r="C71" s="20" t="s">
        <v>6</v>
      </c>
      <c r="D71" s="20">
        <v>88675015.9611523</v>
      </c>
      <c r="E71" s="20">
        <v>53579580.425126597</v>
      </c>
      <c r="F71" s="20">
        <v>13</v>
      </c>
      <c r="G71" s="20">
        <v>1</v>
      </c>
      <c r="H71" s="7">
        <f t="shared" si="4"/>
        <v>119711271.54755561</v>
      </c>
      <c r="I71" s="1">
        <f t="shared" si="5"/>
        <v>72332433.573920906</v>
      </c>
      <c r="J71" s="7">
        <f t="shared" si="6"/>
        <v>119.71127154755561</v>
      </c>
      <c r="K71" s="7">
        <f t="shared" si="7"/>
        <v>72.332433573920909</v>
      </c>
    </row>
    <row r="72" spans="1:11" x14ac:dyDescent="0.25">
      <c r="A72" s="20" t="s">
        <v>34</v>
      </c>
      <c r="B72" s="20">
        <v>33</v>
      </c>
      <c r="C72" s="20" t="s">
        <v>6</v>
      </c>
      <c r="D72" s="20">
        <v>43058200.416672803</v>
      </c>
      <c r="E72" s="20">
        <v>43058200.416672803</v>
      </c>
      <c r="F72" s="20">
        <v>18</v>
      </c>
      <c r="G72" s="20">
        <v>1</v>
      </c>
      <c r="H72" s="7">
        <f t="shared" si="4"/>
        <v>58128570.562508285</v>
      </c>
      <c r="I72" s="1">
        <f t="shared" si="5"/>
        <v>58128570.562508285</v>
      </c>
      <c r="J72" s="7">
        <f t="shared" si="6"/>
        <v>58.128570562508287</v>
      </c>
      <c r="K72" s="7">
        <f t="shared" si="7"/>
        <v>58.128570562508287</v>
      </c>
    </row>
    <row r="73" spans="1:11" x14ac:dyDescent="0.25">
      <c r="A73" s="20" t="s">
        <v>35</v>
      </c>
      <c r="B73" s="20">
        <v>33</v>
      </c>
      <c r="C73" s="20" t="s">
        <v>6</v>
      </c>
      <c r="D73" s="20">
        <v>117299776.07014</v>
      </c>
      <c r="E73" s="20">
        <v>59699152.014799498</v>
      </c>
      <c r="F73" s="20">
        <v>12</v>
      </c>
      <c r="G73" s="20">
        <v>1</v>
      </c>
      <c r="H73" s="7">
        <f t="shared" si="4"/>
        <v>158354697.69468901</v>
      </c>
      <c r="I73" s="1">
        <f t="shared" si="5"/>
        <v>80593855.219979331</v>
      </c>
      <c r="J73" s="7">
        <f t="shared" si="6"/>
        <v>158.35469769468901</v>
      </c>
      <c r="K73" s="7">
        <f t="shared" si="7"/>
        <v>80.593855219979332</v>
      </c>
    </row>
    <row r="74" spans="1:11" x14ac:dyDescent="0.25">
      <c r="A74" s="20" t="s">
        <v>36</v>
      </c>
      <c r="B74" s="20">
        <v>33</v>
      </c>
      <c r="C74" s="20" t="s">
        <v>6</v>
      </c>
      <c r="D74" s="20">
        <v>334471885.17615002</v>
      </c>
      <c r="E74" s="20">
        <v>170352245.82164001</v>
      </c>
      <c r="F74" s="20">
        <v>28</v>
      </c>
      <c r="G74" s="20">
        <v>1</v>
      </c>
      <c r="H74" s="7">
        <f t="shared" si="4"/>
        <v>451537044.98780257</v>
      </c>
      <c r="I74" s="1">
        <f t="shared" si="5"/>
        <v>229975531.85921404</v>
      </c>
      <c r="J74" s="7">
        <f t="shared" si="6"/>
        <v>451.53704498780257</v>
      </c>
      <c r="K74" s="7">
        <f t="shared" si="7"/>
        <v>229.97553185921404</v>
      </c>
    </row>
    <row r="75" spans="1:11" x14ac:dyDescent="0.25">
      <c r="A75" s="20" t="s">
        <v>37</v>
      </c>
      <c r="B75" s="20">
        <v>33</v>
      </c>
      <c r="C75" s="20" t="s">
        <v>6</v>
      </c>
      <c r="D75" s="20">
        <v>280411812.08683199</v>
      </c>
      <c r="E75" s="20">
        <v>203677116.44909</v>
      </c>
      <c r="F75" s="20">
        <v>57</v>
      </c>
      <c r="G75" s="20">
        <v>1</v>
      </c>
      <c r="H75" s="7">
        <f t="shared" si="4"/>
        <v>378555946.31722319</v>
      </c>
      <c r="I75" s="1">
        <f t="shared" si="5"/>
        <v>274964107.20627153</v>
      </c>
      <c r="J75" s="7">
        <f t="shared" si="6"/>
        <v>378.55594631722317</v>
      </c>
      <c r="K75" s="7">
        <f t="shared" si="7"/>
        <v>274.96410720627154</v>
      </c>
    </row>
    <row r="76" spans="1:11" x14ac:dyDescent="0.25">
      <c r="A76" s="20" t="s">
        <v>38</v>
      </c>
      <c r="B76" s="20">
        <v>33</v>
      </c>
      <c r="C76" s="20" t="s">
        <v>6</v>
      </c>
      <c r="D76" s="20">
        <v>7305574.8221618803</v>
      </c>
      <c r="E76" s="20">
        <v>7305574.8221618803</v>
      </c>
      <c r="F76" s="20">
        <v>5</v>
      </c>
      <c r="G76" s="20">
        <v>1</v>
      </c>
      <c r="H76" s="7">
        <f t="shared" si="4"/>
        <v>9862526.0099185389</v>
      </c>
      <c r="I76" s="1">
        <f t="shared" si="5"/>
        <v>9862526.0099185389</v>
      </c>
      <c r="J76" s="7">
        <f t="shared" si="6"/>
        <v>9.8625260099185397</v>
      </c>
      <c r="K76" s="7">
        <f t="shared" si="7"/>
        <v>9.8625260099185397</v>
      </c>
    </row>
    <row r="77" spans="1:11" x14ac:dyDescent="0.25">
      <c r="A77" s="20" t="s">
        <v>39</v>
      </c>
      <c r="B77" s="20">
        <v>33</v>
      </c>
      <c r="C77" s="20" t="s">
        <v>6</v>
      </c>
      <c r="D77" s="20">
        <v>129080595.609275</v>
      </c>
      <c r="E77" s="20">
        <v>93901441.289866</v>
      </c>
      <c r="F77" s="20">
        <v>11</v>
      </c>
      <c r="G77" s="20">
        <v>1</v>
      </c>
      <c r="H77" s="7">
        <f t="shared" si="4"/>
        <v>174258804.07252127</v>
      </c>
      <c r="I77" s="1">
        <f t="shared" si="5"/>
        <v>126766945.74131911</v>
      </c>
      <c r="J77" s="7">
        <f t="shared" si="6"/>
        <v>174.25880407252126</v>
      </c>
      <c r="K77" s="7">
        <f t="shared" si="7"/>
        <v>126.76694574131911</v>
      </c>
    </row>
    <row r="78" spans="1:11" x14ac:dyDescent="0.25">
      <c r="A78" s="20" t="s">
        <v>40</v>
      </c>
      <c r="B78" s="20">
        <v>33</v>
      </c>
      <c r="C78" s="20" t="s">
        <v>6</v>
      </c>
      <c r="D78" s="20">
        <v>10107545.451947199</v>
      </c>
      <c r="E78" s="20">
        <v>8522400.14290227</v>
      </c>
      <c r="F78" s="20">
        <v>7</v>
      </c>
      <c r="G78" s="20">
        <v>1</v>
      </c>
      <c r="H78" s="7">
        <f t="shared" si="4"/>
        <v>13645186.360128719</v>
      </c>
      <c r="I78" s="1">
        <f t="shared" si="5"/>
        <v>11505240.192918066</v>
      </c>
      <c r="J78" s="7">
        <f t="shared" si="6"/>
        <v>13.645186360128719</v>
      </c>
      <c r="K78" s="7">
        <f t="shared" si="7"/>
        <v>11.505240192918066</v>
      </c>
    </row>
    <row r="79" spans="1:11" x14ac:dyDescent="0.25">
      <c r="A79" s="20" t="s">
        <v>42</v>
      </c>
      <c r="B79" s="20">
        <v>33</v>
      </c>
      <c r="C79" s="20" t="s">
        <v>6</v>
      </c>
      <c r="D79" s="20">
        <v>210957528.07712299</v>
      </c>
      <c r="E79" s="20">
        <v>106631319.724132</v>
      </c>
      <c r="F79" s="20">
        <v>18</v>
      </c>
      <c r="G79" s="20">
        <v>1</v>
      </c>
      <c r="H79" s="7">
        <f t="shared" si="4"/>
        <v>284792662.90411603</v>
      </c>
      <c r="I79" s="1">
        <f t="shared" si="5"/>
        <v>143952281.6275782</v>
      </c>
      <c r="J79" s="7">
        <f t="shared" si="6"/>
        <v>284.79266290411601</v>
      </c>
      <c r="K79" s="7">
        <f t="shared" si="7"/>
        <v>143.9522816275782</v>
      </c>
    </row>
    <row r="80" spans="1:11" x14ac:dyDescent="0.25">
      <c r="A80" s="20" t="s">
        <v>43</v>
      </c>
      <c r="B80" s="20">
        <v>33</v>
      </c>
      <c r="C80" s="20" t="s">
        <v>6</v>
      </c>
      <c r="D80" s="20">
        <v>3452284902.2641902</v>
      </c>
      <c r="E80" s="20">
        <v>2433750640.4874001</v>
      </c>
      <c r="F80" s="20">
        <v>827</v>
      </c>
      <c r="G80" s="20">
        <v>1</v>
      </c>
      <c r="H80" s="7">
        <f t="shared" si="4"/>
        <v>4660584618.0566568</v>
      </c>
      <c r="I80" s="1">
        <f t="shared" si="5"/>
        <v>3285563364.6579905</v>
      </c>
      <c r="J80" s="7">
        <f t="shared" si="6"/>
        <v>4660.5846180566568</v>
      </c>
      <c r="K80" s="7">
        <f t="shared" si="7"/>
        <v>3285.5633646579904</v>
      </c>
    </row>
    <row r="81" spans="1:11" x14ac:dyDescent="0.25">
      <c r="A81" s="20" t="s">
        <v>44</v>
      </c>
      <c r="B81" s="20">
        <v>33</v>
      </c>
      <c r="C81" s="20" t="s">
        <v>6</v>
      </c>
      <c r="D81" s="20">
        <v>2841840</v>
      </c>
      <c r="E81" s="20">
        <v>1420920</v>
      </c>
      <c r="F81" s="20">
        <v>1</v>
      </c>
      <c r="G81" s="20">
        <v>1</v>
      </c>
      <c r="H81" s="7">
        <f t="shared" si="4"/>
        <v>3836484.0000000005</v>
      </c>
      <c r="I81" s="1">
        <f t="shared" si="5"/>
        <v>1918242.0000000002</v>
      </c>
      <c r="J81" s="7">
        <f t="shared" si="6"/>
        <v>3.8364840000000004</v>
      </c>
      <c r="K81" s="7">
        <f t="shared" si="7"/>
        <v>1.9182420000000002</v>
      </c>
    </row>
    <row r="82" spans="1:11" x14ac:dyDescent="0.25">
      <c r="A82" s="20" t="s">
        <v>45</v>
      </c>
      <c r="B82" s="20">
        <v>33</v>
      </c>
      <c r="C82" s="20" t="s">
        <v>6</v>
      </c>
      <c r="D82" s="20">
        <v>104253862.220359</v>
      </c>
      <c r="E82" s="20">
        <v>79488495.521868095</v>
      </c>
      <c r="F82" s="20">
        <v>40</v>
      </c>
      <c r="G82" s="20">
        <v>1</v>
      </c>
      <c r="H82" s="7">
        <f t="shared" si="4"/>
        <v>140742713.99748465</v>
      </c>
      <c r="I82" s="1">
        <f t="shared" si="5"/>
        <v>107309468.95452194</v>
      </c>
      <c r="J82" s="7">
        <f t="shared" si="6"/>
        <v>140.74271399748466</v>
      </c>
      <c r="K82" s="7">
        <f t="shared" si="7"/>
        <v>107.30946895452193</v>
      </c>
    </row>
    <row r="83" spans="1:11" x14ac:dyDescent="0.25">
      <c r="A83" s="20" t="s">
        <v>46</v>
      </c>
      <c r="B83" s="20">
        <v>33</v>
      </c>
      <c r="C83" s="20" t="s">
        <v>6</v>
      </c>
      <c r="D83" s="20">
        <v>106172177.81325001</v>
      </c>
      <c r="E83" s="20">
        <v>44299276.505305</v>
      </c>
      <c r="F83" s="20">
        <v>14</v>
      </c>
      <c r="G83" s="20">
        <v>1</v>
      </c>
      <c r="H83" s="7">
        <f t="shared" si="4"/>
        <v>143332440.0478875</v>
      </c>
      <c r="I83" s="1">
        <f t="shared" si="5"/>
        <v>59804023.28216175</v>
      </c>
      <c r="J83" s="7">
        <f t="shared" si="6"/>
        <v>143.3324400478875</v>
      </c>
      <c r="K83" s="7">
        <f t="shared" si="7"/>
        <v>59.804023282161751</v>
      </c>
    </row>
    <row r="84" spans="1:11" x14ac:dyDescent="0.25">
      <c r="A84" s="20" t="s">
        <v>47</v>
      </c>
      <c r="B84" s="20">
        <v>33</v>
      </c>
      <c r="C84" s="20" t="s">
        <v>6</v>
      </c>
      <c r="D84" s="20">
        <v>151583328.43964499</v>
      </c>
      <c r="E84" s="20">
        <v>92511615.641904697</v>
      </c>
      <c r="F84" s="20">
        <v>28</v>
      </c>
      <c r="G84" s="20">
        <v>1</v>
      </c>
      <c r="H84" s="7">
        <f t="shared" si="4"/>
        <v>204637493.39352074</v>
      </c>
      <c r="I84" s="1">
        <f t="shared" si="5"/>
        <v>124890681.11657135</v>
      </c>
      <c r="J84" s="7">
        <f t="shared" si="6"/>
        <v>204.63749339352074</v>
      </c>
      <c r="K84" s="7">
        <f t="shared" si="7"/>
        <v>124.89068111657136</v>
      </c>
    </row>
    <row r="85" spans="1:11" x14ac:dyDescent="0.25">
      <c r="A85" s="20" t="s">
        <v>102</v>
      </c>
      <c r="B85" s="20">
        <v>33</v>
      </c>
      <c r="C85" s="20" t="s">
        <v>6</v>
      </c>
      <c r="D85" s="20">
        <v>1932798.11669851</v>
      </c>
      <c r="E85" s="20">
        <v>1932798.11669851</v>
      </c>
      <c r="F85" s="20">
        <v>2</v>
      </c>
      <c r="G85" s="20">
        <v>1</v>
      </c>
      <c r="H85" s="7">
        <f t="shared" si="4"/>
        <v>2609277.4575429885</v>
      </c>
      <c r="I85" s="1">
        <f t="shared" si="5"/>
        <v>2609277.4575429885</v>
      </c>
      <c r="J85" s="7">
        <f t="shared" si="6"/>
        <v>2.6092774575429885</v>
      </c>
      <c r="K85" s="7">
        <f t="shared" si="7"/>
        <v>2.6092774575429885</v>
      </c>
    </row>
    <row r="86" spans="1:11" x14ac:dyDescent="0.25">
      <c r="A86" s="20" t="s">
        <v>48</v>
      </c>
      <c r="B86" s="20">
        <v>33</v>
      </c>
      <c r="C86" s="20" t="s">
        <v>6</v>
      </c>
      <c r="D86" s="20">
        <v>41104787.132814802</v>
      </c>
      <c r="E86" s="20">
        <v>39213212.349800602</v>
      </c>
      <c r="F86" s="20">
        <v>6</v>
      </c>
      <c r="G86" s="20">
        <v>1</v>
      </c>
      <c r="H86" s="7">
        <f t="shared" si="4"/>
        <v>55491462.629299983</v>
      </c>
      <c r="I86" s="1">
        <f t="shared" si="5"/>
        <v>52937836.672230817</v>
      </c>
      <c r="J86" s="7">
        <f t="shared" si="6"/>
        <v>55.491462629299981</v>
      </c>
      <c r="K86" s="7">
        <f t="shared" si="7"/>
        <v>52.937836672230816</v>
      </c>
    </row>
    <row r="87" spans="1:11" x14ac:dyDescent="0.25">
      <c r="A87" s="20" t="s">
        <v>49</v>
      </c>
      <c r="B87" s="20">
        <v>33</v>
      </c>
      <c r="C87" s="20" t="s">
        <v>6</v>
      </c>
      <c r="D87" s="20">
        <v>17725731.435104001</v>
      </c>
      <c r="E87" s="20">
        <v>17725731.435104001</v>
      </c>
      <c r="F87" s="20">
        <v>4</v>
      </c>
      <c r="G87" s="20">
        <v>1</v>
      </c>
      <c r="H87" s="7">
        <f t="shared" si="4"/>
        <v>23929737.437390402</v>
      </c>
      <c r="I87" s="1">
        <f t="shared" si="5"/>
        <v>23929737.437390402</v>
      </c>
      <c r="J87" s="7">
        <f t="shared" si="6"/>
        <v>23.929737437390401</v>
      </c>
      <c r="K87" s="7">
        <f t="shared" si="7"/>
        <v>23.929737437390401</v>
      </c>
    </row>
    <row r="88" spans="1:11" x14ac:dyDescent="0.25">
      <c r="A88" s="20" t="s">
        <v>50</v>
      </c>
      <c r="B88" s="20">
        <v>33</v>
      </c>
      <c r="C88" s="20" t="s">
        <v>6</v>
      </c>
      <c r="D88" s="20">
        <v>183792082.082008</v>
      </c>
      <c r="E88" s="20">
        <v>115503381.26928601</v>
      </c>
      <c r="F88" s="20">
        <v>33</v>
      </c>
      <c r="G88" s="20">
        <v>1</v>
      </c>
      <c r="H88" s="7">
        <f t="shared" si="4"/>
        <v>248119310.81071082</v>
      </c>
      <c r="I88" s="1">
        <f t="shared" si="5"/>
        <v>155929564.71353611</v>
      </c>
      <c r="J88" s="7">
        <f t="shared" si="6"/>
        <v>248.11931081071083</v>
      </c>
      <c r="K88" s="7">
        <f t="shared" si="7"/>
        <v>155.92956471353611</v>
      </c>
    </row>
    <row r="89" spans="1:11" x14ac:dyDescent="0.25">
      <c r="A89" s="20" t="s">
        <v>103</v>
      </c>
      <c r="B89" s="20">
        <v>33</v>
      </c>
      <c r="C89" s="20" t="s">
        <v>6</v>
      </c>
      <c r="D89" s="20">
        <v>618592460.80988503</v>
      </c>
      <c r="E89" s="20">
        <v>568389716.21269202</v>
      </c>
      <c r="F89" s="20">
        <v>154</v>
      </c>
      <c r="G89" s="20">
        <v>1</v>
      </c>
      <c r="H89" s="7">
        <f t="shared" si="4"/>
        <v>835099822.09334481</v>
      </c>
      <c r="I89" s="1">
        <f t="shared" si="5"/>
        <v>767326116.88713431</v>
      </c>
      <c r="J89" s="7">
        <f t="shared" si="6"/>
        <v>835.09982209334476</v>
      </c>
      <c r="K89" s="7">
        <f t="shared" si="7"/>
        <v>767.32611688713428</v>
      </c>
    </row>
    <row r="90" spans="1:11" x14ac:dyDescent="0.25">
      <c r="A90" s="20" t="s">
        <v>51</v>
      </c>
      <c r="B90" s="20">
        <v>33</v>
      </c>
      <c r="C90" s="20" t="s">
        <v>6</v>
      </c>
      <c r="D90" s="20">
        <v>23167430.692603599</v>
      </c>
      <c r="E90" s="20">
        <v>23167430.692603599</v>
      </c>
      <c r="F90" s="20">
        <v>10</v>
      </c>
      <c r="G90" s="20">
        <v>1</v>
      </c>
      <c r="H90" s="7">
        <f t="shared" si="4"/>
        <v>31276031.435014863</v>
      </c>
      <c r="I90" s="1">
        <f t="shared" si="5"/>
        <v>31276031.435014863</v>
      </c>
      <c r="J90" s="7">
        <f t="shared" si="6"/>
        <v>31.276031435014861</v>
      </c>
      <c r="K90" s="7">
        <f t="shared" si="7"/>
        <v>31.276031435014861</v>
      </c>
    </row>
    <row r="91" spans="1:11" x14ac:dyDescent="0.25">
      <c r="A91" s="20" t="s">
        <v>104</v>
      </c>
      <c r="B91" s="20">
        <v>33</v>
      </c>
      <c r="C91" s="20" t="s">
        <v>6</v>
      </c>
      <c r="D91" s="20">
        <v>6112118.1124866297</v>
      </c>
      <c r="E91" s="20">
        <v>6112118.1124866297</v>
      </c>
      <c r="F91" s="20">
        <v>3</v>
      </c>
      <c r="G91" s="20">
        <v>1</v>
      </c>
      <c r="H91" s="7">
        <f t="shared" si="4"/>
        <v>8251359.4518569503</v>
      </c>
      <c r="I91" s="1">
        <f t="shared" si="5"/>
        <v>8251359.4518569503</v>
      </c>
      <c r="J91" s="7">
        <f t="shared" si="6"/>
        <v>8.2513594518569509</v>
      </c>
      <c r="K91" s="7">
        <f t="shared" si="7"/>
        <v>8.2513594518569509</v>
      </c>
    </row>
    <row r="92" spans="1:11" x14ac:dyDescent="0.25">
      <c r="A92" s="20" t="s">
        <v>53</v>
      </c>
      <c r="B92" s="20">
        <v>33</v>
      </c>
      <c r="C92" s="20" t="s">
        <v>6</v>
      </c>
      <c r="D92" s="20">
        <v>614384058.04658496</v>
      </c>
      <c r="E92" s="20">
        <v>420289442.80860502</v>
      </c>
      <c r="F92" s="20">
        <v>81</v>
      </c>
      <c r="G92" s="20">
        <v>1</v>
      </c>
      <c r="H92" s="7">
        <f t="shared" si="4"/>
        <v>829418478.36288977</v>
      </c>
      <c r="I92" s="1">
        <f t="shared" si="5"/>
        <v>567390747.7916168</v>
      </c>
      <c r="J92" s="7">
        <f t="shared" si="6"/>
        <v>829.4184783628898</v>
      </c>
      <c r="K92" s="7">
        <f t="shared" si="7"/>
        <v>567.39074779161683</v>
      </c>
    </row>
    <row r="93" spans="1:11" x14ac:dyDescent="0.25">
      <c r="A93" s="20" t="s">
        <v>105</v>
      </c>
      <c r="B93" s="20">
        <v>33</v>
      </c>
      <c r="C93" s="20" t="s">
        <v>6</v>
      </c>
      <c r="D93" s="20">
        <v>178626629.44654199</v>
      </c>
      <c r="E93" s="20">
        <v>141265503.43659601</v>
      </c>
      <c r="F93" s="20">
        <v>32</v>
      </c>
      <c r="G93" s="20">
        <v>1</v>
      </c>
      <c r="H93" s="7">
        <f t="shared" si="4"/>
        <v>241145949.7528317</v>
      </c>
      <c r="I93" s="1">
        <f t="shared" si="5"/>
        <v>190708429.63940462</v>
      </c>
      <c r="J93" s="7">
        <f t="shared" si="6"/>
        <v>241.14594975283171</v>
      </c>
      <c r="K93" s="7">
        <f t="shared" si="7"/>
        <v>190.70842963940461</v>
      </c>
    </row>
    <row r="94" spans="1:11" x14ac:dyDescent="0.25">
      <c r="A94" s="20" t="s">
        <v>54</v>
      </c>
      <c r="B94" s="20">
        <v>33</v>
      </c>
      <c r="C94" s="20" t="s">
        <v>6</v>
      </c>
      <c r="D94" s="20">
        <v>2275085169.2213302</v>
      </c>
      <c r="E94" s="20">
        <v>1498937035.13832</v>
      </c>
      <c r="F94" s="20">
        <v>333</v>
      </c>
      <c r="G94" s="20">
        <v>1</v>
      </c>
      <c r="H94" s="7">
        <f t="shared" si="4"/>
        <v>3071364978.4487958</v>
      </c>
      <c r="I94" s="1">
        <f t="shared" si="5"/>
        <v>2023564997.4367321</v>
      </c>
      <c r="J94" s="7">
        <f t="shared" si="6"/>
        <v>3071.3649784487957</v>
      </c>
      <c r="K94" s="7">
        <f t="shared" si="7"/>
        <v>2023.564997436732</v>
      </c>
    </row>
    <row r="95" spans="1:11" x14ac:dyDescent="0.25">
      <c r="A95" s="20" t="s">
        <v>55</v>
      </c>
      <c r="B95" s="20">
        <v>33</v>
      </c>
      <c r="C95" s="20" t="s">
        <v>6</v>
      </c>
      <c r="D95" s="20">
        <v>9371114846.9960003</v>
      </c>
      <c r="E95" s="20">
        <v>7182976179.9304304</v>
      </c>
      <c r="F95" s="20">
        <v>1683</v>
      </c>
      <c r="G95" s="20">
        <v>1</v>
      </c>
      <c r="H95" s="7">
        <f t="shared" si="4"/>
        <v>12651005043.444601</v>
      </c>
      <c r="I95" s="1">
        <f t="shared" si="5"/>
        <v>9697017842.9060822</v>
      </c>
      <c r="J95" s="7">
        <f t="shared" si="6"/>
        <v>12651.0050434446</v>
      </c>
      <c r="K95" s="7">
        <f t="shared" si="7"/>
        <v>9697.0178429060816</v>
      </c>
    </row>
    <row r="96" spans="1:11" x14ac:dyDescent="0.25">
      <c r="A96" s="20" t="s">
        <v>106</v>
      </c>
      <c r="B96" s="20">
        <v>33</v>
      </c>
      <c r="C96" s="20" t="s">
        <v>6</v>
      </c>
      <c r="D96" s="20">
        <v>5437249.79193429</v>
      </c>
      <c r="E96" s="20">
        <v>5174549.8959671399</v>
      </c>
      <c r="F96" s="20">
        <v>2</v>
      </c>
      <c r="G96" s="20">
        <v>1</v>
      </c>
      <c r="H96" s="7">
        <f t="shared" si="4"/>
        <v>7340287.2191112917</v>
      </c>
      <c r="I96" s="1">
        <f t="shared" si="5"/>
        <v>6985642.3595556393</v>
      </c>
      <c r="J96" s="7">
        <f t="shared" si="6"/>
        <v>7.3402872191112918</v>
      </c>
      <c r="K96" s="7">
        <f t="shared" si="7"/>
        <v>6.9856423595556389</v>
      </c>
    </row>
    <row r="97" spans="1:11" x14ac:dyDescent="0.25">
      <c r="A97" s="20" t="s">
        <v>107</v>
      </c>
      <c r="B97" s="20">
        <v>33</v>
      </c>
      <c r="C97" s="20" t="s">
        <v>6</v>
      </c>
      <c r="D97" s="20">
        <v>911500</v>
      </c>
      <c r="E97" s="20">
        <v>911500</v>
      </c>
      <c r="F97" s="20">
        <v>2</v>
      </c>
      <c r="G97" s="20">
        <v>1</v>
      </c>
      <c r="H97" s="7">
        <f t="shared" si="4"/>
        <v>1230525</v>
      </c>
      <c r="I97" s="1">
        <f t="shared" si="5"/>
        <v>1230525</v>
      </c>
      <c r="J97" s="7">
        <f t="shared" si="6"/>
        <v>1.2305250000000001</v>
      </c>
      <c r="K97" s="7">
        <f t="shared" si="7"/>
        <v>1.2305250000000001</v>
      </c>
    </row>
    <row r="98" spans="1:11" x14ac:dyDescent="0.25">
      <c r="A98" s="20" t="s">
        <v>56</v>
      </c>
      <c r="B98" s="20">
        <v>33</v>
      </c>
      <c r="C98" s="20" t="s">
        <v>6</v>
      </c>
      <c r="D98" s="20">
        <v>3760926.7362625799</v>
      </c>
      <c r="E98" s="20">
        <v>3760926.7362625799</v>
      </c>
      <c r="F98" s="20">
        <v>1</v>
      </c>
      <c r="G98" s="20">
        <v>1</v>
      </c>
      <c r="H98" s="7">
        <f t="shared" si="4"/>
        <v>5077251.093954483</v>
      </c>
      <c r="I98" s="1">
        <f t="shared" si="5"/>
        <v>5077251.093954483</v>
      </c>
      <c r="J98" s="7">
        <f t="shared" si="6"/>
        <v>5.0772510939544828</v>
      </c>
      <c r="K98" s="7">
        <f t="shared" si="7"/>
        <v>5.0772510939544828</v>
      </c>
    </row>
    <row r="99" spans="1:11" x14ac:dyDescent="0.25">
      <c r="A99" s="20" t="s">
        <v>57</v>
      </c>
      <c r="B99" s="20">
        <v>33</v>
      </c>
      <c r="C99" s="20" t="s">
        <v>6</v>
      </c>
      <c r="D99" s="20">
        <v>281652901.34184998</v>
      </c>
      <c r="E99" s="20">
        <v>209271148.13600299</v>
      </c>
      <c r="F99" s="20">
        <v>43</v>
      </c>
      <c r="G99" s="20">
        <v>1</v>
      </c>
      <c r="H99" s="7">
        <f t="shared" si="4"/>
        <v>380231416.81149751</v>
      </c>
      <c r="I99" s="1">
        <f t="shared" si="5"/>
        <v>282516049.98360407</v>
      </c>
      <c r="J99" s="7">
        <f t="shared" si="6"/>
        <v>380.23141681149752</v>
      </c>
      <c r="K99" s="7">
        <f t="shared" si="7"/>
        <v>282.51604998360409</v>
      </c>
    </row>
    <row r="100" spans="1:11" x14ac:dyDescent="0.25">
      <c r="A100" s="20" t="s">
        <v>58</v>
      </c>
      <c r="B100" s="20">
        <v>33</v>
      </c>
      <c r="C100" s="20" t="s">
        <v>6</v>
      </c>
      <c r="D100" s="20">
        <v>13445853.4424404</v>
      </c>
      <c r="E100" s="20">
        <v>13445853.4424404</v>
      </c>
      <c r="F100" s="20">
        <v>10</v>
      </c>
      <c r="G100" s="20">
        <v>1</v>
      </c>
      <c r="H100" s="7">
        <f t="shared" si="4"/>
        <v>18151902.14729454</v>
      </c>
      <c r="I100" s="1">
        <f t="shared" si="5"/>
        <v>18151902.14729454</v>
      </c>
      <c r="J100" s="7">
        <f t="shared" si="6"/>
        <v>18.151902147294539</v>
      </c>
      <c r="K100" s="7">
        <f t="shared" si="7"/>
        <v>18.151902147294539</v>
      </c>
    </row>
    <row r="101" spans="1:11" x14ac:dyDescent="0.25">
      <c r="A101" s="20" t="s">
        <v>59</v>
      </c>
      <c r="B101" s="20">
        <v>33</v>
      </c>
      <c r="C101" s="20" t="s">
        <v>6</v>
      </c>
      <c r="D101" s="20">
        <v>103903349.83716799</v>
      </c>
      <c r="E101" s="20">
        <v>83998644.915793002</v>
      </c>
      <c r="F101" s="20">
        <v>31</v>
      </c>
      <c r="G101" s="20">
        <v>1</v>
      </c>
      <c r="H101" s="7">
        <f t="shared" si="4"/>
        <v>140269522.28017679</v>
      </c>
      <c r="I101" s="1">
        <f t="shared" si="5"/>
        <v>113398170.63632056</v>
      </c>
      <c r="J101" s="7">
        <f t="shared" si="6"/>
        <v>140.2695222801768</v>
      </c>
      <c r="K101" s="7">
        <f t="shared" si="7"/>
        <v>113.39817063632056</v>
      </c>
    </row>
    <row r="102" spans="1:11" x14ac:dyDescent="0.25">
      <c r="A102" s="20" t="s">
        <v>108</v>
      </c>
      <c r="B102" s="20">
        <v>33</v>
      </c>
      <c r="C102" s="20" t="s">
        <v>6</v>
      </c>
      <c r="D102" s="20">
        <v>2133373.7661904502</v>
      </c>
      <c r="E102" s="20">
        <v>2133373.7661904502</v>
      </c>
      <c r="F102" s="20">
        <v>1</v>
      </c>
      <c r="G102" s="20">
        <v>1</v>
      </c>
      <c r="H102" s="7">
        <f t="shared" si="4"/>
        <v>2880054.584357108</v>
      </c>
      <c r="I102" s="1">
        <f t="shared" si="5"/>
        <v>2880054.584357108</v>
      </c>
      <c r="J102" s="7">
        <f t="shared" si="6"/>
        <v>2.8800545843571079</v>
      </c>
      <c r="K102" s="7">
        <f t="shared" si="7"/>
        <v>2.8800545843571079</v>
      </c>
    </row>
    <row r="103" spans="1:11" x14ac:dyDescent="0.25">
      <c r="A103" s="20" t="s">
        <v>109</v>
      </c>
      <c r="B103" s="20">
        <v>33</v>
      </c>
      <c r="C103" s="20" t="s">
        <v>6</v>
      </c>
      <c r="D103" s="20">
        <v>4368800</v>
      </c>
      <c r="E103" s="20">
        <v>4368800</v>
      </c>
      <c r="F103" s="20">
        <v>1</v>
      </c>
      <c r="G103" s="20">
        <v>1</v>
      </c>
      <c r="H103" s="7">
        <f t="shared" si="4"/>
        <v>5897880</v>
      </c>
      <c r="I103" s="1">
        <f t="shared" si="5"/>
        <v>5897880</v>
      </c>
      <c r="J103" s="7">
        <f t="shared" si="6"/>
        <v>5.8978799999999998</v>
      </c>
      <c r="K103" s="7">
        <f t="shared" si="7"/>
        <v>5.8978799999999998</v>
      </c>
    </row>
    <row r="104" spans="1:11" x14ac:dyDescent="0.25">
      <c r="A104" s="20" t="s">
        <v>60</v>
      </c>
      <c r="B104" s="20">
        <v>33</v>
      </c>
      <c r="C104" s="20" t="s">
        <v>6</v>
      </c>
      <c r="D104" s="20">
        <v>6355328.2382406304</v>
      </c>
      <c r="E104" s="20">
        <v>3497181.3974508401</v>
      </c>
      <c r="F104" s="20">
        <v>3</v>
      </c>
      <c r="G104" s="20">
        <v>1</v>
      </c>
      <c r="H104" s="7">
        <f t="shared" si="4"/>
        <v>8579693.1216248516</v>
      </c>
      <c r="I104" s="1">
        <f t="shared" si="5"/>
        <v>4721194.8865586342</v>
      </c>
      <c r="J104" s="7">
        <f t="shared" si="6"/>
        <v>8.5796931216248513</v>
      </c>
      <c r="K104" s="7">
        <f t="shared" si="7"/>
        <v>4.7211948865586342</v>
      </c>
    </row>
    <row r="105" spans="1:11" x14ac:dyDescent="0.25">
      <c r="A105" s="20" t="s">
        <v>61</v>
      </c>
      <c r="B105" s="20">
        <v>33</v>
      </c>
      <c r="C105" s="20" t="s">
        <v>6</v>
      </c>
      <c r="D105" s="20">
        <v>310615190.88789898</v>
      </c>
      <c r="E105" s="20">
        <v>210109419.360324</v>
      </c>
      <c r="F105" s="20">
        <v>60</v>
      </c>
      <c r="G105" s="20">
        <v>1</v>
      </c>
      <c r="H105" s="7">
        <f t="shared" si="4"/>
        <v>419330507.69866365</v>
      </c>
      <c r="I105" s="1">
        <f t="shared" si="5"/>
        <v>283647716.13643742</v>
      </c>
      <c r="J105" s="7">
        <f t="shared" si="6"/>
        <v>419.33050769866367</v>
      </c>
      <c r="K105" s="7">
        <f t="shared" si="7"/>
        <v>283.6477161364374</v>
      </c>
    </row>
    <row r="106" spans="1:11" x14ac:dyDescent="0.25">
      <c r="A106" s="20" t="s">
        <v>62</v>
      </c>
      <c r="B106" s="20">
        <v>33</v>
      </c>
      <c r="C106" s="20" t="s">
        <v>6</v>
      </c>
      <c r="D106" s="20">
        <v>118255692.51285399</v>
      </c>
      <c r="E106" s="20">
        <v>88344175.712475702</v>
      </c>
      <c r="F106" s="20">
        <v>38</v>
      </c>
      <c r="G106" s="20">
        <v>1</v>
      </c>
      <c r="H106" s="7">
        <f t="shared" si="4"/>
        <v>159645184.89235291</v>
      </c>
      <c r="I106" s="1">
        <f t="shared" si="5"/>
        <v>119264637.21184221</v>
      </c>
      <c r="J106" s="7">
        <f t="shared" si="6"/>
        <v>159.64518489235292</v>
      </c>
      <c r="K106" s="7">
        <f t="shared" si="7"/>
        <v>119.26463721184221</v>
      </c>
    </row>
    <row r="107" spans="1:11" x14ac:dyDescent="0.25">
      <c r="A107" s="20" t="s">
        <v>110</v>
      </c>
      <c r="B107" s="20">
        <v>33</v>
      </c>
      <c r="C107" s="20" t="s">
        <v>6</v>
      </c>
      <c r="D107" s="20">
        <v>712941</v>
      </c>
      <c r="E107" s="20">
        <v>712941</v>
      </c>
      <c r="F107" s="20">
        <v>1</v>
      </c>
      <c r="G107" s="20">
        <v>1</v>
      </c>
      <c r="H107" s="7">
        <f t="shared" si="4"/>
        <v>962470.35000000009</v>
      </c>
      <c r="I107" s="1">
        <f t="shared" si="5"/>
        <v>962470.35000000009</v>
      </c>
      <c r="J107" s="7">
        <f t="shared" si="6"/>
        <v>0.96247035000000014</v>
      </c>
      <c r="K107" s="7">
        <f t="shared" si="7"/>
        <v>0.96247035000000014</v>
      </c>
    </row>
    <row r="108" spans="1:11" x14ac:dyDescent="0.25">
      <c r="A108" s="20" t="s">
        <v>63</v>
      </c>
      <c r="B108" s="20">
        <v>33</v>
      </c>
      <c r="C108" s="20" t="s">
        <v>6</v>
      </c>
      <c r="D108" s="20">
        <v>15613768.340378201</v>
      </c>
      <c r="E108" s="20">
        <v>7862072.3160697501</v>
      </c>
      <c r="F108" s="20">
        <v>2</v>
      </c>
      <c r="G108" s="20">
        <v>1</v>
      </c>
      <c r="H108" s="7">
        <f t="shared" si="4"/>
        <v>21078587.259510573</v>
      </c>
      <c r="I108" s="1">
        <f t="shared" si="5"/>
        <v>10613797.626694163</v>
      </c>
      <c r="J108" s="7">
        <f t="shared" si="6"/>
        <v>21.078587259510574</v>
      </c>
      <c r="K108" s="7">
        <f t="shared" si="7"/>
        <v>10.613797626694163</v>
      </c>
    </row>
    <row r="109" spans="1:11" x14ac:dyDescent="0.25">
      <c r="A109" s="20" t="s">
        <v>111</v>
      </c>
      <c r="B109" s="20">
        <v>33</v>
      </c>
      <c r="C109" s="20" t="s">
        <v>6</v>
      </c>
      <c r="D109" s="20">
        <v>5543424.1879841704</v>
      </c>
      <c r="E109" s="20">
        <v>5543424.1879841704</v>
      </c>
      <c r="F109" s="20">
        <v>4</v>
      </c>
      <c r="G109" s="20">
        <v>1</v>
      </c>
      <c r="H109" s="7">
        <f t="shared" si="4"/>
        <v>7483622.6537786303</v>
      </c>
      <c r="I109" s="1">
        <f t="shared" si="5"/>
        <v>7483622.6537786303</v>
      </c>
      <c r="J109" s="7">
        <f t="shared" si="6"/>
        <v>7.4836226537786299</v>
      </c>
      <c r="K109" s="7">
        <f t="shared" si="7"/>
        <v>7.4836226537786299</v>
      </c>
    </row>
    <row r="110" spans="1:11" x14ac:dyDescent="0.25">
      <c r="A110" s="20" t="s">
        <v>64</v>
      </c>
      <c r="B110" s="20">
        <v>33</v>
      </c>
      <c r="C110" s="20" t="s">
        <v>6</v>
      </c>
      <c r="D110" s="20">
        <v>1171699364.2788999</v>
      </c>
      <c r="E110" s="20">
        <v>824655516.07828498</v>
      </c>
      <c r="F110" s="20">
        <v>206</v>
      </c>
      <c r="G110" s="20">
        <v>1</v>
      </c>
      <c r="H110" s="7">
        <f t="shared" si="4"/>
        <v>1581794141.776515</v>
      </c>
      <c r="I110" s="1">
        <f t="shared" si="5"/>
        <v>1113284946.7056849</v>
      </c>
      <c r="J110" s="7">
        <f t="shared" si="6"/>
        <v>1581.7941417765151</v>
      </c>
      <c r="K110" s="7">
        <f t="shared" si="7"/>
        <v>1113.2849467056849</v>
      </c>
    </row>
    <row r="111" spans="1:11" x14ac:dyDescent="0.25">
      <c r="A111" s="20" t="s">
        <v>112</v>
      </c>
      <c r="B111" s="20">
        <v>33</v>
      </c>
      <c r="C111" s="20" t="s">
        <v>6</v>
      </c>
      <c r="D111" s="20">
        <v>5001</v>
      </c>
      <c r="E111" s="20">
        <v>5001</v>
      </c>
      <c r="F111" s="20">
        <v>1</v>
      </c>
      <c r="G111" s="20">
        <v>1</v>
      </c>
      <c r="H111" s="7">
        <f t="shared" si="4"/>
        <v>6751.35</v>
      </c>
      <c r="I111" s="1">
        <f t="shared" si="5"/>
        <v>6751.35</v>
      </c>
      <c r="J111" s="7">
        <f t="shared" si="6"/>
        <v>6.7513500000000006E-3</v>
      </c>
      <c r="K111" s="7">
        <f t="shared" si="7"/>
        <v>6.7513500000000006E-3</v>
      </c>
    </row>
    <row r="112" spans="1:11" x14ac:dyDescent="0.25">
      <c r="A112" s="20" t="s">
        <v>65</v>
      </c>
      <c r="B112" s="20">
        <v>33</v>
      </c>
      <c r="C112" s="20" t="s">
        <v>6</v>
      </c>
      <c r="D112" s="20">
        <v>83586974.900705397</v>
      </c>
      <c r="E112" s="20">
        <v>47547710.997818798</v>
      </c>
      <c r="F112" s="20">
        <v>10</v>
      </c>
      <c r="G112" s="20">
        <v>1</v>
      </c>
      <c r="H112" s="7">
        <f t="shared" si="4"/>
        <v>112842416.1159523</v>
      </c>
      <c r="I112" s="1">
        <f t="shared" si="5"/>
        <v>64189409.847055383</v>
      </c>
      <c r="J112" s="7">
        <f t="shared" si="6"/>
        <v>112.8424161159523</v>
      </c>
      <c r="K112" s="7">
        <f t="shared" si="7"/>
        <v>64.189409847055387</v>
      </c>
    </row>
    <row r="113" spans="1:11" x14ac:dyDescent="0.25">
      <c r="A113" s="20" t="s">
        <v>66</v>
      </c>
      <c r="B113" s="20">
        <v>33</v>
      </c>
      <c r="C113" s="20" t="s">
        <v>6</v>
      </c>
      <c r="D113" s="20">
        <v>507679.11671354901</v>
      </c>
      <c r="E113" s="20">
        <v>253839.55835677401</v>
      </c>
      <c r="F113" s="20">
        <v>1</v>
      </c>
      <c r="G113" s="20">
        <v>1</v>
      </c>
      <c r="H113" s="7">
        <f t="shared" si="4"/>
        <v>685366.80756329116</v>
      </c>
      <c r="I113" s="1">
        <f t="shared" si="5"/>
        <v>342683.40378164494</v>
      </c>
      <c r="J113" s="7">
        <f t="shared" si="6"/>
        <v>0.68536680756329116</v>
      </c>
      <c r="K113" s="7">
        <f t="shared" si="7"/>
        <v>0.34268340378164497</v>
      </c>
    </row>
    <row r="114" spans="1:11" x14ac:dyDescent="0.25">
      <c r="A114" s="20" t="s">
        <v>67</v>
      </c>
      <c r="B114" s="20">
        <v>33</v>
      </c>
      <c r="C114" s="20" t="s">
        <v>6</v>
      </c>
      <c r="D114" s="20">
        <v>146853.97644368801</v>
      </c>
      <c r="E114" s="20">
        <v>128615.13410249801</v>
      </c>
      <c r="F114" s="20">
        <v>2</v>
      </c>
      <c r="G114" s="20">
        <v>1</v>
      </c>
      <c r="H114" s="7">
        <f t="shared" si="4"/>
        <v>198252.86819897883</v>
      </c>
      <c r="I114" s="1">
        <f t="shared" si="5"/>
        <v>173630.43103837231</v>
      </c>
      <c r="J114" s="7">
        <f t="shared" si="6"/>
        <v>0.19825286819897883</v>
      </c>
      <c r="K114" s="7">
        <f t="shared" si="7"/>
        <v>0.17363043103837231</v>
      </c>
    </row>
    <row r="115" spans="1:11" x14ac:dyDescent="0.25">
      <c r="A115" s="20" t="s">
        <v>69</v>
      </c>
      <c r="B115" s="20">
        <v>33</v>
      </c>
      <c r="C115" s="20" t="s">
        <v>6</v>
      </c>
      <c r="D115" s="20">
        <v>3716311.9180493001</v>
      </c>
      <c r="E115" s="20">
        <v>3614964.1240090802</v>
      </c>
      <c r="F115" s="20">
        <v>2</v>
      </c>
      <c r="G115" s="20">
        <v>1</v>
      </c>
      <c r="H115" s="7">
        <f t="shared" si="4"/>
        <v>5017021.0893665552</v>
      </c>
      <c r="I115" s="1">
        <f t="shared" si="5"/>
        <v>4880201.5674122591</v>
      </c>
      <c r="J115" s="7">
        <f t="shared" si="6"/>
        <v>5.0170210893665548</v>
      </c>
      <c r="K115" s="7">
        <f t="shared" si="7"/>
        <v>4.880201567412259</v>
      </c>
    </row>
    <row r="116" spans="1:11" x14ac:dyDescent="0.25">
      <c r="A116" s="20" t="s">
        <v>70</v>
      </c>
      <c r="B116" s="20">
        <v>33</v>
      </c>
      <c r="C116" s="20" t="s">
        <v>6</v>
      </c>
      <c r="D116" s="20">
        <v>25253041.3128957</v>
      </c>
      <c r="E116" s="20">
        <v>21559536.597120799</v>
      </c>
      <c r="F116" s="20">
        <v>9</v>
      </c>
      <c r="G116" s="20">
        <v>1</v>
      </c>
      <c r="H116" s="7">
        <f t="shared" si="4"/>
        <v>34091605.772409201</v>
      </c>
      <c r="I116" s="1">
        <f t="shared" si="5"/>
        <v>29105374.406113081</v>
      </c>
      <c r="J116" s="7">
        <f t="shared" si="6"/>
        <v>34.091605772409203</v>
      </c>
      <c r="K116" s="7">
        <f t="shared" si="7"/>
        <v>29.105374406113082</v>
      </c>
    </row>
    <row r="117" spans="1:11" x14ac:dyDescent="0.25">
      <c r="A117" s="20" t="s">
        <v>113</v>
      </c>
      <c r="B117" s="20">
        <v>33</v>
      </c>
      <c r="C117" s="20" t="s">
        <v>6</v>
      </c>
      <c r="D117" s="20">
        <v>11747642.0318371</v>
      </c>
      <c r="E117" s="20">
        <v>11747642.0318371</v>
      </c>
      <c r="F117" s="20">
        <v>4</v>
      </c>
      <c r="G117" s="20">
        <v>1</v>
      </c>
      <c r="H117" s="7">
        <f t="shared" si="4"/>
        <v>15859316.742980087</v>
      </c>
      <c r="I117" s="1">
        <f t="shared" si="5"/>
        <v>15859316.742980087</v>
      </c>
      <c r="J117" s="7">
        <f t="shared" si="6"/>
        <v>15.859316742980088</v>
      </c>
      <c r="K117" s="7">
        <f t="shared" si="7"/>
        <v>15.859316742980088</v>
      </c>
    </row>
    <row r="118" spans="1:11" x14ac:dyDescent="0.25">
      <c r="A118" s="20" t="s">
        <v>71</v>
      </c>
      <c r="B118" s="20">
        <v>33</v>
      </c>
      <c r="C118" s="20" t="s">
        <v>6</v>
      </c>
      <c r="D118" s="20">
        <v>3637140</v>
      </c>
      <c r="E118" s="20">
        <v>3637140</v>
      </c>
      <c r="F118" s="20">
        <v>4</v>
      </c>
      <c r="G118" s="20">
        <v>1</v>
      </c>
      <c r="H118" s="7">
        <f t="shared" si="4"/>
        <v>4910139</v>
      </c>
      <c r="I118" s="1">
        <f t="shared" si="5"/>
        <v>4910139</v>
      </c>
      <c r="J118" s="7">
        <f t="shared" si="6"/>
        <v>4.910139</v>
      </c>
      <c r="K118" s="7">
        <f t="shared" si="7"/>
        <v>4.910139</v>
      </c>
    </row>
    <row r="119" spans="1:11" x14ac:dyDescent="0.25">
      <c r="A119" s="20" t="s">
        <v>72</v>
      </c>
      <c r="B119" s="20">
        <v>33</v>
      </c>
      <c r="C119" s="20" t="s">
        <v>6</v>
      </c>
      <c r="D119" s="20">
        <v>15425010.842777399</v>
      </c>
      <c r="E119" s="20">
        <v>15425010.842777399</v>
      </c>
      <c r="F119" s="20">
        <v>4</v>
      </c>
      <c r="G119" s="20">
        <v>1</v>
      </c>
      <c r="H119" s="7">
        <f t="shared" si="4"/>
        <v>20823764.637749489</v>
      </c>
      <c r="I119" s="1">
        <f t="shared" si="5"/>
        <v>20823764.637749489</v>
      </c>
      <c r="J119" s="7">
        <f t="shared" si="6"/>
        <v>20.823764637749491</v>
      </c>
      <c r="K119" s="7">
        <f t="shared" si="7"/>
        <v>20.823764637749491</v>
      </c>
    </row>
    <row r="120" spans="1:11" x14ac:dyDescent="0.25">
      <c r="A120" s="20" t="s">
        <v>73</v>
      </c>
      <c r="B120" s="20">
        <v>33</v>
      </c>
      <c r="C120" s="20" t="s">
        <v>6</v>
      </c>
      <c r="D120" s="20">
        <v>636050.805517531</v>
      </c>
      <c r="E120" s="20">
        <v>636050.805517531</v>
      </c>
      <c r="F120" s="20">
        <v>2</v>
      </c>
      <c r="G120" s="20">
        <v>1</v>
      </c>
      <c r="H120" s="7">
        <f t="shared" si="4"/>
        <v>858668.58744866692</v>
      </c>
      <c r="I120" s="1">
        <f t="shared" si="5"/>
        <v>858668.58744866692</v>
      </c>
      <c r="J120" s="7">
        <f t="shared" si="6"/>
        <v>0.85866858744866692</v>
      </c>
      <c r="K120" s="7">
        <f t="shared" si="7"/>
        <v>0.85866858744866692</v>
      </c>
    </row>
    <row r="121" spans="1:11" x14ac:dyDescent="0.25">
      <c r="A121" s="20" t="s">
        <v>74</v>
      </c>
      <c r="B121" s="20">
        <v>33</v>
      </c>
      <c r="C121" s="20" t="s">
        <v>6</v>
      </c>
      <c r="D121" s="20">
        <v>338920050.44963998</v>
      </c>
      <c r="E121" s="20">
        <v>202397157.63661399</v>
      </c>
      <c r="F121" s="20">
        <v>43</v>
      </c>
      <c r="G121" s="20">
        <v>1</v>
      </c>
      <c r="H121" s="7">
        <f t="shared" si="4"/>
        <v>457542068.107014</v>
      </c>
      <c r="I121" s="1">
        <f t="shared" si="5"/>
        <v>273236162.80942893</v>
      </c>
      <c r="J121" s="7">
        <f t="shared" si="6"/>
        <v>457.54206810701402</v>
      </c>
      <c r="K121" s="7">
        <f t="shared" si="7"/>
        <v>273.23616280942895</v>
      </c>
    </row>
    <row r="122" spans="1:11" x14ac:dyDescent="0.25">
      <c r="A122" s="20" t="s">
        <v>75</v>
      </c>
      <c r="B122" s="20">
        <v>33</v>
      </c>
      <c r="C122" s="20" t="s">
        <v>6</v>
      </c>
      <c r="D122" s="20">
        <v>1199276</v>
      </c>
      <c r="E122" s="20">
        <v>1199276</v>
      </c>
      <c r="F122" s="20">
        <v>2</v>
      </c>
      <c r="G122" s="20">
        <v>1</v>
      </c>
      <c r="H122" s="7">
        <f t="shared" si="4"/>
        <v>1619022.6</v>
      </c>
      <c r="I122" s="1">
        <f t="shared" si="5"/>
        <v>1619022.6</v>
      </c>
      <c r="J122" s="7">
        <f t="shared" si="6"/>
        <v>1.6190226000000001</v>
      </c>
      <c r="K122" s="7">
        <f t="shared" si="7"/>
        <v>1.6190226000000001</v>
      </c>
    </row>
    <row r="123" spans="1:11" x14ac:dyDescent="0.25">
      <c r="A123" s="20" t="s">
        <v>76</v>
      </c>
      <c r="B123" s="20">
        <v>33</v>
      </c>
      <c r="C123" s="20" t="s">
        <v>6</v>
      </c>
      <c r="D123" s="20">
        <v>22688725.593346398</v>
      </c>
      <c r="E123" s="20">
        <v>22688725.593346398</v>
      </c>
      <c r="F123" s="20">
        <v>13</v>
      </c>
      <c r="G123" s="20">
        <v>1</v>
      </c>
      <c r="H123" s="7">
        <f t="shared" si="4"/>
        <v>30629779.551017638</v>
      </c>
      <c r="I123" s="1">
        <f t="shared" si="5"/>
        <v>30629779.551017638</v>
      </c>
      <c r="J123" s="7">
        <f t="shared" si="6"/>
        <v>30.629779551017638</v>
      </c>
      <c r="K123" s="7">
        <f t="shared" si="7"/>
        <v>30.629779551017638</v>
      </c>
    </row>
    <row r="124" spans="1:11" x14ac:dyDescent="0.25">
      <c r="A124" s="20" t="s">
        <v>77</v>
      </c>
      <c r="B124" s="20">
        <v>33</v>
      </c>
      <c r="C124" s="20" t="s">
        <v>6</v>
      </c>
      <c r="D124" s="20">
        <v>3683494.0357105201</v>
      </c>
      <c r="E124" s="20">
        <v>1841747.0178552601</v>
      </c>
      <c r="F124" s="20">
        <v>1</v>
      </c>
      <c r="G124" s="20">
        <v>1</v>
      </c>
      <c r="H124" s="7">
        <f t="shared" si="4"/>
        <v>4972716.9482092028</v>
      </c>
      <c r="I124" s="1">
        <f t="shared" si="5"/>
        <v>2486358.4741046014</v>
      </c>
      <c r="J124" s="7">
        <f t="shared" si="6"/>
        <v>4.9727169482092028</v>
      </c>
      <c r="K124" s="7">
        <f t="shared" si="7"/>
        <v>2.4863584741046014</v>
      </c>
    </row>
    <row r="125" spans="1:11" x14ac:dyDescent="0.25">
      <c r="A125" s="20" t="s">
        <v>78</v>
      </c>
      <c r="B125" s="20">
        <v>33</v>
      </c>
      <c r="C125" s="20" t="s">
        <v>6</v>
      </c>
      <c r="D125" s="20">
        <v>1542234.419892</v>
      </c>
      <c r="E125" s="20">
        <v>790117.20994600002</v>
      </c>
      <c r="F125" s="20">
        <v>2</v>
      </c>
      <c r="G125" s="20">
        <v>1</v>
      </c>
      <c r="H125" s="7">
        <f t="shared" si="4"/>
        <v>2082016.4668542002</v>
      </c>
      <c r="I125" s="1">
        <f t="shared" si="5"/>
        <v>1066658.2334271001</v>
      </c>
      <c r="J125" s="7">
        <f t="shared" si="6"/>
        <v>2.0820164668542001</v>
      </c>
      <c r="K125" s="7">
        <f t="shared" si="7"/>
        <v>1.0666582334271002</v>
      </c>
    </row>
    <row r="126" spans="1:11" x14ac:dyDescent="0.25">
      <c r="A126" s="20" t="s">
        <v>79</v>
      </c>
      <c r="B126" s="20">
        <v>33</v>
      </c>
      <c r="C126" s="20" t="s">
        <v>6</v>
      </c>
      <c r="D126" s="20">
        <v>51013102.484981701</v>
      </c>
      <c r="E126" s="20">
        <v>43391627.5798162</v>
      </c>
      <c r="F126" s="20">
        <v>23</v>
      </c>
      <c r="G126" s="20">
        <v>1</v>
      </c>
      <c r="H126" s="7">
        <f t="shared" si="4"/>
        <v>68867688.354725301</v>
      </c>
      <c r="I126" s="1">
        <f t="shared" si="5"/>
        <v>58578697.232751876</v>
      </c>
      <c r="J126" s="7">
        <f t="shared" si="6"/>
        <v>68.867688354725303</v>
      </c>
      <c r="K126" s="7">
        <f t="shared" si="7"/>
        <v>58.578697232751878</v>
      </c>
    </row>
    <row r="127" spans="1:11" x14ac:dyDescent="0.25">
      <c r="A127" s="20" t="s">
        <v>114</v>
      </c>
      <c r="B127" s="20">
        <v>33</v>
      </c>
      <c r="C127" s="20" t="s">
        <v>6</v>
      </c>
      <c r="D127" s="20">
        <v>161170551.547867</v>
      </c>
      <c r="E127" s="20">
        <v>93631415.333164901</v>
      </c>
      <c r="F127" s="20">
        <v>17</v>
      </c>
      <c r="G127" s="20">
        <v>1</v>
      </c>
      <c r="H127" s="7">
        <f t="shared" si="4"/>
        <v>217580244.58962047</v>
      </c>
      <c r="I127" s="1">
        <f t="shared" si="5"/>
        <v>126402410.69977263</v>
      </c>
      <c r="J127" s="7">
        <f t="shared" si="6"/>
        <v>217.58024458962046</v>
      </c>
      <c r="K127" s="7">
        <f t="shared" si="7"/>
        <v>126.40241069977263</v>
      </c>
    </row>
    <row r="128" spans="1:11" x14ac:dyDescent="0.25">
      <c r="A128" s="20" t="s">
        <v>80</v>
      </c>
      <c r="B128" s="20">
        <v>33</v>
      </c>
      <c r="C128" s="20" t="s">
        <v>6</v>
      </c>
      <c r="D128" s="20">
        <v>9412113.3818318509</v>
      </c>
      <c r="E128" s="20">
        <v>9412113.3818318509</v>
      </c>
      <c r="F128" s="20">
        <v>11</v>
      </c>
      <c r="G128" s="20">
        <v>1</v>
      </c>
      <c r="H128" s="7">
        <f t="shared" si="4"/>
        <v>12706353.065473</v>
      </c>
      <c r="I128" s="1">
        <f t="shared" si="5"/>
        <v>12706353.065473</v>
      </c>
      <c r="J128" s="7">
        <f t="shared" si="6"/>
        <v>12.706353065472999</v>
      </c>
      <c r="K128" s="7">
        <f t="shared" si="7"/>
        <v>12.706353065472999</v>
      </c>
    </row>
    <row r="129" spans="1:11" x14ac:dyDescent="0.25">
      <c r="A129" s="20" t="s">
        <v>82</v>
      </c>
      <c r="B129" s="20">
        <v>33</v>
      </c>
      <c r="C129" s="20" t="s">
        <v>6</v>
      </c>
      <c r="D129" s="20">
        <v>8016098.6176085696</v>
      </c>
      <c r="E129" s="20">
        <v>8016098.6176085696</v>
      </c>
      <c r="F129" s="20">
        <v>7</v>
      </c>
      <c r="G129" s="20">
        <v>1</v>
      </c>
      <c r="H129" s="7">
        <f t="shared" si="4"/>
        <v>10821733.13377157</v>
      </c>
      <c r="I129" s="1">
        <f t="shared" si="5"/>
        <v>10821733.13377157</v>
      </c>
      <c r="J129" s="7">
        <f t="shared" si="6"/>
        <v>10.82173313377157</v>
      </c>
      <c r="K129" s="7">
        <f t="shared" si="7"/>
        <v>10.82173313377157</v>
      </c>
    </row>
    <row r="130" spans="1:11" x14ac:dyDescent="0.25">
      <c r="A130" s="20" t="s">
        <v>115</v>
      </c>
      <c r="B130" s="20">
        <v>33</v>
      </c>
      <c r="C130" s="20" t="s">
        <v>6</v>
      </c>
      <c r="D130" s="20">
        <v>147443397.54639</v>
      </c>
      <c r="E130" s="20">
        <v>114492018.532066</v>
      </c>
      <c r="F130" s="20">
        <v>40</v>
      </c>
      <c r="G130" s="20">
        <v>1</v>
      </c>
      <c r="H130" s="7">
        <f t="shared" si="4"/>
        <v>199048586.68762651</v>
      </c>
      <c r="I130" s="1">
        <f t="shared" si="5"/>
        <v>154564225.01828912</v>
      </c>
      <c r="J130" s="7">
        <f t="shared" si="6"/>
        <v>199.04858668762651</v>
      </c>
      <c r="K130" s="7">
        <f t="shared" si="7"/>
        <v>154.56422501828911</v>
      </c>
    </row>
    <row r="131" spans="1:11" x14ac:dyDescent="0.25">
      <c r="A131" s="20" t="s">
        <v>83</v>
      </c>
      <c r="B131" s="20">
        <v>33</v>
      </c>
      <c r="C131" s="20" t="s">
        <v>6</v>
      </c>
      <c r="D131" s="20">
        <v>169226.37223785001</v>
      </c>
      <c r="E131" s="20">
        <v>84613.186118925005</v>
      </c>
      <c r="F131" s="20">
        <v>1</v>
      </c>
      <c r="G131" s="20">
        <v>1</v>
      </c>
      <c r="H131" s="7">
        <f t="shared" ref="H131:H194" si="8">D131*1.35</f>
        <v>228455.60252109752</v>
      </c>
      <c r="I131" s="1">
        <f t="shared" ref="I131:I194" si="9">E131*1.35</f>
        <v>114227.80126054876</v>
      </c>
      <c r="J131" s="7">
        <f t="shared" ref="J131:J194" si="10">H131/1000000</f>
        <v>0.22845560252109753</v>
      </c>
      <c r="K131" s="7">
        <f t="shared" ref="K131:K194" si="11">I131/1000000</f>
        <v>0.11422780126054877</v>
      </c>
    </row>
    <row r="132" spans="1:11" x14ac:dyDescent="0.25">
      <c r="A132" s="20" t="s">
        <v>84</v>
      </c>
      <c r="B132" s="20">
        <v>33</v>
      </c>
      <c r="C132" s="20" t="s">
        <v>6</v>
      </c>
      <c r="D132" s="20">
        <v>11831807.3236029</v>
      </c>
      <c r="E132" s="20">
        <v>11831807.3236029</v>
      </c>
      <c r="F132" s="20">
        <v>6</v>
      </c>
      <c r="G132" s="20">
        <v>1</v>
      </c>
      <c r="H132" s="7">
        <f t="shared" si="8"/>
        <v>15972939.886863915</v>
      </c>
      <c r="I132" s="1">
        <f t="shared" si="9"/>
        <v>15972939.886863915</v>
      </c>
      <c r="J132" s="7">
        <f t="shared" si="10"/>
        <v>15.972939886863916</v>
      </c>
      <c r="K132" s="7">
        <f t="shared" si="11"/>
        <v>15.972939886863916</v>
      </c>
    </row>
    <row r="133" spans="1:11" x14ac:dyDescent="0.25">
      <c r="A133" s="20" t="s">
        <v>116</v>
      </c>
      <c r="B133" s="20">
        <v>33</v>
      </c>
      <c r="C133" s="20" t="s">
        <v>6</v>
      </c>
      <c r="D133" s="20">
        <v>5830505.3024263196</v>
      </c>
      <c r="E133" s="20">
        <v>5830505.3024263196</v>
      </c>
      <c r="F133" s="20">
        <v>2</v>
      </c>
      <c r="G133" s="20">
        <v>1</v>
      </c>
      <c r="H133" s="7">
        <f t="shared" si="8"/>
        <v>7871182.1582755316</v>
      </c>
      <c r="I133" s="1">
        <f t="shared" si="9"/>
        <v>7871182.1582755316</v>
      </c>
      <c r="J133" s="7">
        <f t="shared" si="10"/>
        <v>7.8711821582755315</v>
      </c>
      <c r="K133" s="7">
        <f t="shared" si="11"/>
        <v>7.8711821582755315</v>
      </c>
    </row>
    <row r="134" spans="1:11" x14ac:dyDescent="0.25">
      <c r="A134" s="20" t="s">
        <v>85</v>
      </c>
      <c r="B134" s="20">
        <v>33</v>
      </c>
      <c r="C134" s="20" t="s">
        <v>6</v>
      </c>
      <c r="D134" s="20">
        <v>115973936.62573101</v>
      </c>
      <c r="E134" s="20">
        <v>49767654.610696599</v>
      </c>
      <c r="F134" s="20">
        <v>12</v>
      </c>
      <c r="G134" s="20">
        <v>1</v>
      </c>
      <c r="H134" s="7">
        <f t="shared" si="8"/>
        <v>156564814.44473687</v>
      </c>
      <c r="I134" s="1">
        <f t="shared" si="9"/>
        <v>67186333.724440411</v>
      </c>
      <c r="J134" s="7">
        <f t="shared" si="10"/>
        <v>156.56481444473687</v>
      </c>
      <c r="K134" s="7">
        <f t="shared" si="11"/>
        <v>67.186333724440416</v>
      </c>
    </row>
    <row r="135" spans="1:11" x14ac:dyDescent="0.25">
      <c r="A135" s="20" t="s">
        <v>87</v>
      </c>
      <c r="B135" s="20">
        <v>33</v>
      </c>
      <c r="C135" s="20" t="s">
        <v>6</v>
      </c>
      <c r="D135" s="20">
        <v>389545.22561635898</v>
      </c>
      <c r="E135" s="20">
        <v>388426.247790655</v>
      </c>
      <c r="F135" s="20">
        <v>2</v>
      </c>
      <c r="G135" s="20">
        <v>1</v>
      </c>
      <c r="H135" s="7">
        <f t="shared" si="8"/>
        <v>525886.05458208465</v>
      </c>
      <c r="I135" s="1">
        <f t="shared" si="9"/>
        <v>524375.43451738427</v>
      </c>
      <c r="J135" s="7">
        <f t="shared" si="10"/>
        <v>0.52588605458208459</v>
      </c>
      <c r="K135" s="7">
        <f t="shared" si="11"/>
        <v>0.52437543451738422</v>
      </c>
    </row>
    <row r="136" spans="1:11" x14ac:dyDescent="0.25">
      <c r="A136" s="20" t="s">
        <v>88</v>
      </c>
      <c r="B136" s="20">
        <v>33</v>
      </c>
      <c r="C136" s="20" t="s">
        <v>6</v>
      </c>
      <c r="D136" s="20">
        <v>4000</v>
      </c>
      <c r="E136" s="20">
        <v>4000</v>
      </c>
      <c r="F136" s="20">
        <v>1</v>
      </c>
      <c r="G136" s="20">
        <v>1</v>
      </c>
      <c r="H136" s="7">
        <f t="shared" si="8"/>
        <v>5400</v>
      </c>
      <c r="I136" s="1">
        <f t="shared" si="9"/>
        <v>5400</v>
      </c>
      <c r="J136" s="7">
        <f t="shared" si="10"/>
        <v>5.4000000000000003E-3</v>
      </c>
      <c r="K136" s="7">
        <f t="shared" si="11"/>
        <v>5.4000000000000003E-3</v>
      </c>
    </row>
    <row r="137" spans="1:11" x14ac:dyDescent="0.25">
      <c r="A137" s="20" t="s">
        <v>89</v>
      </c>
      <c r="B137" s="20">
        <v>33</v>
      </c>
      <c r="C137" s="20" t="s">
        <v>6</v>
      </c>
      <c r="D137" s="20">
        <v>12947615.8636562</v>
      </c>
      <c r="E137" s="20">
        <v>6483807.9318281002</v>
      </c>
      <c r="F137" s="20">
        <v>2</v>
      </c>
      <c r="G137" s="20">
        <v>1</v>
      </c>
      <c r="H137" s="7">
        <f t="shared" si="8"/>
        <v>17479281.41593587</v>
      </c>
      <c r="I137" s="1">
        <f t="shared" si="9"/>
        <v>8753140.7079679351</v>
      </c>
      <c r="J137" s="7">
        <f t="shared" si="10"/>
        <v>17.479281415935869</v>
      </c>
      <c r="K137" s="7">
        <f t="shared" si="11"/>
        <v>8.7531407079679351</v>
      </c>
    </row>
    <row r="138" spans="1:11" x14ac:dyDescent="0.25">
      <c r="A138" s="20" t="s">
        <v>90</v>
      </c>
      <c r="B138" s="20">
        <v>33</v>
      </c>
      <c r="C138" s="20" t="s">
        <v>6</v>
      </c>
      <c r="D138" s="20">
        <v>485674.04744355398</v>
      </c>
      <c r="E138" s="20">
        <v>242837.02372177699</v>
      </c>
      <c r="F138" s="20">
        <v>1</v>
      </c>
      <c r="G138" s="20">
        <v>1</v>
      </c>
      <c r="H138" s="7">
        <f t="shared" si="8"/>
        <v>655659.96404879796</v>
      </c>
      <c r="I138" s="1">
        <f t="shared" si="9"/>
        <v>327829.98202439898</v>
      </c>
      <c r="J138" s="7">
        <f t="shared" si="10"/>
        <v>0.65565996404879801</v>
      </c>
      <c r="K138" s="7">
        <f t="shared" si="11"/>
        <v>0.327829982024399</v>
      </c>
    </row>
    <row r="139" spans="1:11" x14ac:dyDescent="0.25">
      <c r="A139" s="20" t="s">
        <v>91</v>
      </c>
      <c r="B139" s="20">
        <v>33</v>
      </c>
      <c r="C139" s="20" t="s">
        <v>6</v>
      </c>
      <c r="D139" s="20">
        <v>2694309250.7946701</v>
      </c>
      <c r="E139" s="20">
        <v>2430519956.7227502</v>
      </c>
      <c r="F139" s="20">
        <v>462</v>
      </c>
      <c r="G139" s="20">
        <v>1</v>
      </c>
      <c r="H139" s="7">
        <f t="shared" si="8"/>
        <v>3637317488.5728049</v>
      </c>
      <c r="I139" s="1">
        <f t="shared" si="9"/>
        <v>3281201941.5757132</v>
      </c>
      <c r="J139" s="7">
        <f t="shared" si="10"/>
        <v>3637.3174885728049</v>
      </c>
      <c r="K139" s="7">
        <f t="shared" si="11"/>
        <v>3281.2019415757131</v>
      </c>
    </row>
    <row r="140" spans="1:11" x14ac:dyDescent="0.25">
      <c r="A140" s="20" t="s">
        <v>92</v>
      </c>
      <c r="B140" s="20">
        <v>33</v>
      </c>
      <c r="C140" s="20" t="s">
        <v>6</v>
      </c>
      <c r="D140" s="20">
        <v>75340142.257757694</v>
      </c>
      <c r="E140" s="20">
        <v>42846654.587549798</v>
      </c>
      <c r="F140" s="20">
        <v>15</v>
      </c>
      <c r="G140" s="20">
        <v>1</v>
      </c>
      <c r="H140" s="7">
        <f t="shared" si="8"/>
        <v>101709192.04797289</v>
      </c>
      <c r="I140" s="1">
        <f t="shared" si="9"/>
        <v>57842983.693192229</v>
      </c>
      <c r="J140" s="7">
        <f t="shared" si="10"/>
        <v>101.70919204797289</v>
      </c>
      <c r="K140" s="7">
        <f t="shared" si="11"/>
        <v>57.842983693192231</v>
      </c>
    </row>
    <row r="141" spans="1:11" x14ac:dyDescent="0.25">
      <c r="A141" s="20" t="s">
        <v>93</v>
      </c>
      <c r="B141" s="20">
        <v>33</v>
      </c>
      <c r="C141" s="20" t="s">
        <v>6</v>
      </c>
      <c r="D141" s="20">
        <v>7055894.3320447104</v>
      </c>
      <c r="E141" s="20">
        <v>7055894.3320447104</v>
      </c>
      <c r="F141" s="20">
        <v>2</v>
      </c>
      <c r="G141" s="20">
        <v>1</v>
      </c>
      <c r="H141" s="7">
        <f t="shared" si="8"/>
        <v>9525457.3482603598</v>
      </c>
      <c r="I141" s="1">
        <f t="shared" si="9"/>
        <v>9525457.3482603598</v>
      </c>
      <c r="J141" s="7">
        <f t="shared" si="10"/>
        <v>9.5254573482603604</v>
      </c>
      <c r="K141" s="7">
        <f t="shared" si="11"/>
        <v>9.5254573482603604</v>
      </c>
    </row>
    <row r="142" spans="1:11" x14ac:dyDescent="0.25">
      <c r="A142" s="20" t="s">
        <v>94</v>
      </c>
      <c r="B142" s="20">
        <v>33</v>
      </c>
      <c r="C142" s="20" t="s">
        <v>6</v>
      </c>
      <c r="D142" s="20">
        <v>683280</v>
      </c>
      <c r="E142" s="20">
        <v>341640</v>
      </c>
      <c r="F142" s="20">
        <v>1</v>
      </c>
      <c r="G142" s="20">
        <v>1</v>
      </c>
      <c r="H142" s="7">
        <f t="shared" si="8"/>
        <v>922428.00000000012</v>
      </c>
      <c r="I142" s="1">
        <f t="shared" si="9"/>
        <v>461214.00000000006</v>
      </c>
      <c r="J142" s="7">
        <f t="shared" si="10"/>
        <v>0.92242800000000014</v>
      </c>
      <c r="K142" s="7">
        <f t="shared" si="11"/>
        <v>0.46121400000000007</v>
      </c>
    </row>
    <row r="143" spans="1:11" x14ac:dyDescent="0.25">
      <c r="A143" s="20" t="s">
        <v>117</v>
      </c>
      <c r="B143" s="20">
        <v>33</v>
      </c>
      <c r="C143" s="20" t="s">
        <v>6</v>
      </c>
      <c r="D143" s="20">
        <v>2896398.3062320398</v>
      </c>
      <c r="E143" s="20">
        <v>2896398.3062320398</v>
      </c>
      <c r="F143" s="20">
        <v>4</v>
      </c>
      <c r="G143" s="20">
        <v>1</v>
      </c>
      <c r="H143" s="7">
        <f t="shared" si="8"/>
        <v>3910137.7134132539</v>
      </c>
      <c r="I143" s="1">
        <f t="shared" si="9"/>
        <v>3910137.7134132539</v>
      </c>
      <c r="J143" s="7">
        <f t="shared" si="10"/>
        <v>3.910137713413254</v>
      </c>
      <c r="K143" s="7">
        <f t="shared" si="11"/>
        <v>3.910137713413254</v>
      </c>
    </row>
    <row r="144" spans="1:11" x14ac:dyDescent="0.25">
      <c r="A144" s="20" t="s">
        <v>95</v>
      </c>
      <c r="B144" s="20">
        <v>33</v>
      </c>
      <c r="C144" s="20" t="s">
        <v>6</v>
      </c>
      <c r="D144" s="20">
        <v>131620.51174054999</v>
      </c>
      <c r="E144" s="20">
        <v>65810.255870274996</v>
      </c>
      <c r="F144" s="20">
        <v>1</v>
      </c>
      <c r="G144" s="20">
        <v>1</v>
      </c>
      <c r="H144" s="7">
        <f t="shared" si="8"/>
        <v>177687.6908497425</v>
      </c>
      <c r="I144" s="1">
        <f t="shared" si="9"/>
        <v>88843.845424871251</v>
      </c>
      <c r="J144" s="7">
        <f t="shared" si="10"/>
        <v>0.17768769084974251</v>
      </c>
      <c r="K144" s="7">
        <f t="shared" si="11"/>
        <v>8.8843845424871254E-2</v>
      </c>
    </row>
    <row r="145" spans="1:11" x14ac:dyDescent="0.25">
      <c r="A145" s="20" t="s">
        <v>96</v>
      </c>
      <c r="B145" s="20">
        <v>33</v>
      </c>
      <c r="C145" s="20" t="s">
        <v>6</v>
      </c>
      <c r="D145" s="20">
        <v>11289232.179395</v>
      </c>
      <c r="E145" s="20">
        <v>7970496.3756073397</v>
      </c>
      <c r="F145" s="20">
        <v>3</v>
      </c>
      <c r="G145" s="20">
        <v>1</v>
      </c>
      <c r="H145" s="7">
        <f t="shared" si="8"/>
        <v>15240463.442183251</v>
      </c>
      <c r="I145" s="1">
        <f t="shared" si="9"/>
        <v>10760170.10706991</v>
      </c>
      <c r="J145" s="7">
        <f t="shared" si="10"/>
        <v>15.24046344218325</v>
      </c>
      <c r="K145" s="7">
        <f t="shared" si="11"/>
        <v>10.760170107069909</v>
      </c>
    </row>
    <row r="146" spans="1:11" x14ac:dyDescent="0.25">
      <c r="A146" s="20" t="s">
        <v>97</v>
      </c>
      <c r="B146" s="20">
        <v>33</v>
      </c>
      <c r="C146" s="20" t="s">
        <v>6</v>
      </c>
      <c r="D146" s="20">
        <v>2583834.2745195199</v>
      </c>
      <c r="E146" s="20">
        <v>1352806.43114041</v>
      </c>
      <c r="F146" s="20">
        <v>3</v>
      </c>
      <c r="G146" s="20">
        <v>1</v>
      </c>
      <c r="H146" s="7">
        <f t="shared" si="8"/>
        <v>3488176.2706013522</v>
      </c>
      <c r="I146" s="1">
        <f t="shared" si="9"/>
        <v>1826288.6820395535</v>
      </c>
      <c r="J146" s="7">
        <f t="shared" si="10"/>
        <v>3.4881762706013522</v>
      </c>
      <c r="K146" s="7">
        <f t="shared" si="11"/>
        <v>1.8262886820395536</v>
      </c>
    </row>
    <row r="147" spans="1:11" x14ac:dyDescent="0.25">
      <c r="A147" s="20" t="s">
        <v>98</v>
      </c>
      <c r="B147" s="20">
        <v>33</v>
      </c>
      <c r="C147" s="20" t="s">
        <v>6</v>
      </c>
      <c r="D147" s="20">
        <v>738973417.34851599</v>
      </c>
      <c r="E147" s="20">
        <v>426252309.81766498</v>
      </c>
      <c r="F147" s="20">
        <v>106</v>
      </c>
      <c r="G147" s="20">
        <v>1</v>
      </c>
      <c r="H147" s="7">
        <f t="shared" si="8"/>
        <v>997614113.4204967</v>
      </c>
      <c r="I147" s="1">
        <f t="shared" si="9"/>
        <v>575440618.25384772</v>
      </c>
      <c r="J147" s="7">
        <f t="shared" si="10"/>
        <v>997.61411342049666</v>
      </c>
      <c r="K147" s="7">
        <f t="shared" si="11"/>
        <v>575.44061825384767</v>
      </c>
    </row>
    <row r="148" spans="1:11" x14ac:dyDescent="0.25">
      <c r="A148" s="20" t="s">
        <v>99</v>
      </c>
      <c r="B148" s="20">
        <v>33</v>
      </c>
      <c r="C148" s="20" t="s">
        <v>6</v>
      </c>
      <c r="D148" s="20">
        <v>4723077.2123527704</v>
      </c>
      <c r="E148" s="20">
        <v>4723077.2123527704</v>
      </c>
      <c r="F148" s="20">
        <v>3</v>
      </c>
      <c r="G148" s="20">
        <v>1</v>
      </c>
      <c r="H148" s="7">
        <f t="shared" si="8"/>
        <v>6376154.2366762403</v>
      </c>
      <c r="I148" s="1">
        <f t="shared" si="9"/>
        <v>6376154.2366762403</v>
      </c>
      <c r="J148" s="7">
        <f t="shared" si="10"/>
        <v>6.37615423667624</v>
      </c>
      <c r="K148" s="7">
        <f t="shared" si="11"/>
        <v>6.37615423667624</v>
      </c>
    </row>
    <row r="149" spans="1:11" x14ac:dyDescent="0.25">
      <c r="A149" s="20" t="s">
        <v>118</v>
      </c>
      <c r="B149" s="20">
        <v>33</v>
      </c>
      <c r="C149" s="20" t="s">
        <v>6</v>
      </c>
      <c r="D149" s="20">
        <v>1800000</v>
      </c>
      <c r="E149" s="20">
        <v>1800000</v>
      </c>
      <c r="F149" s="20">
        <v>1</v>
      </c>
      <c r="G149" s="20">
        <v>1</v>
      </c>
      <c r="H149" s="7">
        <f t="shared" si="8"/>
        <v>2430000</v>
      </c>
      <c r="I149" s="1">
        <f t="shared" si="9"/>
        <v>2430000</v>
      </c>
      <c r="J149" s="7">
        <f t="shared" si="10"/>
        <v>2.4300000000000002</v>
      </c>
      <c r="K149" s="7">
        <f t="shared" si="11"/>
        <v>2.4300000000000002</v>
      </c>
    </row>
    <row r="150" spans="1:11" x14ac:dyDescent="0.25">
      <c r="A150" s="20" t="s">
        <v>100</v>
      </c>
      <c r="B150" s="20">
        <v>33</v>
      </c>
      <c r="C150" s="20" t="s">
        <v>6</v>
      </c>
      <c r="D150" s="20">
        <v>11322</v>
      </c>
      <c r="E150" s="20">
        <v>11322</v>
      </c>
      <c r="F150" s="20">
        <v>1</v>
      </c>
      <c r="G150" s="20">
        <v>1</v>
      </c>
      <c r="H150" s="7">
        <f t="shared" si="8"/>
        <v>15284.7</v>
      </c>
      <c r="I150" s="1">
        <f t="shared" si="9"/>
        <v>15284.7</v>
      </c>
      <c r="J150" s="7">
        <f t="shared" si="10"/>
        <v>1.52847E-2</v>
      </c>
      <c r="K150" s="7">
        <f t="shared" si="11"/>
        <v>1.52847E-2</v>
      </c>
    </row>
    <row r="151" spans="1:11" x14ac:dyDescent="0.25">
      <c r="A151" s="20" t="s">
        <v>101</v>
      </c>
      <c r="B151" s="20">
        <v>33</v>
      </c>
      <c r="C151" s="20" t="s">
        <v>6</v>
      </c>
      <c r="D151" s="20">
        <v>161023016.795434</v>
      </c>
      <c r="E151" s="20">
        <v>146142616.404347</v>
      </c>
      <c r="F151" s="20">
        <v>26</v>
      </c>
      <c r="G151" s="20">
        <v>1</v>
      </c>
      <c r="H151" s="7">
        <f t="shared" si="8"/>
        <v>217381072.6738359</v>
      </c>
      <c r="I151" s="1">
        <f t="shared" si="9"/>
        <v>197292532.14586848</v>
      </c>
      <c r="J151" s="7">
        <f t="shared" si="10"/>
        <v>217.38107267383592</v>
      </c>
      <c r="K151" s="7">
        <f t="shared" si="11"/>
        <v>197.29253214586848</v>
      </c>
    </row>
    <row r="152" spans="1:11" x14ac:dyDescent="0.25">
      <c r="A152" s="20" t="s">
        <v>33</v>
      </c>
      <c r="B152" s="20">
        <v>3624</v>
      </c>
      <c r="C152" s="20" t="s">
        <v>6</v>
      </c>
      <c r="D152" s="20">
        <v>36000</v>
      </c>
      <c r="E152" s="20">
        <v>36000</v>
      </c>
      <c r="F152" s="20">
        <v>1</v>
      </c>
      <c r="G152" s="20">
        <v>0</v>
      </c>
      <c r="H152" s="7">
        <f t="shared" si="8"/>
        <v>48600</v>
      </c>
      <c r="I152" s="1">
        <f t="shared" si="9"/>
        <v>48600</v>
      </c>
      <c r="J152" s="7">
        <f t="shared" si="10"/>
        <v>4.8599999999999997E-2</v>
      </c>
      <c r="K152" s="7">
        <f t="shared" si="11"/>
        <v>4.8599999999999997E-2</v>
      </c>
    </row>
    <row r="153" spans="1:11" x14ac:dyDescent="0.25">
      <c r="A153" s="20" t="s">
        <v>36</v>
      </c>
      <c r="B153" s="20">
        <v>3624</v>
      </c>
      <c r="C153" s="20" t="s">
        <v>6</v>
      </c>
      <c r="D153" s="20">
        <v>108000</v>
      </c>
      <c r="E153" s="20">
        <v>108000</v>
      </c>
      <c r="F153" s="20">
        <v>1</v>
      </c>
      <c r="G153" s="20">
        <v>0</v>
      </c>
      <c r="H153" s="7">
        <f t="shared" si="8"/>
        <v>145800</v>
      </c>
      <c r="I153" s="1">
        <f t="shared" si="9"/>
        <v>145800</v>
      </c>
      <c r="J153" s="7">
        <f t="shared" si="10"/>
        <v>0.14580000000000001</v>
      </c>
      <c r="K153" s="7">
        <f t="shared" si="11"/>
        <v>0.14580000000000001</v>
      </c>
    </row>
    <row r="154" spans="1:11" x14ac:dyDescent="0.25">
      <c r="A154" s="20" t="s">
        <v>42</v>
      </c>
      <c r="B154" s="20">
        <v>3624</v>
      </c>
      <c r="C154" s="20" t="s">
        <v>6</v>
      </c>
      <c r="D154" s="20">
        <v>110000</v>
      </c>
      <c r="E154" s="20">
        <v>110000</v>
      </c>
      <c r="F154" s="20">
        <v>1</v>
      </c>
      <c r="G154" s="20">
        <v>0</v>
      </c>
      <c r="H154" s="7">
        <f t="shared" si="8"/>
        <v>148500</v>
      </c>
      <c r="I154" s="1">
        <f t="shared" si="9"/>
        <v>148500</v>
      </c>
      <c r="J154" s="7">
        <f t="shared" si="10"/>
        <v>0.14849999999999999</v>
      </c>
      <c r="K154" s="7">
        <f t="shared" si="11"/>
        <v>0.14849999999999999</v>
      </c>
    </row>
    <row r="155" spans="1:11" x14ac:dyDescent="0.25">
      <c r="A155" s="20" t="s">
        <v>47</v>
      </c>
      <c r="B155" s="20">
        <v>3624</v>
      </c>
      <c r="C155" s="20" t="s">
        <v>6</v>
      </c>
      <c r="D155" s="20">
        <v>185000</v>
      </c>
      <c r="E155" s="20">
        <v>185000</v>
      </c>
      <c r="F155" s="20">
        <v>1</v>
      </c>
      <c r="G155" s="20">
        <v>0</v>
      </c>
      <c r="H155" s="7">
        <f t="shared" si="8"/>
        <v>249750.00000000003</v>
      </c>
      <c r="I155" s="1">
        <f t="shared" si="9"/>
        <v>249750.00000000003</v>
      </c>
      <c r="J155" s="7">
        <f t="shared" si="10"/>
        <v>0.24975000000000003</v>
      </c>
      <c r="K155" s="7">
        <f t="shared" si="11"/>
        <v>0.24975000000000003</v>
      </c>
    </row>
    <row r="156" spans="1:11" x14ac:dyDescent="0.25">
      <c r="A156" s="20" t="s">
        <v>63</v>
      </c>
      <c r="B156" s="20">
        <v>3624</v>
      </c>
      <c r="C156" s="20" t="s">
        <v>6</v>
      </c>
      <c r="D156" s="20">
        <v>8000</v>
      </c>
      <c r="E156" s="20">
        <v>8000</v>
      </c>
      <c r="F156" s="20">
        <v>1</v>
      </c>
      <c r="G156" s="20">
        <v>0</v>
      </c>
      <c r="H156" s="7">
        <f t="shared" si="8"/>
        <v>10800</v>
      </c>
      <c r="I156" s="1">
        <f t="shared" si="9"/>
        <v>10800</v>
      </c>
      <c r="J156" s="7">
        <f t="shared" si="10"/>
        <v>1.0800000000000001E-2</v>
      </c>
      <c r="K156" s="7">
        <f t="shared" si="11"/>
        <v>1.0800000000000001E-2</v>
      </c>
    </row>
    <row r="157" spans="1:11" x14ac:dyDescent="0.25">
      <c r="A157" s="20" t="s">
        <v>76</v>
      </c>
      <c r="B157" s="20">
        <v>3624</v>
      </c>
      <c r="C157" s="20" t="s">
        <v>6</v>
      </c>
      <c r="D157" s="20">
        <v>200000</v>
      </c>
      <c r="E157" s="20">
        <v>200000</v>
      </c>
      <c r="F157" s="20">
        <v>1</v>
      </c>
      <c r="G157" s="20">
        <v>0</v>
      </c>
      <c r="H157" s="7">
        <f t="shared" si="8"/>
        <v>270000</v>
      </c>
      <c r="I157" s="1">
        <f t="shared" si="9"/>
        <v>270000</v>
      </c>
      <c r="J157" s="7">
        <f t="shared" si="10"/>
        <v>0.27</v>
      </c>
      <c r="K157" s="7">
        <f t="shared" si="11"/>
        <v>0.27</v>
      </c>
    </row>
    <row r="158" spans="1:11" x14ac:dyDescent="0.25">
      <c r="A158" s="20" t="s">
        <v>92</v>
      </c>
      <c r="B158" s="20">
        <v>3624</v>
      </c>
      <c r="C158" s="20" t="s">
        <v>6</v>
      </c>
      <c r="D158" s="20">
        <v>140000</v>
      </c>
      <c r="E158" s="20">
        <v>140000</v>
      </c>
      <c r="F158" s="20">
        <v>1</v>
      </c>
      <c r="G158" s="20">
        <v>0</v>
      </c>
      <c r="H158" s="7">
        <f t="shared" si="8"/>
        <v>189000</v>
      </c>
      <c r="I158" s="1">
        <f t="shared" si="9"/>
        <v>189000</v>
      </c>
      <c r="J158" s="7">
        <f t="shared" si="10"/>
        <v>0.189</v>
      </c>
      <c r="K158" s="7">
        <f t="shared" si="11"/>
        <v>0.189</v>
      </c>
    </row>
    <row r="159" spans="1:11" x14ac:dyDescent="0.25">
      <c r="A159" s="20" t="s">
        <v>98</v>
      </c>
      <c r="B159" s="20">
        <v>3624</v>
      </c>
      <c r="C159" s="20" t="s">
        <v>6</v>
      </c>
      <c r="D159" s="20">
        <v>345000</v>
      </c>
      <c r="E159" s="20">
        <v>345000</v>
      </c>
      <c r="F159" s="20">
        <v>1</v>
      </c>
      <c r="G159" s="20">
        <v>0</v>
      </c>
      <c r="H159" s="7">
        <f t="shared" si="8"/>
        <v>465750.00000000006</v>
      </c>
      <c r="I159" s="1">
        <f t="shared" si="9"/>
        <v>465750.00000000006</v>
      </c>
      <c r="J159" s="7">
        <f t="shared" si="10"/>
        <v>0.46575000000000005</v>
      </c>
      <c r="K159" s="7">
        <f t="shared" si="11"/>
        <v>0.46575000000000005</v>
      </c>
    </row>
    <row r="160" spans="1:11" x14ac:dyDescent="0.25">
      <c r="A160" s="20" t="s">
        <v>101</v>
      </c>
      <c r="B160" s="20">
        <v>3624</v>
      </c>
      <c r="C160" s="20" t="s">
        <v>6</v>
      </c>
      <c r="D160" s="20">
        <v>520000</v>
      </c>
      <c r="E160" s="20">
        <v>520000</v>
      </c>
      <c r="F160" s="20">
        <v>1</v>
      </c>
      <c r="G160" s="20">
        <v>0</v>
      </c>
      <c r="H160" s="7">
        <f t="shared" si="8"/>
        <v>702000</v>
      </c>
      <c r="I160" s="1">
        <f t="shared" si="9"/>
        <v>702000</v>
      </c>
      <c r="J160" s="7">
        <f t="shared" si="10"/>
        <v>0.70199999999999996</v>
      </c>
      <c r="K160" s="7">
        <f t="shared" si="11"/>
        <v>0.70199999999999996</v>
      </c>
    </row>
    <row r="161" spans="1:11" x14ac:dyDescent="0.25">
      <c r="A161" s="20" t="s">
        <v>33</v>
      </c>
      <c r="B161" s="20">
        <v>3624</v>
      </c>
      <c r="C161" s="20" t="s">
        <v>6</v>
      </c>
      <c r="D161" s="20">
        <v>36000</v>
      </c>
      <c r="E161" s="20">
        <v>36000</v>
      </c>
      <c r="F161" s="20">
        <v>1</v>
      </c>
      <c r="G161" s="20">
        <v>1</v>
      </c>
      <c r="H161" s="7">
        <f t="shared" si="8"/>
        <v>48600</v>
      </c>
      <c r="I161" s="1">
        <f t="shared" si="9"/>
        <v>48600</v>
      </c>
      <c r="J161" s="7">
        <f t="shared" si="10"/>
        <v>4.8599999999999997E-2</v>
      </c>
      <c r="K161" s="7">
        <f t="shared" si="11"/>
        <v>4.8599999999999997E-2</v>
      </c>
    </row>
    <row r="162" spans="1:11" x14ac:dyDescent="0.25">
      <c r="A162" s="20" t="s">
        <v>36</v>
      </c>
      <c r="B162" s="20">
        <v>3624</v>
      </c>
      <c r="C162" s="20" t="s">
        <v>6</v>
      </c>
      <c r="D162" s="20">
        <v>108000</v>
      </c>
      <c r="E162" s="20">
        <v>108000</v>
      </c>
      <c r="F162" s="20">
        <v>1</v>
      </c>
      <c r="G162" s="20">
        <v>1</v>
      </c>
      <c r="H162" s="7">
        <f t="shared" si="8"/>
        <v>145800</v>
      </c>
      <c r="I162" s="1">
        <f t="shared" si="9"/>
        <v>145800</v>
      </c>
      <c r="J162" s="7">
        <f t="shared" si="10"/>
        <v>0.14580000000000001</v>
      </c>
      <c r="K162" s="7">
        <f t="shared" si="11"/>
        <v>0.14580000000000001</v>
      </c>
    </row>
    <row r="163" spans="1:11" x14ac:dyDescent="0.25">
      <c r="A163" s="20" t="s">
        <v>42</v>
      </c>
      <c r="B163" s="20">
        <v>3624</v>
      </c>
      <c r="C163" s="20" t="s">
        <v>6</v>
      </c>
      <c r="D163" s="20">
        <v>110000</v>
      </c>
      <c r="E163" s="20">
        <v>110000</v>
      </c>
      <c r="F163" s="20">
        <v>1</v>
      </c>
      <c r="G163" s="20">
        <v>1</v>
      </c>
      <c r="H163" s="7">
        <f t="shared" si="8"/>
        <v>148500</v>
      </c>
      <c r="I163" s="1">
        <f t="shared" si="9"/>
        <v>148500</v>
      </c>
      <c r="J163" s="7">
        <f t="shared" si="10"/>
        <v>0.14849999999999999</v>
      </c>
      <c r="K163" s="7">
        <f t="shared" si="11"/>
        <v>0.14849999999999999</v>
      </c>
    </row>
    <row r="164" spans="1:11" x14ac:dyDescent="0.25">
      <c r="A164" s="20" t="s">
        <v>43</v>
      </c>
      <c r="B164" s="20">
        <v>3624</v>
      </c>
      <c r="C164" s="20" t="s">
        <v>6</v>
      </c>
      <c r="D164" s="20">
        <v>10994796.800000001</v>
      </c>
      <c r="E164" s="20">
        <v>10994796.800000001</v>
      </c>
      <c r="F164" s="20">
        <v>10</v>
      </c>
      <c r="G164" s="20">
        <v>1</v>
      </c>
      <c r="H164" s="7">
        <f t="shared" si="8"/>
        <v>14842975.680000002</v>
      </c>
      <c r="I164" s="1">
        <f t="shared" si="9"/>
        <v>14842975.680000002</v>
      </c>
      <c r="J164" s="7">
        <f t="shared" si="10"/>
        <v>14.842975680000002</v>
      </c>
      <c r="K164" s="7">
        <f t="shared" si="11"/>
        <v>14.842975680000002</v>
      </c>
    </row>
    <row r="165" spans="1:11" x14ac:dyDescent="0.25">
      <c r="A165" s="20" t="s">
        <v>47</v>
      </c>
      <c r="B165" s="20">
        <v>3624</v>
      </c>
      <c r="C165" s="20" t="s">
        <v>6</v>
      </c>
      <c r="D165" s="20">
        <v>185000</v>
      </c>
      <c r="E165" s="20">
        <v>185000</v>
      </c>
      <c r="F165" s="20">
        <v>1</v>
      </c>
      <c r="G165" s="20">
        <v>1</v>
      </c>
      <c r="H165" s="7">
        <f t="shared" si="8"/>
        <v>249750.00000000003</v>
      </c>
      <c r="I165" s="1">
        <f t="shared" si="9"/>
        <v>249750.00000000003</v>
      </c>
      <c r="J165" s="7">
        <f t="shared" si="10"/>
        <v>0.24975000000000003</v>
      </c>
      <c r="K165" s="7">
        <f t="shared" si="11"/>
        <v>0.24975000000000003</v>
      </c>
    </row>
    <row r="166" spans="1:11" x14ac:dyDescent="0.25">
      <c r="A166" s="20" t="s">
        <v>55</v>
      </c>
      <c r="B166" s="20">
        <v>3624</v>
      </c>
      <c r="C166" s="20" t="s">
        <v>6</v>
      </c>
      <c r="D166" s="20">
        <v>5578000</v>
      </c>
      <c r="E166" s="20">
        <v>5578000</v>
      </c>
      <c r="F166" s="20">
        <v>5</v>
      </c>
      <c r="G166" s="20">
        <v>1</v>
      </c>
      <c r="H166" s="7">
        <f t="shared" si="8"/>
        <v>7530300.0000000009</v>
      </c>
      <c r="I166" s="1">
        <f t="shared" si="9"/>
        <v>7530300.0000000009</v>
      </c>
      <c r="J166" s="7">
        <f t="shared" si="10"/>
        <v>7.5303000000000013</v>
      </c>
      <c r="K166" s="7">
        <f t="shared" si="11"/>
        <v>7.5303000000000013</v>
      </c>
    </row>
    <row r="167" spans="1:11" x14ac:dyDescent="0.25">
      <c r="A167" s="20" t="s">
        <v>63</v>
      </c>
      <c r="B167" s="20">
        <v>3624</v>
      </c>
      <c r="C167" s="20" t="s">
        <v>6</v>
      </c>
      <c r="D167" s="20">
        <v>8000</v>
      </c>
      <c r="E167" s="20">
        <v>8000</v>
      </c>
      <c r="F167" s="20">
        <v>1</v>
      </c>
      <c r="G167" s="20">
        <v>1</v>
      </c>
      <c r="H167" s="7">
        <f t="shared" si="8"/>
        <v>10800</v>
      </c>
      <c r="I167" s="1">
        <f t="shared" si="9"/>
        <v>10800</v>
      </c>
      <c r="J167" s="7">
        <f t="shared" si="10"/>
        <v>1.0800000000000001E-2</v>
      </c>
      <c r="K167" s="7">
        <f t="shared" si="11"/>
        <v>1.0800000000000001E-2</v>
      </c>
    </row>
    <row r="168" spans="1:11" x14ac:dyDescent="0.25">
      <c r="A168" s="20" t="s">
        <v>76</v>
      </c>
      <c r="B168" s="20">
        <v>3624</v>
      </c>
      <c r="C168" s="20" t="s">
        <v>6</v>
      </c>
      <c r="D168" s="20">
        <v>200000</v>
      </c>
      <c r="E168" s="20">
        <v>200000</v>
      </c>
      <c r="F168" s="20">
        <v>1</v>
      </c>
      <c r="G168" s="20">
        <v>1</v>
      </c>
      <c r="H168" s="7">
        <f t="shared" si="8"/>
        <v>270000</v>
      </c>
      <c r="I168" s="1">
        <f t="shared" si="9"/>
        <v>270000</v>
      </c>
      <c r="J168" s="7">
        <f t="shared" si="10"/>
        <v>0.27</v>
      </c>
      <c r="K168" s="7">
        <f t="shared" si="11"/>
        <v>0.27</v>
      </c>
    </row>
    <row r="169" spans="1:11" x14ac:dyDescent="0.25">
      <c r="A169" s="20" t="s">
        <v>92</v>
      </c>
      <c r="B169" s="20">
        <v>3624</v>
      </c>
      <c r="C169" s="20" t="s">
        <v>6</v>
      </c>
      <c r="D169" s="20">
        <v>212000</v>
      </c>
      <c r="E169" s="20">
        <v>212000</v>
      </c>
      <c r="F169" s="20">
        <v>2</v>
      </c>
      <c r="G169" s="20">
        <v>1</v>
      </c>
      <c r="H169" s="7">
        <f t="shared" si="8"/>
        <v>286200</v>
      </c>
      <c r="I169" s="1">
        <f t="shared" si="9"/>
        <v>286200</v>
      </c>
      <c r="J169" s="7">
        <f t="shared" si="10"/>
        <v>0.28620000000000001</v>
      </c>
      <c r="K169" s="7">
        <f t="shared" si="11"/>
        <v>0.28620000000000001</v>
      </c>
    </row>
    <row r="170" spans="1:11" x14ac:dyDescent="0.25">
      <c r="A170" s="20" t="s">
        <v>98</v>
      </c>
      <c r="B170" s="20">
        <v>3624</v>
      </c>
      <c r="C170" s="20" t="s">
        <v>6</v>
      </c>
      <c r="D170" s="20">
        <v>2462700</v>
      </c>
      <c r="E170" s="20">
        <v>2462700</v>
      </c>
      <c r="F170" s="20">
        <v>3</v>
      </c>
      <c r="G170" s="20">
        <v>1</v>
      </c>
      <c r="H170" s="7">
        <f t="shared" si="8"/>
        <v>3324645</v>
      </c>
      <c r="I170" s="1">
        <f t="shared" si="9"/>
        <v>3324645</v>
      </c>
      <c r="J170" s="7">
        <f t="shared" si="10"/>
        <v>3.3246449999999999</v>
      </c>
      <c r="K170" s="7">
        <f t="shared" si="11"/>
        <v>3.3246449999999999</v>
      </c>
    </row>
    <row r="171" spans="1:11" x14ac:dyDescent="0.25">
      <c r="A171" s="20" t="s">
        <v>101</v>
      </c>
      <c r="B171" s="20">
        <v>3624</v>
      </c>
      <c r="C171" s="20" t="s">
        <v>6</v>
      </c>
      <c r="D171" s="20">
        <v>520000</v>
      </c>
      <c r="E171" s="20">
        <v>520000</v>
      </c>
      <c r="F171" s="20">
        <v>1</v>
      </c>
      <c r="G171" s="20">
        <v>1</v>
      </c>
      <c r="H171" s="7">
        <f t="shared" si="8"/>
        <v>702000</v>
      </c>
      <c r="I171" s="1">
        <f t="shared" si="9"/>
        <v>702000</v>
      </c>
      <c r="J171" s="7">
        <f t="shared" si="10"/>
        <v>0.70199999999999996</v>
      </c>
      <c r="K171" s="7">
        <f t="shared" si="11"/>
        <v>0.70199999999999996</v>
      </c>
    </row>
    <row r="172" spans="1:11" x14ac:dyDescent="0.25">
      <c r="A172" s="20" t="s">
        <v>33</v>
      </c>
      <c r="B172" s="20" t="s">
        <v>7</v>
      </c>
      <c r="C172" s="20" t="s">
        <v>6</v>
      </c>
      <c r="D172" s="20">
        <v>55056</v>
      </c>
      <c r="E172" s="20">
        <v>55056</v>
      </c>
      <c r="F172" s="20">
        <v>1</v>
      </c>
      <c r="G172" s="20">
        <v>0</v>
      </c>
      <c r="H172" s="7">
        <f t="shared" si="8"/>
        <v>74325.600000000006</v>
      </c>
      <c r="I172" s="1">
        <f t="shared" si="9"/>
        <v>74325.600000000006</v>
      </c>
      <c r="J172" s="7">
        <f t="shared" si="10"/>
        <v>7.4325600000000006E-2</v>
      </c>
      <c r="K172" s="7">
        <f t="shared" si="11"/>
        <v>7.4325600000000006E-2</v>
      </c>
    </row>
    <row r="173" spans="1:11" x14ac:dyDescent="0.25">
      <c r="A173" s="20" t="s">
        <v>55</v>
      </c>
      <c r="B173" s="20" t="s">
        <v>7</v>
      </c>
      <c r="C173" s="20" t="s">
        <v>6</v>
      </c>
      <c r="D173" s="20">
        <v>7099946</v>
      </c>
      <c r="E173" s="20">
        <v>7099946</v>
      </c>
      <c r="F173" s="20">
        <v>15</v>
      </c>
      <c r="G173" s="20">
        <v>0</v>
      </c>
      <c r="H173" s="7">
        <f t="shared" si="8"/>
        <v>9584927.1000000015</v>
      </c>
      <c r="I173" s="1">
        <f t="shared" si="9"/>
        <v>9584927.1000000015</v>
      </c>
      <c r="J173" s="7">
        <f t="shared" si="10"/>
        <v>9.5849271000000016</v>
      </c>
      <c r="K173" s="7">
        <f t="shared" si="11"/>
        <v>9.5849271000000016</v>
      </c>
    </row>
    <row r="174" spans="1:11" x14ac:dyDescent="0.25">
      <c r="A174" s="20" t="s">
        <v>56</v>
      </c>
      <c r="B174" s="20" t="s">
        <v>7</v>
      </c>
      <c r="C174" s="20" t="s">
        <v>6</v>
      </c>
      <c r="D174" s="20">
        <v>1314558</v>
      </c>
      <c r="E174" s="20">
        <v>1314558</v>
      </c>
      <c r="F174" s="20">
        <v>3</v>
      </c>
      <c r="G174" s="20">
        <v>0</v>
      </c>
      <c r="H174" s="7">
        <f t="shared" si="8"/>
        <v>1774653.3</v>
      </c>
      <c r="I174" s="1">
        <f t="shared" si="9"/>
        <v>1774653.3</v>
      </c>
      <c r="J174" s="7">
        <f t="shared" si="10"/>
        <v>1.7746533</v>
      </c>
      <c r="K174" s="7">
        <f t="shared" si="11"/>
        <v>1.7746533</v>
      </c>
    </row>
    <row r="175" spans="1:11" x14ac:dyDescent="0.25">
      <c r="A175" s="20" t="s">
        <v>110</v>
      </c>
      <c r="B175" s="20" t="s">
        <v>7</v>
      </c>
      <c r="C175" s="20" t="s">
        <v>6</v>
      </c>
      <c r="D175" s="20">
        <v>4434700</v>
      </c>
      <c r="E175" s="20">
        <v>4434700</v>
      </c>
      <c r="F175" s="20">
        <v>1</v>
      </c>
      <c r="G175" s="20">
        <v>0</v>
      </c>
      <c r="H175" s="7">
        <f t="shared" si="8"/>
        <v>5986845</v>
      </c>
      <c r="I175" s="1">
        <f t="shared" si="9"/>
        <v>5986845</v>
      </c>
      <c r="J175" s="7">
        <f t="shared" si="10"/>
        <v>5.9868449999999998</v>
      </c>
      <c r="K175" s="7">
        <f t="shared" si="11"/>
        <v>5.9868449999999998</v>
      </c>
    </row>
    <row r="176" spans="1:11" x14ac:dyDescent="0.25">
      <c r="A176" s="20" t="s">
        <v>119</v>
      </c>
      <c r="B176" s="20" t="s">
        <v>7</v>
      </c>
      <c r="C176" s="20" t="s">
        <v>6</v>
      </c>
      <c r="D176" s="20">
        <v>2156533.2000000002</v>
      </c>
      <c r="E176" s="20">
        <v>2156533.2000000002</v>
      </c>
      <c r="F176" s="20">
        <v>6</v>
      </c>
      <c r="G176" s="20">
        <v>0</v>
      </c>
      <c r="H176" s="7">
        <f t="shared" si="8"/>
        <v>2911319.8200000003</v>
      </c>
      <c r="I176" s="1">
        <f t="shared" si="9"/>
        <v>2911319.8200000003</v>
      </c>
      <c r="J176" s="7">
        <f t="shared" si="10"/>
        <v>2.9113198200000001</v>
      </c>
      <c r="K176" s="7">
        <f t="shared" si="11"/>
        <v>2.9113198200000001</v>
      </c>
    </row>
    <row r="177" spans="1:11" x14ac:dyDescent="0.25">
      <c r="A177" s="20" t="s">
        <v>120</v>
      </c>
      <c r="B177" s="20" t="s">
        <v>7</v>
      </c>
      <c r="C177" s="20" t="s">
        <v>6</v>
      </c>
      <c r="D177" s="20">
        <v>17013.2</v>
      </c>
      <c r="E177" s="20">
        <v>17013.2</v>
      </c>
      <c r="F177" s="20">
        <v>1</v>
      </c>
      <c r="G177" s="20">
        <v>0</v>
      </c>
      <c r="H177" s="7">
        <f t="shared" si="8"/>
        <v>22967.820000000003</v>
      </c>
      <c r="I177" s="1">
        <f t="shared" si="9"/>
        <v>22967.820000000003</v>
      </c>
      <c r="J177" s="7">
        <f t="shared" si="10"/>
        <v>2.2967820000000003E-2</v>
      </c>
      <c r="K177" s="7">
        <f t="shared" si="11"/>
        <v>2.2967820000000003E-2</v>
      </c>
    </row>
    <row r="178" spans="1:11" x14ac:dyDescent="0.25">
      <c r="A178" s="20" t="s">
        <v>92</v>
      </c>
      <c r="B178" s="20" t="s">
        <v>7</v>
      </c>
      <c r="C178" s="20" t="s">
        <v>6</v>
      </c>
      <c r="D178" s="20">
        <v>255000</v>
      </c>
      <c r="E178" s="20">
        <v>255000</v>
      </c>
      <c r="F178" s="20">
        <v>1</v>
      </c>
      <c r="G178" s="20">
        <v>0</v>
      </c>
      <c r="H178" s="7">
        <f t="shared" si="8"/>
        <v>344250</v>
      </c>
      <c r="I178" s="1">
        <f t="shared" si="9"/>
        <v>344250</v>
      </c>
      <c r="J178" s="7">
        <f t="shared" si="10"/>
        <v>0.34425</v>
      </c>
      <c r="K178" s="7">
        <f t="shared" si="11"/>
        <v>0.34425</v>
      </c>
    </row>
    <row r="179" spans="1:11" x14ac:dyDescent="0.25">
      <c r="A179" s="20" t="s">
        <v>98</v>
      </c>
      <c r="B179" s="20" t="s">
        <v>7</v>
      </c>
      <c r="C179" s="20" t="s">
        <v>6</v>
      </c>
      <c r="D179" s="20">
        <v>101000</v>
      </c>
      <c r="E179" s="20">
        <v>101000</v>
      </c>
      <c r="F179" s="20">
        <v>1</v>
      </c>
      <c r="G179" s="20">
        <v>0</v>
      </c>
      <c r="H179" s="7">
        <f t="shared" si="8"/>
        <v>136350</v>
      </c>
      <c r="I179" s="1">
        <f t="shared" si="9"/>
        <v>136350</v>
      </c>
      <c r="J179" s="7">
        <f t="shared" si="10"/>
        <v>0.13635</v>
      </c>
      <c r="K179" s="7">
        <f t="shared" si="11"/>
        <v>0.13635</v>
      </c>
    </row>
    <row r="180" spans="1:11" x14ac:dyDescent="0.25">
      <c r="A180" s="20" t="s">
        <v>36</v>
      </c>
      <c r="B180" s="20" t="s">
        <v>7</v>
      </c>
      <c r="C180" s="20" t="s">
        <v>6</v>
      </c>
      <c r="D180" s="20">
        <v>151000</v>
      </c>
      <c r="E180" s="20">
        <v>151000</v>
      </c>
      <c r="F180" s="20">
        <v>3</v>
      </c>
      <c r="G180" s="20">
        <v>1</v>
      </c>
      <c r="H180" s="7">
        <f t="shared" si="8"/>
        <v>203850</v>
      </c>
      <c r="I180" s="1">
        <f t="shared" si="9"/>
        <v>203850</v>
      </c>
      <c r="J180" s="7">
        <f t="shared" si="10"/>
        <v>0.20385</v>
      </c>
      <c r="K180" s="7">
        <f t="shared" si="11"/>
        <v>0.20385</v>
      </c>
    </row>
    <row r="181" spans="1:11" x14ac:dyDescent="0.25">
      <c r="A181" s="20" t="s">
        <v>42</v>
      </c>
      <c r="B181" s="20" t="s">
        <v>7</v>
      </c>
      <c r="C181" s="20" t="s">
        <v>6</v>
      </c>
      <c r="D181" s="20">
        <v>212000</v>
      </c>
      <c r="E181" s="20">
        <v>212000</v>
      </c>
      <c r="F181" s="20">
        <v>1</v>
      </c>
      <c r="G181" s="20">
        <v>1</v>
      </c>
      <c r="H181" s="7">
        <f t="shared" si="8"/>
        <v>286200</v>
      </c>
      <c r="I181" s="1">
        <f t="shared" si="9"/>
        <v>286200</v>
      </c>
      <c r="J181" s="7">
        <f t="shared" si="10"/>
        <v>0.28620000000000001</v>
      </c>
      <c r="K181" s="7">
        <f t="shared" si="11"/>
        <v>0.28620000000000001</v>
      </c>
    </row>
    <row r="182" spans="1:11" x14ac:dyDescent="0.25">
      <c r="A182" s="20" t="s">
        <v>43</v>
      </c>
      <c r="B182" s="20" t="s">
        <v>7</v>
      </c>
      <c r="C182" s="20" t="s">
        <v>6</v>
      </c>
      <c r="D182" s="20">
        <v>218400</v>
      </c>
      <c r="E182" s="20">
        <v>218400</v>
      </c>
      <c r="F182" s="20">
        <v>1</v>
      </c>
      <c r="G182" s="20">
        <v>1</v>
      </c>
      <c r="H182" s="7">
        <f t="shared" si="8"/>
        <v>294840</v>
      </c>
      <c r="I182" s="1">
        <f t="shared" si="9"/>
        <v>294840</v>
      </c>
      <c r="J182" s="7">
        <f t="shared" si="10"/>
        <v>0.29483999999999999</v>
      </c>
      <c r="K182" s="7">
        <f t="shared" si="11"/>
        <v>0.29483999999999999</v>
      </c>
    </row>
    <row r="183" spans="1:11" x14ac:dyDescent="0.25">
      <c r="A183" s="20" t="s">
        <v>55</v>
      </c>
      <c r="B183" s="20" t="s">
        <v>7</v>
      </c>
      <c r="C183" s="20" t="s">
        <v>6</v>
      </c>
      <c r="D183" s="20">
        <v>121287644939.62</v>
      </c>
      <c r="E183" s="20">
        <v>121287644939.62</v>
      </c>
      <c r="F183" s="20">
        <v>173171</v>
      </c>
      <c r="G183" s="20">
        <v>1</v>
      </c>
      <c r="H183" s="7">
        <f t="shared" si="8"/>
        <v>163738320668.487</v>
      </c>
      <c r="I183" s="1">
        <f t="shared" si="9"/>
        <v>163738320668.487</v>
      </c>
      <c r="J183" s="7">
        <f t="shared" si="10"/>
        <v>163738.32066848699</v>
      </c>
      <c r="K183" s="7">
        <f t="shared" si="11"/>
        <v>163738.32066848699</v>
      </c>
    </row>
    <row r="184" spans="1:11" x14ac:dyDescent="0.25">
      <c r="A184" s="20" t="s">
        <v>106</v>
      </c>
      <c r="B184" s="20" t="s">
        <v>7</v>
      </c>
      <c r="C184" s="20" t="s">
        <v>6</v>
      </c>
      <c r="D184" s="20">
        <v>88198734.980000004</v>
      </c>
      <c r="E184" s="20">
        <v>88198734.980000004</v>
      </c>
      <c r="F184" s="20">
        <v>67</v>
      </c>
      <c r="G184" s="20">
        <v>1</v>
      </c>
      <c r="H184" s="7">
        <f t="shared" si="8"/>
        <v>119068292.22300002</v>
      </c>
      <c r="I184" s="1">
        <f t="shared" si="9"/>
        <v>119068292.22300002</v>
      </c>
      <c r="J184" s="7">
        <f t="shared" si="10"/>
        <v>119.06829222300001</v>
      </c>
      <c r="K184" s="7">
        <f t="shared" si="11"/>
        <v>119.06829222300001</v>
      </c>
    </row>
    <row r="185" spans="1:11" x14ac:dyDescent="0.25">
      <c r="A185" s="20" t="s">
        <v>56</v>
      </c>
      <c r="B185" s="20" t="s">
        <v>7</v>
      </c>
      <c r="C185" s="20" t="s">
        <v>6</v>
      </c>
      <c r="D185" s="20">
        <v>2806992</v>
      </c>
      <c r="E185" s="20">
        <v>2806992</v>
      </c>
      <c r="F185" s="20">
        <v>4</v>
      </c>
      <c r="G185" s="20">
        <v>1</v>
      </c>
      <c r="H185" s="7">
        <f t="shared" si="8"/>
        <v>3789439.2</v>
      </c>
      <c r="I185" s="1">
        <f t="shared" si="9"/>
        <v>3789439.2</v>
      </c>
      <c r="J185" s="7">
        <f t="shared" si="10"/>
        <v>3.7894392000000003</v>
      </c>
      <c r="K185" s="7">
        <f t="shared" si="11"/>
        <v>3.7894392000000003</v>
      </c>
    </row>
    <row r="186" spans="1:11" x14ac:dyDescent="0.25">
      <c r="A186" s="20" t="s">
        <v>59</v>
      </c>
      <c r="B186" s="20" t="s">
        <v>7</v>
      </c>
      <c r="C186" s="20" t="s">
        <v>6</v>
      </c>
      <c r="D186" s="20">
        <v>96000</v>
      </c>
      <c r="E186" s="20">
        <v>96000</v>
      </c>
      <c r="F186" s="20">
        <v>2</v>
      </c>
      <c r="G186" s="20">
        <v>1</v>
      </c>
      <c r="H186" s="7">
        <f t="shared" si="8"/>
        <v>129600.00000000001</v>
      </c>
      <c r="I186" s="1">
        <f t="shared" si="9"/>
        <v>129600.00000000001</v>
      </c>
      <c r="J186" s="7">
        <f t="shared" si="10"/>
        <v>0.12960000000000002</v>
      </c>
      <c r="K186" s="7">
        <f t="shared" si="11"/>
        <v>0.12960000000000002</v>
      </c>
    </row>
    <row r="187" spans="1:11" x14ac:dyDescent="0.25">
      <c r="A187" s="20" t="s">
        <v>110</v>
      </c>
      <c r="B187" s="20" t="s">
        <v>7</v>
      </c>
      <c r="C187" s="20" t="s">
        <v>6</v>
      </c>
      <c r="D187" s="20">
        <v>198726910.06999999</v>
      </c>
      <c r="E187" s="20">
        <v>198726910.06999999</v>
      </c>
      <c r="F187" s="20">
        <v>184</v>
      </c>
      <c r="G187" s="20">
        <v>1</v>
      </c>
      <c r="H187" s="7">
        <f t="shared" si="8"/>
        <v>268281328.59450001</v>
      </c>
      <c r="I187" s="1">
        <f t="shared" si="9"/>
        <v>268281328.59450001</v>
      </c>
      <c r="J187" s="7">
        <f t="shared" si="10"/>
        <v>268.2813285945</v>
      </c>
      <c r="K187" s="7">
        <f t="shared" si="11"/>
        <v>268.2813285945</v>
      </c>
    </row>
    <row r="188" spans="1:11" x14ac:dyDescent="0.25">
      <c r="A188" s="20" t="s">
        <v>63</v>
      </c>
      <c r="B188" s="20" t="s">
        <v>7</v>
      </c>
      <c r="C188" s="20" t="s">
        <v>6</v>
      </c>
      <c r="D188" s="20">
        <v>94000</v>
      </c>
      <c r="E188" s="20">
        <v>94000</v>
      </c>
      <c r="F188" s="20">
        <v>1</v>
      </c>
      <c r="G188" s="20">
        <v>1</v>
      </c>
      <c r="H188" s="7">
        <f t="shared" si="8"/>
        <v>126900.00000000001</v>
      </c>
      <c r="I188" s="1">
        <f t="shared" si="9"/>
        <v>126900.00000000001</v>
      </c>
      <c r="J188" s="7">
        <f t="shared" si="10"/>
        <v>0.12690000000000001</v>
      </c>
      <c r="K188" s="7">
        <f t="shared" si="11"/>
        <v>0.12690000000000001</v>
      </c>
    </row>
    <row r="189" spans="1:11" x14ac:dyDescent="0.25">
      <c r="A189" s="20" t="s">
        <v>119</v>
      </c>
      <c r="B189" s="20" t="s">
        <v>7</v>
      </c>
      <c r="C189" s="20" t="s">
        <v>6</v>
      </c>
      <c r="D189" s="20">
        <v>123050348.81</v>
      </c>
      <c r="E189" s="20">
        <v>123050348.81</v>
      </c>
      <c r="F189" s="20">
        <v>179</v>
      </c>
      <c r="G189" s="20">
        <v>1</v>
      </c>
      <c r="H189" s="7">
        <f t="shared" si="8"/>
        <v>166117970.8935</v>
      </c>
      <c r="I189" s="1">
        <f t="shared" si="9"/>
        <v>166117970.8935</v>
      </c>
      <c r="J189" s="7">
        <f t="shared" si="10"/>
        <v>166.1179708935</v>
      </c>
      <c r="K189" s="7">
        <f t="shared" si="11"/>
        <v>166.1179708935</v>
      </c>
    </row>
    <row r="190" spans="1:11" x14ac:dyDescent="0.25">
      <c r="A190" s="20" t="s">
        <v>65</v>
      </c>
      <c r="B190" s="20" t="s">
        <v>7</v>
      </c>
      <c r="C190" s="20" t="s">
        <v>6</v>
      </c>
      <c r="D190" s="20">
        <v>276000</v>
      </c>
      <c r="E190" s="20">
        <v>276000</v>
      </c>
      <c r="F190" s="20">
        <v>2</v>
      </c>
      <c r="G190" s="20">
        <v>1</v>
      </c>
      <c r="H190" s="7">
        <f t="shared" si="8"/>
        <v>372600</v>
      </c>
      <c r="I190" s="1">
        <f t="shared" si="9"/>
        <v>372600</v>
      </c>
      <c r="J190" s="7">
        <f t="shared" si="10"/>
        <v>0.37259999999999999</v>
      </c>
      <c r="K190" s="7">
        <f t="shared" si="11"/>
        <v>0.37259999999999999</v>
      </c>
    </row>
    <row r="191" spans="1:11" x14ac:dyDescent="0.25">
      <c r="A191" s="20" t="s">
        <v>121</v>
      </c>
      <c r="B191" s="20" t="s">
        <v>7</v>
      </c>
      <c r="C191" s="20" t="s">
        <v>6</v>
      </c>
      <c r="D191" s="20">
        <v>109000</v>
      </c>
      <c r="E191" s="20">
        <v>109000</v>
      </c>
      <c r="F191" s="20">
        <v>1</v>
      </c>
      <c r="G191" s="20">
        <v>1</v>
      </c>
      <c r="H191" s="7">
        <f t="shared" si="8"/>
        <v>147150</v>
      </c>
      <c r="I191" s="1">
        <f t="shared" si="9"/>
        <v>147150</v>
      </c>
      <c r="J191" s="7">
        <f t="shared" si="10"/>
        <v>0.14715</v>
      </c>
      <c r="K191" s="7">
        <f t="shared" si="11"/>
        <v>0.14715</v>
      </c>
    </row>
    <row r="192" spans="1:11" x14ac:dyDescent="0.25">
      <c r="A192" s="20" t="s">
        <v>92</v>
      </c>
      <c r="B192" s="20" t="s">
        <v>7</v>
      </c>
      <c r="C192" s="20" t="s">
        <v>6</v>
      </c>
      <c r="D192" s="20">
        <v>952584</v>
      </c>
      <c r="E192" s="20">
        <v>952584</v>
      </c>
      <c r="F192" s="20">
        <v>5</v>
      </c>
      <c r="G192" s="20">
        <v>1</v>
      </c>
      <c r="H192" s="7">
        <f t="shared" si="8"/>
        <v>1285988.4000000001</v>
      </c>
      <c r="I192" s="1">
        <f t="shared" si="9"/>
        <v>1285988.4000000001</v>
      </c>
      <c r="J192" s="7">
        <f t="shared" si="10"/>
        <v>1.2859884000000001</v>
      </c>
      <c r="K192" s="7">
        <f t="shared" si="11"/>
        <v>1.2859884000000001</v>
      </c>
    </row>
    <row r="193" spans="1:11" x14ac:dyDescent="0.25">
      <c r="A193" s="20" t="s">
        <v>95</v>
      </c>
      <c r="B193" s="20" t="s">
        <v>7</v>
      </c>
      <c r="C193" s="20" t="s">
        <v>6</v>
      </c>
      <c r="D193" s="20">
        <v>20000</v>
      </c>
      <c r="E193" s="20">
        <v>20000</v>
      </c>
      <c r="F193" s="20">
        <v>1</v>
      </c>
      <c r="G193" s="20">
        <v>1</v>
      </c>
      <c r="H193" s="7">
        <f t="shared" si="8"/>
        <v>27000</v>
      </c>
      <c r="I193" s="1">
        <f t="shared" si="9"/>
        <v>27000</v>
      </c>
      <c r="J193" s="7">
        <f t="shared" si="10"/>
        <v>2.7E-2</v>
      </c>
      <c r="K193" s="7">
        <f t="shared" si="11"/>
        <v>2.7E-2</v>
      </c>
    </row>
    <row r="194" spans="1:11" x14ac:dyDescent="0.25">
      <c r="A194" s="20" t="s">
        <v>97</v>
      </c>
      <c r="B194" s="20" t="s">
        <v>7</v>
      </c>
      <c r="C194" s="20" t="s">
        <v>6</v>
      </c>
      <c r="D194" s="20">
        <v>275000</v>
      </c>
      <c r="E194" s="20">
        <v>275000</v>
      </c>
      <c r="F194" s="20">
        <v>1</v>
      </c>
      <c r="G194" s="20">
        <v>1</v>
      </c>
      <c r="H194" s="7">
        <f t="shared" si="8"/>
        <v>371250</v>
      </c>
      <c r="I194" s="1">
        <f t="shared" si="9"/>
        <v>371250</v>
      </c>
      <c r="J194" s="7">
        <f t="shared" si="10"/>
        <v>0.37125000000000002</v>
      </c>
      <c r="K194" s="7">
        <f t="shared" si="11"/>
        <v>0.37125000000000002</v>
      </c>
    </row>
    <row r="195" spans="1:11" x14ac:dyDescent="0.25">
      <c r="A195" s="20" t="s">
        <v>98</v>
      </c>
      <c r="B195" s="20" t="s">
        <v>7</v>
      </c>
      <c r="C195" s="20" t="s">
        <v>6</v>
      </c>
      <c r="D195" s="20">
        <v>22746034</v>
      </c>
      <c r="E195" s="20">
        <v>22746034</v>
      </c>
      <c r="F195" s="20">
        <v>32</v>
      </c>
      <c r="G195" s="20">
        <v>1</v>
      </c>
      <c r="H195" s="7">
        <f t="shared" ref="H195:H258" si="12">D195*1.35</f>
        <v>30707145.900000002</v>
      </c>
      <c r="I195" s="1">
        <f t="shared" ref="I195:I258" si="13">E195*1.35</f>
        <v>30707145.900000002</v>
      </c>
      <c r="J195" s="7">
        <f t="shared" ref="J195:J258" si="14">H195/1000000</f>
        <v>30.707145900000004</v>
      </c>
      <c r="K195" s="7">
        <f t="shared" ref="K195:K258" si="15">I195/1000000</f>
        <v>30.707145900000004</v>
      </c>
    </row>
    <row r="196" spans="1:11" x14ac:dyDescent="0.25">
      <c r="A196" s="20" t="s">
        <v>101</v>
      </c>
      <c r="B196" s="20" t="s">
        <v>7</v>
      </c>
      <c r="C196" s="20" t="s">
        <v>6</v>
      </c>
      <c r="D196" s="20">
        <v>2075560</v>
      </c>
      <c r="E196" s="20">
        <v>2075560</v>
      </c>
      <c r="F196" s="20">
        <v>3</v>
      </c>
      <c r="G196" s="20">
        <v>1</v>
      </c>
      <c r="H196" s="7">
        <f t="shared" si="12"/>
        <v>2802006</v>
      </c>
      <c r="I196" s="1">
        <f t="shared" si="13"/>
        <v>2802006</v>
      </c>
      <c r="J196" s="7">
        <f t="shared" si="14"/>
        <v>2.802006</v>
      </c>
      <c r="K196" s="7">
        <f t="shared" si="15"/>
        <v>2.802006</v>
      </c>
    </row>
    <row r="197" spans="1:11" x14ac:dyDescent="0.25">
      <c r="A197" s="20" t="s">
        <v>33</v>
      </c>
      <c r="B197" s="20" t="s">
        <v>8</v>
      </c>
      <c r="C197" s="20" t="s">
        <v>6</v>
      </c>
      <c r="D197" s="20">
        <v>719040.53024263296</v>
      </c>
      <c r="E197" s="20">
        <v>719040.53024263296</v>
      </c>
      <c r="F197" s="20">
        <v>1</v>
      </c>
      <c r="G197" s="20">
        <v>0</v>
      </c>
      <c r="H197" s="7">
        <f t="shared" si="12"/>
        <v>970704.71582755458</v>
      </c>
      <c r="I197" s="1">
        <f t="shared" si="13"/>
        <v>970704.71582755458</v>
      </c>
      <c r="J197" s="7">
        <f t="shared" si="14"/>
        <v>0.97070471582755458</v>
      </c>
      <c r="K197" s="7">
        <f t="shared" si="15"/>
        <v>0.97070471582755458</v>
      </c>
    </row>
    <row r="198" spans="1:11" x14ac:dyDescent="0.25">
      <c r="A198" s="20" t="s">
        <v>37</v>
      </c>
      <c r="B198" s="20" t="s">
        <v>8</v>
      </c>
      <c r="C198" s="20" t="s">
        <v>6</v>
      </c>
      <c r="D198" s="20">
        <v>5588088.6783495499</v>
      </c>
      <c r="E198" s="20">
        <v>5588088.6783495499</v>
      </c>
      <c r="F198" s="20">
        <v>2</v>
      </c>
      <c r="G198" s="20">
        <v>0</v>
      </c>
      <c r="H198" s="7">
        <f t="shared" si="12"/>
        <v>7543919.715771893</v>
      </c>
      <c r="I198" s="1">
        <f t="shared" si="13"/>
        <v>7543919.715771893</v>
      </c>
      <c r="J198" s="7">
        <f t="shared" si="14"/>
        <v>7.5439197157718931</v>
      </c>
      <c r="K198" s="7">
        <f t="shared" si="15"/>
        <v>7.5439197157718931</v>
      </c>
    </row>
    <row r="199" spans="1:11" x14ac:dyDescent="0.25">
      <c r="A199" s="20" t="s">
        <v>39</v>
      </c>
      <c r="B199" s="20" t="s">
        <v>8</v>
      </c>
      <c r="C199" s="20" t="s">
        <v>6</v>
      </c>
      <c r="D199" s="20">
        <v>28548158.064952798</v>
      </c>
      <c r="E199" s="20">
        <v>27781750.628017802</v>
      </c>
      <c r="F199" s="20">
        <v>3</v>
      </c>
      <c r="G199" s="20">
        <v>0</v>
      </c>
      <c r="H199" s="7">
        <f t="shared" si="12"/>
        <v>38540013.387686282</v>
      </c>
      <c r="I199" s="1">
        <f t="shared" si="13"/>
        <v>37505363.347824037</v>
      </c>
      <c r="J199" s="7">
        <f t="shared" si="14"/>
        <v>38.54001338768628</v>
      </c>
      <c r="K199" s="7">
        <f t="shared" si="15"/>
        <v>37.505363347824037</v>
      </c>
    </row>
    <row r="200" spans="1:11" x14ac:dyDescent="0.25">
      <c r="A200" s="20" t="s">
        <v>43</v>
      </c>
      <c r="B200" s="20" t="s">
        <v>8</v>
      </c>
      <c r="C200" s="20" t="s">
        <v>6</v>
      </c>
      <c r="D200" s="20">
        <v>143985858.39507201</v>
      </c>
      <c r="E200" s="20">
        <v>75833109.031291798</v>
      </c>
      <c r="F200" s="20">
        <v>5</v>
      </c>
      <c r="G200" s="20">
        <v>0</v>
      </c>
      <c r="H200" s="7">
        <f t="shared" si="12"/>
        <v>194380908.83334723</v>
      </c>
      <c r="I200" s="1">
        <f t="shared" si="13"/>
        <v>102374697.19224393</v>
      </c>
      <c r="J200" s="7">
        <f t="shared" si="14"/>
        <v>194.38090883334723</v>
      </c>
      <c r="K200" s="7">
        <f t="shared" si="15"/>
        <v>102.37469719224393</v>
      </c>
    </row>
    <row r="201" spans="1:11" x14ac:dyDescent="0.25">
      <c r="A201" s="20" t="s">
        <v>47</v>
      </c>
      <c r="B201" s="20" t="s">
        <v>8</v>
      </c>
      <c r="C201" s="20" t="s">
        <v>6</v>
      </c>
      <c r="D201" s="20">
        <v>1016712.0444050001</v>
      </c>
      <c r="E201" s="20">
        <v>1016712.0444050001</v>
      </c>
      <c r="F201" s="20">
        <v>1</v>
      </c>
      <c r="G201" s="20">
        <v>0</v>
      </c>
      <c r="H201" s="7">
        <f t="shared" si="12"/>
        <v>1372561.2599467502</v>
      </c>
      <c r="I201" s="1">
        <f t="shared" si="13"/>
        <v>1372561.2599467502</v>
      </c>
      <c r="J201" s="7">
        <f t="shared" si="14"/>
        <v>1.3725612599467503</v>
      </c>
      <c r="K201" s="7">
        <f t="shared" si="15"/>
        <v>1.3725612599467503</v>
      </c>
    </row>
    <row r="202" spans="1:11" x14ac:dyDescent="0.25">
      <c r="A202" s="20" t="s">
        <v>53</v>
      </c>
      <c r="B202" s="20" t="s">
        <v>8</v>
      </c>
      <c r="C202" s="20" t="s">
        <v>6</v>
      </c>
      <c r="D202" s="20">
        <v>24551141.812452</v>
      </c>
      <c r="E202" s="20">
        <v>24551141.812452</v>
      </c>
      <c r="F202" s="20">
        <v>2</v>
      </c>
      <c r="G202" s="20">
        <v>0</v>
      </c>
      <c r="H202" s="7">
        <f t="shared" si="12"/>
        <v>33144041.446810201</v>
      </c>
      <c r="I202" s="1">
        <f t="shared" si="13"/>
        <v>33144041.446810201</v>
      </c>
      <c r="J202" s="7">
        <f t="shared" si="14"/>
        <v>33.144041446810199</v>
      </c>
      <c r="K202" s="7">
        <f t="shared" si="15"/>
        <v>33.144041446810199</v>
      </c>
    </row>
    <row r="203" spans="1:11" x14ac:dyDescent="0.25">
      <c r="A203" s="20" t="s">
        <v>54</v>
      </c>
      <c r="B203" s="20" t="s">
        <v>8</v>
      </c>
      <c r="C203" s="20" t="s">
        <v>6</v>
      </c>
      <c r="D203" s="20">
        <v>55746827.551567502</v>
      </c>
      <c r="E203" s="20">
        <v>31311597.9982449</v>
      </c>
      <c r="F203" s="20">
        <v>4</v>
      </c>
      <c r="G203" s="20">
        <v>0</v>
      </c>
      <c r="H203" s="7">
        <f t="shared" si="12"/>
        <v>75258217.194616139</v>
      </c>
      <c r="I203" s="1">
        <f t="shared" si="13"/>
        <v>42270657.297630616</v>
      </c>
      <c r="J203" s="7">
        <f t="shared" si="14"/>
        <v>75.258217194616137</v>
      </c>
      <c r="K203" s="7">
        <f t="shared" si="15"/>
        <v>42.270657297630613</v>
      </c>
    </row>
    <row r="204" spans="1:11" x14ac:dyDescent="0.25">
      <c r="A204" s="20" t="s">
        <v>55</v>
      </c>
      <c r="B204" s="20" t="s">
        <v>8</v>
      </c>
      <c r="C204" s="20" t="s">
        <v>6</v>
      </c>
      <c r="D204" s="20">
        <v>148840795.211043</v>
      </c>
      <c r="E204" s="20">
        <v>75714983.240083203</v>
      </c>
      <c r="F204" s="20">
        <v>5</v>
      </c>
      <c r="G204" s="20">
        <v>0</v>
      </c>
      <c r="H204" s="7">
        <f t="shared" si="12"/>
        <v>200935073.53490806</v>
      </c>
      <c r="I204" s="1">
        <f t="shared" si="13"/>
        <v>102215227.37411234</v>
      </c>
      <c r="J204" s="7">
        <f t="shared" si="14"/>
        <v>200.93507353490804</v>
      </c>
      <c r="K204" s="7">
        <f t="shared" si="15"/>
        <v>102.21522737411233</v>
      </c>
    </row>
    <row r="205" spans="1:11" x14ac:dyDescent="0.25">
      <c r="A205" s="20" t="s">
        <v>57</v>
      </c>
      <c r="B205" s="20" t="s">
        <v>8</v>
      </c>
      <c r="C205" s="20" t="s">
        <v>6</v>
      </c>
      <c r="D205" s="20">
        <v>18549221.216549501</v>
      </c>
      <c r="E205" s="20">
        <v>18549221.216549501</v>
      </c>
      <c r="F205" s="20">
        <v>1</v>
      </c>
      <c r="G205" s="20">
        <v>0</v>
      </c>
      <c r="H205" s="7">
        <f t="shared" si="12"/>
        <v>25041448.642341826</v>
      </c>
      <c r="I205" s="1">
        <f t="shared" si="13"/>
        <v>25041448.642341826</v>
      </c>
      <c r="J205" s="7">
        <f t="shared" si="14"/>
        <v>25.041448642341827</v>
      </c>
      <c r="K205" s="7">
        <f t="shared" si="15"/>
        <v>25.041448642341827</v>
      </c>
    </row>
    <row r="206" spans="1:11" x14ac:dyDescent="0.25">
      <c r="A206" s="20" t="s">
        <v>62</v>
      </c>
      <c r="B206" s="20" t="s">
        <v>8</v>
      </c>
      <c r="C206" s="20" t="s">
        <v>6</v>
      </c>
      <c r="D206" s="20">
        <v>973635.31152694696</v>
      </c>
      <c r="E206" s="20">
        <v>973635.31152694696</v>
      </c>
      <c r="F206" s="20">
        <v>1</v>
      </c>
      <c r="G206" s="20">
        <v>0</v>
      </c>
      <c r="H206" s="7">
        <f t="shared" si="12"/>
        <v>1314407.6705613786</v>
      </c>
      <c r="I206" s="1">
        <f t="shared" si="13"/>
        <v>1314407.6705613786</v>
      </c>
      <c r="J206" s="7">
        <f t="shared" si="14"/>
        <v>1.3144076705613785</v>
      </c>
      <c r="K206" s="7">
        <f t="shared" si="15"/>
        <v>1.3144076705613785</v>
      </c>
    </row>
    <row r="207" spans="1:11" x14ac:dyDescent="0.25">
      <c r="A207" s="20" t="s">
        <v>64</v>
      </c>
      <c r="B207" s="20" t="s">
        <v>8</v>
      </c>
      <c r="C207" s="20" t="s">
        <v>6</v>
      </c>
      <c r="D207" s="20">
        <v>20857103.5460032</v>
      </c>
      <c r="E207" s="20">
        <v>11670743.943722799</v>
      </c>
      <c r="F207" s="20">
        <v>3</v>
      </c>
      <c r="G207" s="20">
        <v>0</v>
      </c>
      <c r="H207" s="7">
        <f t="shared" si="12"/>
        <v>28157089.787104324</v>
      </c>
      <c r="I207" s="1">
        <f t="shared" si="13"/>
        <v>15755504.32402578</v>
      </c>
      <c r="J207" s="7">
        <f t="shared" si="14"/>
        <v>28.157089787104322</v>
      </c>
      <c r="K207" s="7">
        <f t="shared" si="15"/>
        <v>15.755504324025781</v>
      </c>
    </row>
    <row r="208" spans="1:11" x14ac:dyDescent="0.25">
      <c r="A208" s="20" t="s">
        <v>70</v>
      </c>
      <c r="B208" s="20" t="s">
        <v>8</v>
      </c>
      <c r="C208" s="20" t="s">
        <v>6</v>
      </c>
      <c r="D208" s="20">
        <v>1127054.33294724</v>
      </c>
      <c r="E208" s="20">
        <v>1127054.33294724</v>
      </c>
      <c r="F208" s="20">
        <v>2</v>
      </c>
      <c r="G208" s="20">
        <v>0</v>
      </c>
      <c r="H208" s="7">
        <f t="shared" si="12"/>
        <v>1521523.349478774</v>
      </c>
      <c r="I208" s="1">
        <f t="shared" si="13"/>
        <v>1521523.349478774</v>
      </c>
      <c r="J208" s="7">
        <f t="shared" si="14"/>
        <v>1.5215233494787741</v>
      </c>
      <c r="K208" s="7">
        <f t="shared" si="15"/>
        <v>1.5215233494787741</v>
      </c>
    </row>
    <row r="209" spans="1:11" x14ac:dyDescent="0.25">
      <c r="A209" s="20" t="s">
        <v>74</v>
      </c>
      <c r="B209" s="20" t="s">
        <v>8</v>
      </c>
      <c r="C209" s="20" t="s">
        <v>6</v>
      </c>
      <c r="D209" s="20">
        <v>56759921.178116404</v>
      </c>
      <c r="E209" s="20">
        <v>28379960.589058202</v>
      </c>
      <c r="F209" s="20">
        <v>1</v>
      </c>
      <c r="G209" s="20">
        <v>0</v>
      </c>
      <c r="H209" s="7">
        <f t="shared" si="12"/>
        <v>76625893.590457156</v>
      </c>
      <c r="I209" s="1">
        <f t="shared" si="13"/>
        <v>38312946.795228578</v>
      </c>
      <c r="J209" s="7">
        <f t="shared" si="14"/>
        <v>76.625893590457153</v>
      </c>
      <c r="K209" s="7">
        <f t="shared" si="15"/>
        <v>38.312946795228576</v>
      </c>
    </row>
    <row r="210" spans="1:11" x14ac:dyDescent="0.25">
      <c r="A210" s="20" t="s">
        <v>76</v>
      </c>
      <c r="B210" s="20" t="s">
        <v>8</v>
      </c>
      <c r="C210" s="20" t="s">
        <v>6</v>
      </c>
      <c r="D210" s="20">
        <v>16448885.4299854</v>
      </c>
      <c r="E210" s="20">
        <v>16448885.4299854</v>
      </c>
      <c r="F210" s="20">
        <v>3</v>
      </c>
      <c r="G210" s="20">
        <v>0</v>
      </c>
      <c r="H210" s="7">
        <f t="shared" si="12"/>
        <v>22205995.330480292</v>
      </c>
      <c r="I210" s="1">
        <f t="shared" si="13"/>
        <v>22205995.330480292</v>
      </c>
      <c r="J210" s="7">
        <f t="shared" si="14"/>
        <v>22.205995330480292</v>
      </c>
      <c r="K210" s="7">
        <f t="shared" si="15"/>
        <v>22.205995330480292</v>
      </c>
    </row>
    <row r="211" spans="1:11" x14ac:dyDescent="0.25">
      <c r="A211" s="20" t="s">
        <v>82</v>
      </c>
      <c r="B211" s="20" t="s">
        <v>8</v>
      </c>
      <c r="C211" s="20" t="s">
        <v>6</v>
      </c>
      <c r="D211" s="20">
        <v>22262.669414401498</v>
      </c>
      <c r="E211" s="20">
        <v>22262.669414401498</v>
      </c>
      <c r="F211" s="20">
        <v>1</v>
      </c>
      <c r="G211" s="20">
        <v>0</v>
      </c>
      <c r="H211" s="7">
        <f t="shared" si="12"/>
        <v>30054.603709442024</v>
      </c>
      <c r="I211" s="1">
        <f t="shared" si="13"/>
        <v>30054.603709442024</v>
      </c>
      <c r="J211" s="7">
        <f t="shared" si="14"/>
        <v>3.0054603709442025E-2</v>
      </c>
      <c r="K211" s="7">
        <f t="shared" si="15"/>
        <v>3.0054603709442025E-2</v>
      </c>
    </row>
    <row r="212" spans="1:11" x14ac:dyDescent="0.25">
      <c r="A212" s="20" t="s">
        <v>98</v>
      </c>
      <c r="B212" s="20" t="s">
        <v>8</v>
      </c>
      <c r="C212" s="20" t="s">
        <v>6</v>
      </c>
      <c r="D212" s="20">
        <v>175292598.767708</v>
      </c>
      <c r="E212" s="20">
        <v>87273963.569168001</v>
      </c>
      <c r="F212" s="20">
        <v>20</v>
      </c>
      <c r="G212" s="20">
        <v>0</v>
      </c>
      <c r="H212" s="7">
        <f t="shared" si="12"/>
        <v>236645008.33640581</v>
      </c>
      <c r="I212" s="1">
        <f t="shared" si="13"/>
        <v>117819850.81837681</v>
      </c>
      <c r="J212" s="7">
        <f t="shared" si="14"/>
        <v>236.64500833640582</v>
      </c>
      <c r="K212" s="7">
        <f t="shared" si="15"/>
        <v>117.81985081837681</v>
      </c>
    </row>
    <row r="213" spans="1:11" x14ac:dyDescent="0.25">
      <c r="A213" s="20" t="s">
        <v>33</v>
      </c>
      <c r="B213" s="20" t="s">
        <v>8</v>
      </c>
      <c r="C213" s="20" t="s">
        <v>6</v>
      </c>
      <c r="D213" s="20">
        <v>787078520.08497202</v>
      </c>
      <c r="E213" s="20">
        <v>787078520.08497202</v>
      </c>
      <c r="F213" s="20">
        <v>279</v>
      </c>
      <c r="G213" s="20">
        <v>1</v>
      </c>
      <c r="H213" s="7">
        <f t="shared" si="12"/>
        <v>1062556002.1147124</v>
      </c>
      <c r="I213" s="1">
        <f t="shared" si="13"/>
        <v>1062556002.1147124</v>
      </c>
      <c r="J213" s="7">
        <f t="shared" si="14"/>
        <v>1062.5560021147123</v>
      </c>
      <c r="K213" s="7">
        <f t="shared" si="15"/>
        <v>1062.5560021147123</v>
      </c>
    </row>
    <row r="214" spans="1:11" x14ac:dyDescent="0.25">
      <c r="A214" s="20" t="s">
        <v>34</v>
      </c>
      <c r="B214" s="20" t="s">
        <v>8</v>
      </c>
      <c r="C214" s="20" t="s">
        <v>6</v>
      </c>
      <c r="D214" s="20">
        <v>220017634.19884399</v>
      </c>
      <c r="E214" s="20">
        <v>140477801.933956</v>
      </c>
      <c r="F214" s="20">
        <v>43</v>
      </c>
      <c r="G214" s="20">
        <v>1</v>
      </c>
      <c r="H214" s="7">
        <f t="shared" si="12"/>
        <v>297023806.16843939</v>
      </c>
      <c r="I214" s="1">
        <f t="shared" si="13"/>
        <v>189645032.61084062</v>
      </c>
      <c r="J214" s="7">
        <f t="shared" si="14"/>
        <v>297.02380616843936</v>
      </c>
      <c r="K214" s="7">
        <f t="shared" si="15"/>
        <v>189.64503261084062</v>
      </c>
    </row>
    <row r="215" spans="1:11" x14ac:dyDescent="0.25">
      <c r="A215" s="20" t="s">
        <v>35</v>
      </c>
      <c r="B215" s="20" t="s">
        <v>8</v>
      </c>
      <c r="C215" s="20" t="s">
        <v>6</v>
      </c>
      <c r="D215" s="20">
        <v>10975035.9495856</v>
      </c>
      <c r="E215" s="20">
        <v>10975035.9495856</v>
      </c>
      <c r="F215" s="20">
        <v>5</v>
      </c>
      <c r="G215" s="20">
        <v>1</v>
      </c>
      <c r="H215" s="7">
        <f t="shared" si="12"/>
        <v>14816298.531940561</v>
      </c>
      <c r="I215" s="1">
        <f t="shared" si="13"/>
        <v>14816298.531940561</v>
      </c>
      <c r="J215" s="7">
        <f t="shared" si="14"/>
        <v>14.816298531940561</v>
      </c>
      <c r="K215" s="7">
        <f t="shared" si="15"/>
        <v>14.816298531940561</v>
      </c>
    </row>
    <row r="216" spans="1:11" x14ac:dyDescent="0.25">
      <c r="A216" s="20" t="s">
        <v>37</v>
      </c>
      <c r="B216" s="20" t="s">
        <v>8</v>
      </c>
      <c r="C216" s="20" t="s">
        <v>6</v>
      </c>
      <c r="D216" s="20">
        <v>178447830.56103799</v>
      </c>
      <c r="E216" s="20">
        <v>166364677.927349</v>
      </c>
      <c r="F216" s="20">
        <v>46</v>
      </c>
      <c r="G216" s="20">
        <v>1</v>
      </c>
      <c r="H216" s="7">
        <f t="shared" si="12"/>
        <v>240904571.25740129</v>
      </c>
      <c r="I216" s="1">
        <f t="shared" si="13"/>
        <v>224592315.20192116</v>
      </c>
      <c r="J216" s="7">
        <f t="shared" si="14"/>
        <v>240.9045712574013</v>
      </c>
      <c r="K216" s="7">
        <f t="shared" si="15"/>
        <v>224.59231520192117</v>
      </c>
    </row>
    <row r="217" spans="1:11" x14ac:dyDescent="0.25">
      <c r="A217" s="20" t="s">
        <v>122</v>
      </c>
      <c r="B217" s="20" t="s">
        <v>8</v>
      </c>
      <c r="C217" s="20" t="s">
        <v>6</v>
      </c>
      <c r="D217" s="20">
        <v>36117049.745032303</v>
      </c>
      <c r="E217" s="20">
        <v>18058524.872516099</v>
      </c>
      <c r="F217" s="20">
        <v>1</v>
      </c>
      <c r="G217" s="20">
        <v>1</v>
      </c>
      <c r="H217" s="7">
        <f t="shared" si="12"/>
        <v>48758017.155793615</v>
      </c>
      <c r="I217" s="1">
        <f t="shared" si="13"/>
        <v>24379008.577896737</v>
      </c>
      <c r="J217" s="7">
        <f t="shared" si="14"/>
        <v>48.758017155793617</v>
      </c>
      <c r="K217" s="7">
        <f t="shared" si="15"/>
        <v>24.379008577896737</v>
      </c>
    </row>
    <row r="218" spans="1:11" x14ac:dyDescent="0.25">
      <c r="A218" s="20" t="s">
        <v>123</v>
      </c>
      <c r="B218" s="20" t="s">
        <v>8</v>
      </c>
      <c r="C218" s="20" t="s">
        <v>6</v>
      </c>
      <c r="D218" s="20">
        <v>63704.327682426003</v>
      </c>
      <c r="E218" s="20">
        <v>63704.327682426003</v>
      </c>
      <c r="F218" s="20">
        <v>1</v>
      </c>
      <c r="G218" s="20">
        <v>1</v>
      </c>
      <c r="H218" s="7">
        <f t="shared" si="12"/>
        <v>86000.84237127511</v>
      </c>
      <c r="I218" s="1">
        <f t="shared" si="13"/>
        <v>86000.84237127511</v>
      </c>
      <c r="J218" s="7">
        <f t="shared" si="14"/>
        <v>8.6000842371275116E-2</v>
      </c>
      <c r="K218" s="7">
        <f t="shared" si="15"/>
        <v>8.6000842371275116E-2</v>
      </c>
    </row>
    <row r="219" spans="1:11" x14ac:dyDescent="0.25">
      <c r="A219" s="20" t="s">
        <v>38</v>
      </c>
      <c r="B219" s="20" t="s">
        <v>8</v>
      </c>
      <c r="C219" s="20" t="s">
        <v>6</v>
      </c>
      <c r="D219" s="20">
        <v>1854336.6371335201</v>
      </c>
      <c r="E219" s="20">
        <v>1854336.6371335201</v>
      </c>
      <c r="F219" s="20">
        <v>3</v>
      </c>
      <c r="G219" s="20">
        <v>1</v>
      </c>
      <c r="H219" s="7">
        <f t="shared" si="12"/>
        <v>2503354.4601302524</v>
      </c>
      <c r="I219" s="1">
        <f t="shared" si="13"/>
        <v>2503354.4601302524</v>
      </c>
      <c r="J219" s="7">
        <f t="shared" si="14"/>
        <v>2.5033544601302524</v>
      </c>
      <c r="K219" s="7">
        <f t="shared" si="15"/>
        <v>2.5033544601302524</v>
      </c>
    </row>
    <row r="220" spans="1:11" x14ac:dyDescent="0.25">
      <c r="A220" s="20" t="s">
        <v>124</v>
      </c>
      <c r="B220" s="20" t="s">
        <v>8</v>
      </c>
      <c r="C220" s="20" t="s">
        <v>6</v>
      </c>
      <c r="D220" s="20">
        <v>510902.81141413102</v>
      </c>
      <c r="E220" s="20">
        <v>510902.81141413102</v>
      </c>
      <c r="F220" s="20">
        <v>1</v>
      </c>
      <c r="G220" s="20">
        <v>1</v>
      </c>
      <c r="H220" s="7">
        <f t="shared" si="12"/>
        <v>689718.79540907696</v>
      </c>
      <c r="I220" s="1">
        <f t="shared" si="13"/>
        <v>689718.79540907696</v>
      </c>
      <c r="J220" s="7">
        <f t="shared" si="14"/>
        <v>0.68971879540907699</v>
      </c>
      <c r="K220" s="7">
        <f t="shared" si="15"/>
        <v>0.68971879540907699</v>
      </c>
    </row>
    <row r="221" spans="1:11" x14ac:dyDescent="0.25">
      <c r="A221" s="20" t="s">
        <v>39</v>
      </c>
      <c r="B221" s="20" t="s">
        <v>8</v>
      </c>
      <c r="C221" s="20" t="s">
        <v>6</v>
      </c>
      <c r="D221" s="20">
        <v>104350136.503858</v>
      </c>
      <c r="E221" s="20">
        <v>90186641.264760301</v>
      </c>
      <c r="F221" s="20">
        <v>34</v>
      </c>
      <c r="G221" s="20">
        <v>1</v>
      </c>
      <c r="H221" s="7">
        <f t="shared" si="12"/>
        <v>140872684.28020832</v>
      </c>
      <c r="I221" s="1">
        <f t="shared" si="13"/>
        <v>121751965.70742641</v>
      </c>
      <c r="J221" s="7">
        <f t="shared" si="14"/>
        <v>140.87268428020832</v>
      </c>
      <c r="K221" s="7">
        <f t="shared" si="15"/>
        <v>121.75196570742641</v>
      </c>
    </row>
    <row r="222" spans="1:11" x14ac:dyDescent="0.25">
      <c r="A222" s="20" t="s">
        <v>40</v>
      </c>
      <c r="B222" s="20" t="s">
        <v>8</v>
      </c>
      <c r="C222" s="20" t="s">
        <v>6</v>
      </c>
      <c r="D222" s="20">
        <v>307121.14469982998</v>
      </c>
      <c r="E222" s="20">
        <v>307121.14469982998</v>
      </c>
      <c r="F222" s="20">
        <v>4</v>
      </c>
      <c r="G222" s="20">
        <v>1</v>
      </c>
      <c r="H222" s="7">
        <f t="shared" si="12"/>
        <v>414613.54534477048</v>
      </c>
      <c r="I222" s="1">
        <f t="shared" si="13"/>
        <v>414613.54534477048</v>
      </c>
      <c r="J222" s="7">
        <f t="shared" si="14"/>
        <v>0.41461354534477046</v>
      </c>
      <c r="K222" s="7">
        <f t="shared" si="15"/>
        <v>0.41461354534477046</v>
      </c>
    </row>
    <row r="223" spans="1:11" x14ac:dyDescent="0.25">
      <c r="A223" s="20" t="s">
        <v>42</v>
      </c>
      <c r="B223" s="20" t="s">
        <v>8</v>
      </c>
      <c r="C223" s="20" t="s">
        <v>6</v>
      </c>
      <c r="D223" s="20">
        <v>7558346.1603288203</v>
      </c>
      <c r="E223" s="20">
        <v>7558346.1603288203</v>
      </c>
      <c r="F223" s="20">
        <v>4</v>
      </c>
      <c r="G223" s="20">
        <v>1</v>
      </c>
      <c r="H223" s="7">
        <f t="shared" si="12"/>
        <v>10203767.316443909</v>
      </c>
      <c r="I223" s="1">
        <f t="shared" si="13"/>
        <v>10203767.316443909</v>
      </c>
      <c r="J223" s="7">
        <f t="shared" si="14"/>
        <v>10.203767316443908</v>
      </c>
      <c r="K223" s="7">
        <f t="shared" si="15"/>
        <v>10.203767316443908</v>
      </c>
    </row>
    <row r="224" spans="1:11" x14ac:dyDescent="0.25">
      <c r="A224" s="20" t="s">
        <v>43</v>
      </c>
      <c r="B224" s="20" t="s">
        <v>8</v>
      </c>
      <c r="C224" s="20" t="s">
        <v>6</v>
      </c>
      <c r="D224" s="20">
        <v>647581192.39024401</v>
      </c>
      <c r="E224" s="20">
        <v>477046168.95240599</v>
      </c>
      <c r="F224" s="20">
        <v>128</v>
      </c>
      <c r="G224" s="20">
        <v>1</v>
      </c>
      <c r="H224" s="7">
        <f t="shared" si="12"/>
        <v>874234609.72682941</v>
      </c>
      <c r="I224" s="1">
        <f t="shared" si="13"/>
        <v>644012328.08574808</v>
      </c>
      <c r="J224" s="7">
        <f t="shared" si="14"/>
        <v>874.23460972682938</v>
      </c>
      <c r="K224" s="7">
        <f t="shared" si="15"/>
        <v>644.01232808574809</v>
      </c>
    </row>
    <row r="225" spans="1:11" x14ac:dyDescent="0.25">
      <c r="A225" s="20" t="s">
        <v>45</v>
      </c>
      <c r="B225" s="20" t="s">
        <v>8</v>
      </c>
      <c r="C225" s="20" t="s">
        <v>6</v>
      </c>
      <c r="D225" s="20">
        <v>33744152.288692698</v>
      </c>
      <c r="E225" s="20">
        <v>19865822.289745599</v>
      </c>
      <c r="F225" s="20">
        <v>7</v>
      </c>
      <c r="G225" s="20">
        <v>1</v>
      </c>
      <c r="H225" s="7">
        <f t="shared" si="12"/>
        <v>45554605.589735143</v>
      </c>
      <c r="I225" s="1">
        <f t="shared" si="13"/>
        <v>26818860.091156561</v>
      </c>
      <c r="J225" s="7">
        <f t="shared" si="14"/>
        <v>45.554605589735139</v>
      </c>
      <c r="K225" s="7">
        <f t="shared" si="15"/>
        <v>26.818860091156562</v>
      </c>
    </row>
    <row r="226" spans="1:11" x14ac:dyDescent="0.25">
      <c r="A226" s="20" t="s">
        <v>46</v>
      </c>
      <c r="B226" s="20" t="s">
        <v>8</v>
      </c>
      <c r="C226" s="20" t="s">
        <v>6</v>
      </c>
      <c r="D226" s="20">
        <v>2901471.14126265</v>
      </c>
      <c r="E226" s="20">
        <v>2901471.14126265</v>
      </c>
      <c r="F226" s="20">
        <v>10</v>
      </c>
      <c r="G226" s="20">
        <v>1</v>
      </c>
      <c r="H226" s="7">
        <f t="shared" si="12"/>
        <v>3916986.0407045777</v>
      </c>
      <c r="I226" s="1">
        <f t="shared" si="13"/>
        <v>3916986.0407045777</v>
      </c>
      <c r="J226" s="7">
        <f t="shared" si="14"/>
        <v>3.9169860407045776</v>
      </c>
      <c r="K226" s="7">
        <f t="shared" si="15"/>
        <v>3.9169860407045776</v>
      </c>
    </row>
    <row r="227" spans="1:11" x14ac:dyDescent="0.25">
      <c r="A227" s="20" t="s">
        <v>47</v>
      </c>
      <c r="B227" s="20" t="s">
        <v>8</v>
      </c>
      <c r="C227" s="20" t="s">
        <v>6</v>
      </c>
      <c r="D227" s="20">
        <v>26631650.897275802</v>
      </c>
      <c r="E227" s="20">
        <v>26631650.897275802</v>
      </c>
      <c r="F227" s="20">
        <v>20</v>
      </c>
      <c r="G227" s="20">
        <v>1</v>
      </c>
      <c r="H227" s="7">
        <f t="shared" si="12"/>
        <v>35952728.711322337</v>
      </c>
      <c r="I227" s="1">
        <f t="shared" si="13"/>
        <v>35952728.711322337</v>
      </c>
      <c r="J227" s="7">
        <f t="shared" si="14"/>
        <v>35.952728711322337</v>
      </c>
      <c r="K227" s="7">
        <f t="shared" si="15"/>
        <v>35.952728711322337</v>
      </c>
    </row>
    <row r="228" spans="1:11" x14ac:dyDescent="0.25">
      <c r="A228" s="20" t="s">
        <v>102</v>
      </c>
      <c r="B228" s="20" t="s">
        <v>8</v>
      </c>
      <c r="C228" s="20" t="s">
        <v>6</v>
      </c>
      <c r="D228" s="20">
        <v>4187036.50776937</v>
      </c>
      <c r="E228" s="20">
        <v>4187036.50776937</v>
      </c>
      <c r="F228" s="20">
        <v>3</v>
      </c>
      <c r="G228" s="20">
        <v>1</v>
      </c>
      <c r="H228" s="7">
        <f t="shared" si="12"/>
        <v>5652499.2854886502</v>
      </c>
      <c r="I228" s="1">
        <f t="shared" si="13"/>
        <v>5652499.2854886502</v>
      </c>
      <c r="J228" s="7">
        <f t="shared" si="14"/>
        <v>5.6524992854886502</v>
      </c>
      <c r="K228" s="7">
        <f t="shared" si="15"/>
        <v>5.6524992854886502</v>
      </c>
    </row>
    <row r="229" spans="1:11" x14ac:dyDescent="0.25">
      <c r="A229" s="20" t="s">
        <v>48</v>
      </c>
      <c r="B229" s="20" t="s">
        <v>8</v>
      </c>
      <c r="C229" s="20" t="s">
        <v>6</v>
      </c>
      <c r="D229" s="20">
        <v>13452560.008874999</v>
      </c>
      <c r="E229" s="20">
        <v>13452560.008874999</v>
      </c>
      <c r="F229" s="20">
        <v>3</v>
      </c>
      <c r="G229" s="20">
        <v>1</v>
      </c>
      <c r="H229" s="7">
        <f t="shared" si="12"/>
        <v>18160956.011981249</v>
      </c>
      <c r="I229" s="1">
        <f t="shared" si="13"/>
        <v>18160956.011981249</v>
      </c>
      <c r="J229" s="7">
        <f t="shared" si="14"/>
        <v>18.160956011981249</v>
      </c>
      <c r="K229" s="7">
        <f t="shared" si="15"/>
        <v>18.160956011981249</v>
      </c>
    </row>
    <row r="230" spans="1:11" x14ac:dyDescent="0.25">
      <c r="A230" s="20" t="s">
        <v>49</v>
      </c>
      <c r="B230" s="20" t="s">
        <v>8</v>
      </c>
      <c r="C230" s="20" t="s">
        <v>6</v>
      </c>
      <c r="D230" s="20">
        <v>2316867.8928684201</v>
      </c>
      <c r="E230" s="20">
        <v>2316867.8928684201</v>
      </c>
      <c r="F230" s="20">
        <v>2</v>
      </c>
      <c r="G230" s="20">
        <v>1</v>
      </c>
      <c r="H230" s="7">
        <f t="shared" si="12"/>
        <v>3127771.6553723672</v>
      </c>
      <c r="I230" s="1">
        <f t="shared" si="13"/>
        <v>3127771.6553723672</v>
      </c>
      <c r="J230" s="7">
        <f t="shared" si="14"/>
        <v>3.1277716553723671</v>
      </c>
      <c r="K230" s="7">
        <f t="shared" si="15"/>
        <v>3.1277716553723671</v>
      </c>
    </row>
    <row r="231" spans="1:11" x14ac:dyDescent="0.25">
      <c r="A231" s="20" t="s">
        <v>50</v>
      </c>
      <c r="B231" s="20" t="s">
        <v>8</v>
      </c>
      <c r="C231" s="20" t="s">
        <v>6</v>
      </c>
      <c r="D231" s="20">
        <v>78023232.816889495</v>
      </c>
      <c r="E231" s="20">
        <v>63972400.975255303</v>
      </c>
      <c r="F231" s="20">
        <v>25</v>
      </c>
      <c r="G231" s="20">
        <v>1</v>
      </c>
      <c r="H231" s="7">
        <f t="shared" si="12"/>
        <v>105331364.30280082</v>
      </c>
      <c r="I231" s="1">
        <f t="shared" si="13"/>
        <v>86362741.31659466</v>
      </c>
      <c r="J231" s="7">
        <f t="shared" si="14"/>
        <v>105.33136430280082</v>
      </c>
      <c r="K231" s="7">
        <f t="shared" si="15"/>
        <v>86.362741316594665</v>
      </c>
    </row>
    <row r="232" spans="1:11" x14ac:dyDescent="0.25">
      <c r="A232" s="20" t="s">
        <v>103</v>
      </c>
      <c r="B232" s="20" t="s">
        <v>8</v>
      </c>
      <c r="C232" s="20" t="s">
        <v>6</v>
      </c>
      <c r="D232" s="20">
        <v>915059.83491027297</v>
      </c>
      <c r="E232" s="20">
        <v>915059.83491027297</v>
      </c>
      <c r="F232" s="20">
        <v>2</v>
      </c>
      <c r="G232" s="20">
        <v>1</v>
      </c>
      <c r="H232" s="7">
        <f t="shared" si="12"/>
        <v>1235330.7771288685</v>
      </c>
      <c r="I232" s="1">
        <f t="shared" si="13"/>
        <v>1235330.7771288685</v>
      </c>
      <c r="J232" s="7">
        <f t="shared" si="14"/>
        <v>1.2353307771288684</v>
      </c>
      <c r="K232" s="7">
        <f t="shared" si="15"/>
        <v>1.2353307771288684</v>
      </c>
    </row>
    <row r="233" spans="1:11" x14ac:dyDescent="0.25">
      <c r="A233" s="20" t="s">
        <v>51</v>
      </c>
      <c r="B233" s="20" t="s">
        <v>8</v>
      </c>
      <c r="C233" s="20" t="s">
        <v>6</v>
      </c>
      <c r="D233" s="20">
        <v>31309524.303163402</v>
      </c>
      <c r="E233" s="20">
        <v>31309524.303163402</v>
      </c>
      <c r="F233" s="20">
        <v>4</v>
      </c>
      <c r="G233" s="20">
        <v>1</v>
      </c>
      <c r="H233" s="7">
        <f t="shared" si="12"/>
        <v>42267857.809270598</v>
      </c>
      <c r="I233" s="1">
        <f t="shared" si="13"/>
        <v>42267857.809270598</v>
      </c>
      <c r="J233" s="7">
        <f t="shared" si="14"/>
        <v>42.267857809270595</v>
      </c>
      <c r="K233" s="7">
        <f t="shared" si="15"/>
        <v>42.267857809270595</v>
      </c>
    </row>
    <row r="234" spans="1:11" x14ac:dyDescent="0.25">
      <c r="A234" s="20" t="s">
        <v>104</v>
      </c>
      <c r="B234" s="20" t="s">
        <v>8</v>
      </c>
      <c r="C234" s="20" t="s">
        <v>6</v>
      </c>
      <c r="D234" s="20">
        <v>2710341.91248364</v>
      </c>
      <c r="E234" s="20">
        <v>2710341.91248364</v>
      </c>
      <c r="F234" s="20">
        <v>5</v>
      </c>
      <c r="G234" s="20">
        <v>1</v>
      </c>
      <c r="H234" s="7">
        <f t="shared" si="12"/>
        <v>3658961.5818529143</v>
      </c>
      <c r="I234" s="1">
        <f t="shared" si="13"/>
        <v>3658961.5818529143</v>
      </c>
      <c r="J234" s="7">
        <f t="shared" si="14"/>
        <v>3.6589615818529144</v>
      </c>
      <c r="K234" s="7">
        <f t="shared" si="15"/>
        <v>3.6589615818529144</v>
      </c>
    </row>
    <row r="235" spans="1:11" x14ac:dyDescent="0.25">
      <c r="A235" s="20" t="s">
        <v>53</v>
      </c>
      <c r="B235" s="20" t="s">
        <v>8</v>
      </c>
      <c r="C235" s="20" t="s">
        <v>6</v>
      </c>
      <c r="D235" s="20">
        <v>140190949.741963</v>
      </c>
      <c r="E235" s="20">
        <v>132146400.356067</v>
      </c>
      <c r="F235" s="20">
        <v>53</v>
      </c>
      <c r="G235" s="20">
        <v>1</v>
      </c>
      <c r="H235" s="7">
        <f t="shared" si="12"/>
        <v>189257782.15165007</v>
      </c>
      <c r="I235" s="1">
        <f t="shared" si="13"/>
        <v>178397640.48069045</v>
      </c>
      <c r="J235" s="7">
        <f t="shared" si="14"/>
        <v>189.25778215165008</v>
      </c>
      <c r="K235" s="7">
        <f t="shared" si="15"/>
        <v>178.39764048069046</v>
      </c>
    </row>
    <row r="236" spans="1:11" x14ac:dyDescent="0.25">
      <c r="A236" s="20" t="s">
        <v>105</v>
      </c>
      <c r="B236" s="20" t="s">
        <v>8</v>
      </c>
      <c r="C236" s="20" t="s">
        <v>6</v>
      </c>
      <c r="D236" s="20">
        <v>311280.25391476997</v>
      </c>
      <c r="E236" s="20">
        <v>311280.25391476997</v>
      </c>
      <c r="F236" s="20">
        <v>2</v>
      </c>
      <c r="G236" s="20">
        <v>1</v>
      </c>
      <c r="H236" s="7">
        <f t="shared" si="12"/>
        <v>420228.34278493951</v>
      </c>
      <c r="I236" s="1">
        <f t="shared" si="13"/>
        <v>420228.34278493951</v>
      </c>
      <c r="J236" s="7">
        <f t="shared" si="14"/>
        <v>0.42022834278493953</v>
      </c>
      <c r="K236" s="7">
        <f t="shared" si="15"/>
        <v>0.42022834278493953</v>
      </c>
    </row>
    <row r="237" spans="1:11" x14ac:dyDescent="0.25">
      <c r="A237" s="20" t="s">
        <v>54</v>
      </c>
      <c r="B237" s="20" t="s">
        <v>8</v>
      </c>
      <c r="C237" s="20" t="s">
        <v>6</v>
      </c>
      <c r="D237" s="20">
        <v>1194735297.7703199</v>
      </c>
      <c r="E237" s="20">
        <v>899813220.698107</v>
      </c>
      <c r="F237" s="20">
        <v>242</v>
      </c>
      <c r="G237" s="20">
        <v>1</v>
      </c>
      <c r="H237" s="7">
        <f t="shared" si="12"/>
        <v>1612892651.9899321</v>
      </c>
      <c r="I237" s="1">
        <f t="shared" si="13"/>
        <v>1214747847.9424446</v>
      </c>
      <c r="J237" s="7">
        <f t="shared" si="14"/>
        <v>1612.8926519899321</v>
      </c>
      <c r="K237" s="7">
        <f t="shared" si="15"/>
        <v>1214.7478479424447</v>
      </c>
    </row>
    <row r="238" spans="1:11" x14ac:dyDescent="0.25">
      <c r="A238" s="20" t="s">
        <v>55</v>
      </c>
      <c r="B238" s="20" t="s">
        <v>8</v>
      </c>
      <c r="C238" s="20" t="s">
        <v>6</v>
      </c>
      <c r="D238" s="20">
        <v>1251298742.3322501</v>
      </c>
      <c r="E238" s="20">
        <v>989829977.23415601</v>
      </c>
      <c r="F238" s="20">
        <v>267</v>
      </c>
      <c r="G238" s="20">
        <v>1</v>
      </c>
      <c r="H238" s="7">
        <f t="shared" si="12"/>
        <v>1689253302.1485379</v>
      </c>
      <c r="I238" s="1">
        <f t="shared" si="13"/>
        <v>1336270469.2661107</v>
      </c>
      <c r="J238" s="7">
        <f t="shared" si="14"/>
        <v>1689.2533021485378</v>
      </c>
      <c r="K238" s="7">
        <f t="shared" si="15"/>
        <v>1336.2704692661107</v>
      </c>
    </row>
    <row r="239" spans="1:11" x14ac:dyDescent="0.25">
      <c r="A239" s="20" t="s">
        <v>56</v>
      </c>
      <c r="B239" s="20" t="s">
        <v>8</v>
      </c>
      <c r="C239" s="20" t="s">
        <v>6</v>
      </c>
      <c r="D239" s="20">
        <v>64893037.650987498</v>
      </c>
      <c r="E239" s="20">
        <v>32446518.825493701</v>
      </c>
      <c r="F239" s="20">
        <v>1</v>
      </c>
      <c r="G239" s="20">
        <v>1</v>
      </c>
      <c r="H239" s="7">
        <f t="shared" si="12"/>
        <v>87605600.828833133</v>
      </c>
      <c r="I239" s="1">
        <f t="shared" si="13"/>
        <v>43802800.414416499</v>
      </c>
      <c r="J239" s="7">
        <f t="shared" si="14"/>
        <v>87.605600828833133</v>
      </c>
      <c r="K239" s="7">
        <f t="shared" si="15"/>
        <v>43.802800414416502</v>
      </c>
    </row>
    <row r="240" spans="1:11" x14ac:dyDescent="0.25">
      <c r="A240" s="20" t="s">
        <v>57</v>
      </c>
      <c r="B240" s="20" t="s">
        <v>8</v>
      </c>
      <c r="C240" s="20" t="s">
        <v>6</v>
      </c>
      <c r="D240" s="20">
        <v>137250550.60093999</v>
      </c>
      <c r="E240" s="20">
        <v>118380197.04944301</v>
      </c>
      <c r="F240" s="20">
        <v>29</v>
      </c>
      <c r="G240" s="20">
        <v>1</v>
      </c>
      <c r="H240" s="7">
        <f t="shared" si="12"/>
        <v>185288243.31126899</v>
      </c>
      <c r="I240" s="1">
        <f t="shared" si="13"/>
        <v>159813266.01674807</v>
      </c>
      <c r="J240" s="7">
        <f t="shared" si="14"/>
        <v>185.28824331126899</v>
      </c>
      <c r="K240" s="7">
        <f t="shared" si="15"/>
        <v>159.81326601674806</v>
      </c>
    </row>
    <row r="241" spans="1:11" x14ac:dyDescent="0.25">
      <c r="A241" s="20" t="s">
        <v>58</v>
      </c>
      <c r="B241" s="20" t="s">
        <v>8</v>
      </c>
      <c r="C241" s="20" t="s">
        <v>6</v>
      </c>
      <c r="D241" s="20">
        <v>31380321.6053189</v>
      </c>
      <c r="E241" s="20">
        <v>31380321.6053189</v>
      </c>
      <c r="F241" s="20">
        <v>4</v>
      </c>
      <c r="G241" s="20">
        <v>1</v>
      </c>
      <c r="H241" s="7">
        <f t="shared" si="12"/>
        <v>42363434.167180516</v>
      </c>
      <c r="I241" s="1">
        <f t="shared" si="13"/>
        <v>42363434.167180516</v>
      </c>
      <c r="J241" s="7">
        <f t="shared" si="14"/>
        <v>42.363434167180515</v>
      </c>
      <c r="K241" s="7">
        <f t="shared" si="15"/>
        <v>42.363434167180515</v>
      </c>
    </row>
    <row r="242" spans="1:11" x14ac:dyDescent="0.25">
      <c r="A242" s="20" t="s">
        <v>59</v>
      </c>
      <c r="B242" s="20" t="s">
        <v>8</v>
      </c>
      <c r="C242" s="20" t="s">
        <v>6</v>
      </c>
      <c r="D242" s="20">
        <v>39769245.259781301</v>
      </c>
      <c r="E242" s="20">
        <v>30005127.267633401</v>
      </c>
      <c r="F242" s="20">
        <v>13</v>
      </c>
      <c r="G242" s="20">
        <v>1</v>
      </c>
      <c r="H242" s="7">
        <f t="shared" si="12"/>
        <v>53688481.100704759</v>
      </c>
      <c r="I242" s="1">
        <f t="shared" si="13"/>
        <v>40506921.811305091</v>
      </c>
      <c r="J242" s="7">
        <f t="shared" si="14"/>
        <v>53.688481100704756</v>
      </c>
      <c r="K242" s="7">
        <f t="shared" si="15"/>
        <v>40.506921811305091</v>
      </c>
    </row>
    <row r="243" spans="1:11" x14ac:dyDescent="0.25">
      <c r="A243" s="20" t="s">
        <v>109</v>
      </c>
      <c r="B243" s="20" t="s">
        <v>8</v>
      </c>
      <c r="C243" s="20" t="s">
        <v>6</v>
      </c>
      <c r="D243" s="20">
        <v>3708462.3427698901</v>
      </c>
      <c r="E243" s="20">
        <v>3708462.3427698901</v>
      </c>
      <c r="F243" s="20">
        <v>2</v>
      </c>
      <c r="G243" s="20">
        <v>1</v>
      </c>
      <c r="H243" s="7">
        <f t="shared" si="12"/>
        <v>5006424.1627393523</v>
      </c>
      <c r="I243" s="1">
        <f t="shared" si="13"/>
        <v>5006424.1627393523</v>
      </c>
      <c r="J243" s="7">
        <f t="shared" si="14"/>
        <v>5.0064241627393526</v>
      </c>
      <c r="K243" s="7">
        <f t="shared" si="15"/>
        <v>5.0064241627393526</v>
      </c>
    </row>
    <row r="244" spans="1:11" x14ac:dyDescent="0.25">
      <c r="A244" s="20" t="s">
        <v>61</v>
      </c>
      <c r="B244" s="20" t="s">
        <v>8</v>
      </c>
      <c r="C244" s="20" t="s">
        <v>6</v>
      </c>
      <c r="D244" s="20">
        <v>9256595.0065659806</v>
      </c>
      <c r="E244" s="20">
        <v>9256595.0065659806</v>
      </c>
      <c r="F244" s="20">
        <v>3</v>
      </c>
      <c r="G244" s="20">
        <v>1</v>
      </c>
      <c r="H244" s="7">
        <f t="shared" si="12"/>
        <v>12496403.258864075</v>
      </c>
      <c r="I244" s="1">
        <f t="shared" si="13"/>
        <v>12496403.258864075</v>
      </c>
      <c r="J244" s="7">
        <f t="shared" si="14"/>
        <v>12.496403258864074</v>
      </c>
      <c r="K244" s="7">
        <f t="shared" si="15"/>
        <v>12.496403258864074</v>
      </c>
    </row>
    <row r="245" spans="1:11" x14ac:dyDescent="0.25">
      <c r="A245" s="20" t="s">
        <v>62</v>
      </c>
      <c r="B245" s="20" t="s">
        <v>8</v>
      </c>
      <c r="C245" s="20" t="s">
        <v>6</v>
      </c>
      <c r="D245" s="20">
        <v>23608335.4438469</v>
      </c>
      <c r="E245" s="20">
        <v>23608335.4438469</v>
      </c>
      <c r="F245" s="20">
        <v>23</v>
      </c>
      <c r="G245" s="20">
        <v>1</v>
      </c>
      <c r="H245" s="7">
        <f t="shared" si="12"/>
        <v>31871252.849193316</v>
      </c>
      <c r="I245" s="1">
        <f t="shared" si="13"/>
        <v>31871252.849193316</v>
      </c>
      <c r="J245" s="7">
        <f t="shared" si="14"/>
        <v>31.871252849193315</v>
      </c>
      <c r="K245" s="7">
        <f t="shared" si="15"/>
        <v>31.871252849193315</v>
      </c>
    </row>
    <row r="246" spans="1:11" x14ac:dyDescent="0.25">
      <c r="A246" s="20" t="s">
        <v>63</v>
      </c>
      <c r="B246" s="20" t="s">
        <v>8</v>
      </c>
      <c r="C246" s="20" t="s">
        <v>6</v>
      </c>
      <c r="D246" s="20">
        <v>113009.371380435</v>
      </c>
      <c r="E246" s="20">
        <v>113009.371380435</v>
      </c>
      <c r="F246" s="20">
        <v>1</v>
      </c>
      <c r="G246" s="20">
        <v>1</v>
      </c>
      <c r="H246" s="7">
        <f t="shared" si="12"/>
        <v>152562.65136358727</v>
      </c>
      <c r="I246" s="1">
        <f t="shared" si="13"/>
        <v>152562.65136358727</v>
      </c>
      <c r="J246" s="7">
        <f t="shared" si="14"/>
        <v>0.15256265136358726</v>
      </c>
      <c r="K246" s="7">
        <f t="shared" si="15"/>
        <v>0.15256265136358726</v>
      </c>
    </row>
    <row r="247" spans="1:11" x14ac:dyDescent="0.25">
      <c r="A247" s="20" t="s">
        <v>111</v>
      </c>
      <c r="B247" s="20" t="s">
        <v>8</v>
      </c>
      <c r="C247" s="20" t="s">
        <v>6</v>
      </c>
      <c r="D247" s="20">
        <v>220671.18939815601</v>
      </c>
      <c r="E247" s="20">
        <v>220671.18939815601</v>
      </c>
      <c r="F247" s="20">
        <v>1</v>
      </c>
      <c r="G247" s="20">
        <v>1</v>
      </c>
      <c r="H247" s="7">
        <f t="shared" si="12"/>
        <v>297906.10568751063</v>
      </c>
      <c r="I247" s="1">
        <f t="shared" si="13"/>
        <v>297906.10568751063</v>
      </c>
      <c r="J247" s="7">
        <f t="shared" si="14"/>
        <v>0.29790610568751064</v>
      </c>
      <c r="K247" s="7">
        <f t="shared" si="15"/>
        <v>0.29790610568751064</v>
      </c>
    </row>
    <row r="248" spans="1:11" x14ac:dyDescent="0.25">
      <c r="A248" s="20" t="s">
        <v>64</v>
      </c>
      <c r="B248" s="20" t="s">
        <v>8</v>
      </c>
      <c r="C248" s="20" t="s">
        <v>6</v>
      </c>
      <c r="D248" s="20">
        <v>324243751.586941</v>
      </c>
      <c r="E248" s="20">
        <v>233175880.16769499</v>
      </c>
      <c r="F248" s="20">
        <v>84</v>
      </c>
      <c r="G248" s="20">
        <v>1</v>
      </c>
      <c r="H248" s="7">
        <f t="shared" si="12"/>
        <v>437729064.6423704</v>
      </c>
      <c r="I248" s="1">
        <f t="shared" si="13"/>
        <v>314787438.22638828</v>
      </c>
      <c r="J248" s="7">
        <f t="shared" si="14"/>
        <v>437.72906464237042</v>
      </c>
      <c r="K248" s="7">
        <f t="shared" si="15"/>
        <v>314.7874382263883</v>
      </c>
    </row>
    <row r="249" spans="1:11" x14ac:dyDescent="0.25">
      <c r="A249" s="20" t="s">
        <v>119</v>
      </c>
      <c r="B249" s="20" t="s">
        <v>8</v>
      </c>
      <c r="C249" s="20" t="s">
        <v>6</v>
      </c>
      <c r="D249" s="20">
        <v>8328826.5467290403</v>
      </c>
      <c r="E249" s="20">
        <v>8328826.5467290403</v>
      </c>
      <c r="F249" s="20">
        <v>2</v>
      </c>
      <c r="G249" s="20">
        <v>1</v>
      </c>
      <c r="H249" s="7">
        <f t="shared" si="12"/>
        <v>11243915.838084206</v>
      </c>
      <c r="I249" s="1">
        <f t="shared" si="13"/>
        <v>11243915.838084206</v>
      </c>
      <c r="J249" s="7">
        <f t="shared" si="14"/>
        <v>11.243915838084206</v>
      </c>
      <c r="K249" s="7">
        <f t="shared" si="15"/>
        <v>11.243915838084206</v>
      </c>
    </row>
    <row r="250" spans="1:11" x14ac:dyDescent="0.25">
      <c r="A250" s="20" t="s">
        <v>112</v>
      </c>
      <c r="B250" s="20" t="s">
        <v>8</v>
      </c>
      <c r="C250" s="20" t="s">
        <v>6</v>
      </c>
      <c r="D250" s="20">
        <v>25251.314926518098</v>
      </c>
      <c r="E250" s="20">
        <v>25251.314926518098</v>
      </c>
      <c r="F250" s="20">
        <v>1</v>
      </c>
      <c r="G250" s="20">
        <v>1</v>
      </c>
      <c r="H250" s="7">
        <f t="shared" si="12"/>
        <v>34089.275150799433</v>
      </c>
      <c r="I250" s="1">
        <f t="shared" si="13"/>
        <v>34089.275150799433</v>
      </c>
      <c r="J250" s="7">
        <f t="shared" si="14"/>
        <v>3.4089275150799431E-2</v>
      </c>
      <c r="K250" s="7">
        <f t="shared" si="15"/>
        <v>3.4089275150799431E-2</v>
      </c>
    </row>
    <row r="251" spans="1:11" x14ac:dyDescent="0.25">
      <c r="A251" s="20" t="s">
        <v>65</v>
      </c>
      <c r="B251" s="20" t="s">
        <v>8</v>
      </c>
      <c r="C251" s="20" t="s">
        <v>6</v>
      </c>
      <c r="D251" s="20">
        <v>183525417.04899299</v>
      </c>
      <c r="E251" s="20">
        <v>107035050.91833501</v>
      </c>
      <c r="F251" s="20">
        <v>42</v>
      </c>
      <c r="G251" s="20">
        <v>1</v>
      </c>
      <c r="H251" s="7">
        <f t="shared" si="12"/>
        <v>247759313.01614055</v>
      </c>
      <c r="I251" s="1">
        <f t="shared" si="13"/>
        <v>144497318.73975226</v>
      </c>
      <c r="J251" s="7">
        <f t="shared" si="14"/>
        <v>247.75931301614054</v>
      </c>
      <c r="K251" s="7">
        <f t="shared" si="15"/>
        <v>144.49731873975227</v>
      </c>
    </row>
    <row r="252" spans="1:11" x14ac:dyDescent="0.25">
      <c r="A252" s="20" t="s">
        <v>66</v>
      </c>
      <c r="B252" s="20" t="s">
        <v>8</v>
      </c>
      <c r="C252" s="20" t="s">
        <v>6</v>
      </c>
      <c r="D252" s="20">
        <v>200905.54912077499</v>
      </c>
      <c r="E252" s="20">
        <v>200905.54912077499</v>
      </c>
      <c r="F252" s="20">
        <v>1</v>
      </c>
      <c r="G252" s="20">
        <v>1</v>
      </c>
      <c r="H252" s="7">
        <f t="shared" si="12"/>
        <v>271222.49131304625</v>
      </c>
      <c r="I252" s="1">
        <f t="shared" si="13"/>
        <v>271222.49131304625</v>
      </c>
      <c r="J252" s="7">
        <f t="shared" si="14"/>
        <v>0.27122249131304627</v>
      </c>
      <c r="K252" s="7">
        <f t="shared" si="15"/>
        <v>0.27122249131304627</v>
      </c>
    </row>
    <row r="253" spans="1:11" x14ac:dyDescent="0.25">
      <c r="A253" s="20" t="s">
        <v>67</v>
      </c>
      <c r="B253" s="20" t="s">
        <v>8</v>
      </c>
      <c r="C253" s="20" t="s">
        <v>6</v>
      </c>
      <c r="D253" s="20">
        <v>13972198.7394515</v>
      </c>
      <c r="E253" s="20">
        <v>13972198.7394515</v>
      </c>
      <c r="F253" s="20">
        <v>22</v>
      </c>
      <c r="G253" s="20">
        <v>1</v>
      </c>
      <c r="H253" s="7">
        <f t="shared" si="12"/>
        <v>18862468.298259526</v>
      </c>
      <c r="I253" s="1">
        <f t="shared" si="13"/>
        <v>18862468.298259526</v>
      </c>
      <c r="J253" s="7">
        <f t="shared" si="14"/>
        <v>18.862468298259525</v>
      </c>
      <c r="K253" s="7">
        <f t="shared" si="15"/>
        <v>18.862468298259525</v>
      </c>
    </row>
    <row r="254" spans="1:11" x14ac:dyDescent="0.25">
      <c r="A254" s="20" t="s">
        <v>70</v>
      </c>
      <c r="B254" s="20" t="s">
        <v>8</v>
      </c>
      <c r="C254" s="20" t="s">
        <v>6</v>
      </c>
      <c r="D254" s="20">
        <v>25744511.735059202</v>
      </c>
      <c r="E254" s="20">
        <v>25744511.735059202</v>
      </c>
      <c r="F254" s="20">
        <v>8</v>
      </c>
      <c r="G254" s="20">
        <v>1</v>
      </c>
      <c r="H254" s="7">
        <f t="shared" si="12"/>
        <v>34755090.842329927</v>
      </c>
      <c r="I254" s="1">
        <f t="shared" si="13"/>
        <v>34755090.842329927</v>
      </c>
      <c r="J254" s="7">
        <f t="shared" si="14"/>
        <v>34.755090842329928</v>
      </c>
      <c r="K254" s="7">
        <f t="shared" si="15"/>
        <v>34.755090842329928</v>
      </c>
    </row>
    <row r="255" spans="1:11" x14ac:dyDescent="0.25">
      <c r="A255" s="20" t="s">
        <v>125</v>
      </c>
      <c r="B255" s="20" t="s">
        <v>8</v>
      </c>
      <c r="C255" s="20" t="s">
        <v>6</v>
      </c>
      <c r="D255" s="20">
        <v>83045.021736187395</v>
      </c>
      <c r="E255" s="20">
        <v>83045.021736187395</v>
      </c>
      <c r="F255" s="20">
        <v>1</v>
      </c>
      <c r="G255" s="20">
        <v>1</v>
      </c>
      <c r="H255" s="7">
        <f t="shared" si="12"/>
        <v>112110.77934385299</v>
      </c>
      <c r="I255" s="1">
        <f t="shared" si="13"/>
        <v>112110.77934385299</v>
      </c>
      <c r="J255" s="7">
        <f t="shared" si="14"/>
        <v>0.112110779343853</v>
      </c>
      <c r="K255" s="7">
        <f t="shared" si="15"/>
        <v>0.112110779343853</v>
      </c>
    </row>
    <row r="256" spans="1:11" x14ac:dyDescent="0.25">
      <c r="A256" s="20" t="s">
        <v>72</v>
      </c>
      <c r="B256" s="20" t="s">
        <v>8</v>
      </c>
      <c r="C256" s="20" t="s">
        <v>6</v>
      </c>
      <c r="D256" s="20">
        <v>5471783.9228177303</v>
      </c>
      <c r="E256" s="20">
        <v>5471783.9228177303</v>
      </c>
      <c r="F256" s="20">
        <v>2</v>
      </c>
      <c r="G256" s="20">
        <v>1</v>
      </c>
      <c r="H256" s="7">
        <f t="shared" si="12"/>
        <v>7386908.2958039362</v>
      </c>
      <c r="I256" s="1">
        <f t="shared" si="13"/>
        <v>7386908.2958039362</v>
      </c>
      <c r="J256" s="7">
        <f t="shared" si="14"/>
        <v>7.386908295803936</v>
      </c>
      <c r="K256" s="7">
        <f t="shared" si="15"/>
        <v>7.386908295803936</v>
      </c>
    </row>
    <row r="257" spans="1:11" x14ac:dyDescent="0.25">
      <c r="A257" s="20" t="s">
        <v>73</v>
      </c>
      <c r="B257" s="20" t="s">
        <v>8</v>
      </c>
      <c r="C257" s="20" t="s">
        <v>6</v>
      </c>
      <c r="D257" s="20">
        <v>77594712.229696497</v>
      </c>
      <c r="E257" s="20">
        <v>77380982.922133207</v>
      </c>
      <c r="F257" s="20">
        <v>9</v>
      </c>
      <c r="G257" s="20">
        <v>1</v>
      </c>
      <c r="H257" s="7">
        <f t="shared" si="12"/>
        <v>104752861.51009028</v>
      </c>
      <c r="I257" s="1">
        <f t="shared" si="13"/>
        <v>104464326.94487983</v>
      </c>
      <c r="J257" s="7">
        <f t="shared" si="14"/>
        <v>104.75286151009027</v>
      </c>
      <c r="K257" s="7">
        <f t="shared" si="15"/>
        <v>104.46432694487983</v>
      </c>
    </row>
    <row r="258" spans="1:11" x14ac:dyDescent="0.25">
      <c r="A258" s="20" t="s">
        <v>74</v>
      </c>
      <c r="B258" s="20" t="s">
        <v>8</v>
      </c>
      <c r="C258" s="20" t="s">
        <v>6</v>
      </c>
      <c r="D258" s="20">
        <v>79939924.406128198</v>
      </c>
      <c r="E258" s="20">
        <v>51559963.81707</v>
      </c>
      <c r="F258" s="20">
        <v>12</v>
      </c>
      <c r="G258" s="20">
        <v>1</v>
      </c>
      <c r="H258" s="7">
        <f t="shared" si="12"/>
        <v>107918897.94827308</v>
      </c>
      <c r="I258" s="1">
        <f t="shared" si="13"/>
        <v>69605951.153044507</v>
      </c>
      <c r="J258" s="7">
        <f t="shared" si="14"/>
        <v>107.91889794827308</v>
      </c>
      <c r="K258" s="7">
        <f t="shared" si="15"/>
        <v>69.605951153044501</v>
      </c>
    </row>
    <row r="259" spans="1:11" x14ac:dyDescent="0.25">
      <c r="A259" s="20" t="s">
        <v>126</v>
      </c>
      <c r="B259" s="20" t="s">
        <v>8</v>
      </c>
      <c r="C259" s="20" t="s">
        <v>6</v>
      </c>
      <c r="D259" s="20">
        <v>2066021.52559455</v>
      </c>
      <c r="E259" s="20">
        <v>2066021.52559455</v>
      </c>
      <c r="F259" s="20">
        <v>1</v>
      </c>
      <c r="G259" s="20">
        <v>1</v>
      </c>
      <c r="H259" s="7">
        <f t="shared" ref="H259:H322" si="16">D259*1.35</f>
        <v>2789129.0595526425</v>
      </c>
      <c r="I259" s="1">
        <f t="shared" ref="I259:I322" si="17">E259*1.35</f>
        <v>2789129.0595526425</v>
      </c>
      <c r="J259" s="7">
        <f t="shared" ref="J259:J322" si="18">H259/1000000</f>
        <v>2.7891290595526423</v>
      </c>
      <c r="K259" s="7">
        <f t="shared" ref="K259:K322" si="19">I259/1000000</f>
        <v>2.7891290595526423</v>
      </c>
    </row>
    <row r="260" spans="1:11" x14ac:dyDescent="0.25">
      <c r="A260" s="20" t="s">
        <v>76</v>
      </c>
      <c r="B260" s="20" t="s">
        <v>8</v>
      </c>
      <c r="C260" s="20" t="s">
        <v>6</v>
      </c>
      <c r="D260" s="20">
        <v>263034815.831615</v>
      </c>
      <c r="E260" s="20">
        <v>239889344.47848099</v>
      </c>
      <c r="F260" s="20">
        <v>90</v>
      </c>
      <c r="G260" s="20">
        <v>1</v>
      </c>
      <c r="H260" s="7">
        <f t="shared" si="16"/>
        <v>355097001.37268025</v>
      </c>
      <c r="I260" s="1">
        <f t="shared" si="17"/>
        <v>323850615.04594934</v>
      </c>
      <c r="J260" s="7">
        <f t="shared" si="18"/>
        <v>355.09700137268027</v>
      </c>
      <c r="K260" s="7">
        <f t="shared" si="19"/>
        <v>323.85061504594933</v>
      </c>
    </row>
    <row r="261" spans="1:11" x14ac:dyDescent="0.25">
      <c r="A261" s="20" t="s">
        <v>77</v>
      </c>
      <c r="B261" s="20" t="s">
        <v>8</v>
      </c>
      <c r="C261" s="20" t="s">
        <v>6</v>
      </c>
      <c r="D261" s="20">
        <v>353495.08867461898</v>
      </c>
      <c r="E261" s="20">
        <v>353495.08867461898</v>
      </c>
      <c r="F261" s="20">
        <v>1</v>
      </c>
      <c r="G261" s="20">
        <v>1</v>
      </c>
      <c r="H261" s="7">
        <f t="shared" si="16"/>
        <v>477218.36971073563</v>
      </c>
      <c r="I261" s="1">
        <f t="shared" si="17"/>
        <v>477218.36971073563</v>
      </c>
      <c r="J261" s="7">
        <f t="shared" si="18"/>
        <v>0.47721836971073561</v>
      </c>
      <c r="K261" s="7">
        <f t="shared" si="19"/>
        <v>0.47721836971073561</v>
      </c>
    </row>
    <row r="262" spans="1:11" x14ac:dyDescent="0.25">
      <c r="A262" s="20" t="s">
        <v>79</v>
      </c>
      <c r="B262" s="20" t="s">
        <v>8</v>
      </c>
      <c r="C262" s="20" t="s">
        <v>6</v>
      </c>
      <c r="D262" s="20">
        <v>22920435.965222102</v>
      </c>
      <c r="E262" s="20">
        <v>17046919.4911348</v>
      </c>
      <c r="F262" s="20">
        <v>13</v>
      </c>
      <c r="G262" s="20">
        <v>1</v>
      </c>
      <c r="H262" s="7">
        <f t="shared" si="16"/>
        <v>30942588.55304984</v>
      </c>
      <c r="I262" s="1">
        <f t="shared" si="17"/>
        <v>23013341.313031983</v>
      </c>
      <c r="J262" s="7">
        <f t="shared" si="18"/>
        <v>30.942588553049841</v>
      </c>
      <c r="K262" s="7">
        <f t="shared" si="19"/>
        <v>23.013341313031983</v>
      </c>
    </row>
    <row r="263" spans="1:11" x14ac:dyDescent="0.25">
      <c r="A263" s="20" t="s">
        <v>114</v>
      </c>
      <c r="B263" s="20" t="s">
        <v>8</v>
      </c>
      <c r="C263" s="20" t="s">
        <v>6</v>
      </c>
      <c r="D263" s="20">
        <v>761095.809172821</v>
      </c>
      <c r="E263" s="20">
        <v>761095.809172821</v>
      </c>
      <c r="F263" s="20">
        <v>2</v>
      </c>
      <c r="G263" s="20">
        <v>1</v>
      </c>
      <c r="H263" s="7">
        <f t="shared" si="16"/>
        <v>1027479.3423833085</v>
      </c>
      <c r="I263" s="1">
        <f t="shared" si="17"/>
        <v>1027479.3423833085</v>
      </c>
      <c r="J263" s="7">
        <f t="shared" si="18"/>
        <v>1.0274793423833084</v>
      </c>
      <c r="K263" s="7">
        <f t="shared" si="19"/>
        <v>1.0274793423833084</v>
      </c>
    </row>
    <row r="264" spans="1:11" x14ac:dyDescent="0.25">
      <c r="A264" s="20" t="s">
        <v>80</v>
      </c>
      <c r="B264" s="20" t="s">
        <v>8</v>
      </c>
      <c r="C264" s="20" t="s">
        <v>6</v>
      </c>
      <c r="D264" s="20">
        <v>5695863.3553453004</v>
      </c>
      <c r="E264" s="20">
        <v>5695863.3553453004</v>
      </c>
      <c r="F264" s="20">
        <v>5</v>
      </c>
      <c r="G264" s="20">
        <v>1</v>
      </c>
      <c r="H264" s="7">
        <f t="shared" si="16"/>
        <v>7689415.5297161564</v>
      </c>
      <c r="I264" s="1">
        <f t="shared" si="17"/>
        <v>7689415.5297161564</v>
      </c>
      <c r="J264" s="7">
        <f t="shared" si="18"/>
        <v>7.6894155297161566</v>
      </c>
      <c r="K264" s="7">
        <f t="shared" si="19"/>
        <v>7.6894155297161566</v>
      </c>
    </row>
    <row r="265" spans="1:11" x14ac:dyDescent="0.25">
      <c r="A265" s="20" t="s">
        <v>81</v>
      </c>
      <c r="B265" s="20" t="s">
        <v>8</v>
      </c>
      <c r="C265" s="20" t="s">
        <v>6</v>
      </c>
      <c r="D265" s="20">
        <v>3570559.5758810998</v>
      </c>
      <c r="E265" s="20">
        <v>3570559.5758810998</v>
      </c>
      <c r="F265" s="20">
        <v>2</v>
      </c>
      <c r="G265" s="20">
        <v>1</v>
      </c>
      <c r="H265" s="7">
        <f t="shared" si="16"/>
        <v>4820255.4274394847</v>
      </c>
      <c r="I265" s="1">
        <f t="shared" si="17"/>
        <v>4820255.4274394847</v>
      </c>
      <c r="J265" s="7">
        <f t="shared" si="18"/>
        <v>4.8202554274394851</v>
      </c>
      <c r="K265" s="7">
        <f t="shared" si="19"/>
        <v>4.8202554274394851</v>
      </c>
    </row>
    <row r="266" spans="1:11" x14ac:dyDescent="0.25">
      <c r="A266" s="20" t="s">
        <v>82</v>
      </c>
      <c r="B266" s="20" t="s">
        <v>8</v>
      </c>
      <c r="C266" s="20" t="s">
        <v>6</v>
      </c>
      <c r="D266" s="20">
        <v>8624915.8004783392</v>
      </c>
      <c r="E266" s="20">
        <v>8624915.8004783392</v>
      </c>
      <c r="F266" s="20">
        <v>10</v>
      </c>
      <c r="G266" s="20">
        <v>1</v>
      </c>
      <c r="H266" s="7">
        <f t="shared" si="16"/>
        <v>11643636.330645759</v>
      </c>
      <c r="I266" s="1">
        <f t="shared" si="17"/>
        <v>11643636.330645759</v>
      </c>
      <c r="J266" s="7">
        <f t="shared" si="18"/>
        <v>11.643636330645759</v>
      </c>
      <c r="K266" s="7">
        <f t="shared" si="19"/>
        <v>11.643636330645759</v>
      </c>
    </row>
    <row r="267" spans="1:11" x14ac:dyDescent="0.25">
      <c r="A267" s="20" t="s">
        <v>115</v>
      </c>
      <c r="B267" s="20" t="s">
        <v>8</v>
      </c>
      <c r="C267" s="20" t="s">
        <v>6</v>
      </c>
      <c r="D267" s="20">
        <v>21195725.717895798</v>
      </c>
      <c r="E267" s="20">
        <v>21195725.717895798</v>
      </c>
      <c r="F267" s="20">
        <v>11</v>
      </c>
      <c r="G267" s="20">
        <v>1</v>
      </c>
      <c r="H267" s="7">
        <f t="shared" si="16"/>
        <v>28614229.719159331</v>
      </c>
      <c r="I267" s="1">
        <f t="shared" si="17"/>
        <v>28614229.719159331</v>
      </c>
      <c r="J267" s="7">
        <f t="shared" si="18"/>
        <v>28.614229719159333</v>
      </c>
      <c r="K267" s="7">
        <f t="shared" si="19"/>
        <v>28.614229719159333</v>
      </c>
    </row>
    <row r="268" spans="1:11" x14ac:dyDescent="0.25">
      <c r="A268" s="20" t="s">
        <v>83</v>
      </c>
      <c r="B268" s="20" t="s">
        <v>8</v>
      </c>
      <c r="C268" s="20" t="s">
        <v>6</v>
      </c>
      <c r="D268" s="20">
        <v>126666.01483175</v>
      </c>
      <c r="E268" s="20">
        <v>126666.01483175</v>
      </c>
      <c r="F268" s="20">
        <v>2</v>
      </c>
      <c r="G268" s="20">
        <v>1</v>
      </c>
      <c r="H268" s="7">
        <f t="shared" si="16"/>
        <v>170999.12002286251</v>
      </c>
      <c r="I268" s="1">
        <f t="shared" si="17"/>
        <v>170999.12002286251</v>
      </c>
      <c r="J268" s="7">
        <f t="shared" si="18"/>
        <v>0.17099912002286252</v>
      </c>
      <c r="K268" s="7">
        <f t="shared" si="19"/>
        <v>0.17099912002286252</v>
      </c>
    </row>
    <row r="269" spans="1:11" x14ac:dyDescent="0.25">
      <c r="A269" s="20" t="s">
        <v>84</v>
      </c>
      <c r="B269" s="20" t="s">
        <v>8</v>
      </c>
      <c r="C269" s="20" t="s">
        <v>6</v>
      </c>
      <c r="D269" s="20">
        <v>962933.94816408202</v>
      </c>
      <c r="E269" s="20">
        <v>962933.94816408202</v>
      </c>
      <c r="F269" s="20">
        <v>1</v>
      </c>
      <c r="G269" s="20">
        <v>1</v>
      </c>
      <c r="H269" s="7">
        <f t="shared" si="16"/>
        <v>1299960.8300215108</v>
      </c>
      <c r="I269" s="1">
        <f t="shared" si="17"/>
        <v>1299960.8300215108</v>
      </c>
      <c r="J269" s="7">
        <f t="shared" si="18"/>
        <v>1.2999608300215109</v>
      </c>
      <c r="K269" s="7">
        <f t="shared" si="19"/>
        <v>1.2999608300215109</v>
      </c>
    </row>
    <row r="270" spans="1:11" x14ac:dyDescent="0.25">
      <c r="A270" s="20" t="s">
        <v>116</v>
      </c>
      <c r="B270" s="20" t="s">
        <v>8</v>
      </c>
      <c r="C270" s="20" t="s">
        <v>6</v>
      </c>
      <c r="D270" s="20">
        <v>1849998.0745799399</v>
      </c>
      <c r="E270" s="20">
        <v>1849998.0745799399</v>
      </c>
      <c r="F270" s="20">
        <v>3</v>
      </c>
      <c r="G270" s="20">
        <v>1</v>
      </c>
      <c r="H270" s="7">
        <f t="shared" si="16"/>
        <v>2497497.4006829192</v>
      </c>
      <c r="I270" s="1">
        <f t="shared" si="17"/>
        <v>2497497.4006829192</v>
      </c>
      <c r="J270" s="7">
        <f t="shared" si="18"/>
        <v>2.4974974006829194</v>
      </c>
      <c r="K270" s="7">
        <f t="shared" si="19"/>
        <v>2.4974974006829194</v>
      </c>
    </row>
    <row r="271" spans="1:11" x14ac:dyDescent="0.25">
      <c r="A271" s="20" t="s">
        <v>85</v>
      </c>
      <c r="B271" s="20" t="s">
        <v>8</v>
      </c>
      <c r="C271" s="20" t="s">
        <v>6</v>
      </c>
      <c r="D271" s="20">
        <v>70042765.727680907</v>
      </c>
      <c r="E271" s="20">
        <v>45383301.701447003</v>
      </c>
      <c r="F271" s="20">
        <v>12</v>
      </c>
      <c r="G271" s="20">
        <v>1</v>
      </c>
      <c r="H271" s="7">
        <f t="shared" si="16"/>
        <v>94557733.732369229</v>
      </c>
      <c r="I271" s="1">
        <f t="shared" si="17"/>
        <v>61267457.296953455</v>
      </c>
      <c r="J271" s="7">
        <f t="shared" si="18"/>
        <v>94.557733732369229</v>
      </c>
      <c r="K271" s="7">
        <f t="shared" si="19"/>
        <v>61.267457296953452</v>
      </c>
    </row>
    <row r="272" spans="1:11" x14ac:dyDescent="0.25">
      <c r="A272" s="20" t="s">
        <v>87</v>
      </c>
      <c r="B272" s="20" t="s">
        <v>8</v>
      </c>
      <c r="C272" s="20" t="s">
        <v>6</v>
      </c>
      <c r="D272" s="20">
        <v>4789663.1225650199</v>
      </c>
      <c r="E272" s="20">
        <v>4789663.1225650199</v>
      </c>
      <c r="F272" s="20">
        <v>3</v>
      </c>
      <c r="G272" s="20">
        <v>1</v>
      </c>
      <c r="H272" s="7">
        <f t="shared" si="16"/>
        <v>6466045.2154627768</v>
      </c>
      <c r="I272" s="1">
        <f t="shared" si="17"/>
        <v>6466045.2154627768</v>
      </c>
      <c r="J272" s="7">
        <f t="shared" si="18"/>
        <v>6.4660452154627768</v>
      </c>
      <c r="K272" s="7">
        <f t="shared" si="19"/>
        <v>6.4660452154627768</v>
      </c>
    </row>
    <row r="273" spans="1:11" x14ac:dyDescent="0.25">
      <c r="A273" s="20" t="s">
        <v>127</v>
      </c>
      <c r="B273" s="20" t="s">
        <v>8</v>
      </c>
      <c r="C273" s="20" t="s">
        <v>6</v>
      </c>
      <c r="D273" s="20">
        <v>143647.46762135401</v>
      </c>
      <c r="E273" s="20">
        <v>143647.46762135401</v>
      </c>
      <c r="F273" s="20">
        <v>1</v>
      </c>
      <c r="G273" s="20">
        <v>1</v>
      </c>
      <c r="H273" s="7">
        <f t="shared" si="16"/>
        <v>193924.08128882793</v>
      </c>
      <c r="I273" s="1">
        <f t="shared" si="17"/>
        <v>193924.08128882793</v>
      </c>
      <c r="J273" s="7">
        <f t="shared" si="18"/>
        <v>0.19392408128882793</v>
      </c>
      <c r="K273" s="7">
        <f t="shared" si="19"/>
        <v>0.19392408128882793</v>
      </c>
    </row>
    <row r="274" spans="1:11" x14ac:dyDescent="0.25">
      <c r="A274" s="20" t="s">
        <v>89</v>
      </c>
      <c r="B274" s="20" t="s">
        <v>8</v>
      </c>
      <c r="C274" s="20" t="s">
        <v>6</v>
      </c>
      <c r="D274" s="20">
        <v>24501192.553291999</v>
      </c>
      <c r="E274" s="20">
        <v>24501192.553291999</v>
      </c>
      <c r="F274" s="20">
        <v>9</v>
      </c>
      <c r="G274" s="20">
        <v>1</v>
      </c>
      <c r="H274" s="7">
        <f t="shared" si="16"/>
        <v>33076609.9469442</v>
      </c>
      <c r="I274" s="1">
        <f t="shared" si="17"/>
        <v>33076609.9469442</v>
      </c>
      <c r="J274" s="7">
        <f t="shared" si="18"/>
        <v>33.076609946944203</v>
      </c>
      <c r="K274" s="7">
        <f t="shared" si="19"/>
        <v>33.076609946944203</v>
      </c>
    </row>
    <row r="275" spans="1:11" x14ac:dyDescent="0.25">
      <c r="A275" s="20" t="s">
        <v>91</v>
      </c>
      <c r="B275" s="20" t="s">
        <v>8</v>
      </c>
      <c r="C275" s="20" t="s">
        <v>6</v>
      </c>
      <c r="D275" s="20">
        <v>119269832.531386</v>
      </c>
      <c r="E275" s="20">
        <v>41431963.185427003</v>
      </c>
      <c r="F275" s="20">
        <v>9</v>
      </c>
      <c r="G275" s="20">
        <v>1</v>
      </c>
      <c r="H275" s="7">
        <f t="shared" si="16"/>
        <v>161014273.91737112</v>
      </c>
      <c r="I275" s="1">
        <f t="shared" si="17"/>
        <v>55933150.300326459</v>
      </c>
      <c r="J275" s="7">
        <f t="shared" si="18"/>
        <v>161.01427391737113</v>
      </c>
      <c r="K275" s="7">
        <f t="shared" si="19"/>
        <v>55.93315030032646</v>
      </c>
    </row>
    <row r="276" spans="1:11" x14ac:dyDescent="0.25">
      <c r="A276" s="20" t="s">
        <v>92</v>
      </c>
      <c r="B276" s="20" t="s">
        <v>8</v>
      </c>
      <c r="C276" s="20" t="s">
        <v>6</v>
      </c>
      <c r="D276" s="20">
        <v>32484666.484152801</v>
      </c>
      <c r="E276" s="20">
        <v>32484666.484152801</v>
      </c>
      <c r="F276" s="20">
        <v>8</v>
      </c>
      <c r="G276" s="20">
        <v>1</v>
      </c>
      <c r="H276" s="7">
        <f t="shared" si="16"/>
        <v>43854299.753606282</v>
      </c>
      <c r="I276" s="1">
        <f t="shared" si="17"/>
        <v>43854299.753606282</v>
      </c>
      <c r="J276" s="7">
        <f t="shared" si="18"/>
        <v>43.854299753606284</v>
      </c>
      <c r="K276" s="7">
        <f t="shared" si="19"/>
        <v>43.854299753606284</v>
      </c>
    </row>
    <row r="277" spans="1:11" x14ac:dyDescent="0.25">
      <c r="A277" s="20" t="s">
        <v>93</v>
      </c>
      <c r="B277" s="20" t="s">
        <v>8</v>
      </c>
      <c r="C277" s="20" t="s">
        <v>6</v>
      </c>
      <c r="D277" s="20">
        <v>2137293.0760089699</v>
      </c>
      <c r="E277" s="20">
        <v>2137293.0760089699</v>
      </c>
      <c r="F277" s="20">
        <v>1</v>
      </c>
      <c r="G277" s="20">
        <v>1</v>
      </c>
      <c r="H277" s="7">
        <f t="shared" si="16"/>
        <v>2885345.6526121097</v>
      </c>
      <c r="I277" s="1">
        <f t="shared" si="17"/>
        <v>2885345.6526121097</v>
      </c>
      <c r="J277" s="7">
        <f t="shared" si="18"/>
        <v>2.8853456526121097</v>
      </c>
      <c r="K277" s="7">
        <f t="shared" si="19"/>
        <v>2.8853456526121097</v>
      </c>
    </row>
    <row r="278" spans="1:11" x14ac:dyDescent="0.25">
      <c r="A278" s="20" t="s">
        <v>117</v>
      </c>
      <c r="B278" s="20" t="s">
        <v>8</v>
      </c>
      <c r="C278" s="20" t="s">
        <v>6</v>
      </c>
      <c r="D278" s="20">
        <v>1380511.1388558799</v>
      </c>
      <c r="E278" s="20">
        <v>1380511.1388558799</v>
      </c>
      <c r="F278" s="20">
        <v>1</v>
      </c>
      <c r="G278" s="20">
        <v>1</v>
      </c>
      <c r="H278" s="7">
        <f t="shared" si="16"/>
        <v>1863690.0374554379</v>
      </c>
      <c r="I278" s="1">
        <f t="shared" si="17"/>
        <v>1863690.0374554379</v>
      </c>
      <c r="J278" s="7">
        <f t="shared" si="18"/>
        <v>1.8636900374554379</v>
      </c>
      <c r="K278" s="7">
        <f t="shared" si="19"/>
        <v>1.8636900374554379</v>
      </c>
    </row>
    <row r="279" spans="1:11" x14ac:dyDescent="0.25">
      <c r="A279" s="20" t="s">
        <v>95</v>
      </c>
      <c r="B279" s="20" t="s">
        <v>8</v>
      </c>
      <c r="C279" s="20" t="s">
        <v>6</v>
      </c>
      <c r="D279" s="20">
        <v>12562160.6862316</v>
      </c>
      <c r="E279" s="20">
        <v>12279786.932414699</v>
      </c>
      <c r="F279" s="20">
        <v>6</v>
      </c>
      <c r="G279" s="20">
        <v>1</v>
      </c>
      <c r="H279" s="7">
        <f t="shared" si="16"/>
        <v>16958916.926412661</v>
      </c>
      <c r="I279" s="1">
        <f t="shared" si="17"/>
        <v>16577712.358759845</v>
      </c>
      <c r="J279" s="7">
        <f t="shared" si="18"/>
        <v>16.958916926412659</v>
      </c>
      <c r="K279" s="7">
        <f t="shared" si="19"/>
        <v>16.577712358759843</v>
      </c>
    </row>
    <row r="280" spans="1:11" x14ac:dyDescent="0.25">
      <c r="A280" s="20" t="s">
        <v>96</v>
      </c>
      <c r="B280" s="20" t="s">
        <v>8</v>
      </c>
      <c r="C280" s="20" t="s">
        <v>6</v>
      </c>
      <c r="D280" s="20">
        <v>362127.66437521699</v>
      </c>
      <c r="E280" s="20">
        <v>362127.66437521699</v>
      </c>
      <c r="F280" s="20">
        <v>2</v>
      </c>
      <c r="G280" s="20">
        <v>1</v>
      </c>
      <c r="H280" s="7">
        <f t="shared" si="16"/>
        <v>488872.34690654295</v>
      </c>
      <c r="I280" s="1">
        <f t="shared" si="17"/>
        <v>488872.34690654295</v>
      </c>
      <c r="J280" s="7">
        <f t="shared" si="18"/>
        <v>0.48887234690654296</v>
      </c>
      <c r="K280" s="7">
        <f t="shared" si="19"/>
        <v>0.48887234690654296</v>
      </c>
    </row>
    <row r="281" spans="1:11" x14ac:dyDescent="0.25">
      <c r="A281" s="20" t="s">
        <v>97</v>
      </c>
      <c r="B281" s="20" t="s">
        <v>8</v>
      </c>
      <c r="C281" s="20" t="s">
        <v>6</v>
      </c>
      <c r="D281" s="20">
        <v>9125966.1908271797</v>
      </c>
      <c r="E281" s="20">
        <v>9125966.1908271797</v>
      </c>
      <c r="F281" s="20">
        <v>16</v>
      </c>
      <c r="G281" s="20">
        <v>1</v>
      </c>
      <c r="H281" s="7">
        <f t="shared" si="16"/>
        <v>12320054.357616693</v>
      </c>
      <c r="I281" s="1">
        <f t="shared" si="17"/>
        <v>12320054.357616693</v>
      </c>
      <c r="J281" s="7">
        <f t="shared" si="18"/>
        <v>12.320054357616693</v>
      </c>
      <c r="K281" s="7">
        <f t="shared" si="19"/>
        <v>12.320054357616693</v>
      </c>
    </row>
    <row r="282" spans="1:11" x14ac:dyDescent="0.25">
      <c r="A282" s="20" t="s">
        <v>98</v>
      </c>
      <c r="B282" s="20" t="s">
        <v>8</v>
      </c>
      <c r="C282" s="20" t="s">
        <v>6</v>
      </c>
      <c r="D282" s="20">
        <v>906507554.61050797</v>
      </c>
      <c r="E282" s="20">
        <v>666539312.39975405</v>
      </c>
      <c r="F282" s="20">
        <v>227</v>
      </c>
      <c r="G282" s="20">
        <v>1</v>
      </c>
      <c r="H282" s="7">
        <f t="shared" si="16"/>
        <v>1223785198.7241859</v>
      </c>
      <c r="I282" s="1">
        <f t="shared" si="17"/>
        <v>899828071.73966801</v>
      </c>
      <c r="J282" s="7">
        <f t="shared" si="18"/>
        <v>1223.7851987241859</v>
      </c>
      <c r="K282" s="7">
        <f t="shared" si="19"/>
        <v>899.82807173966796</v>
      </c>
    </row>
    <row r="283" spans="1:11" x14ac:dyDescent="0.25">
      <c r="A283" s="20" t="s">
        <v>99</v>
      </c>
      <c r="B283" s="20" t="s">
        <v>8</v>
      </c>
      <c r="C283" s="20" t="s">
        <v>6</v>
      </c>
      <c r="D283" s="20">
        <v>18373346.465974201</v>
      </c>
      <c r="E283" s="20">
        <v>18373346.465974201</v>
      </c>
      <c r="F283" s="20">
        <v>13</v>
      </c>
      <c r="G283" s="20">
        <v>1</v>
      </c>
      <c r="H283" s="7">
        <f t="shared" si="16"/>
        <v>24804017.729065172</v>
      </c>
      <c r="I283" s="1">
        <f t="shared" si="17"/>
        <v>24804017.729065172</v>
      </c>
      <c r="J283" s="7">
        <f t="shared" si="18"/>
        <v>24.804017729065173</v>
      </c>
      <c r="K283" s="7">
        <f t="shared" si="19"/>
        <v>24.804017729065173</v>
      </c>
    </row>
    <row r="284" spans="1:11" x14ac:dyDescent="0.25">
      <c r="A284" s="20" t="s">
        <v>128</v>
      </c>
      <c r="B284" s="20" t="s">
        <v>8</v>
      </c>
      <c r="C284" s="20" t="s">
        <v>6</v>
      </c>
      <c r="D284" s="20">
        <v>6914832.50349735</v>
      </c>
      <c r="E284" s="20">
        <v>6914832.50349735</v>
      </c>
      <c r="F284" s="20">
        <v>6</v>
      </c>
      <c r="G284" s="20">
        <v>1</v>
      </c>
      <c r="H284" s="7">
        <f t="shared" si="16"/>
        <v>9335023.8797214236</v>
      </c>
      <c r="I284" s="1">
        <f t="shared" si="17"/>
        <v>9335023.8797214236</v>
      </c>
      <c r="J284" s="7">
        <f t="shared" si="18"/>
        <v>9.3350238797214242</v>
      </c>
      <c r="K284" s="7">
        <f t="shared" si="19"/>
        <v>9.3350238797214242</v>
      </c>
    </row>
    <row r="285" spans="1:11" x14ac:dyDescent="0.25">
      <c r="A285" s="20" t="s">
        <v>129</v>
      </c>
      <c r="B285" s="20" t="s">
        <v>8</v>
      </c>
      <c r="C285" s="20" t="s">
        <v>6</v>
      </c>
      <c r="D285" s="20">
        <v>200403.28524797299</v>
      </c>
      <c r="E285" s="20">
        <v>200403.28524797299</v>
      </c>
      <c r="F285" s="20">
        <v>1</v>
      </c>
      <c r="G285" s="20">
        <v>1</v>
      </c>
      <c r="H285" s="7">
        <f t="shared" si="16"/>
        <v>270544.43508476357</v>
      </c>
      <c r="I285" s="1">
        <f t="shared" si="17"/>
        <v>270544.43508476357</v>
      </c>
      <c r="J285" s="7">
        <f t="shared" si="18"/>
        <v>0.27054443508476356</v>
      </c>
      <c r="K285" s="7">
        <f t="shared" si="19"/>
        <v>0.27054443508476356</v>
      </c>
    </row>
    <row r="286" spans="1:11" x14ac:dyDescent="0.25">
      <c r="A286" s="20" t="s">
        <v>100</v>
      </c>
      <c r="B286" s="20" t="s">
        <v>8</v>
      </c>
      <c r="C286" s="20" t="s">
        <v>6</v>
      </c>
      <c r="D286" s="20">
        <v>37605.860497299902</v>
      </c>
      <c r="E286" s="20">
        <v>37605.860497299902</v>
      </c>
      <c r="F286" s="20">
        <v>1</v>
      </c>
      <c r="G286" s="20">
        <v>1</v>
      </c>
      <c r="H286" s="7">
        <f t="shared" si="16"/>
        <v>50767.911671354872</v>
      </c>
      <c r="I286" s="1">
        <f t="shared" si="17"/>
        <v>50767.911671354872</v>
      </c>
      <c r="J286" s="7">
        <f t="shared" si="18"/>
        <v>5.0767911671354873E-2</v>
      </c>
      <c r="K286" s="7">
        <f t="shared" si="19"/>
        <v>5.0767911671354873E-2</v>
      </c>
    </row>
    <row r="287" spans="1:11" x14ac:dyDescent="0.25">
      <c r="A287" s="20" t="s">
        <v>101</v>
      </c>
      <c r="B287" s="20" t="s">
        <v>8</v>
      </c>
      <c r="C287" s="20" t="s">
        <v>6</v>
      </c>
      <c r="D287" s="20">
        <v>600583.34210803302</v>
      </c>
      <c r="E287" s="20">
        <v>600583.34210803302</v>
      </c>
      <c r="F287" s="20">
        <v>3</v>
      </c>
      <c r="G287" s="20">
        <v>1</v>
      </c>
      <c r="H287" s="7">
        <f t="shared" si="16"/>
        <v>810787.51184584468</v>
      </c>
      <c r="I287" s="1">
        <f t="shared" si="17"/>
        <v>810787.51184584468</v>
      </c>
      <c r="J287" s="7">
        <f t="shared" si="18"/>
        <v>0.81078751184584463</v>
      </c>
      <c r="K287" s="7">
        <f t="shared" si="19"/>
        <v>0.81078751184584463</v>
      </c>
    </row>
    <row r="288" spans="1:11" x14ac:dyDescent="0.25">
      <c r="A288" s="20" t="s">
        <v>35</v>
      </c>
      <c r="B288" s="20" t="s">
        <v>9</v>
      </c>
      <c r="C288" s="20" t="s">
        <v>6</v>
      </c>
      <c r="D288" s="20">
        <v>965000</v>
      </c>
      <c r="E288" s="20">
        <v>965000</v>
      </c>
      <c r="F288" s="20">
        <v>1</v>
      </c>
      <c r="G288" s="20">
        <v>0</v>
      </c>
      <c r="H288" s="7">
        <f t="shared" si="16"/>
        <v>1302750</v>
      </c>
      <c r="I288" s="1">
        <f t="shared" si="17"/>
        <v>1302750</v>
      </c>
      <c r="J288" s="7">
        <f t="shared" si="18"/>
        <v>1.3027500000000001</v>
      </c>
      <c r="K288" s="7">
        <f t="shared" si="19"/>
        <v>1.3027500000000001</v>
      </c>
    </row>
    <row r="289" spans="1:11" x14ac:dyDescent="0.25">
      <c r="A289" s="20" t="s">
        <v>37</v>
      </c>
      <c r="B289" s="20" t="s">
        <v>9</v>
      </c>
      <c r="C289" s="20" t="s">
        <v>6</v>
      </c>
      <c r="D289" s="20">
        <v>647970</v>
      </c>
      <c r="E289" s="20">
        <v>647970</v>
      </c>
      <c r="F289" s="20">
        <v>4</v>
      </c>
      <c r="G289" s="20">
        <v>0</v>
      </c>
      <c r="H289" s="7">
        <f t="shared" si="16"/>
        <v>874759.5</v>
      </c>
      <c r="I289" s="1">
        <f t="shared" si="17"/>
        <v>874759.5</v>
      </c>
      <c r="J289" s="7">
        <f t="shared" si="18"/>
        <v>0.87475950000000002</v>
      </c>
      <c r="K289" s="7">
        <f t="shared" si="19"/>
        <v>0.87475950000000002</v>
      </c>
    </row>
    <row r="290" spans="1:11" x14ac:dyDescent="0.25">
      <c r="A290" s="20" t="s">
        <v>48</v>
      </c>
      <c r="B290" s="20" t="s">
        <v>9</v>
      </c>
      <c r="C290" s="20" t="s">
        <v>6</v>
      </c>
      <c r="D290" s="20">
        <v>570972</v>
      </c>
      <c r="E290" s="20">
        <v>570972</v>
      </c>
      <c r="F290" s="20">
        <v>1</v>
      </c>
      <c r="G290" s="20">
        <v>0</v>
      </c>
      <c r="H290" s="7">
        <f t="shared" si="16"/>
        <v>770812.20000000007</v>
      </c>
      <c r="I290" s="1">
        <f t="shared" si="17"/>
        <v>770812.20000000007</v>
      </c>
      <c r="J290" s="7">
        <f t="shared" si="18"/>
        <v>0.77081220000000006</v>
      </c>
      <c r="K290" s="7">
        <f t="shared" si="19"/>
        <v>0.77081220000000006</v>
      </c>
    </row>
    <row r="291" spans="1:11" x14ac:dyDescent="0.25">
      <c r="A291" s="20" t="s">
        <v>50</v>
      </c>
      <c r="B291" s="20" t="s">
        <v>9</v>
      </c>
      <c r="C291" s="20" t="s">
        <v>6</v>
      </c>
      <c r="D291" s="20">
        <v>11303190</v>
      </c>
      <c r="E291" s="20">
        <v>11303190</v>
      </c>
      <c r="F291" s="20">
        <v>2</v>
      </c>
      <c r="G291" s="20">
        <v>0</v>
      </c>
      <c r="H291" s="7">
        <f t="shared" si="16"/>
        <v>15259306.500000002</v>
      </c>
      <c r="I291" s="1">
        <f t="shared" si="17"/>
        <v>15259306.500000002</v>
      </c>
      <c r="J291" s="7">
        <f t="shared" si="18"/>
        <v>15.259306500000001</v>
      </c>
      <c r="K291" s="7">
        <f t="shared" si="19"/>
        <v>15.259306500000001</v>
      </c>
    </row>
    <row r="292" spans="1:11" x14ac:dyDescent="0.25">
      <c r="A292" s="20" t="s">
        <v>103</v>
      </c>
      <c r="B292" s="20" t="s">
        <v>9</v>
      </c>
      <c r="C292" s="20" t="s">
        <v>6</v>
      </c>
      <c r="D292" s="20">
        <v>78660</v>
      </c>
      <c r="E292" s="20">
        <v>78660</v>
      </c>
      <c r="F292" s="20">
        <v>1</v>
      </c>
      <c r="G292" s="20">
        <v>0</v>
      </c>
      <c r="H292" s="7">
        <f t="shared" si="16"/>
        <v>106191</v>
      </c>
      <c r="I292" s="1">
        <f t="shared" si="17"/>
        <v>106191</v>
      </c>
      <c r="J292" s="7">
        <f t="shared" si="18"/>
        <v>0.10619099999999999</v>
      </c>
      <c r="K292" s="7">
        <f t="shared" si="19"/>
        <v>0.10619099999999999</v>
      </c>
    </row>
    <row r="293" spans="1:11" x14ac:dyDescent="0.25">
      <c r="A293" s="20" t="s">
        <v>53</v>
      </c>
      <c r="B293" s="20" t="s">
        <v>9</v>
      </c>
      <c r="C293" s="20" t="s">
        <v>6</v>
      </c>
      <c r="D293" s="20">
        <v>92939537</v>
      </c>
      <c r="E293" s="20">
        <v>92939537</v>
      </c>
      <c r="F293" s="20">
        <v>11</v>
      </c>
      <c r="G293" s="20">
        <v>0</v>
      </c>
      <c r="H293" s="7">
        <f t="shared" si="16"/>
        <v>125468374.95</v>
      </c>
      <c r="I293" s="1">
        <f t="shared" si="17"/>
        <v>125468374.95</v>
      </c>
      <c r="J293" s="7">
        <f t="shared" si="18"/>
        <v>125.46837495</v>
      </c>
      <c r="K293" s="7">
        <f t="shared" si="19"/>
        <v>125.46837495</v>
      </c>
    </row>
    <row r="294" spans="1:11" x14ac:dyDescent="0.25">
      <c r="A294" s="20" t="s">
        <v>54</v>
      </c>
      <c r="B294" s="20" t="s">
        <v>9</v>
      </c>
      <c r="C294" s="20" t="s">
        <v>6</v>
      </c>
      <c r="D294" s="20">
        <v>61582623.200190403</v>
      </c>
      <c r="E294" s="20">
        <v>61582623.200190403</v>
      </c>
      <c r="F294" s="20">
        <v>97</v>
      </c>
      <c r="G294" s="20">
        <v>0</v>
      </c>
      <c r="H294" s="7">
        <f t="shared" si="16"/>
        <v>83136541.320257053</v>
      </c>
      <c r="I294" s="1">
        <f t="shared" si="17"/>
        <v>83136541.320257053</v>
      </c>
      <c r="J294" s="7">
        <f t="shared" si="18"/>
        <v>83.136541320257052</v>
      </c>
      <c r="K294" s="7">
        <f t="shared" si="19"/>
        <v>83.136541320257052</v>
      </c>
    </row>
    <row r="295" spans="1:11" x14ac:dyDescent="0.25">
      <c r="A295" s="20" t="s">
        <v>57</v>
      </c>
      <c r="B295" s="20" t="s">
        <v>9</v>
      </c>
      <c r="C295" s="20" t="s">
        <v>6</v>
      </c>
      <c r="D295" s="20">
        <v>19052763.800000001</v>
      </c>
      <c r="E295" s="20">
        <v>19052763.800000001</v>
      </c>
      <c r="F295" s="20">
        <v>9</v>
      </c>
      <c r="G295" s="20">
        <v>0</v>
      </c>
      <c r="H295" s="7">
        <f t="shared" si="16"/>
        <v>25721231.130000003</v>
      </c>
      <c r="I295" s="1">
        <f t="shared" si="17"/>
        <v>25721231.130000003</v>
      </c>
      <c r="J295" s="7">
        <f t="shared" si="18"/>
        <v>25.721231130000003</v>
      </c>
      <c r="K295" s="7">
        <f t="shared" si="19"/>
        <v>25.721231130000003</v>
      </c>
    </row>
    <row r="296" spans="1:11" x14ac:dyDescent="0.25">
      <c r="A296" s="20" t="s">
        <v>130</v>
      </c>
      <c r="B296" s="20" t="s">
        <v>9</v>
      </c>
      <c r="C296" s="20" t="s">
        <v>6</v>
      </c>
      <c r="D296" s="20">
        <v>102856</v>
      </c>
      <c r="E296" s="20">
        <v>102856</v>
      </c>
      <c r="F296" s="20">
        <v>1</v>
      </c>
      <c r="G296" s="20">
        <v>0</v>
      </c>
      <c r="H296" s="7">
        <f t="shared" si="16"/>
        <v>138855.6</v>
      </c>
      <c r="I296" s="1">
        <f t="shared" si="17"/>
        <v>138855.6</v>
      </c>
      <c r="J296" s="7">
        <f t="shared" si="18"/>
        <v>0.1388556</v>
      </c>
      <c r="K296" s="7">
        <f t="shared" si="19"/>
        <v>0.1388556</v>
      </c>
    </row>
    <row r="297" spans="1:11" x14ac:dyDescent="0.25">
      <c r="A297" s="20" t="s">
        <v>61</v>
      </c>
      <c r="B297" s="20" t="s">
        <v>9</v>
      </c>
      <c r="C297" s="20" t="s">
        <v>6</v>
      </c>
      <c r="D297" s="20">
        <v>65258663.100000001</v>
      </c>
      <c r="E297" s="20">
        <v>65258663.100000001</v>
      </c>
      <c r="F297" s="20">
        <v>52</v>
      </c>
      <c r="G297" s="20">
        <v>0</v>
      </c>
      <c r="H297" s="7">
        <f t="shared" si="16"/>
        <v>88099195.185000002</v>
      </c>
      <c r="I297" s="1">
        <f t="shared" si="17"/>
        <v>88099195.185000002</v>
      </c>
      <c r="J297" s="7">
        <f t="shared" si="18"/>
        <v>88.099195184999999</v>
      </c>
      <c r="K297" s="7">
        <f t="shared" si="19"/>
        <v>88.099195184999999</v>
      </c>
    </row>
    <row r="298" spans="1:11" x14ac:dyDescent="0.25">
      <c r="A298" s="20" t="s">
        <v>64</v>
      </c>
      <c r="B298" s="20" t="s">
        <v>9</v>
      </c>
      <c r="C298" s="20" t="s">
        <v>6</v>
      </c>
      <c r="D298" s="20">
        <v>29905790</v>
      </c>
      <c r="E298" s="20">
        <v>29905790</v>
      </c>
      <c r="F298" s="20">
        <v>6</v>
      </c>
      <c r="G298" s="20">
        <v>0</v>
      </c>
      <c r="H298" s="7">
        <f t="shared" si="16"/>
        <v>40372816.5</v>
      </c>
      <c r="I298" s="1">
        <f t="shared" si="17"/>
        <v>40372816.5</v>
      </c>
      <c r="J298" s="7">
        <f t="shared" si="18"/>
        <v>40.372816499999999</v>
      </c>
      <c r="K298" s="7">
        <f t="shared" si="19"/>
        <v>40.372816499999999</v>
      </c>
    </row>
    <row r="299" spans="1:11" x14ac:dyDescent="0.25">
      <c r="A299" s="20" t="s">
        <v>113</v>
      </c>
      <c r="B299" s="20" t="s">
        <v>9</v>
      </c>
      <c r="C299" s="20" t="s">
        <v>6</v>
      </c>
      <c r="D299" s="20">
        <v>2761322</v>
      </c>
      <c r="E299" s="20">
        <v>2761322</v>
      </c>
      <c r="F299" s="20">
        <v>2</v>
      </c>
      <c r="G299" s="20">
        <v>0</v>
      </c>
      <c r="H299" s="7">
        <f t="shared" si="16"/>
        <v>3727784.7</v>
      </c>
      <c r="I299" s="1">
        <f t="shared" si="17"/>
        <v>3727784.7</v>
      </c>
      <c r="J299" s="7">
        <f t="shared" si="18"/>
        <v>3.7277847000000004</v>
      </c>
      <c r="K299" s="7">
        <f t="shared" si="19"/>
        <v>3.7277847000000004</v>
      </c>
    </row>
    <row r="300" spans="1:11" x14ac:dyDescent="0.25">
      <c r="A300" s="20" t="s">
        <v>74</v>
      </c>
      <c r="B300" s="20" t="s">
        <v>9</v>
      </c>
      <c r="C300" s="20" t="s">
        <v>6</v>
      </c>
      <c r="D300" s="20">
        <v>1023468.8</v>
      </c>
      <c r="E300" s="20">
        <v>1023468.8</v>
      </c>
      <c r="F300" s="20">
        <v>1</v>
      </c>
      <c r="G300" s="20">
        <v>0</v>
      </c>
      <c r="H300" s="7">
        <f t="shared" si="16"/>
        <v>1381682.8800000001</v>
      </c>
      <c r="I300" s="1">
        <f t="shared" si="17"/>
        <v>1381682.8800000001</v>
      </c>
      <c r="J300" s="7">
        <f t="shared" si="18"/>
        <v>1.3816828800000001</v>
      </c>
      <c r="K300" s="7">
        <f t="shared" si="19"/>
        <v>1.3816828800000001</v>
      </c>
    </row>
    <row r="301" spans="1:11" x14ac:dyDescent="0.25">
      <c r="A301" s="20" t="s">
        <v>84</v>
      </c>
      <c r="B301" s="20" t="s">
        <v>9</v>
      </c>
      <c r="C301" s="20" t="s">
        <v>6</v>
      </c>
      <c r="D301" s="20">
        <v>10000</v>
      </c>
      <c r="E301" s="20">
        <v>10000</v>
      </c>
      <c r="F301" s="20">
        <v>1</v>
      </c>
      <c r="G301" s="20">
        <v>0</v>
      </c>
      <c r="H301" s="7">
        <f t="shared" si="16"/>
        <v>13500</v>
      </c>
      <c r="I301" s="1">
        <f t="shared" si="17"/>
        <v>13500</v>
      </c>
      <c r="J301" s="7">
        <f t="shared" si="18"/>
        <v>1.35E-2</v>
      </c>
      <c r="K301" s="7">
        <f t="shared" si="19"/>
        <v>1.35E-2</v>
      </c>
    </row>
    <row r="302" spans="1:11" x14ac:dyDescent="0.25">
      <c r="A302" s="20" t="s">
        <v>85</v>
      </c>
      <c r="B302" s="20" t="s">
        <v>9</v>
      </c>
      <c r="C302" s="20" t="s">
        <v>6</v>
      </c>
      <c r="D302" s="20">
        <v>62080493</v>
      </c>
      <c r="E302" s="20">
        <v>62080493</v>
      </c>
      <c r="F302" s="20">
        <v>4</v>
      </c>
      <c r="G302" s="20">
        <v>0</v>
      </c>
      <c r="H302" s="7">
        <f t="shared" si="16"/>
        <v>83808665.550000012</v>
      </c>
      <c r="I302" s="1">
        <f t="shared" si="17"/>
        <v>83808665.550000012</v>
      </c>
      <c r="J302" s="7">
        <f t="shared" si="18"/>
        <v>83.808665550000015</v>
      </c>
      <c r="K302" s="7">
        <f t="shared" si="19"/>
        <v>83.808665550000015</v>
      </c>
    </row>
    <row r="303" spans="1:11" x14ac:dyDescent="0.25">
      <c r="A303" s="20" t="s">
        <v>88</v>
      </c>
      <c r="B303" s="20" t="s">
        <v>9</v>
      </c>
      <c r="C303" s="20" t="s">
        <v>6</v>
      </c>
      <c r="D303" s="20">
        <v>85713</v>
      </c>
      <c r="E303" s="20">
        <v>85713</v>
      </c>
      <c r="F303" s="20">
        <v>1</v>
      </c>
      <c r="G303" s="20">
        <v>0</v>
      </c>
      <c r="H303" s="7">
        <f t="shared" si="16"/>
        <v>115712.55</v>
      </c>
      <c r="I303" s="1">
        <f t="shared" si="17"/>
        <v>115712.55</v>
      </c>
      <c r="J303" s="7">
        <f t="shared" si="18"/>
        <v>0.11571255</v>
      </c>
      <c r="K303" s="7">
        <f t="shared" si="19"/>
        <v>0.11571255</v>
      </c>
    </row>
    <row r="304" spans="1:11" x14ac:dyDescent="0.25">
      <c r="A304" s="20" t="s">
        <v>91</v>
      </c>
      <c r="B304" s="20" t="s">
        <v>9</v>
      </c>
      <c r="C304" s="20" t="s">
        <v>6</v>
      </c>
      <c r="D304" s="20">
        <v>891706.8</v>
      </c>
      <c r="E304" s="20">
        <v>891706.8</v>
      </c>
      <c r="F304" s="20">
        <v>6</v>
      </c>
      <c r="G304" s="20">
        <v>0</v>
      </c>
      <c r="H304" s="7">
        <f t="shared" si="16"/>
        <v>1203804.1800000002</v>
      </c>
      <c r="I304" s="1">
        <f t="shared" si="17"/>
        <v>1203804.1800000002</v>
      </c>
      <c r="J304" s="7">
        <f t="shared" si="18"/>
        <v>1.2038041800000001</v>
      </c>
      <c r="K304" s="7">
        <f t="shared" si="19"/>
        <v>1.2038041800000001</v>
      </c>
    </row>
    <row r="305" spans="1:11" x14ac:dyDescent="0.25">
      <c r="A305" s="20" t="s">
        <v>131</v>
      </c>
      <c r="B305" s="20" t="s">
        <v>9</v>
      </c>
      <c r="C305" s="20" t="s">
        <v>6</v>
      </c>
      <c r="D305" s="20">
        <v>30400</v>
      </c>
      <c r="E305" s="20">
        <v>30400</v>
      </c>
      <c r="F305" s="20">
        <v>1</v>
      </c>
      <c r="G305" s="20">
        <v>0</v>
      </c>
      <c r="H305" s="7">
        <f t="shared" si="16"/>
        <v>41040</v>
      </c>
      <c r="I305" s="1">
        <f t="shared" si="17"/>
        <v>41040</v>
      </c>
      <c r="J305" s="7">
        <f t="shared" si="18"/>
        <v>4.104E-2</v>
      </c>
      <c r="K305" s="7">
        <f t="shared" si="19"/>
        <v>4.104E-2</v>
      </c>
    </row>
    <row r="306" spans="1:11" x14ac:dyDescent="0.25">
      <c r="A306" s="20" t="s">
        <v>132</v>
      </c>
      <c r="B306" s="20" t="s">
        <v>9</v>
      </c>
      <c r="C306" s="20" t="s">
        <v>6</v>
      </c>
      <c r="D306" s="20">
        <v>9412556</v>
      </c>
      <c r="E306" s="20">
        <v>9412556</v>
      </c>
      <c r="F306" s="20">
        <v>5</v>
      </c>
      <c r="G306" s="20">
        <v>1</v>
      </c>
      <c r="H306" s="7">
        <f t="shared" si="16"/>
        <v>12706950.600000001</v>
      </c>
      <c r="I306" s="1">
        <f t="shared" si="17"/>
        <v>12706950.600000001</v>
      </c>
      <c r="J306" s="7">
        <f t="shared" si="18"/>
        <v>12.706950600000001</v>
      </c>
      <c r="K306" s="7">
        <f t="shared" si="19"/>
        <v>12.706950600000001</v>
      </c>
    </row>
    <row r="307" spans="1:11" x14ac:dyDescent="0.25">
      <c r="A307" s="20" t="s">
        <v>33</v>
      </c>
      <c r="B307" s="20" t="s">
        <v>9</v>
      </c>
      <c r="C307" s="20" t="s">
        <v>6</v>
      </c>
      <c r="D307" s="20">
        <v>9164806.4000000004</v>
      </c>
      <c r="E307" s="20">
        <v>7538297.2000000002</v>
      </c>
      <c r="F307" s="20">
        <v>9</v>
      </c>
      <c r="G307" s="20">
        <v>1</v>
      </c>
      <c r="H307" s="7">
        <f t="shared" si="16"/>
        <v>12372488.640000001</v>
      </c>
      <c r="I307" s="1">
        <f t="shared" si="17"/>
        <v>10176701.220000001</v>
      </c>
      <c r="J307" s="7">
        <f t="shared" si="18"/>
        <v>12.37248864</v>
      </c>
      <c r="K307" s="7">
        <f t="shared" si="19"/>
        <v>10.17670122</v>
      </c>
    </row>
    <row r="308" spans="1:11" x14ac:dyDescent="0.25">
      <c r="A308" s="20" t="s">
        <v>35</v>
      </c>
      <c r="B308" s="20" t="s">
        <v>9</v>
      </c>
      <c r="C308" s="20" t="s">
        <v>6</v>
      </c>
      <c r="D308" s="20">
        <v>1593469941.57634</v>
      </c>
      <c r="E308" s="20">
        <v>1569310027.57634</v>
      </c>
      <c r="F308" s="20">
        <v>2497</v>
      </c>
      <c r="G308" s="20">
        <v>1</v>
      </c>
      <c r="H308" s="7">
        <f t="shared" si="16"/>
        <v>2151184421.1280589</v>
      </c>
      <c r="I308" s="1">
        <f t="shared" si="17"/>
        <v>2118568537.2280591</v>
      </c>
      <c r="J308" s="7">
        <f t="shared" si="18"/>
        <v>2151.1844211280591</v>
      </c>
      <c r="K308" s="7">
        <f t="shared" si="19"/>
        <v>2118.5685372280591</v>
      </c>
    </row>
    <row r="309" spans="1:11" x14ac:dyDescent="0.25">
      <c r="A309" s="20" t="s">
        <v>36</v>
      </c>
      <c r="B309" s="20" t="s">
        <v>9</v>
      </c>
      <c r="C309" s="20" t="s">
        <v>6</v>
      </c>
      <c r="D309" s="20">
        <v>1463282.4</v>
      </c>
      <c r="E309" s="20">
        <v>1463282.4</v>
      </c>
      <c r="F309" s="20">
        <v>12</v>
      </c>
      <c r="G309" s="20">
        <v>1</v>
      </c>
      <c r="H309" s="7">
        <f t="shared" si="16"/>
        <v>1975431.24</v>
      </c>
      <c r="I309" s="1">
        <f t="shared" si="17"/>
        <v>1975431.24</v>
      </c>
      <c r="J309" s="7">
        <f t="shared" si="18"/>
        <v>1.97543124</v>
      </c>
      <c r="K309" s="7">
        <f t="shared" si="19"/>
        <v>1.97543124</v>
      </c>
    </row>
    <row r="310" spans="1:11" x14ac:dyDescent="0.25">
      <c r="A310" s="20" t="s">
        <v>37</v>
      </c>
      <c r="B310" s="20" t="s">
        <v>9</v>
      </c>
      <c r="C310" s="20" t="s">
        <v>6</v>
      </c>
      <c r="D310" s="20">
        <v>9409929762.7999992</v>
      </c>
      <c r="E310" s="20">
        <v>8909949616</v>
      </c>
      <c r="F310" s="20">
        <v>6013</v>
      </c>
      <c r="G310" s="20">
        <v>1</v>
      </c>
      <c r="H310" s="7">
        <f t="shared" si="16"/>
        <v>12703405179.780001</v>
      </c>
      <c r="I310" s="1">
        <f t="shared" si="17"/>
        <v>12028431981.6</v>
      </c>
      <c r="J310" s="7">
        <f t="shared" si="18"/>
        <v>12703.40517978</v>
      </c>
      <c r="K310" s="7">
        <f t="shared" si="19"/>
        <v>12028.431981600001</v>
      </c>
    </row>
    <row r="311" spans="1:11" x14ac:dyDescent="0.25">
      <c r="A311" s="20" t="s">
        <v>133</v>
      </c>
      <c r="B311" s="20" t="s">
        <v>9</v>
      </c>
      <c r="C311" s="20" t="s">
        <v>6</v>
      </c>
      <c r="D311" s="20">
        <v>5408820</v>
      </c>
      <c r="E311" s="20">
        <v>5408820</v>
      </c>
      <c r="F311" s="20">
        <v>6</v>
      </c>
      <c r="G311" s="20">
        <v>1</v>
      </c>
      <c r="H311" s="7">
        <f t="shared" si="16"/>
        <v>7301907.0000000009</v>
      </c>
      <c r="I311" s="1">
        <f t="shared" si="17"/>
        <v>7301907.0000000009</v>
      </c>
      <c r="J311" s="7">
        <f t="shared" si="18"/>
        <v>7.3019070000000008</v>
      </c>
      <c r="K311" s="7">
        <f t="shared" si="19"/>
        <v>7.3019070000000008</v>
      </c>
    </row>
    <row r="312" spans="1:11" x14ac:dyDescent="0.25">
      <c r="A312" s="20" t="s">
        <v>122</v>
      </c>
      <c r="B312" s="20" t="s">
        <v>9</v>
      </c>
      <c r="C312" s="20" t="s">
        <v>6</v>
      </c>
      <c r="D312" s="20">
        <v>185600</v>
      </c>
      <c r="E312" s="20">
        <v>185600</v>
      </c>
      <c r="F312" s="20">
        <v>1</v>
      </c>
      <c r="G312" s="20">
        <v>1</v>
      </c>
      <c r="H312" s="7">
        <f t="shared" si="16"/>
        <v>250560.00000000003</v>
      </c>
      <c r="I312" s="1">
        <f t="shared" si="17"/>
        <v>250560.00000000003</v>
      </c>
      <c r="J312" s="7">
        <f t="shared" si="18"/>
        <v>0.25056</v>
      </c>
      <c r="K312" s="7">
        <f t="shared" si="19"/>
        <v>0.25056</v>
      </c>
    </row>
    <row r="313" spans="1:11" x14ac:dyDescent="0.25">
      <c r="A313" s="20" t="s">
        <v>39</v>
      </c>
      <c r="B313" s="20" t="s">
        <v>9</v>
      </c>
      <c r="C313" s="20" t="s">
        <v>6</v>
      </c>
      <c r="D313" s="20">
        <v>37120360</v>
      </c>
      <c r="E313" s="20">
        <v>19120360</v>
      </c>
      <c r="F313" s="20">
        <v>2</v>
      </c>
      <c r="G313" s="20">
        <v>1</v>
      </c>
      <c r="H313" s="7">
        <f t="shared" si="16"/>
        <v>50112486</v>
      </c>
      <c r="I313" s="1">
        <f t="shared" si="17"/>
        <v>25812486</v>
      </c>
      <c r="J313" s="7">
        <f t="shared" si="18"/>
        <v>50.112485999999997</v>
      </c>
      <c r="K313" s="7">
        <f t="shared" si="19"/>
        <v>25.812486</v>
      </c>
    </row>
    <row r="314" spans="1:11" x14ac:dyDescent="0.25">
      <c r="A314" s="20" t="s">
        <v>42</v>
      </c>
      <c r="B314" s="20" t="s">
        <v>9</v>
      </c>
      <c r="C314" s="20" t="s">
        <v>6</v>
      </c>
      <c r="D314" s="20">
        <v>560000</v>
      </c>
      <c r="E314" s="20">
        <v>560000</v>
      </c>
      <c r="F314" s="20">
        <v>2</v>
      </c>
      <c r="G314" s="20">
        <v>1</v>
      </c>
      <c r="H314" s="7">
        <f t="shared" si="16"/>
        <v>756000</v>
      </c>
      <c r="I314" s="1">
        <f t="shared" si="17"/>
        <v>756000</v>
      </c>
      <c r="J314" s="7">
        <f t="shared" si="18"/>
        <v>0.75600000000000001</v>
      </c>
      <c r="K314" s="7">
        <f t="shared" si="19"/>
        <v>0.75600000000000001</v>
      </c>
    </row>
    <row r="315" spans="1:11" x14ac:dyDescent="0.25">
      <c r="A315" s="20" t="s">
        <v>43</v>
      </c>
      <c r="B315" s="20" t="s">
        <v>9</v>
      </c>
      <c r="C315" s="20" t="s">
        <v>6</v>
      </c>
      <c r="D315" s="20">
        <v>358036.8</v>
      </c>
      <c r="E315" s="20">
        <v>358036.8</v>
      </c>
      <c r="F315" s="20">
        <v>4</v>
      </c>
      <c r="G315" s="20">
        <v>1</v>
      </c>
      <c r="H315" s="7">
        <f t="shared" si="16"/>
        <v>483349.68</v>
      </c>
      <c r="I315" s="1">
        <f t="shared" si="17"/>
        <v>483349.68</v>
      </c>
      <c r="J315" s="7">
        <f t="shared" si="18"/>
        <v>0.48334968</v>
      </c>
      <c r="K315" s="7">
        <f t="shared" si="19"/>
        <v>0.48334968</v>
      </c>
    </row>
    <row r="316" spans="1:11" x14ac:dyDescent="0.25">
      <c r="A316" s="20" t="s">
        <v>45</v>
      </c>
      <c r="B316" s="20" t="s">
        <v>9</v>
      </c>
      <c r="C316" s="20" t="s">
        <v>6</v>
      </c>
      <c r="D316" s="20">
        <v>151336</v>
      </c>
      <c r="E316" s="20">
        <v>151336</v>
      </c>
      <c r="F316" s="20">
        <v>1</v>
      </c>
      <c r="G316" s="20">
        <v>1</v>
      </c>
      <c r="H316" s="7">
        <f t="shared" si="16"/>
        <v>204303.6</v>
      </c>
      <c r="I316" s="1">
        <f t="shared" si="17"/>
        <v>204303.6</v>
      </c>
      <c r="J316" s="7">
        <f t="shared" si="18"/>
        <v>0.2043036</v>
      </c>
      <c r="K316" s="7">
        <f t="shared" si="19"/>
        <v>0.2043036</v>
      </c>
    </row>
    <row r="317" spans="1:11" x14ac:dyDescent="0.25">
      <c r="A317" s="20" t="s">
        <v>46</v>
      </c>
      <c r="B317" s="20" t="s">
        <v>9</v>
      </c>
      <c r="C317" s="20" t="s">
        <v>6</v>
      </c>
      <c r="D317" s="20">
        <v>926.4</v>
      </c>
      <c r="E317" s="20">
        <v>926.4</v>
      </c>
      <c r="F317" s="20">
        <v>1</v>
      </c>
      <c r="G317" s="20">
        <v>1</v>
      </c>
      <c r="H317" s="7">
        <f t="shared" si="16"/>
        <v>1250.6400000000001</v>
      </c>
      <c r="I317" s="1">
        <f t="shared" si="17"/>
        <v>1250.6400000000001</v>
      </c>
      <c r="J317" s="7">
        <f t="shared" si="18"/>
        <v>1.2506400000000001E-3</v>
      </c>
      <c r="K317" s="7">
        <f t="shared" si="19"/>
        <v>1.2506400000000001E-3</v>
      </c>
    </row>
    <row r="318" spans="1:11" x14ac:dyDescent="0.25">
      <c r="A318" s="20" t="s">
        <v>47</v>
      </c>
      <c r="B318" s="20" t="s">
        <v>9</v>
      </c>
      <c r="C318" s="20" t="s">
        <v>6</v>
      </c>
      <c r="D318" s="20">
        <v>29828</v>
      </c>
      <c r="E318" s="20">
        <v>29828</v>
      </c>
      <c r="F318" s="20">
        <v>1</v>
      </c>
      <c r="G318" s="20">
        <v>1</v>
      </c>
      <c r="H318" s="7">
        <f t="shared" si="16"/>
        <v>40267.800000000003</v>
      </c>
      <c r="I318" s="1">
        <f t="shared" si="17"/>
        <v>40267.800000000003</v>
      </c>
      <c r="J318" s="7">
        <f t="shared" si="18"/>
        <v>4.0267800000000006E-2</v>
      </c>
      <c r="K318" s="7">
        <f t="shared" si="19"/>
        <v>4.0267800000000006E-2</v>
      </c>
    </row>
    <row r="319" spans="1:11" x14ac:dyDescent="0.25">
      <c r="A319" s="20" t="s">
        <v>102</v>
      </c>
      <c r="B319" s="20" t="s">
        <v>9</v>
      </c>
      <c r="C319" s="20" t="s">
        <v>6</v>
      </c>
      <c r="D319" s="20">
        <v>58786.400000000001</v>
      </c>
      <c r="E319" s="20">
        <v>58786.400000000001</v>
      </c>
      <c r="F319" s="20">
        <v>1</v>
      </c>
      <c r="G319" s="20">
        <v>1</v>
      </c>
      <c r="H319" s="7">
        <f t="shared" si="16"/>
        <v>79361.640000000014</v>
      </c>
      <c r="I319" s="1">
        <f t="shared" si="17"/>
        <v>79361.640000000014</v>
      </c>
      <c r="J319" s="7">
        <f t="shared" si="18"/>
        <v>7.9361640000000011E-2</v>
      </c>
      <c r="K319" s="7">
        <f t="shared" si="19"/>
        <v>7.9361640000000011E-2</v>
      </c>
    </row>
    <row r="320" spans="1:11" x14ac:dyDescent="0.25">
      <c r="A320" s="20" t="s">
        <v>48</v>
      </c>
      <c r="B320" s="20" t="s">
        <v>9</v>
      </c>
      <c r="C320" s="20" t="s">
        <v>6</v>
      </c>
      <c r="D320" s="20">
        <v>3929326</v>
      </c>
      <c r="E320" s="20">
        <v>3929326</v>
      </c>
      <c r="F320" s="20">
        <v>5</v>
      </c>
      <c r="G320" s="20">
        <v>1</v>
      </c>
      <c r="H320" s="7">
        <f t="shared" si="16"/>
        <v>5304590.1000000006</v>
      </c>
      <c r="I320" s="1">
        <f t="shared" si="17"/>
        <v>5304590.1000000006</v>
      </c>
      <c r="J320" s="7">
        <f t="shared" si="18"/>
        <v>5.3045901000000004</v>
      </c>
      <c r="K320" s="7">
        <f t="shared" si="19"/>
        <v>5.3045901000000004</v>
      </c>
    </row>
    <row r="321" spans="1:11" x14ac:dyDescent="0.25">
      <c r="A321" s="20" t="s">
        <v>49</v>
      </c>
      <c r="B321" s="20" t="s">
        <v>9</v>
      </c>
      <c r="C321" s="20" t="s">
        <v>6</v>
      </c>
      <c r="D321" s="20">
        <v>33669781.600000001</v>
      </c>
      <c r="E321" s="20">
        <v>33669781.600000001</v>
      </c>
      <c r="F321" s="20">
        <v>42</v>
      </c>
      <c r="G321" s="20">
        <v>1</v>
      </c>
      <c r="H321" s="7">
        <f t="shared" si="16"/>
        <v>45454205.160000004</v>
      </c>
      <c r="I321" s="1">
        <f t="shared" si="17"/>
        <v>45454205.160000004</v>
      </c>
      <c r="J321" s="7">
        <f t="shared" si="18"/>
        <v>45.454205160000001</v>
      </c>
      <c r="K321" s="7">
        <f t="shared" si="19"/>
        <v>45.454205160000001</v>
      </c>
    </row>
    <row r="322" spans="1:11" x14ac:dyDescent="0.25">
      <c r="A322" s="20" t="s">
        <v>50</v>
      </c>
      <c r="B322" s="20" t="s">
        <v>9</v>
      </c>
      <c r="C322" s="20" t="s">
        <v>6</v>
      </c>
      <c r="D322" s="20">
        <v>12604811140.750601</v>
      </c>
      <c r="E322" s="20">
        <v>12542945496.660101</v>
      </c>
      <c r="F322" s="20">
        <v>21741</v>
      </c>
      <c r="G322" s="20">
        <v>1</v>
      </c>
      <c r="H322" s="7">
        <f t="shared" si="16"/>
        <v>17016495040.013311</v>
      </c>
      <c r="I322" s="1">
        <f t="shared" si="17"/>
        <v>16932976420.491137</v>
      </c>
      <c r="J322" s="7">
        <f t="shared" si="18"/>
        <v>17016.495040013313</v>
      </c>
      <c r="K322" s="7">
        <f t="shared" si="19"/>
        <v>16932.976420491137</v>
      </c>
    </row>
    <row r="323" spans="1:11" x14ac:dyDescent="0.25">
      <c r="A323" s="20" t="s">
        <v>103</v>
      </c>
      <c r="B323" s="20" t="s">
        <v>9</v>
      </c>
      <c r="C323" s="20" t="s">
        <v>6</v>
      </c>
      <c r="D323" s="20">
        <v>24492760.438889999</v>
      </c>
      <c r="E323" s="20">
        <v>23901642.438889999</v>
      </c>
      <c r="F323" s="20">
        <v>91</v>
      </c>
      <c r="G323" s="20">
        <v>1</v>
      </c>
      <c r="H323" s="7">
        <f t="shared" ref="H323:H386" si="20">D323*1.35</f>
        <v>33065226.592501502</v>
      </c>
      <c r="I323" s="1">
        <f t="shared" ref="I323:I386" si="21">E323*1.35</f>
        <v>32267217.292501502</v>
      </c>
      <c r="J323" s="7">
        <f t="shared" ref="J323:J386" si="22">H323/1000000</f>
        <v>33.065226592501503</v>
      </c>
      <c r="K323" s="7">
        <f t="shared" ref="K323:K386" si="23">I323/1000000</f>
        <v>32.267217292501499</v>
      </c>
    </row>
    <row r="324" spans="1:11" x14ac:dyDescent="0.25">
      <c r="A324" s="20" t="s">
        <v>53</v>
      </c>
      <c r="B324" s="20" t="s">
        <v>9</v>
      </c>
      <c r="C324" s="20" t="s">
        <v>6</v>
      </c>
      <c r="D324" s="20">
        <v>9182639102.3885593</v>
      </c>
      <c r="E324" s="20">
        <v>8993955713.5885601</v>
      </c>
      <c r="F324" s="20">
        <v>6535</v>
      </c>
      <c r="G324" s="20">
        <v>1</v>
      </c>
      <c r="H324" s="7">
        <f t="shared" si="20"/>
        <v>12396562788.224556</v>
      </c>
      <c r="I324" s="1">
        <f t="shared" si="21"/>
        <v>12141840213.344557</v>
      </c>
      <c r="J324" s="7">
        <f t="shared" si="22"/>
        <v>12396.562788224555</v>
      </c>
      <c r="K324" s="7">
        <f t="shared" si="23"/>
        <v>12141.840213344556</v>
      </c>
    </row>
    <row r="325" spans="1:11" x14ac:dyDescent="0.25">
      <c r="A325" s="20" t="s">
        <v>105</v>
      </c>
      <c r="B325" s="20" t="s">
        <v>9</v>
      </c>
      <c r="C325" s="20" t="s">
        <v>6</v>
      </c>
      <c r="D325" s="20">
        <v>10916559.199999999</v>
      </c>
      <c r="E325" s="20">
        <v>10916559.199999999</v>
      </c>
      <c r="F325" s="20">
        <v>64</v>
      </c>
      <c r="G325" s="20">
        <v>1</v>
      </c>
      <c r="H325" s="7">
        <f t="shared" si="20"/>
        <v>14737354.92</v>
      </c>
      <c r="I325" s="1">
        <f t="shared" si="21"/>
        <v>14737354.92</v>
      </c>
      <c r="J325" s="7">
        <f t="shared" si="22"/>
        <v>14.73735492</v>
      </c>
      <c r="K325" s="7">
        <f t="shared" si="23"/>
        <v>14.73735492</v>
      </c>
    </row>
    <row r="326" spans="1:11" x14ac:dyDescent="0.25">
      <c r="A326" s="20" t="s">
        <v>54</v>
      </c>
      <c r="B326" s="20" t="s">
        <v>9</v>
      </c>
      <c r="C326" s="20" t="s">
        <v>6</v>
      </c>
      <c r="D326" s="20">
        <v>20646599039.407299</v>
      </c>
      <c r="E326" s="20">
        <v>20218412584.742901</v>
      </c>
      <c r="F326" s="20">
        <v>27517</v>
      </c>
      <c r="G326" s="20">
        <v>1</v>
      </c>
      <c r="H326" s="7">
        <f t="shared" si="20"/>
        <v>27872908703.199856</v>
      </c>
      <c r="I326" s="1">
        <f t="shared" si="21"/>
        <v>27294856989.40292</v>
      </c>
      <c r="J326" s="7">
        <f t="shared" si="22"/>
        <v>27872.908703199857</v>
      </c>
      <c r="K326" s="7">
        <f t="shared" si="23"/>
        <v>27294.856989402921</v>
      </c>
    </row>
    <row r="327" spans="1:11" x14ac:dyDescent="0.25">
      <c r="A327" s="20" t="s">
        <v>55</v>
      </c>
      <c r="B327" s="20" t="s">
        <v>9</v>
      </c>
      <c r="C327" s="20" t="s">
        <v>6</v>
      </c>
      <c r="D327" s="20">
        <v>954681405.54719901</v>
      </c>
      <c r="E327" s="20">
        <v>937681405.54719901</v>
      </c>
      <c r="F327" s="20">
        <v>526</v>
      </c>
      <c r="G327" s="20">
        <v>1</v>
      </c>
      <c r="H327" s="7">
        <f t="shared" si="20"/>
        <v>1288819897.4887187</v>
      </c>
      <c r="I327" s="1">
        <f t="shared" si="21"/>
        <v>1265869897.4887187</v>
      </c>
      <c r="J327" s="7">
        <f t="shared" si="22"/>
        <v>1288.8198974887187</v>
      </c>
      <c r="K327" s="7">
        <f t="shared" si="23"/>
        <v>1265.8698974887188</v>
      </c>
    </row>
    <row r="328" spans="1:11" x14ac:dyDescent="0.25">
      <c r="A328" s="20" t="s">
        <v>57</v>
      </c>
      <c r="B328" s="20" t="s">
        <v>9</v>
      </c>
      <c r="C328" s="20" t="s">
        <v>6</v>
      </c>
      <c r="D328" s="20">
        <v>51640059.700000003</v>
      </c>
      <c r="E328" s="20">
        <v>51640059.700000003</v>
      </c>
      <c r="F328" s="20">
        <v>43</v>
      </c>
      <c r="G328" s="20">
        <v>1</v>
      </c>
      <c r="H328" s="7">
        <f t="shared" si="20"/>
        <v>69714080.595000014</v>
      </c>
      <c r="I328" s="1">
        <f t="shared" si="21"/>
        <v>69714080.595000014</v>
      </c>
      <c r="J328" s="7">
        <f t="shared" si="22"/>
        <v>69.714080595000013</v>
      </c>
      <c r="K328" s="7">
        <f t="shared" si="23"/>
        <v>69.714080595000013</v>
      </c>
    </row>
    <row r="329" spans="1:11" x14ac:dyDescent="0.25">
      <c r="A329" s="20" t="s">
        <v>59</v>
      </c>
      <c r="B329" s="20" t="s">
        <v>9</v>
      </c>
      <c r="C329" s="20" t="s">
        <v>6</v>
      </c>
      <c r="D329" s="20">
        <v>125613043.2</v>
      </c>
      <c r="E329" s="20">
        <v>67166521.599999994</v>
      </c>
      <c r="F329" s="20">
        <v>4</v>
      </c>
      <c r="G329" s="20">
        <v>1</v>
      </c>
      <c r="H329" s="7">
        <f t="shared" si="20"/>
        <v>169577608.32000002</v>
      </c>
      <c r="I329" s="1">
        <f t="shared" si="21"/>
        <v>90674804.159999996</v>
      </c>
      <c r="J329" s="7">
        <f t="shared" si="22"/>
        <v>169.57760832000002</v>
      </c>
      <c r="K329" s="7">
        <f t="shared" si="23"/>
        <v>90.674804159999994</v>
      </c>
    </row>
    <row r="330" spans="1:11" x14ac:dyDescent="0.25">
      <c r="A330" s="20" t="s">
        <v>130</v>
      </c>
      <c r="B330" s="20" t="s">
        <v>9</v>
      </c>
      <c r="C330" s="20" t="s">
        <v>6</v>
      </c>
      <c r="D330" s="20">
        <v>214527712.56799999</v>
      </c>
      <c r="E330" s="20">
        <v>214527712.56799999</v>
      </c>
      <c r="F330" s="20">
        <v>629</v>
      </c>
      <c r="G330" s="20">
        <v>1</v>
      </c>
      <c r="H330" s="7">
        <f t="shared" si="20"/>
        <v>289612411.96679997</v>
      </c>
      <c r="I330" s="1">
        <f t="shared" si="21"/>
        <v>289612411.96679997</v>
      </c>
      <c r="J330" s="7">
        <f t="shared" si="22"/>
        <v>289.61241196679998</v>
      </c>
      <c r="K330" s="7">
        <f t="shared" si="23"/>
        <v>289.61241196679998</v>
      </c>
    </row>
    <row r="331" spans="1:11" x14ac:dyDescent="0.25">
      <c r="A331" s="20" t="s">
        <v>109</v>
      </c>
      <c r="B331" s="20" t="s">
        <v>9</v>
      </c>
      <c r="C331" s="20" t="s">
        <v>6</v>
      </c>
      <c r="D331" s="20">
        <v>24783260.800000001</v>
      </c>
      <c r="E331" s="20">
        <v>24783260.800000001</v>
      </c>
      <c r="F331" s="20">
        <v>116</v>
      </c>
      <c r="G331" s="20">
        <v>1</v>
      </c>
      <c r="H331" s="7">
        <f t="shared" si="20"/>
        <v>33457402.080000002</v>
      </c>
      <c r="I331" s="1">
        <f t="shared" si="21"/>
        <v>33457402.080000002</v>
      </c>
      <c r="J331" s="7">
        <f t="shared" si="22"/>
        <v>33.457402080000001</v>
      </c>
      <c r="K331" s="7">
        <f t="shared" si="23"/>
        <v>33.457402080000001</v>
      </c>
    </row>
    <row r="332" spans="1:11" x14ac:dyDescent="0.25">
      <c r="A332" s="20" t="s">
        <v>61</v>
      </c>
      <c r="B332" s="20" t="s">
        <v>9</v>
      </c>
      <c r="C332" s="20" t="s">
        <v>6</v>
      </c>
      <c r="D332" s="20">
        <v>5237425154.5585098</v>
      </c>
      <c r="E332" s="20">
        <v>5237425154.5585098</v>
      </c>
      <c r="F332" s="20">
        <v>9243</v>
      </c>
      <c r="G332" s="20">
        <v>1</v>
      </c>
      <c r="H332" s="7">
        <f t="shared" si="20"/>
        <v>7070523958.6539888</v>
      </c>
      <c r="I332" s="1">
        <f t="shared" si="21"/>
        <v>7070523958.6539888</v>
      </c>
      <c r="J332" s="7">
        <f t="shared" si="22"/>
        <v>7070.5239586539892</v>
      </c>
      <c r="K332" s="7">
        <f t="shared" si="23"/>
        <v>7070.5239586539892</v>
      </c>
    </row>
    <row r="333" spans="1:11" x14ac:dyDescent="0.25">
      <c r="A333" s="20" t="s">
        <v>62</v>
      </c>
      <c r="B333" s="20" t="s">
        <v>9</v>
      </c>
      <c r="C333" s="20" t="s">
        <v>6</v>
      </c>
      <c r="D333" s="20">
        <v>3880302.4</v>
      </c>
      <c r="E333" s="20">
        <v>3880302.4</v>
      </c>
      <c r="F333" s="20">
        <v>3</v>
      </c>
      <c r="G333" s="20">
        <v>1</v>
      </c>
      <c r="H333" s="7">
        <f t="shared" si="20"/>
        <v>5238408.24</v>
      </c>
      <c r="I333" s="1">
        <f t="shared" si="21"/>
        <v>5238408.24</v>
      </c>
      <c r="J333" s="7">
        <f t="shared" si="22"/>
        <v>5.23840824</v>
      </c>
      <c r="K333" s="7">
        <f t="shared" si="23"/>
        <v>5.23840824</v>
      </c>
    </row>
    <row r="334" spans="1:11" x14ac:dyDescent="0.25">
      <c r="A334" s="20" t="s">
        <v>63</v>
      </c>
      <c r="B334" s="20" t="s">
        <v>9</v>
      </c>
      <c r="C334" s="20" t="s">
        <v>6</v>
      </c>
      <c r="D334" s="20">
        <v>236400</v>
      </c>
      <c r="E334" s="20">
        <v>236400</v>
      </c>
      <c r="F334" s="20">
        <v>2</v>
      </c>
      <c r="G334" s="20">
        <v>1</v>
      </c>
      <c r="H334" s="7">
        <f t="shared" si="20"/>
        <v>319140</v>
      </c>
      <c r="I334" s="1">
        <f t="shared" si="21"/>
        <v>319140</v>
      </c>
      <c r="J334" s="7">
        <f t="shared" si="22"/>
        <v>0.31913999999999998</v>
      </c>
      <c r="K334" s="7">
        <f t="shared" si="23"/>
        <v>0.31913999999999998</v>
      </c>
    </row>
    <row r="335" spans="1:11" x14ac:dyDescent="0.25">
      <c r="A335" s="20" t="s">
        <v>111</v>
      </c>
      <c r="B335" s="20" t="s">
        <v>9</v>
      </c>
      <c r="C335" s="20" t="s">
        <v>6</v>
      </c>
      <c r="D335" s="20">
        <v>1486287.2</v>
      </c>
      <c r="E335" s="20">
        <v>1486287.2</v>
      </c>
      <c r="F335" s="20">
        <v>1</v>
      </c>
      <c r="G335" s="20">
        <v>1</v>
      </c>
      <c r="H335" s="7">
        <f t="shared" si="20"/>
        <v>2006487.72</v>
      </c>
      <c r="I335" s="1">
        <f t="shared" si="21"/>
        <v>2006487.72</v>
      </c>
      <c r="J335" s="7">
        <f t="shared" si="22"/>
        <v>2.00648772</v>
      </c>
      <c r="K335" s="7">
        <f t="shared" si="23"/>
        <v>2.00648772</v>
      </c>
    </row>
    <row r="336" spans="1:11" x14ac:dyDescent="0.25">
      <c r="A336" s="20" t="s">
        <v>64</v>
      </c>
      <c r="B336" s="20" t="s">
        <v>9</v>
      </c>
      <c r="C336" s="20" t="s">
        <v>6</v>
      </c>
      <c r="D336" s="20">
        <v>473456211.57402498</v>
      </c>
      <c r="E336" s="20">
        <v>455808138.46297598</v>
      </c>
      <c r="F336" s="20">
        <v>745</v>
      </c>
      <c r="G336" s="20">
        <v>1</v>
      </c>
      <c r="H336" s="7">
        <f t="shared" si="20"/>
        <v>639165885.62493372</v>
      </c>
      <c r="I336" s="1">
        <f t="shared" si="21"/>
        <v>615340986.9250176</v>
      </c>
      <c r="J336" s="7">
        <f t="shared" si="22"/>
        <v>639.16588562493371</v>
      </c>
      <c r="K336" s="7">
        <f t="shared" si="23"/>
        <v>615.34098692501755</v>
      </c>
    </row>
    <row r="337" spans="1:11" x14ac:dyDescent="0.25">
      <c r="A337" s="20" t="s">
        <v>65</v>
      </c>
      <c r="B337" s="20" t="s">
        <v>9</v>
      </c>
      <c r="C337" s="20" t="s">
        <v>6</v>
      </c>
      <c r="D337" s="20">
        <v>20201080.800000001</v>
      </c>
      <c r="E337" s="20">
        <v>20201080.800000001</v>
      </c>
      <c r="F337" s="20">
        <v>23</v>
      </c>
      <c r="G337" s="20">
        <v>1</v>
      </c>
      <c r="H337" s="7">
        <f t="shared" si="20"/>
        <v>27271459.080000002</v>
      </c>
      <c r="I337" s="1">
        <f t="shared" si="21"/>
        <v>27271459.080000002</v>
      </c>
      <c r="J337" s="7">
        <f t="shared" si="22"/>
        <v>27.271459080000003</v>
      </c>
      <c r="K337" s="7">
        <f t="shared" si="23"/>
        <v>27.271459080000003</v>
      </c>
    </row>
    <row r="338" spans="1:11" x14ac:dyDescent="0.25">
      <c r="A338" s="20" t="s">
        <v>113</v>
      </c>
      <c r="B338" s="20" t="s">
        <v>9</v>
      </c>
      <c r="C338" s="20" t="s">
        <v>6</v>
      </c>
      <c r="D338" s="20">
        <v>2821322</v>
      </c>
      <c r="E338" s="20">
        <v>2821322</v>
      </c>
      <c r="F338" s="20">
        <v>3</v>
      </c>
      <c r="G338" s="20">
        <v>1</v>
      </c>
      <c r="H338" s="7">
        <f t="shared" si="20"/>
        <v>3808784.7</v>
      </c>
      <c r="I338" s="1">
        <f t="shared" si="21"/>
        <v>3808784.7</v>
      </c>
      <c r="J338" s="7">
        <f t="shared" si="22"/>
        <v>3.8087847000000004</v>
      </c>
      <c r="K338" s="7">
        <f t="shared" si="23"/>
        <v>3.8087847000000004</v>
      </c>
    </row>
    <row r="339" spans="1:11" x14ac:dyDescent="0.25">
      <c r="A339" s="20" t="s">
        <v>71</v>
      </c>
      <c r="B339" s="20" t="s">
        <v>9</v>
      </c>
      <c r="C339" s="20" t="s">
        <v>6</v>
      </c>
      <c r="D339" s="20">
        <v>48000</v>
      </c>
      <c r="E339" s="20">
        <v>24000</v>
      </c>
      <c r="F339" s="20">
        <v>1</v>
      </c>
      <c r="G339" s="20">
        <v>1</v>
      </c>
      <c r="H339" s="7">
        <f t="shared" si="20"/>
        <v>64800.000000000007</v>
      </c>
      <c r="I339" s="1">
        <f t="shared" si="21"/>
        <v>32400.000000000004</v>
      </c>
      <c r="J339" s="7">
        <f t="shared" si="22"/>
        <v>6.480000000000001E-2</v>
      </c>
      <c r="K339" s="7">
        <f t="shared" si="23"/>
        <v>3.2400000000000005E-2</v>
      </c>
    </row>
    <row r="340" spans="1:11" x14ac:dyDescent="0.25">
      <c r="A340" s="20" t="s">
        <v>72</v>
      </c>
      <c r="B340" s="20" t="s">
        <v>9</v>
      </c>
      <c r="C340" s="20" t="s">
        <v>6</v>
      </c>
      <c r="D340" s="20">
        <v>364116653.60000002</v>
      </c>
      <c r="E340" s="20">
        <v>364116653.60000002</v>
      </c>
      <c r="F340" s="20">
        <v>592</v>
      </c>
      <c r="G340" s="20">
        <v>1</v>
      </c>
      <c r="H340" s="7">
        <f t="shared" si="20"/>
        <v>491557482.36000007</v>
      </c>
      <c r="I340" s="1">
        <f t="shared" si="21"/>
        <v>491557482.36000007</v>
      </c>
      <c r="J340" s="7">
        <f t="shared" si="22"/>
        <v>491.55748236000005</v>
      </c>
      <c r="K340" s="7">
        <f t="shared" si="23"/>
        <v>491.55748236000005</v>
      </c>
    </row>
    <row r="341" spans="1:11" x14ac:dyDescent="0.25">
      <c r="A341" s="20" t="s">
        <v>134</v>
      </c>
      <c r="B341" s="20" t="s">
        <v>9</v>
      </c>
      <c r="C341" s="20" t="s">
        <v>6</v>
      </c>
      <c r="D341" s="20">
        <v>4000</v>
      </c>
      <c r="E341" s="20">
        <v>4000</v>
      </c>
      <c r="F341" s="20">
        <v>1</v>
      </c>
      <c r="G341" s="20">
        <v>1</v>
      </c>
      <c r="H341" s="7">
        <f t="shared" si="20"/>
        <v>5400</v>
      </c>
      <c r="I341" s="1">
        <f t="shared" si="21"/>
        <v>5400</v>
      </c>
      <c r="J341" s="7">
        <f t="shared" si="22"/>
        <v>5.4000000000000003E-3</v>
      </c>
      <c r="K341" s="7">
        <f t="shared" si="23"/>
        <v>5.4000000000000003E-3</v>
      </c>
    </row>
    <row r="342" spans="1:11" x14ac:dyDescent="0.25">
      <c r="A342" s="20" t="s">
        <v>73</v>
      </c>
      <c r="B342" s="20" t="s">
        <v>9</v>
      </c>
      <c r="C342" s="20" t="s">
        <v>6</v>
      </c>
      <c r="D342" s="20">
        <v>23171460.57877</v>
      </c>
      <c r="E342" s="20">
        <v>23171460.57877</v>
      </c>
      <c r="F342" s="20">
        <v>4</v>
      </c>
      <c r="G342" s="20">
        <v>1</v>
      </c>
      <c r="H342" s="7">
        <f t="shared" si="20"/>
        <v>31281471.781339504</v>
      </c>
      <c r="I342" s="1">
        <f t="shared" si="21"/>
        <v>31281471.781339504</v>
      </c>
      <c r="J342" s="7">
        <f t="shared" si="22"/>
        <v>31.281471781339505</v>
      </c>
      <c r="K342" s="7">
        <f t="shared" si="23"/>
        <v>31.281471781339505</v>
      </c>
    </row>
    <row r="343" spans="1:11" x14ac:dyDescent="0.25">
      <c r="A343" s="20" t="s">
        <v>74</v>
      </c>
      <c r="B343" s="20" t="s">
        <v>9</v>
      </c>
      <c r="C343" s="20" t="s">
        <v>6</v>
      </c>
      <c r="D343" s="20">
        <v>1050712996.61364</v>
      </c>
      <c r="E343" s="20">
        <v>993449291.27688599</v>
      </c>
      <c r="F343" s="20">
        <v>634</v>
      </c>
      <c r="G343" s="20">
        <v>1</v>
      </c>
      <c r="H343" s="7">
        <f t="shared" si="20"/>
        <v>1418462545.4284141</v>
      </c>
      <c r="I343" s="1">
        <f t="shared" si="21"/>
        <v>1341156543.2237961</v>
      </c>
      <c r="J343" s="7">
        <f t="shared" si="22"/>
        <v>1418.4625454284142</v>
      </c>
      <c r="K343" s="7">
        <f t="shared" si="23"/>
        <v>1341.1565432237962</v>
      </c>
    </row>
    <row r="344" spans="1:11" x14ac:dyDescent="0.25">
      <c r="A344" s="20" t="s">
        <v>75</v>
      </c>
      <c r="B344" s="20" t="s">
        <v>9</v>
      </c>
      <c r="C344" s="20" t="s">
        <v>6</v>
      </c>
      <c r="D344" s="20">
        <v>4325600.1218699999</v>
      </c>
      <c r="E344" s="20">
        <v>4325600.1218699999</v>
      </c>
      <c r="F344" s="20">
        <v>13</v>
      </c>
      <c r="G344" s="20">
        <v>1</v>
      </c>
      <c r="H344" s="7">
        <f t="shared" si="20"/>
        <v>5839560.1645245003</v>
      </c>
      <c r="I344" s="1">
        <f t="shared" si="21"/>
        <v>5839560.1645245003</v>
      </c>
      <c r="J344" s="7">
        <f t="shared" si="22"/>
        <v>5.8395601645245003</v>
      </c>
      <c r="K344" s="7">
        <f t="shared" si="23"/>
        <v>5.8395601645245003</v>
      </c>
    </row>
    <row r="345" spans="1:11" x14ac:dyDescent="0.25">
      <c r="A345" s="20" t="s">
        <v>76</v>
      </c>
      <c r="B345" s="20" t="s">
        <v>9</v>
      </c>
      <c r="C345" s="20" t="s">
        <v>6</v>
      </c>
      <c r="D345" s="20">
        <v>5264746.4000000004</v>
      </c>
      <c r="E345" s="20">
        <v>5264746.4000000004</v>
      </c>
      <c r="F345" s="20">
        <v>9</v>
      </c>
      <c r="G345" s="20">
        <v>1</v>
      </c>
      <c r="H345" s="7">
        <f t="shared" si="20"/>
        <v>7107407.6400000006</v>
      </c>
      <c r="I345" s="1">
        <f t="shared" si="21"/>
        <v>7107407.6400000006</v>
      </c>
      <c r="J345" s="7">
        <f t="shared" si="22"/>
        <v>7.1074076400000008</v>
      </c>
      <c r="K345" s="7">
        <f t="shared" si="23"/>
        <v>7.1074076400000008</v>
      </c>
    </row>
    <row r="346" spans="1:11" x14ac:dyDescent="0.25">
      <c r="A346" s="20" t="s">
        <v>79</v>
      </c>
      <c r="B346" s="20" t="s">
        <v>9</v>
      </c>
      <c r="C346" s="20" t="s">
        <v>6</v>
      </c>
      <c r="D346" s="20">
        <v>10656038934.2896</v>
      </c>
      <c r="E346" s="20">
        <v>10407871296.6896</v>
      </c>
      <c r="F346" s="20">
        <v>8631</v>
      </c>
      <c r="G346" s="20">
        <v>1</v>
      </c>
      <c r="H346" s="7">
        <f t="shared" si="20"/>
        <v>14385652561.290962</v>
      </c>
      <c r="I346" s="1">
        <f t="shared" si="21"/>
        <v>14050626250.53096</v>
      </c>
      <c r="J346" s="7">
        <f t="shared" si="22"/>
        <v>14385.652561290963</v>
      </c>
      <c r="K346" s="7">
        <f t="shared" si="23"/>
        <v>14050.626250530961</v>
      </c>
    </row>
    <row r="347" spans="1:11" x14ac:dyDescent="0.25">
      <c r="A347" s="20" t="s">
        <v>114</v>
      </c>
      <c r="B347" s="20" t="s">
        <v>9</v>
      </c>
      <c r="C347" s="20" t="s">
        <v>6</v>
      </c>
      <c r="D347" s="20">
        <v>43241820</v>
      </c>
      <c r="E347" s="20">
        <v>43241820</v>
      </c>
      <c r="F347" s="20">
        <v>161</v>
      </c>
      <c r="G347" s="20">
        <v>1</v>
      </c>
      <c r="H347" s="7">
        <f t="shared" si="20"/>
        <v>58376457.000000007</v>
      </c>
      <c r="I347" s="1">
        <f t="shared" si="21"/>
        <v>58376457.000000007</v>
      </c>
      <c r="J347" s="7">
        <f t="shared" si="22"/>
        <v>58.376457000000009</v>
      </c>
      <c r="K347" s="7">
        <f t="shared" si="23"/>
        <v>58.376457000000009</v>
      </c>
    </row>
    <row r="348" spans="1:11" x14ac:dyDescent="0.25">
      <c r="A348" s="20" t="s">
        <v>80</v>
      </c>
      <c r="B348" s="20" t="s">
        <v>9</v>
      </c>
      <c r="C348" s="20" t="s">
        <v>6</v>
      </c>
      <c r="D348" s="20">
        <v>284541.59999999998</v>
      </c>
      <c r="E348" s="20">
        <v>284541.59999999998</v>
      </c>
      <c r="F348" s="20">
        <v>1</v>
      </c>
      <c r="G348" s="20">
        <v>1</v>
      </c>
      <c r="H348" s="7">
        <f t="shared" si="20"/>
        <v>384131.16</v>
      </c>
      <c r="I348" s="1">
        <f t="shared" si="21"/>
        <v>384131.16</v>
      </c>
      <c r="J348" s="7">
        <f t="shared" si="22"/>
        <v>0.38413115999999997</v>
      </c>
      <c r="K348" s="7">
        <f t="shared" si="23"/>
        <v>0.38413115999999997</v>
      </c>
    </row>
    <row r="349" spans="1:11" x14ac:dyDescent="0.25">
      <c r="A349" s="20" t="s">
        <v>115</v>
      </c>
      <c r="B349" s="20" t="s">
        <v>9</v>
      </c>
      <c r="C349" s="20" t="s">
        <v>6</v>
      </c>
      <c r="D349" s="20">
        <v>494000</v>
      </c>
      <c r="E349" s="20">
        <v>494000</v>
      </c>
      <c r="F349" s="20">
        <v>1</v>
      </c>
      <c r="G349" s="20">
        <v>1</v>
      </c>
      <c r="H349" s="7">
        <f t="shared" si="20"/>
        <v>666900</v>
      </c>
      <c r="I349" s="1">
        <f t="shared" si="21"/>
        <v>666900</v>
      </c>
      <c r="J349" s="7">
        <f t="shared" si="22"/>
        <v>0.66690000000000005</v>
      </c>
      <c r="K349" s="7">
        <f t="shared" si="23"/>
        <v>0.66690000000000005</v>
      </c>
    </row>
    <row r="350" spans="1:11" x14ac:dyDescent="0.25">
      <c r="A350" s="20" t="s">
        <v>84</v>
      </c>
      <c r="B350" s="20" t="s">
        <v>9</v>
      </c>
      <c r="C350" s="20" t="s">
        <v>6</v>
      </c>
      <c r="D350" s="20">
        <v>5573336.4000000004</v>
      </c>
      <c r="E350" s="20">
        <v>5573336.4000000004</v>
      </c>
      <c r="F350" s="20">
        <v>126</v>
      </c>
      <c r="G350" s="20">
        <v>1</v>
      </c>
      <c r="H350" s="7">
        <f t="shared" si="20"/>
        <v>7524004.1400000006</v>
      </c>
      <c r="I350" s="1">
        <f t="shared" si="21"/>
        <v>7524004.1400000006</v>
      </c>
      <c r="J350" s="7">
        <f t="shared" si="22"/>
        <v>7.5240041400000006</v>
      </c>
      <c r="K350" s="7">
        <f t="shared" si="23"/>
        <v>7.5240041400000006</v>
      </c>
    </row>
    <row r="351" spans="1:11" x14ac:dyDescent="0.25">
      <c r="A351" s="20" t="s">
        <v>85</v>
      </c>
      <c r="B351" s="20" t="s">
        <v>9</v>
      </c>
      <c r="C351" s="20" t="s">
        <v>6</v>
      </c>
      <c r="D351" s="20">
        <v>4166310549.0255299</v>
      </c>
      <c r="E351" s="20">
        <v>4093631328.6255298</v>
      </c>
      <c r="F351" s="20">
        <v>3338</v>
      </c>
      <c r="G351" s="20">
        <v>1</v>
      </c>
      <c r="H351" s="7">
        <f t="shared" si="20"/>
        <v>5624519241.1844654</v>
      </c>
      <c r="I351" s="1">
        <f t="shared" si="21"/>
        <v>5526402293.6444654</v>
      </c>
      <c r="J351" s="7">
        <f t="shared" si="22"/>
        <v>5624.5192411844655</v>
      </c>
      <c r="K351" s="7">
        <f t="shared" si="23"/>
        <v>5526.4022936444653</v>
      </c>
    </row>
    <row r="352" spans="1:11" x14ac:dyDescent="0.25">
      <c r="A352" s="20" t="s">
        <v>88</v>
      </c>
      <c r="B352" s="20" t="s">
        <v>9</v>
      </c>
      <c r="C352" s="20" t="s">
        <v>6</v>
      </c>
      <c r="D352" s="20">
        <v>6003751.4000000004</v>
      </c>
      <c r="E352" s="20">
        <v>6003751.4000000004</v>
      </c>
      <c r="F352" s="20">
        <v>13</v>
      </c>
      <c r="G352" s="20">
        <v>1</v>
      </c>
      <c r="H352" s="7">
        <f t="shared" si="20"/>
        <v>8105064.3900000006</v>
      </c>
      <c r="I352" s="1">
        <f t="shared" si="21"/>
        <v>8105064.3900000006</v>
      </c>
      <c r="J352" s="7">
        <f t="shared" si="22"/>
        <v>8.1050643900000008</v>
      </c>
      <c r="K352" s="7">
        <f t="shared" si="23"/>
        <v>8.1050643900000008</v>
      </c>
    </row>
    <row r="353" spans="1:11" x14ac:dyDescent="0.25">
      <c r="A353" s="20" t="s">
        <v>127</v>
      </c>
      <c r="B353" s="20" t="s">
        <v>9</v>
      </c>
      <c r="C353" s="20" t="s">
        <v>6</v>
      </c>
      <c r="D353" s="20">
        <v>56000</v>
      </c>
      <c r="E353" s="20">
        <v>56000</v>
      </c>
      <c r="F353" s="20">
        <v>1</v>
      </c>
      <c r="G353" s="20">
        <v>1</v>
      </c>
      <c r="H353" s="7">
        <f t="shared" si="20"/>
        <v>75600</v>
      </c>
      <c r="I353" s="1">
        <f t="shared" si="21"/>
        <v>75600</v>
      </c>
      <c r="J353" s="7">
        <f t="shared" si="22"/>
        <v>7.5600000000000001E-2</v>
      </c>
      <c r="K353" s="7">
        <f t="shared" si="23"/>
        <v>7.5600000000000001E-2</v>
      </c>
    </row>
    <row r="354" spans="1:11" x14ac:dyDescent="0.25">
      <c r="A354" s="20" t="s">
        <v>135</v>
      </c>
      <c r="B354" s="20" t="s">
        <v>9</v>
      </c>
      <c r="C354" s="20" t="s">
        <v>6</v>
      </c>
      <c r="D354" s="20">
        <v>2307360</v>
      </c>
      <c r="E354" s="20">
        <v>2307360</v>
      </c>
      <c r="F354" s="20">
        <v>1</v>
      </c>
      <c r="G354" s="20">
        <v>1</v>
      </c>
      <c r="H354" s="7">
        <f t="shared" si="20"/>
        <v>3114936</v>
      </c>
      <c r="I354" s="1">
        <f t="shared" si="21"/>
        <v>3114936</v>
      </c>
      <c r="J354" s="7">
        <f t="shared" si="22"/>
        <v>3.1149360000000001</v>
      </c>
      <c r="K354" s="7">
        <f t="shared" si="23"/>
        <v>3.1149360000000001</v>
      </c>
    </row>
    <row r="355" spans="1:11" x14ac:dyDescent="0.25">
      <c r="A355" s="20" t="s">
        <v>89</v>
      </c>
      <c r="B355" s="20" t="s">
        <v>9</v>
      </c>
      <c r="C355" s="20" t="s">
        <v>6</v>
      </c>
      <c r="D355" s="20">
        <v>2939697.5999999898</v>
      </c>
      <c r="E355" s="20">
        <v>1469848.79999999</v>
      </c>
      <c r="F355" s="20">
        <v>1</v>
      </c>
      <c r="G355" s="20">
        <v>1</v>
      </c>
      <c r="H355" s="7">
        <f t="shared" si="20"/>
        <v>3968591.7599999867</v>
      </c>
      <c r="I355" s="1">
        <f t="shared" si="21"/>
        <v>1984295.8799999866</v>
      </c>
      <c r="J355" s="7">
        <f t="shared" si="22"/>
        <v>3.9685917599999869</v>
      </c>
      <c r="K355" s="7">
        <f t="shared" si="23"/>
        <v>1.9842958799999866</v>
      </c>
    </row>
    <row r="356" spans="1:11" x14ac:dyDescent="0.25">
      <c r="A356" s="20" t="s">
        <v>91</v>
      </c>
      <c r="B356" s="20" t="s">
        <v>9</v>
      </c>
      <c r="C356" s="20" t="s">
        <v>6</v>
      </c>
      <c r="D356" s="20">
        <v>90575537.400000006</v>
      </c>
      <c r="E356" s="20">
        <v>90575537.400000006</v>
      </c>
      <c r="F356" s="20">
        <v>336</v>
      </c>
      <c r="G356" s="20">
        <v>1</v>
      </c>
      <c r="H356" s="7">
        <f t="shared" si="20"/>
        <v>122276975.49000001</v>
      </c>
      <c r="I356" s="1">
        <f t="shared" si="21"/>
        <v>122276975.49000001</v>
      </c>
      <c r="J356" s="7">
        <f t="shared" si="22"/>
        <v>122.27697549000001</v>
      </c>
      <c r="K356" s="7">
        <f t="shared" si="23"/>
        <v>122.27697549000001</v>
      </c>
    </row>
    <row r="357" spans="1:11" x14ac:dyDescent="0.25">
      <c r="A357" s="20" t="s">
        <v>92</v>
      </c>
      <c r="B357" s="20" t="s">
        <v>9</v>
      </c>
      <c r="C357" s="20" t="s">
        <v>6</v>
      </c>
      <c r="D357" s="20">
        <v>221300</v>
      </c>
      <c r="E357" s="20">
        <v>221300</v>
      </c>
      <c r="F357" s="20">
        <v>3</v>
      </c>
      <c r="G357" s="20">
        <v>1</v>
      </c>
      <c r="H357" s="7">
        <f t="shared" si="20"/>
        <v>298755</v>
      </c>
      <c r="I357" s="1">
        <f t="shared" si="21"/>
        <v>298755</v>
      </c>
      <c r="J357" s="7">
        <f t="shared" si="22"/>
        <v>0.29875499999999999</v>
      </c>
      <c r="K357" s="7">
        <f t="shared" si="23"/>
        <v>0.29875499999999999</v>
      </c>
    </row>
    <row r="358" spans="1:11" x14ac:dyDescent="0.25">
      <c r="A358" s="20" t="s">
        <v>136</v>
      </c>
      <c r="B358" s="20" t="s">
        <v>9</v>
      </c>
      <c r="C358" s="20" t="s">
        <v>6</v>
      </c>
      <c r="D358" s="20">
        <v>2382800.7999999998</v>
      </c>
      <c r="E358" s="20">
        <v>2382800.7999999998</v>
      </c>
      <c r="F358" s="20">
        <v>12</v>
      </c>
      <c r="G358" s="20">
        <v>1</v>
      </c>
      <c r="H358" s="7">
        <f t="shared" si="20"/>
        <v>3216781.08</v>
      </c>
      <c r="I358" s="1">
        <f t="shared" si="21"/>
        <v>3216781.08</v>
      </c>
      <c r="J358" s="7">
        <f t="shared" si="22"/>
        <v>3.2167810800000001</v>
      </c>
      <c r="K358" s="7">
        <f t="shared" si="23"/>
        <v>3.2167810800000001</v>
      </c>
    </row>
    <row r="359" spans="1:11" x14ac:dyDescent="0.25">
      <c r="A359" s="20" t="s">
        <v>93</v>
      </c>
      <c r="B359" s="20" t="s">
        <v>9</v>
      </c>
      <c r="C359" s="20" t="s">
        <v>6</v>
      </c>
      <c r="D359" s="20">
        <v>81600</v>
      </c>
      <c r="E359" s="20">
        <v>81600</v>
      </c>
      <c r="F359" s="20">
        <v>3</v>
      </c>
      <c r="G359" s="20">
        <v>1</v>
      </c>
      <c r="H359" s="7">
        <f t="shared" si="20"/>
        <v>110160</v>
      </c>
      <c r="I359" s="1">
        <f t="shared" si="21"/>
        <v>110160</v>
      </c>
      <c r="J359" s="7">
        <f t="shared" si="22"/>
        <v>0.11015999999999999</v>
      </c>
      <c r="K359" s="7">
        <f t="shared" si="23"/>
        <v>0.11015999999999999</v>
      </c>
    </row>
    <row r="360" spans="1:11" x14ac:dyDescent="0.25">
      <c r="A360" s="20" t="s">
        <v>137</v>
      </c>
      <c r="B360" s="20" t="s">
        <v>9</v>
      </c>
      <c r="C360" s="20" t="s">
        <v>6</v>
      </c>
      <c r="D360" s="20">
        <v>163200</v>
      </c>
      <c r="E360" s="20">
        <v>163200</v>
      </c>
      <c r="F360" s="20">
        <v>1</v>
      </c>
      <c r="G360" s="20">
        <v>1</v>
      </c>
      <c r="H360" s="7">
        <f t="shared" si="20"/>
        <v>220320</v>
      </c>
      <c r="I360" s="1">
        <f t="shared" si="21"/>
        <v>220320</v>
      </c>
      <c r="J360" s="7">
        <f t="shared" si="22"/>
        <v>0.22031999999999999</v>
      </c>
      <c r="K360" s="7">
        <f t="shared" si="23"/>
        <v>0.22031999999999999</v>
      </c>
    </row>
    <row r="361" spans="1:11" x14ac:dyDescent="0.25">
      <c r="A361" s="20" t="s">
        <v>96</v>
      </c>
      <c r="B361" s="20" t="s">
        <v>9</v>
      </c>
      <c r="C361" s="20" t="s">
        <v>6</v>
      </c>
      <c r="D361" s="20">
        <v>691280</v>
      </c>
      <c r="E361" s="20">
        <v>691280</v>
      </c>
      <c r="F361" s="20">
        <v>4</v>
      </c>
      <c r="G361" s="20">
        <v>1</v>
      </c>
      <c r="H361" s="7">
        <f t="shared" si="20"/>
        <v>933228.00000000012</v>
      </c>
      <c r="I361" s="1">
        <f t="shared" si="21"/>
        <v>933228.00000000012</v>
      </c>
      <c r="J361" s="7">
        <f t="shared" si="22"/>
        <v>0.93322800000000017</v>
      </c>
      <c r="K361" s="7">
        <f t="shared" si="23"/>
        <v>0.93322800000000017</v>
      </c>
    </row>
    <row r="362" spans="1:11" x14ac:dyDescent="0.25">
      <c r="A362" s="20" t="s">
        <v>98</v>
      </c>
      <c r="B362" s="20" t="s">
        <v>9</v>
      </c>
      <c r="C362" s="20" t="s">
        <v>6</v>
      </c>
      <c r="D362" s="20">
        <v>101774358.815952</v>
      </c>
      <c r="E362" s="20">
        <v>100967402.815952</v>
      </c>
      <c r="F362" s="20">
        <v>76</v>
      </c>
      <c r="G362" s="20">
        <v>1</v>
      </c>
      <c r="H362" s="7">
        <f t="shared" si="20"/>
        <v>137395384.40153521</v>
      </c>
      <c r="I362" s="1">
        <f t="shared" si="21"/>
        <v>136305993.80153522</v>
      </c>
      <c r="J362" s="7">
        <f t="shared" si="22"/>
        <v>137.39538440153521</v>
      </c>
      <c r="K362" s="7">
        <f t="shared" si="23"/>
        <v>136.30599380153521</v>
      </c>
    </row>
    <row r="363" spans="1:11" x14ac:dyDescent="0.25">
      <c r="A363" s="20" t="s">
        <v>35</v>
      </c>
      <c r="B363" s="20">
        <v>33</v>
      </c>
      <c r="C363" s="20" t="s">
        <v>10</v>
      </c>
      <c r="D363" s="20">
        <v>721312.714344359</v>
      </c>
      <c r="E363" s="20">
        <v>440490.42100297898</v>
      </c>
      <c r="F363" s="20">
        <v>4</v>
      </c>
      <c r="G363" s="20">
        <v>0</v>
      </c>
      <c r="H363" s="7">
        <f t="shared" si="20"/>
        <v>973772.16436488472</v>
      </c>
      <c r="I363" s="1">
        <f t="shared" si="21"/>
        <v>594662.06835402164</v>
      </c>
      <c r="J363" s="7">
        <f t="shared" si="22"/>
        <v>0.97377216436488467</v>
      </c>
      <c r="K363" s="7">
        <f t="shared" si="23"/>
        <v>0.59466206835402169</v>
      </c>
    </row>
    <row r="364" spans="1:11" x14ac:dyDescent="0.25">
      <c r="A364" s="20" t="s">
        <v>37</v>
      </c>
      <c r="B364" s="20">
        <v>33</v>
      </c>
      <c r="C364" s="20" t="s">
        <v>10</v>
      </c>
      <c r="D364" s="20">
        <v>15747994.657685401</v>
      </c>
      <c r="E364" s="20">
        <v>8286041.5675902404</v>
      </c>
      <c r="F364" s="20">
        <v>5</v>
      </c>
      <c r="G364" s="20">
        <v>0</v>
      </c>
      <c r="H364" s="7">
        <f t="shared" si="20"/>
        <v>21259792.787875291</v>
      </c>
      <c r="I364" s="1">
        <f t="shared" si="21"/>
        <v>11186156.116246825</v>
      </c>
      <c r="J364" s="7">
        <f t="shared" si="22"/>
        <v>21.259792787875291</v>
      </c>
      <c r="K364" s="7">
        <f t="shared" si="23"/>
        <v>11.186156116246826</v>
      </c>
    </row>
    <row r="365" spans="1:11" x14ac:dyDescent="0.25">
      <c r="A365" s="20" t="s">
        <v>49</v>
      </c>
      <c r="B365" s="20">
        <v>33</v>
      </c>
      <c r="C365" s="20" t="s">
        <v>10</v>
      </c>
      <c r="D365" s="20">
        <v>17156131.435104001</v>
      </c>
      <c r="E365" s="20">
        <v>17156131.435104001</v>
      </c>
      <c r="F365" s="20">
        <v>1</v>
      </c>
      <c r="G365" s="20">
        <v>0</v>
      </c>
      <c r="H365" s="7">
        <f t="shared" si="20"/>
        <v>23160777.437390402</v>
      </c>
      <c r="I365" s="1">
        <f t="shared" si="21"/>
        <v>23160777.437390402</v>
      </c>
      <c r="J365" s="7">
        <f t="shared" si="22"/>
        <v>23.160777437390401</v>
      </c>
      <c r="K365" s="7">
        <f t="shared" si="23"/>
        <v>23.160777437390401</v>
      </c>
    </row>
    <row r="366" spans="1:11" x14ac:dyDescent="0.25">
      <c r="A366" s="20" t="s">
        <v>50</v>
      </c>
      <c r="B366" s="20">
        <v>33</v>
      </c>
      <c r="C366" s="20" t="s">
        <v>10</v>
      </c>
      <c r="D366" s="20">
        <v>5733618.0864275899</v>
      </c>
      <c r="E366" s="20">
        <v>5522417.4332137899</v>
      </c>
      <c r="F366" s="20">
        <v>4</v>
      </c>
      <c r="G366" s="20">
        <v>0</v>
      </c>
      <c r="H366" s="7">
        <f t="shared" si="20"/>
        <v>7740384.4166772468</v>
      </c>
      <c r="I366" s="1">
        <f t="shared" si="21"/>
        <v>7455263.5348386168</v>
      </c>
      <c r="J366" s="7">
        <f t="shared" si="22"/>
        <v>7.7403844166772471</v>
      </c>
      <c r="K366" s="7">
        <f t="shared" si="23"/>
        <v>7.4552635348386165</v>
      </c>
    </row>
    <row r="367" spans="1:11" x14ac:dyDescent="0.25">
      <c r="A367" s="20" t="s">
        <v>54</v>
      </c>
      <c r="B367" s="20">
        <v>33</v>
      </c>
      <c r="C367" s="20" t="s">
        <v>10</v>
      </c>
      <c r="D367" s="20">
        <v>269694076.21544498</v>
      </c>
      <c r="E367" s="20">
        <v>128815325.582451</v>
      </c>
      <c r="F367" s="20">
        <v>21</v>
      </c>
      <c r="G367" s="20">
        <v>0</v>
      </c>
      <c r="H367" s="7">
        <f t="shared" si="20"/>
        <v>364087002.89085072</v>
      </c>
      <c r="I367" s="1">
        <f t="shared" si="21"/>
        <v>173900689.53630885</v>
      </c>
      <c r="J367" s="7">
        <f t="shared" si="22"/>
        <v>364.08700289085073</v>
      </c>
      <c r="K367" s="7">
        <f t="shared" si="23"/>
        <v>173.90068953630885</v>
      </c>
    </row>
    <row r="368" spans="1:11" x14ac:dyDescent="0.25">
      <c r="A368" s="20" t="s">
        <v>55</v>
      </c>
      <c r="B368" s="20">
        <v>33</v>
      </c>
      <c r="C368" s="20" t="s">
        <v>10</v>
      </c>
      <c r="D368" s="20">
        <v>152000</v>
      </c>
      <c r="E368" s="20">
        <v>152000</v>
      </c>
      <c r="F368" s="20">
        <v>1</v>
      </c>
      <c r="G368" s="20">
        <v>0</v>
      </c>
      <c r="H368" s="7">
        <f t="shared" si="20"/>
        <v>205200</v>
      </c>
      <c r="I368" s="1">
        <f t="shared" si="21"/>
        <v>205200</v>
      </c>
      <c r="J368" s="7">
        <f t="shared" si="22"/>
        <v>0.20519999999999999</v>
      </c>
      <c r="K368" s="7">
        <f t="shared" si="23"/>
        <v>0.20519999999999999</v>
      </c>
    </row>
    <row r="369" spans="1:11" x14ac:dyDescent="0.25">
      <c r="A369" s="20" t="s">
        <v>79</v>
      </c>
      <c r="B369" s="20">
        <v>33</v>
      </c>
      <c r="C369" s="20" t="s">
        <v>10</v>
      </c>
      <c r="D369" s="20">
        <v>18020966.544</v>
      </c>
      <c r="E369" s="20">
        <v>18020966.544</v>
      </c>
      <c r="F369" s="20">
        <v>4</v>
      </c>
      <c r="G369" s="20">
        <v>0</v>
      </c>
      <c r="H369" s="7">
        <f t="shared" si="20"/>
        <v>24328304.834400002</v>
      </c>
      <c r="I369" s="1">
        <f t="shared" si="21"/>
        <v>24328304.834400002</v>
      </c>
      <c r="J369" s="7">
        <f t="shared" si="22"/>
        <v>24.328304834400001</v>
      </c>
      <c r="K369" s="7">
        <f t="shared" si="23"/>
        <v>24.328304834400001</v>
      </c>
    </row>
    <row r="370" spans="1:11" x14ac:dyDescent="0.25">
      <c r="A370" s="20" t="s">
        <v>84</v>
      </c>
      <c r="B370" s="20">
        <v>33</v>
      </c>
      <c r="C370" s="20" t="s">
        <v>10</v>
      </c>
      <c r="D370" s="20">
        <v>229138</v>
      </c>
      <c r="E370" s="20">
        <v>229138</v>
      </c>
      <c r="F370" s="20">
        <v>1</v>
      </c>
      <c r="G370" s="20">
        <v>0</v>
      </c>
      <c r="H370" s="7">
        <f t="shared" si="20"/>
        <v>309336.30000000005</v>
      </c>
      <c r="I370" s="1">
        <f t="shared" si="21"/>
        <v>309336.30000000005</v>
      </c>
      <c r="J370" s="7">
        <f t="shared" si="22"/>
        <v>0.30933630000000006</v>
      </c>
      <c r="K370" s="7">
        <f t="shared" si="23"/>
        <v>0.30933630000000006</v>
      </c>
    </row>
    <row r="371" spans="1:11" x14ac:dyDescent="0.25">
      <c r="A371" s="20" t="s">
        <v>91</v>
      </c>
      <c r="B371" s="20">
        <v>33</v>
      </c>
      <c r="C371" s="20" t="s">
        <v>10</v>
      </c>
      <c r="D371" s="20">
        <v>264348333.14132801</v>
      </c>
      <c r="E371" s="20">
        <v>216781498.117594</v>
      </c>
      <c r="F371" s="20">
        <v>5</v>
      </c>
      <c r="G371" s="20">
        <v>0</v>
      </c>
      <c r="H371" s="7">
        <f t="shared" si="20"/>
        <v>356870249.74079281</v>
      </c>
      <c r="I371" s="1">
        <f t="shared" si="21"/>
        <v>292655022.45875192</v>
      </c>
      <c r="J371" s="7">
        <f t="shared" si="22"/>
        <v>356.87024974079281</v>
      </c>
      <c r="K371" s="7">
        <f t="shared" si="23"/>
        <v>292.65502245875194</v>
      </c>
    </row>
    <row r="372" spans="1:11" x14ac:dyDescent="0.25">
      <c r="A372" s="20" t="s">
        <v>35</v>
      </c>
      <c r="B372" s="20">
        <v>33</v>
      </c>
      <c r="C372" s="20" t="s">
        <v>10</v>
      </c>
      <c r="D372" s="20">
        <v>117299776.07014</v>
      </c>
      <c r="E372" s="20">
        <v>59699152.014799498</v>
      </c>
      <c r="F372" s="20">
        <v>12</v>
      </c>
      <c r="G372" s="20">
        <v>1</v>
      </c>
      <c r="H372" s="7">
        <f t="shared" si="20"/>
        <v>158354697.69468901</v>
      </c>
      <c r="I372" s="1">
        <f t="shared" si="21"/>
        <v>80593855.219979331</v>
      </c>
      <c r="J372" s="7">
        <f t="shared" si="22"/>
        <v>158.35469769468901</v>
      </c>
      <c r="K372" s="7">
        <f t="shared" si="23"/>
        <v>80.593855219979332</v>
      </c>
    </row>
    <row r="373" spans="1:11" x14ac:dyDescent="0.25">
      <c r="A373" s="20" t="s">
        <v>37</v>
      </c>
      <c r="B373" s="20">
        <v>33</v>
      </c>
      <c r="C373" s="20" t="s">
        <v>10</v>
      </c>
      <c r="D373" s="20">
        <v>280411812.08683199</v>
      </c>
      <c r="E373" s="20">
        <v>203677116.44909</v>
      </c>
      <c r="F373" s="20">
        <v>57</v>
      </c>
      <c r="G373" s="20">
        <v>1</v>
      </c>
      <c r="H373" s="7">
        <f t="shared" si="20"/>
        <v>378555946.31722319</v>
      </c>
      <c r="I373" s="1">
        <f t="shared" si="21"/>
        <v>274964107.20627153</v>
      </c>
      <c r="J373" s="7">
        <f t="shared" si="22"/>
        <v>378.55594631722317</v>
      </c>
      <c r="K373" s="7">
        <f t="shared" si="23"/>
        <v>274.96410720627154</v>
      </c>
    </row>
    <row r="374" spans="1:11" x14ac:dyDescent="0.25">
      <c r="A374" s="20" t="s">
        <v>49</v>
      </c>
      <c r="B374" s="20">
        <v>33</v>
      </c>
      <c r="C374" s="20" t="s">
        <v>10</v>
      </c>
      <c r="D374" s="20">
        <v>17725731.435104001</v>
      </c>
      <c r="E374" s="20">
        <v>17725731.435104001</v>
      </c>
      <c r="F374" s="20">
        <v>4</v>
      </c>
      <c r="G374" s="20">
        <v>1</v>
      </c>
      <c r="H374" s="7">
        <f t="shared" si="20"/>
        <v>23929737.437390402</v>
      </c>
      <c r="I374" s="1">
        <f t="shared" si="21"/>
        <v>23929737.437390402</v>
      </c>
      <c r="J374" s="7">
        <f t="shared" si="22"/>
        <v>23.929737437390401</v>
      </c>
      <c r="K374" s="7">
        <f t="shared" si="23"/>
        <v>23.929737437390401</v>
      </c>
    </row>
    <row r="375" spans="1:11" x14ac:dyDescent="0.25">
      <c r="A375" s="20" t="s">
        <v>50</v>
      </c>
      <c r="B375" s="20">
        <v>33</v>
      </c>
      <c r="C375" s="20" t="s">
        <v>10</v>
      </c>
      <c r="D375" s="20">
        <v>183792082.082008</v>
      </c>
      <c r="E375" s="20">
        <v>115503381.26928601</v>
      </c>
      <c r="F375" s="20">
        <v>33</v>
      </c>
      <c r="G375" s="20">
        <v>1</v>
      </c>
      <c r="H375" s="7">
        <f t="shared" si="20"/>
        <v>248119310.81071082</v>
      </c>
      <c r="I375" s="1">
        <f t="shared" si="21"/>
        <v>155929564.71353611</v>
      </c>
      <c r="J375" s="7">
        <f t="shared" si="22"/>
        <v>248.11931081071083</v>
      </c>
      <c r="K375" s="7">
        <f t="shared" si="23"/>
        <v>155.92956471353611</v>
      </c>
    </row>
    <row r="376" spans="1:11" x14ac:dyDescent="0.25">
      <c r="A376" s="20" t="s">
        <v>103</v>
      </c>
      <c r="B376" s="20">
        <v>33</v>
      </c>
      <c r="C376" s="20" t="s">
        <v>10</v>
      </c>
      <c r="D376" s="20">
        <v>618592460.80988503</v>
      </c>
      <c r="E376" s="20">
        <v>568389716.21269202</v>
      </c>
      <c r="F376" s="20">
        <v>154</v>
      </c>
      <c r="G376" s="20">
        <v>1</v>
      </c>
      <c r="H376" s="7">
        <f t="shared" si="20"/>
        <v>835099822.09334481</v>
      </c>
      <c r="I376" s="1">
        <f t="shared" si="21"/>
        <v>767326116.88713431</v>
      </c>
      <c r="J376" s="7">
        <f t="shared" si="22"/>
        <v>835.09982209334476</v>
      </c>
      <c r="K376" s="7">
        <f t="shared" si="23"/>
        <v>767.32611688713428</v>
      </c>
    </row>
    <row r="377" spans="1:11" x14ac:dyDescent="0.25">
      <c r="A377" s="20" t="s">
        <v>54</v>
      </c>
      <c r="B377" s="20">
        <v>33</v>
      </c>
      <c r="C377" s="20" t="s">
        <v>10</v>
      </c>
      <c r="D377" s="20">
        <v>2275085169.2213302</v>
      </c>
      <c r="E377" s="20">
        <v>1498937035.13832</v>
      </c>
      <c r="F377" s="20">
        <v>333</v>
      </c>
      <c r="G377" s="20">
        <v>1</v>
      </c>
      <c r="H377" s="7">
        <f t="shared" si="20"/>
        <v>3071364978.4487958</v>
      </c>
      <c r="I377" s="1">
        <f t="shared" si="21"/>
        <v>2023564997.4367321</v>
      </c>
      <c r="J377" s="7">
        <f t="shared" si="22"/>
        <v>3071.3649784487957</v>
      </c>
      <c r="K377" s="7">
        <f t="shared" si="23"/>
        <v>2023.564997436732</v>
      </c>
    </row>
    <row r="378" spans="1:11" x14ac:dyDescent="0.25">
      <c r="A378" s="20" t="s">
        <v>55</v>
      </c>
      <c r="B378" s="20">
        <v>33</v>
      </c>
      <c r="C378" s="20" t="s">
        <v>10</v>
      </c>
      <c r="D378" s="20">
        <v>9371114846.9960003</v>
      </c>
      <c r="E378" s="20">
        <v>7182976179.9304304</v>
      </c>
      <c r="F378" s="20">
        <v>1683</v>
      </c>
      <c r="G378" s="20">
        <v>1</v>
      </c>
      <c r="H378" s="7">
        <f t="shared" si="20"/>
        <v>12651005043.444601</v>
      </c>
      <c r="I378" s="1">
        <f t="shared" si="21"/>
        <v>9697017842.9060822</v>
      </c>
      <c r="J378" s="7">
        <f t="shared" si="22"/>
        <v>12651.0050434446</v>
      </c>
      <c r="K378" s="7">
        <f t="shared" si="23"/>
        <v>9697.0178429060816</v>
      </c>
    </row>
    <row r="379" spans="1:11" x14ac:dyDescent="0.25">
      <c r="A379" s="20" t="s">
        <v>79</v>
      </c>
      <c r="B379" s="20">
        <v>33</v>
      </c>
      <c r="C379" s="20" t="s">
        <v>10</v>
      </c>
      <c r="D379" s="20">
        <v>51013102.484981701</v>
      </c>
      <c r="E379" s="20">
        <v>43391627.5798162</v>
      </c>
      <c r="F379" s="20">
        <v>23</v>
      </c>
      <c r="G379" s="20">
        <v>1</v>
      </c>
      <c r="H379" s="7">
        <f t="shared" si="20"/>
        <v>68867688.354725301</v>
      </c>
      <c r="I379" s="1">
        <f t="shared" si="21"/>
        <v>58578697.232751876</v>
      </c>
      <c r="J379" s="7">
        <f t="shared" si="22"/>
        <v>68.867688354725303</v>
      </c>
      <c r="K379" s="7">
        <f t="shared" si="23"/>
        <v>58.578697232751878</v>
      </c>
    </row>
    <row r="380" spans="1:11" x14ac:dyDescent="0.25">
      <c r="A380" s="20" t="s">
        <v>84</v>
      </c>
      <c r="B380" s="20">
        <v>33</v>
      </c>
      <c r="C380" s="20" t="s">
        <v>10</v>
      </c>
      <c r="D380" s="20">
        <v>11831807.3236029</v>
      </c>
      <c r="E380" s="20">
        <v>11831807.3236029</v>
      </c>
      <c r="F380" s="20">
        <v>6</v>
      </c>
      <c r="G380" s="20">
        <v>1</v>
      </c>
      <c r="H380" s="7">
        <f t="shared" si="20"/>
        <v>15972939.886863915</v>
      </c>
      <c r="I380" s="1">
        <f t="shared" si="21"/>
        <v>15972939.886863915</v>
      </c>
      <c r="J380" s="7">
        <f t="shared" si="22"/>
        <v>15.972939886863916</v>
      </c>
      <c r="K380" s="7">
        <f t="shared" si="23"/>
        <v>15.972939886863916</v>
      </c>
    </row>
    <row r="381" spans="1:11" x14ac:dyDescent="0.25">
      <c r="A381" s="20" t="s">
        <v>91</v>
      </c>
      <c r="B381" s="20">
        <v>33</v>
      </c>
      <c r="C381" s="20" t="s">
        <v>10</v>
      </c>
      <c r="D381" s="20">
        <v>2694309250.7946701</v>
      </c>
      <c r="E381" s="20">
        <v>2430519956.7227502</v>
      </c>
      <c r="F381" s="20">
        <v>462</v>
      </c>
      <c r="G381" s="20">
        <v>1</v>
      </c>
      <c r="H381" s="7">
        <f t="shared" si="20"/>
        <v>3637317488.5728049</v>
      </c>
      <c r="I381" s="1">
        <f t="shared" si="21"/>
        <v>3281201941.5757132</v>
      </c>
      <c r="J381" s="7">
        <f t="shared" si="22"/>
        <v>3637.3174885728049</v>
      </c>
      <c r="K381" s="7">
        <f t="shared" si="23"/>
        <v>3281.2019415757131</v>
      </c>
    </row>
    <row r="382" spans="1:11" x14ac:dyDescent="0.25">
      <c r="A382" s="20" t="s">
        <v>55</v>
      </c>
      <c r="B382" s="20">
        <v>3624</v>
      </c>
      <c r="C382" s="20" t="s">
        <v>10</v>
      </c>
      <c r="D382" s="20">
        <v>5578000</v>
      </c>
      <c r="E382" s="20">
        <v>5578000</v>
      </c>
      <c r="F382" s="20">
        <v>5</v>
      </c>
      <c r="G382" s="20">
        <v>1</v>
      </c>
      <c r="H382" s="7">
        <f t="shared" si="20"/>
        <v>7530300.0000000009</v>
      </c>
      <c r="I382" s="1">
        <f t="shared" si="21"/>
        <v>7530300.0000000009</v>
      </c>
      <c r="J382" s="7">
        <f t="shared" si="22"/>
        <v>7.5303000000000013</v>
      </c>
      <c r="K382" s="7">
        <f t="shared" si="23"/>
        <v>7.5303000000000013</v>
      </c>
    </row>
    <row r="383" spans="1:11" x14ac:dyDescent="0.25">
      <c r="A383" s="20" t="s">
        <v>55</v>
      </c>
      <c r="B383" s="20" t="s">
        <v>7</v>
      </c>
      <c r="C383" s="20" t="s">
        <v>10</v>
      </c>
      <c r="D383" s="20">
        <v>7099946</v>
      </c>
      <c r="E383" s="20">
        <v>7099946</v>
      </c>
      <c r="F383" s="20">
        <v>15</v>
      </c>
      <c r="G383" s="20">
        <v>0</v>
      </c>
      <c r="H383" s="7">
        <f t="shared" si="20"/>
        <v>9584927.1000000015</v>
      </c>
      <c r="I383" s="1">
        <f t="shared" si="21"/>
        <v>9584927.1000000015</v>
      </c>
      <c r="J383" s="7">
        <f t="shared" si="22"/>
        <v>9.5849271000000016</v>
      </c>
      <c r="K383" s="7">
        <f t="shared" si="23"/>
        <v>9.5849271000000016</v>
      </c>
    </row>
    <row r="384" spans="1:11" x14ac:dyDescent="0.25">
      <c r="A384" s="20" t="s">
        <v>55</v>
      </c>
      <c r="B384" s="20" t="s">
        <v>7</v>
      </c>
      <c r="C384" s="20" t="s">
        <v>10</v>
      </c>
      <c r="D384" s="20">
        <v>121287644939.62</v>
      </c>
      <c r="E384" s="20">
        <v>121287644939.62</v>
      </c>
      <c r="F384" s="20">
        <v>173171</v>
      </c>
      <c r="G384" s="20">
        <v>1</v>
      </c>
      <c r="H384" s="7">
        <f t="shared" si="20"/>
        <v>163738320668.487</v>
      </c>
      <c r="I384" s="1">
        <f t="shared" si="21"/>
        <v>163738320668.487</v>
      </c>
      <c r="J384" s="7">
        <f t="shared" si="22"/>
        <v>163738.32066848699</v>
      </c>
      <c r="K384" s="7">
        <f t="shared" si="23"/>
        <v>163738.32066848699</v>
      </c>
    </row>
    <row r="385" spans="1:11" x14ac:dyDescent="0.25">
      <c r="A385" s="20" t="s">
        <v>37</v>
      </c>
      <c r="B385" s="20" t="s">
        <v>8</v>
      </c>
      <c r="C385" s="20" t="s">
        <v>10</v>
      </c>
      <c r="D385" s="20">
        <v>5588088.6783495499</v>
      </c>
      <c r="E385" s="20">
        <v>5588088.6783495499</v>
      </c>
      <c r="F385" s="20">
        <v>2</v>
      </c>
      <c r="G385" s="20">
        <v>0</v>
      </c>
      <c r="H385" s="7">
        <f t="shared" si="20"/>
        <v>7543919.715771893</v>
      </c>
      <c r="I385" s="1">
        <f t="shared" si="21"/>
        <v>7543919.715771893</v>
      </c>
      <c r="J385" s="7">
        <f t="shared" si="22"/>
        <v>7.5439197157718931</v>
      </c>
      <c r="K385" s="7">
        <f t="shared" si="23"/>
        <v>7.5439197157718931</v>
      </c>
    </row>
    <row r="386" spans="1:11" x14ac:dyDescent="0.25">
      <c r="A386" s="20" t="s">
        <v>54</v>
      </c>
      <c r="B386" s="20" t="s">
        <v>8</v>
      </c>
      <c r="C386" s="20" t="s">
        <v>10</v>
      </c>
      <c r="D386" s="20">
        <v>55746827.551567502</v>
      </c>
      <c r="E386" s="20">
        <v>31311597.9982449</v>
      </c>
      <c r="F386" s="20">
        <v>4</v>
      </c>
      <c r="G386" s="20">
        <v>0</v>
      </c>
      <c r="H386" s="7">
        <f t="shared" si="20"/>
        <v>75258217.194616139</v>
      </c>
      <c r="I386" s="1">
        <f t="shared" si="21"/>
        <v>42270657.297630616</v>
      </c>
      <c r="J386" s="7">
        <f t="shared" si="22"/>
        <v>75.258217194616137</v>
      </c>
      <c r="K386" s="7">
        <f t="shared" si="23"/>
        <v>42.270657297630613</v>
      </c>
    </row>
    <row r="387" spans="1:11" x14ac:dyDescent="0.25">
      <c r="A387" s="20" t="s">
        <v>55</v>
      </c>
      <c r="B387" s="20" t="s">
        <v>8</v>
      </c>
      <c r="C387" s="20" t="s">
        <v>10</v>
      </c>
      <c r="D387" s="20">
        <v>148840795.211043</v>
      </c>
      <c r="E387" s="20">
        <v>75714983.240083203</v>
      </c>
      <c r="F387" s="20">
        <v>5</v>
      </c>
      <c r="G387" s="20">
        <v>0</v>
      </c>
      <c r="H387" s="7">
        <f t="shared" ref="H387:H450" si="24">D387*1.35</f>
        <v>200935073.53490806</v>
      </c>
      <c r="I387" s="1">
        <f t="shared" ref="I387:I450" si="25">E387*1.35</f>
        <v>102215227.37411234</v>
      </c>
      <c r="J387" s="7">
        <f t="shared" ref="J387:J450" si="26">H387/1000000</f>
        <v>200.93507353490804</v>
      </c>
      <c r="K387" s="7">
        <f t="shared" ref="K387:K450" si="27">I387/1000000</f>
        <v>102.21522737411233</v>
      </c>
    </row>
    <row r="388" spans="1:11" x14ac:dyDescent="0.25">
      <c r="A388" s="20" t="s">
        <v>35</v>
      </c>
      <c r="B388" s="20" t="s">
        <v>8</v>
      </c>
      <c r="C388" s="20" t="s">
        <v>10</v>
      </c>
      <c r="D388" s="20">
        <v>10975035.9495856</v>
      </c>
      <c r="E388" s="20">
        <v>10975035.9495856</v>
      </c>
      <c r="F388" s="20">
        <v>5</v>
      </c>
      <c r="G388" s="20">
        <v>1</v>
      </c>
      <c r="H388" s="7">
        <f t="shared" si="24"/>
        <v>14816298.531940561</v>
      </c>
      <c r="I388" s="1">
        <f t="shared" si="25"/>
        <v>14816298.531940561</v>
      </c>
      <c r="J388" s="7">
        <f t="shared" si="26"/>
        <v>14.816298531940561</v>
      </c>
      <c r="K388" s="7">
        <f t="shared" si="27"/>
        <v>14.816298531940561</v>
      </c>
    </row>
    <row r="389" spans="1:11" x14ac:dyDescent="0.25">
      <c r="A389" s="20" t="s">
        <v>37</v>
      </c>
      <c r="B389" s="20" t="s">
        <v>8</v>
      </c>
      <c r="C389" s="20" t="s">
        <v>10</v>
      </c>
      <c r="D389" s="20">
        <v>178447830.56103799</v>
      </c>
      <c r="E389" s="20">
        <v>166364677.927349</v>
      </c>
      <c r="F389" s="20">
        <v>46</v>
      </c>
      <c r="G389" s="20">
        <v>1</v>
      </c>
      <c r="H389" s="7">
        <f t="shared" si="24"/>
        <v>240904571.25740129</v>
      </c>
      <c r="I389" s="1">
        <f t="shared" si="25"/>
        <v>224592315.20192116</v>
      </c>
      <c r="J389" s="7">
        <f t="shared" si="26"/>
        <v>240.9045712574013</v>
      </c>
      <c r="K389" s="7">
        <f t="shared" si="27"/>
        <v>224.59231520192117</v>
      </c>
    </row>
    <row r="390" spans="1:11" x14ac:dyDescent="0.25">
      <c r="A390" s="20" t="s">
        <v>49</v>
      </c>
      <c r="B390" s="20" t="s">
        <v>8</v>
      </c>
      <c r="C390" s="20" t="s">
        <v>10</v>
      </c>
      <c r="D390" s="20">
        <v>2316867.8928684201</v>
      </c>
      <c r="E390" s="20">
        <v>2316867.8928684201</v>
      </c>
      <c r="F390" s="20">
        <v>2</v>
      </c>
      <c r="G390" s="20">
        <v>1</v>
      </c>
      <c r="H390" s="7">
        <f t="shared" si="24"/>
        <v>3127771.6553723672</v>
      </c>
      <c r="I390" s="1">
        <f t="shared" si="25"/>
        <v>3127771.6553723672</v>
      </c>
      <c r="J390" s="7">
        <f t="shared" si="26"/>
        <v>3.1277716553723671</v>
      </c>
      <c r="K390" s="7">
        <f t="shared" si="27"/>
        <v>3.1277716553723671</v>
      </c>
    </row>
    <row r="391" spans="1:11" x14ac:dyDescent="0.25">
      <c r="A391" s="20" t="s">
        <v>50</v>
      </c>
      <c r="B391" s="20" t="s">
        <v>8</v>
      </c>
      <c r="C391" s="20" t="s">
        <v>10</v>
      </c>
      <c r="D391" s="20">
        <v>78023232.816889495</v>
      </c>
      <c r="E391" s="20">
        <v>63972400.975255303</v>
      </c>
      <c r="F391" s="20">
        <v>25</v>
      </c>
      <c r="G391" s="20">
        <v>1</v>
      </c>
      <c r="H391" s="7">
        <f t="shared" si="24"/>
        <v>105331364.30280082</v>
      </c>
      <c r="I391" s="1">
        <f t="shared" si="25"/>
        <v>86362741.31659466</v>
      </c>
      <c r="J391" s="7">
        <f t="shared" si="26"/>
        <v>105.33136430280082</v>
      </c>
      <c r="K391" s="7">
        <f t="shared" si="27"/>
        <v>86.362741316594665</v>
      </c>
    </row>
    <row r="392" spans="1:11" x14ac:dyDescent="0.25">
      <c r="A392" s="20" t="s">
        <v>103</v>
      </c>
      <c r="B392" s="20" t="s">
        <v>8</v>
      </c>
      <c r="C392" s="20" t="s">
        <v>10</v>
      </c>
      <c r="D392" s="20">
        <v>915059.83491027297</v>
      </c>
      <c r="E392" s="20">
        <v>915059.83491027297</v>
      </c>
      <c r="F392" s="20">
        <v>2</v>
      </c>
      <c r="G392" s="20">
        <v>1</v>
      </c>
      <c r="H392" s="7">
        <f t="shared" si="24"/>
        <v>1235330.7771288685</v>
      </c>
      <c r="I392" s="1">
        <f t="shared" si="25"/>
        <v>1235330.7771288685</v>
      </c>
      <c r="J392" s="7">
        <f t="shared" si="26"/>
        <v>1.2353307771288684</v>
      </c>
      <c r="K392" s="7">
        <f t="shared" si="27"/>
        <v>1.2353307771288684</v>
      </c>
    </row>
    <row r="393" spans="1:11" x14ac:dyDescent="0.25">
      <c r="A393" s="20" t="s">
        <v>54</v>
      </c>
      <c r="B393" s="20" t="s">
        <v>8</v>
      </c>
      <c r="C393" s="20" t="s">
        <v>10</v>
      </c>
      <c r="D393" s="20">
        <v>1194735297.7703199</v>
      </c>
      <c r="E393" s="20">
        <v>899813220.698107</v>
      </c>
      <c r="F393" s="20">
        <v>242</v>
      </c>
      <c r="G393" s="20">
        <v>1</v>
      </c>
      <c r="H393" s="7">
        <f t="shared" si="24"/>
        <v>1612892651.9899321</v>
      </c>
      <c r="I393" s="1">
        <f t="shared" si="25"/>
        <v>1214747847.9424446</v>
      </c>
      <c r="J393" s="7">
        <f t="shared" si="26"/>
        <v>1612.8926519899321</v>
      </c>
      <c r="K393" s="7">
        <f t="shared" si="27"/>
        <v>1214.7478479424447</v>
      </c>
    </row>
    <row r="394" spans="1:11" x14ac:dyDescent="0.25">
      <c r="A394" s="20" t="s">
        <v>55</v>
      </c>
      <c r="B394" s="20" t="s">
        <v>8</v>
      </c>
      <c r="C394" s="20" t="s">
        <v>10</v>
      </c>
      <c r="D394" s="20">
        <v>1251298742.3322501</v>
      </c>
      <c r="E394" s="20">
        <v>989829977.23415601</v>
      </c>
      <c r="F394" s="20">
        <v>267</v>
      </c>
      <c r="G394" s="20">
        <v>1</v>
      </c>
      <c r="H394" s="7">
        <f t="shared" si="24"/>
        <v>1689253302.1485379</v>
      </c>
      <c r="I394" s="1">
        <f t="shared" si="25"/>
        <v>1336270469.2661107</v>
      </c>
      <c r="J394" s="7">
        <f t="shared" si="26"/>
        <v>1689.2533021485378</v>
      </c>
      <c r="K394" s="7">
        <f t="shared" si="27"/>
        <v>1336.2704692661107</v>
      </c>
    </row>
    <row r="395" spans="1:11" x14ac:dyDescent="0.25">
      <c r="A395" s="20" t="s">
        <v>79</v>
      </c>
      <c r="B395" s="20" t="s">
        <v>8</v>
      </c>
      <c r="C395" s="20" t="s">
        <v>10</v>
      </c>
      <c r="D395" s="20">
        <v>22920435.965222102</v>
      </c>
      <c r="E395" s="20">
        <v>17046919.4911348</v>
      </c>
      <c r="F395" s="20">
        <v>13</v>
      </c>
      <c r="G395" s="20">
        <v>1</v>
      </c>
      <c r="H395" s="7">
        <f t="shared" si="24"/>
        <v>30942588.55304984</v>
      </c>
      <c r="I395" s="1">
        <f t="shared" si="25"/>
        <v>23013341.313031983</v>
      </c>
      <c r="J395" s="7">
        <f t="shared" si="26"/>
        <v>30.942588553049841</v>
      </c>
      <c r="K395" s="7">
        <f t="shared" si="27"/>
        <v>23.013341313031983</v>
      </c>
    </row>
    <row r="396" spans="1:11" x14ac:dyDescent="0.25">
      <c r="A396" s="20" t="s">
        <v>84</v>
      </c>
      <c r="B396" s="20" t="s">
        <v>8</v>
      </c>
      <c r="C396" s="20" t="s">
        <v>10</v>
      </c>
      <c r="D396" s="20">
        <v>962933.94816408202</v>
      </c>
      <c r="E396" s="20">
        <v>962933.94816408202</v>
      </c>
      <c r="F396" s="20">
        <v>1</v>
      </c>
      <c r="G396" s="20">
        <v>1</v>
      </c>
      <c r="H396" s="7">
        <f t="shared" si="24"/>
        <v>1299960.8300215108</v>
      </c>
      <c r="I396" s="1">
        <f t="shared" si="25"/>
        <v>1299960.8300215108</v>
      </c>
      <c r="J396" s="7">
        <f t="shared" si="26"/>
        <v>1.2999608300215109</v>
      </c>
      <c r="K396" s="7">
        <f t="shared" si="27"/>
        <v>1.2999608300215109</v>
      </c>
    </row>
    <row r="397" spans="1:11" x14ac:dyDescent="0.25">
      <c r="A397" s="20" t="s">
        <v>91</v>
      </c>
      <c r="B397" s="20" t="s">
        <v>8</v>
      </c>
      <c r="C397" s="20" t="s">
        <v>10</v>
      </c>
      <c r="D397" s="20">
        <v>119269832.531386</v>
      </c>
      <c r="E397" s="20">
        <v>41431963.185427003</v>
      </c>
      <c r="F397" s="20">
        <v>9</v>
      </c>
      <c r="G397" s="20">
        <v>1</v>
      </c>
      <c r="H397" s="7">
        <f t="shared" si="24"/>
        <v>161014273.91737112</v>
      </c>
      <c r="I397" s="1">
        <f t="shared" si="25"/>
        <v>55933150.300326459</v>
      </c>
      <c r="J397" s="7">
        <f t="shared" si="26"/>
        <v>161.01427391737113</v>
      </c>
      <c r="K397" s="7">
        <f t="shared" si="27"/>
        <v>55.93315030032646</v>
      </c>
    </row>
    <row r="398" spans="1:11" x14ac:dyDescent="0.25">
      <c r="A398" s="20" t="s">
        <v>35</v>
      </c>
      <c r="B398" s="20" t="s">
        <v>9</v>
      </c>
      <c r="C398" s="20" t="s">
        <v>10</v>
      </c>
      <c r="D398" s="20">
        <v>965000</v>
      </c>
      <c r="E398" s="20">
        <v>965000</v>
      </c>
      <c r="F398" s="20">
        <v>1</v>
      </c>
      <c r="G398" s="20">
        <v>0</v>
      </c>
      <c r="H398" s="7">
        <f t="shared" si="24"/>
        <v>1302750</v>
      </c>
      <c r="I398" s="1">
        <f t="shared" si="25"/>
        <v>1302750</v>
      </c>
      <c r="J398" s="7">
        <f t="shared" si="26"/>
        <v>1.3027500000000001</v>
      </c>
      <c r="K398" s="7">
        <f t="shared" si="27"/>
        <v>1.3027500000000001</v>
      </c>
    </row>
    <row r="399" spans="1:11" x14ac:dyDescent="0.25">
      <c r="A399" s="20" t="s">
        <v>37</v>
      </c>
      <c r="B399" s="20" t="s">
        <v>9</v>
      </c>
      <c r="C399" s="20" t="s">
        <v>10</v>
      </c>
      <c r="D399" s="20">
        <v>647970</v>
      </c>
      <c r="E399" s="20">
        <v>647970</v>
      </c>
      <c r="F399" s="20">
        <v>4</v>
      </c>
      <c r="G399" s="20">
        <v>0</v>
      </c>
      <c r="H399" s="7">
        <f t="shared" si="24"/>
        <v>874759.5</v>
      </c>
      <c r="I399" s="1">
        <f t="shared" si="25"/>
        <v>874759.5</v>
      </c>
      <c r="J399" s="7">
        <f t="shared" si="26"/>
        <v>0.87475950000000002</v>
      </c>
      <c r="K399" s="7">
        <f t="shared" si="27"/>
        <v>0.87475950000000002</v>
      </c>
    </row>
    <row r="400" spans="1:11" x14ac:dyDescent="0.25">
      <c r="A400" s="20" t="s">
        <v>50</v>
      </c>
      <c r="B400" s="20" t="s">
        <v>9</v>
      </c>
      <c r="C400" s="20" t="s">
        <v>10</v>
      </c>
      <c r="D400" s="20">
        <v>11303190</v>
      </c>
      <c r="E400" s="20">
        <v>11303190</v>
      </c>
      <c r="F400" s="20">
        <v>2</v>
      </c>
      <c r="G400" s="20">
        <v>0</v>
      </c>
      <c r="H400" s="7">
        <f t="shared" si="24"/>
        <v>15259306.500000002</v>
      </c>
      <c r="I400" s="1">
        <f t="shared" si="25"/>
        <v>15259306.500000002</v>
      </c>
      <c r="J400" s="7">
        <f t="shared" si="26"/>
        <v>15.259306500000001</v>
      </c>
      <c r="K400" s="7">
        <f t="shared" si="27"/>
        <v>15.259306500000001</v>
      </c>
    </row>
    <row r="401" spans="1:11" x14ac:dyDescent="0.25">
      <c r="A401" s="20" t="s">
        <v>103</v>
      </c>
      <c r="B401" s="20" t="s">
        <v>9</v>
      </c>
      <c r="C401" s="20" t="s">
        <v>10</v>
      </c>
      <c r="D401" s="20">
        <v>78660</v>
      </c>
      <c r="E401" s="20">
        <v>78660</v>
      </c>
      <c r="F401" s="20">
        <v>1</v>
      </c>
      <c r="G401" s="20">
        <v>0</v>
      </c>
      <c r="H401" s="7">
        <f t="shared" si="24"/>
        <v>106191</v>
      </c>
      <c r="I401" s="1">
        <f t="shared" si="25"/>
        <v>106191</v>
      </c>
      <c r="J401" s="7">
        <f t="shared" si="26"/>
        <v>0.10619099999999999</v>
      </c>
      <c r="K401" s="7">
        <f t="shared" si="27"/>
        <v>0.10619099999999999</v>
      </c>
    </row>
    <row r="402" spans="1:11" x14ac:dyDescent="0.25">
      <c r="A402" s="20" t="s">
        <v>54</v>
      </c>
      <c r="B402" s="20" t="s">
        <v>9</v>
      </c>
      <c r="C402" s="20" t="s">
        <v>10</v>
      </c>
      <c r="D402" s="20">
        <v>61582623.200190403</v>
      </c>
      <c r="E402" s="20">
        <v>61582623.200190403</v>
      </c>
      <c r="F402" s="20">
        <v>97</v>
      </c>
      <c r="G402" s="20">
        <v>0</v>
      </c>
      <c r="H402" s="7">
        <f t="shared" si="24"/>
        <v>83136541.320257053</v>
      </c>
      <c r="I402" s="1">
        <f t="shared" si="25"/>
        <v>83136541.320257053</v>
      </c>
      <c r="J402" s="7">
        <f t="shared" si="26"/>
        <v>83.136541320257052</v>
      </c>
      <c r="K402" s="7">
        <f t="shared" si="27"/>
        <v>83.136541320257052</v>
      </c>
    </row>
    <row r="403" spans="1:11" x14ac:dyDescent="0.25">
      <c r="A403" s="20" t="s">
        <v>84</v>
      </c>
      <c r="B403" s="20" t="s">
        <v>9</v>
      </c>
      <c r="C403" s="20" t="s">
        <v>10</v>
      </c>
      <c r="D403" s="20">
        <v>10000</v>
      </c>
      <c r="E403" s="20">
        <v>10000</v>
      </c>
      <c r="F403" s="20">
        <v>1</v>
      </c>
      <c r="G403" s="20">
        <v>0</v>
      </c>
      <c r="H403" s="7">
        <f t="shared" si="24"/>
        <v>13500</v>
      </c>
      <c r="I403" s="1">
        <f t="shared" si="25"/>
        <v>13500</v>
      </c>
      <c r="J403" s="7">
        <f t="shared" si="26"/>
        <v>1.35E-2</v>
      </c>
      <c r="K403" s="7">
        <f t="shared" si="27"/>
        <v>1.35E-2</v>
      </c>
    </row>
    <row r="404" spans="1:11" x14ac:dyDescent="0.25">
      <c r="A404" s="20" t="s">
        <v>91</v>
      </c>
      <c r="B404" s="20" t="s">
        <v>9</v>
      </c>
      <c r="C404" s="20" t="s">
        <v>10</v>
      </c>
      <c r="D404" s="20">
        <v>891706.8</v>
      </c>
      <c r="E404" s="20">
        <v>891706.8</v>
      </c>
      <c r="F404" s="20">
        <v>6</v>
      </c>
      <c r="G404" s="20">
        <v>0</v>
      </c>
      <c r="H404" s="7">
        <f t="shared" si="24"/>
        <v>1203804.1800000002</v>
      </c>
      <c r="I404" s="1">
        <f t="shared" si="25"/>
        <v>1203804.1800000002</v>
      </c>
      <c r="J404" s="7">
        <f t="shared" si="26"/>
        <v>1.2038041800000001</v>
      </c>
      <c r="K404" s="7">
        <f t="shared" si="27"/>
        <v>1.2038041800000001</v>
      </c>
    </row>
    <row r="405" spans="1:11" x14ac:dyDescent="0.25">
      <c r="A405" s="20" t="s">
        <v>35</v>
      </c>
      <c r="B405" s="20" t="s">
        <v>9</v>
      </c>
      <c r="C405" s="20" t="s">
        <v>10</v>
      </c>
      <c r="D405" s="20">
        <v>1593469941.57634</v>
      </c>
      <c r="E405" s="20">
        <v>1569310027.57634</v>
      </c>
      <c r="F405" s="20">
        <v>2497</v>
      </c>
      <c r="G405" s="20">
        <v>1</v>
      </c>
      <c r="H405" s="7">
        <f t="shared" si="24"/>
        <v>2151184421.1280589</v>
      </c>
      <c r="I405" s="1">
        <f t="shared" si="25"/>
        <v>2118568537.2280591</v>
      </c>
      <c r="J405" s="7">
        <f t="shared" si="26"/>
        <v>2151.1844211280591</v>
      </c>
      <c r="K405" s="7">
        <f t="shared" si="27"/>
        <v>2118.5685372280591</v>
      </c>
    </row>
    <row r="406" spans="1:11" x14ac:dyDescent="0.25">
      <c r="A406" s="20" t="s">
        <v>37</v>
      </c>
      <c r="B406" s="20" t="s">
        <v>9</v>
      </c>
      <c r="C406" s="20" t="s">
        <v>10</v>
      </c>
      <c r="D406" s="20">
        <v>9409929762.7999992</v>
      </c>
      <c r="E406" s="20">
        <v>8909949616</v>
      </c>
      <c r="F406" s="20">
        <v>6013</v>
      </c>
      <c r="G406" s="20">
        <v>1</v>
      </c>
      <c r="H406" s="7">
        <f t="shared" si="24"/>
        <v>12703405179.780001</v>
      </c>
      <c r="I406" s="1">
        <f t="shared" si="25"/>
        <v>12028431981.6</v>
      </c>
      <c r="J406" s="7">
        <f t="shared" si="26"/>
        <v>12703.40517978</v>
      </c>
      <c r="K406" s="7">
        <f t="shared" si="27"/>
        <v>12028.431981600001</v>
      </c>
    </row>
    <row r="407" spans="1:11" x14ac:dyDescent="0.25">
      <c r="A407" s="20" t="s">
        <v>49</v>
      </c>
      <c r="B407" s="20" t="s">
        <v>9</v>
      </c>
      <c r="C407" s="20" t="s">
        <v>10</v>
      </c>
      <c r="D407" s="20">
        <v>33669781.600000001</v>
      </c>
      <c r="E407" s="20">
        <v>33669781.600000001</v>
      </c>
      <c r="F407" s="20">
        <v>42</v>
      </c>
      <c r="G407" s="20">
        <v>1</v>
      </c>
      <c r="H407" s="7">
        <f t="shared" si="24"/>
        <v>45454205.160000004</v>
      </c>
      <c r="I407" s="1">
        <f t="shared" si="25"/>
        <v>45454205.160000004</v>
      </c>
      <c r="J407" s="7">
        <f t="shared" si="26"/>
        <v>45.454205160000001</v>
      </c>
      <c r="K407" s="7">
        <f t="shared" si="27"/>
        <v>45.454205160000001</v>
      </c>
    </row>
    <row r="408" spans="1:11" x14ac:dyDescent="0.25">
      <c r="A408" s="20" t="s">
        <v>50</v>
      </c>
      <c r="B408" s="20" t="s">
        <v>9</v>
      </c>
      <c r="C408" s="20" t="s">
        <v>10</v>
      </c>
      <c r="D408" s="20">
        <v>12604811140.750601</v>
      </c>
      <c r="E408" s="20">
        <v>12542945496.660101</v>
      </c>
      <c r="F408" s="20">
        <v>21741</v>
      </c>
      <c r="G408" s="20">
        <v>1</v>
      </c>
      <c r="H408" s="7">
        <f t="shared" si="24"/>
        <v>17016495040.013311</v>
      </c>
      <c r="I408" s="1">
        <f t="shared" si="25"/>
        <v>16932976420.491137</v>
      </c>
      <c r="J408" s="7">
        <f t="shared" si="26"/>
        <v>17016.495040013313</v>
      </c>
      <c r="K408" s="7">
        <f t="shared" si="27"/>
        <v>16932.976420491137</v>
      </c>
    </row>
    <row r="409" spans="1:11" x14ac:dyDescent="0.25">
      <c r="A409" s="20" t="s">
        <v>103</v>
      </c>
      <c r="B409" s="20" t="s">
        <v>9</v>
      </c>
      <c r="C409" s="20" t="s">
        <v>10</v>
      </c>
      <c r="D409" s="20">
        <v>24492760.438889999</v>
      </c>
      <c r="E409" s="20">
        <v>23901642.438889999</v>
      </c>
      <c r="F409" s="20">
        <v>91</v>
      </c>
      <c r="G409" s="20">
        <v>1</v>
      </c>
      <c r="H409" s="7">
        <f t="shared" si="24"/>
        <v>33065226.592501502</v>
      </c>
      <c r="I409" s="1">
        <f t="shared" si="25"/>
        <v>32267217.292501502</v>
      </c>
      <c r="J409" s="7">
        <f t="shared" si="26"/>
        <v>33.065226592501503</v>
      </c>
      <c r="K409" s="7">
        <f t="shared" si="27"/>
        <v>32.267217292501499</v>
      </c>
    </row>
    <row r="410" spans="1:11" x14ac:dyDescent="0.25">
      <c r="A410" s="20" t="s">
        <v>54</v>
      </c>
      <c r="B410" s="20" t="s">
        <v>9</v>
      </c>
      <c r="C410" s="20" t="s">
        <v>10</v>
      </c>
      <c r="D410" s="20">
        <v>20646599039.407299</v>
      </c>
      <c r="E410" s="20">
        <v>20218412584.742901</v>
      </c>
      <c r="F410" s="20">
        <v>27517</v>
      </c>
      <c r="G410" s="20">
        <v>1</v>
      </c>
      <c r="H410" s="7">
        <f t="shared" si="24"/>
        <v>27872908703.199856</v>
      </c>
      <c r="I410" s="1">
        <f t="shared" si="25"/>
        <v>27294856989.40292</v>
      </c>
      <c r="J410" s="7">
        <f t="shared" si="26"/>
        <v>27872.908703199857</v>
      </c>
      <c r="K410" s="7">
        <f t="shared" si="27"/>
        <v>27294.856989402921</v>
      </c>
    </row>
    <row r="411" spans="1:11" x14ac:dyDescent="0.25">
      <c r="A411" s="20" t="s">
        <v>55</v>
      </c>
      <c r="B411" s="20" t="s">
        <v>9</v>
      </c>
      <c r="C411" s="20" t="s">
        <v>10</v>
      </c>
      <c r="D411" s="20">
        <v>954681405.54719901</v>
      </c>
      <c r="E411" s="20">
        <v>937681405.54719901</v>
      </c>
      <c r="F411" s="20">
        <v>526</v>
      </c>
      <c r="G411" s="20">
        <v>1</v>
      </c>
      <c r="H411" s="7">
        <f t="shared" si="24"/>
        <v>1288819897.4887187</v>
      </c>
      <c r="I411" s="1">
        <f t="shared" si="25"/>
        <v>1265869897.4887187</v>
      </c>
      <c r="J411" s="7">
        <f t="shared" si="26"/>
        <v>1288.8198974887187</v>
      </c>
      <c r="K411" s="7">
        <f t="shared" si="27"/>
        <v>1265.8698974887188</v>
      </c>
    </row>
    <row r="412" spans="1:11" x14ac:dyDescent="0.25">
      <c r="A412" s="20" t="s">
        <v>79</v>
      </c>
      <c r="B412" s="20" t="s">
        <v>9</v>
      </c>
      <c r="C412" s="20" t="s">
        <v>10</v>
      </c>
      <c r="D412" s="20">
        <v>10656038934.2896</v>
      </c>
      <c r="E412" s="20">
        <v>10407871296.6896</v>
      </c>
      <c r="F412" s="20">
        <v>8631</v>
      </c>
      <c r="G412" s="20">
        <v>1</v>
      </c>
      <c r="H412" s="7">
        <f t="shared" si="24"/>
        <v>14385652561.290962</v>
      </c>
      <c r="I412" s="1">
        <f t="shared" si="25"/>
        <v>14050626250.53096</v>
      </c>
      <c r="J412" s="7">
        <f t="shared" si="26"/>
        <v>14385.652561290963</v>
      </c>
      <c r="K412" s="7">
        <f t="shared" si="27"/>
        <v>14050.626250530961</v>
      </c>
    </row>
    <row r="413" spans="1:11" x14ac:dyDescent="0.25">
      <c r="A413" s="20" t="s">
        <v>84</v>
      </c>
      <c r="B413" s="20" t="s">
        <v>9</v>
      </c>
      <c r="C413" s="20" t="s">
        <v>10</v>
      </c>
      <c r="D413" s="20">
        <v>5573336.4000000004</v>
      </c>
      <c r="E413" s="20">
        <v>5573336.4000000004</v>
      </c>
      <c r="F413" s="20">
        <v>126</v>
      </c>
      <c r="G413" s="20">
        <v>1</v>
      </c>
      <c r="H413" s="7">
        <f t="shared" si="24"/>
        <v>7524004.1400000006</v>
      </c>
      <c r="I413" s="1">
        <f t="shared" si="25"/>
        <v>7524004.1400000006</v>
      </c>
      <c r="J413" s="7">
        <f t="shared" si="26"/>
        <v>7.5240041400000006</v>
      </c>
      <c r="K413" s="7">
        <f t="shared" si="27"/>
        <v>7.5240041400000006</v>
      </c>
    </row>
    <row r="414" spans="1:11" x14ac:dyDescent="0.25">
      <c r="A414" s="20" t="s">
        <v>91</v>
      </c>
      <c r="B414" s="20" t="s">
        <v>9</v>
      </c>
      <c r="C414" s="20" t="s">
        <v>10</v>
      </c>
      <c r="D414" s="20">
        <v>90575537.400000006</v>
      </c>
      <c r="E414" s="20">
        <v>90575537.400000006</v>
      </c>
      <c r="F414" s="20">
        <v>336</v>
      </c>
      <c r="G414" s="20">
        <v>1</v>
      </c>
      <c r="H414" s="7">
        <f t="shared" si="24"/>
        <v>122276975.49000001</v>
      </c>
      <c r="I414" s="1">
        <f t="shared" si="25"/>
        <v>122276975.49000001</v>
      </c>
      <c r="J414" s="7">
        <f t="shared" si="26"/>
        <v>122.27697549000001</v>
      </c>
      <c r="K414" s="7">
        <f t="shared" si="27"/>
        <v>122.27697549000001</v>
      </c>
    </row>
    <row r="415" spans="1:11" x14ac:dyDescent="0.25">
      <c r="A415" s="20" t="s">
        <v>65</v>
      </c>
      <c r="B415" s="20">
        <v>33</v>
      </c>
      <c r="C415" s="20" t="s">
        <v>11</v>
      </c>
      <c r="D415" s="20">
        <v>3060082.6430000402</v>
      </c>
      <c r="E415" s="20">
        <v>1599407.4673806699</v>
      </c>
      <c r="F415" s="20">
        <v>3</v>
      </c>
      <c r="G415" s="20">
        <v>0</v>
      </c>
      <c r="H415" s="7">
        <f t="shared" si="24"/>
        <v>4131111.5680500544</v>
      </c>
      <c r="I415" s="1">
        <f t="shared" si="25"/>
        <v>2159200.0809639045</v>
      </c>
      <c r="J415" s="7">
        <f t="shared" si="26"/>
        <v>4.1311115680500547</v>
      </c>
      <c r="K415" s="7">
        <f t="shared" si="27"/>
        <v>2.1592000809639047</v>
      </c>
    </row>
    <row r="416" spans="1:11" x14ac:dyDescent="0.25">
      <c r="A416" s="20" t="s">
        <v>65</v>
      </c>
      <c r="B416" s="20">
        <v>33</v>
      </c>
      <c r="C416" s="20" t="s">
        <v>11</v>
      </c>
      <c r="D416" s="20">
        <v>83586974.900705397</v>
      </c>
      <c r="E416" s="20">
        <v>47547710.997818798</v>
      </c>
      <c r="F416" s="20">
        <v>10</v>
      </c>
      <c r="G416" s="20">
        <v>1</v>
      </c>
      <c r="H416" s="7">
        <f t="shared" si="24"/>
        <v>112842416.1159523</v>
      </c>
      <c r="I416" s="1">
        <f t="shared" si="25"/>
        <v>64189409.847055383</v>
      </c>
      <c r="J416" s="7">
        <f t="shared" si="26"/>
        <v>112.8424161159523</v>
      </c>
      <c r="K416" s="7">
        <f t="shared" si="27"/>
        <v>64.189409847055387</v>
      </c>
    </row>
    <row r="417" spans="1:11" x14ac:dyDescent="0.25">
      <c r="A417" s="20" t="s">
        <v>65</v>
      </c>
      <c r="B417" s="20" t="s">
        <v>7</v>
      </c>
      <c r="C417" s="20" t="s">
        <v>11</v>
      </c>
      <c r="D417" s="20">
        <v>276000</v>
      </c>
      <c r="E417" s="20">
        <v>276000</v>
      </c>
      <c r="F417" s="20">
        <v>2</v>
      </c>
      <c r="G417" s="20">
        <v>1</v>
      </c>
      <c r="H417" s="7">
        <f t="shared" si="24"/>
        <v>372600</v>
      </c>
      <c r="I417" s="1">
        <f t="shared" si="25"/>
        <v>372600</v>
      </c>
      <c r="J417" s="7">
        <f t="shared" si="26"/>
        <v>0.37259999999999999</v>
      </c>
      <c r="K417" s="7">
        <f t="shared" si="27"/>
        <v>0.37259999999999999</v>
      </c>
    </row>
    <row r="418" spans="1:11" x14ac:dyDescent="0.25">
      <c r="A418" s="20" t="s">
        <v>65</v>
      </c>
      <c r="B418" s="20" t="s">
        <v>8</v>
      </c>
      <c r="C418" s="20" t="s">
        <v>11</v>
      </c>
      <c r="D418" s="20">
        <v>183525417.04899299</v>
      </c>
      <c r="E418" s="20">
        <v>107035050.91833501</v>
      </c>
      <c r="F418" s="20">
        <v>42</v>
      </c>
      <c r="G418" s="20">
        <v>1</v>
      </c>
      <c r="H418" s="7">
        <f t="shared" si="24"/>
        <v>247759313.01614055</v>
      </c>
      <c r="I418" s="1">
        <f t="shared" si="25"/>
        <v>144497318.73975226</v>
      </c>
      <c r="J418" s="7">
        <f t="shared" si="26"/>
        <v>247.75931301614054</v>
      </c>
      <c r="K418" s="7">
        <f t="shared" si="27"/>
        <v>144.49731873975227</v>
      </c>
    </row>
    <row r="419" spans="1:11" x14ac:dyDescent="0.25">
      <c r="A419" s="20" t="s">
        <v>65</v>
      </c>
      <c r="B419" s="20" t="s">
        <v>9</v>
      </c>
      <c r="C419" s="20" t="s">
        <v>11</v>
      </c>
      <c r="D419" s="20">
        <v>20201080.800000001</v>
      </c>
      <c r="E419" s="20">
        <v>20201080.800000001</v>
      </c>
      <c r="F419" s="20">
        <v>23</v>
      </c>
      <c r="G419" s="20">
        <v>1</v>
      </c>
      <c r="H419" s="7">
        <f t="shared" si="24"/>
        <v>27271459.080000002</v>
      </c>
      <c r="I419" s="1">
        <f t="shared" si="25"/>
        <v>27271459.080000002</v>
      </c>
      <c r="J419" s="7">
        <f t="shared" si="26"/>
        <v>27.271459080000003</v>
      </c>
      <c r="K419" s="7">
        <f t="shared" si="27"/>
        <v>27.271459080000003</v>
      </c>
    </row>
    <row r="420" spans="1:11" x14ac:dyDescent="0.25">
      <c r="A420" s="20" t="s">
        <v>42</v>
      </c>
      <c r="B420" s="20">
        <v>33</v>
      </c>
      <c r="C420" s="20" t="s">
        <v>12</v>
      </c>
      <c r="D420" s="20">
        <v>18301343.574820001</v>
      </c>
      <c r="E420" s="20">
        <v>16479715.6923308</v>
      </c>
      <c r="F420" s="20">
        <v>4</v>
      </c>
      <c r="G420" s="20">
        <v>0</v>
      </c>
      <c r="H420" s="7">
        <f t="shared" si="24"/>
        <v>24706813.826007001</v>
      </c>
      <c r="I420" s="1">
        <f t="shared" si="25"/>
        <v>22247616.18464658</v>
      </c>
      <c r="J420" s="7">
        <f t="shared" si="26"/>
        <v>24.706813826007</v>
      </c>
      <c r="K420" s="7">
        <f t="shared" si="27"/>
        <v>22.247616184646581</v>
      </c>
    </row>
    <row r="421" spans="1:11" x14ac:dyDescent="0.25">
      <c r="A421" s="20" t="s">
        <v>42</v>
      </c>
      <c r="B421" s="20">
        <v>33</v>
      </c>
      <c r="C421" s="20" t="s">
        <v>12</v>
      </c>
      <c r="D421" s="20">
        <v>210957528.07712299</v>
      </c>
      <c r="E421" s="20">
        <v>106631319.724132</v>
      </c>
      <c r="F421" s="20">
        <v>18</v>
      </c>
      <c r="G421" s="20">
        <v>1</v>
      </c>
      <c r="H421" s="7">
        <f t="shared" si="24"/>
        <v>284792662.90411603</v>
      </c>
      <c r="I421" s="1">
        <f t="shared" si="25"/>
        <v>143952281.6275782</v>
      </c>
      <c r="J421" s="7">
        <f t="shared" si="26"/>
        <v>284.79266290411601</v>
      </c>
      <c r="K421" s="7">
        <f t="shared" si="27"/>
        <v>143.9522816275782</v>
      </c>
    </row>
    <row r="422" spans="1:11" x14ac:dyDescent="0.25">
      <c r="A422" s="20" t="s">
        <v>42</v>
      </c>
      <c r="B422" s="20">
        <v>3624</v>
      </c>
      <c r="C422" s="20" t="s">
        <v>12</v>
      </c>
      <c r="D422" s="20">
        <v>110000</v>
      </c>
      <c r="E422" s="20">
        <v>110000</v>
      </c>
      <c r="F422" s="20">
        <v>1</v>
      </c>
      <c r="G422" s="20">
        <v>0</v>
      </c>
      <c r="H422" s="7">
        <f t="shared" si="24"/>
        <v>148500</v>
      </c>
      <c r="I422" s="1">
        <f t="shared" si="25"/>
        <v>148500</v>
      </c>
      <c r="J422" s="7">
        <f t="shared" si="26"/>
        <v>0.14849999999999999</v>
      </c>
      <c r="K422" s="7">
        <f t="shared" si="27"/>
        <v>0.14849999999999999</v>
      </c>
    </row>
    <row r="423" spans="1:11" x14ac:dyDescent="0.25">
      <c r="A423" s="20" t="s">
        <v>42</v>
      </c>
      <c r="B423" s="20">
        <v>3624</v>
      </c>
      <c r="C423" s="20" t="s">
        <v>12</v>
      </c>
      <c r="D423" s="20">
        <v>110000</v>
      </c>
      <c r="E423" s="20">
        <v>110000</v>
      </c>
      <c r="F423" s="20">
        <v>1</v>
      </c>
      <c r="G423" s="20">
        <v>1</v>
      </c>
      <c r="H423" s="7">
        <f t="shared" si="24"/>
        <v>148500</v>
      </c>
      <c r="I423" s="1">
        <f t="shared" si="25"/>
        <v>148500</v>
      </c>
      <c r="J423" s="7">
        <f t="shared" si="26"/>
        <v>0.14849999999999999</v>
      </c>
      <c r="K423" s="7">
        <f t="shared" si="27"/>
        <v>0.14849999999999999</v>
      </c>
    </row>
    <row r="424" spans="1:11" x14ac:dyDescent="0.25">
      <c r="A424" s="20" t="s">
        <v>42</v>
      </c>
      <c r="B424" s="20" t="s">
        <v>7</v>
      </c>
      <c r="C424" s="20" t="s">
        <v>12</v>
      </c>
      <c r="D424" s="20">
        <v>212000</v>
      </c>
      <c r="E424" s="20">
        <v>212000</v>
      </c>
      <c r="F424" s="20">
        <v>1</v>
      </c>
      <c r="G424" s="20">
        <v>1</v>
      </c>
      <c r="H424" s="7">
        <f t="shared" si="24"/>
        <v>286200</v>
      </c>
      <c r="I424" s="1">
        <f t="shared" si="25"/>
        <v>286200</v>
      </c>
      <c r="J424" s="7">
        <f t="shared" si="26"/>
        <v>0.28620000000000001</v>
      </c>
      <c r="K424" s="7">
        <f t="shared" si="27"/>
        <v>0.28620000000000001</v>
      </c>
    </row>
    <row r="425" spans="1:11" x14ac:dyDescent="0.25">
      <c r="A425" s="20" t="s">
        <v>42</v>
      </c>
      <c r="B425" s="20" t="s">
        <v>8</v>
      </c>
      <c r="C425" s="20" t="s">
        <v>12</v>
      </c>
      <c r="D425" s="20">
        <v>7558346.1603288203</v>
      </c>
      <c r="E425" s="20">
        <v>7558346.1603288203</v>
      </c>
      <c r="F425" s="20">
        <v>4</v>
      </c>
      <c r="G425" s="20">
        <v>1</v>
      </c>
      <c r="H425" s="7">
        <f t="shared" si="24"/>
        <v>10203767.316443909</v>
      </c>
      <c r="I425" s="1">
        <f t="shared" si="25"/>
        <v>10203767.316443909</v>
      </c>
      <c r="J425" s="7">
        <f t="shared" si="26"/>
        <v>10.203767316443908</v>
      </c>
      <c r="K425" s="7">
        <f t="shared" si="27"/>
        <v>10.203767316443908</v>
      </c>
    </row>
    <row r="426" spans="1:11" x14ac:dyDescent="0.25">
      <c r="A426" s="20" t="s">
        <v>42</v>
      </c>
      <c r="B426" s="20" t="s">
        <v>9</v>
      </c>
      <c r="C426" s="20" t="s">
        <v>12</v>
      </c>
      <c r="D426" s="20">
        <v>560000</v>
      </c>
      <c r="E426" s="20">
        <v>560000</v>
      </c>
      <c r="F426" s="20">
        <v>2</v>
      </c>
      <c r="G426" s="20">
        <v>1</v>
      </c>
      <c r="H426" s="7">
        <f t="shared" si="24"/>
        <v>756000</v>
      </c>
      <c r="I426" s="1">
        <f t="shared" si="25"/>
        <v>756000</v>
      </c>
      <c r="J426" s="7">
        <f t="shared" si="26"/>
        <v>0.75600000000000001</v>
      </c>
      <c r="K426" s="7">
        <f t="shared" si="27"/>
        <v>0.75600000000000001</v>
      </c>
    </row>
    <row r="427" spans="1:11" x14ac:dyDescent="0.25">
      <c r="A427" s="20" t="s">
        <v>76</v>
      </c>
      <c r="B427" s="20">
        <v>33</v>
      </c>
      <c r="C427" s="20" t="s">
        <v>13</v>
      </c>
      <c r="D427" s="20">
        <v>7114586.37314039</v>
      </c>
      <c r="E427" s="20">
        <v>7114586.37314039</v>
      </c>
      <c r="F427" s="20">
        <v>2</v>
      </c>
      <c r="G427" s="20">
        <v>0</v>
      </c>
      <c r="H427" s="7">
        <f t="shared" si="24"/>
        <v>9604691.603739528</v>
      </c>
      <c r="I427" s="1">
        <f t="shared" si="25"/>
        <v>9604691.603739528</v>
      </c>
      <c r="J427" s="7">
        <f t="shared" si="26"/>
        <v>9.6046916037395285</v>
      </c>
      <c r="K427" s="7">
        <f t="shared" si="27"/>
        <v>9.6046916037395285</v>
      </c>
    </row>
    <row r="428" spans="1:11" x14ac:dyDescent="0.25">
      <c r="A428" s="20" t="s">
        <v>98</v>
      </c>
      <c r="B428" s="20">
        <v>33</v>
      </c>
      <c r="C428" s="20" t="s">
        <v>13</v>
      </c>
      <c r="D428" s="20">
        <v>2365811502.90905</v>
      </c>
      <c r="E428" s="20">
        <v>1413295965.35532</v>
      </c>
      <c r="F428" s="20">
        <v>326</v>
      </c>
      <c r="G428" s="20">
        <v>0</v>
      </c>
      <c r="H428" s="7">
        <f t="shared" si="24"/>
        <v>3193845528.9272175</v>
      </c>
      <c r="I428" s="1">
        <f t="shared" si="25"/>
        <v>1907949553.2296822</v>
      </c>
      <c r="J428" s="7">
        <f t="shared" si="26"/>
        <v>3193.8455289272174</v>
      </c>
      <c r="K428" s="7">
        <f t="shared" si="27"/>
        <v>1907.9495532296821</v>
      </c>
    </row>
    <row r="429" spans="1:11" x14ac:dyDescent="0.25">
      <c r="A429" s="20" t="s">
        <v>76</v>
      </c>
      <c r="B429" s="20">
        <v>33</v>
      </c>
      <c r="C429" s="20" t="s">
        <v>13</v>
      </c>
      <c r="D429" s="20">
        <v>22688725.593346398</v>
      </c>
      <c r="E429" s="20">
        <v>22688725.593346398</v>
      </c>
      <c r="F429" s="20">
        <v>13</v>
      </c>
      <c r="G429" s="20">
        <v>1</v>
      </c>
      <c r="H429" s="7">
        <f t="shared" si="24"/>
        <v>30629779.551017638</v>
      </c>
      <c r="I429" s="1">
        <f t="shared" si="25"/>
        <v>30629779.551017638</v>
      </c>
      <c r="J429" s="7">
        <f t="shared" si="26"/>
        <v>30.629779551017638</v>
      </c>
      <c r="K429" s="7">
        <f t="shared" si="27"/>
        <v>30.629779551017638</v>
      </c>
    </row>
    <row r="430" spans="1:11" x14ac:dyDescent="0.25">
      <c r="A430" s="20" t="s">
        <v>98</v>
      </c>
      <c r="B430" s="20">
        <v>33</v>
      </c>
      <c r="C430" s="20" t="s">
        <v>13</v>
      </c>
      <c r="D430" s="20">
        <v>738973417.34851599</v>
      </c>
      <c r="E430" s="20">
        <v>426252309.81766498</v>
      </c>
      <c r="F430" s="20">
        <v>106</v>
      </c>
      <c r="G430" s="20">
        <v>1</v>
      </c>
      <c r="H430" s="7">
        <f t="shared" si="24"/>
        <v>997614113.4204967</v>
      </c>
      <c r="I430" s="1">
        <f t="shared" si="25"/>
        <v>575440618.25384772</v>
      </c>
      <c r="J430" s="7">
        <f t="shared" si="26"/>
        <v>997.61411342049666</v>
      </c>
      <c r="K430" s="7">
        <f t="shared" si="27"/>
        <v>575.44061825384767</v>
      </c>
    </row>
    <row r="431" spans="1:11" x14ac:dyDescent="0.25">
      <c r="A431" s="20" t="s">
        <v>76</v>
      </c>
      <c r="B431" s="20">
        <v>3624</v>
      </c>
      <c r="C431" s="20" t="s">
        <v>13</v>
      </c>
      <c r="D431" s="20">
        <v>200000</v>
      </c>
      <c r="E431" s="20">
        <v>200000</v>
      </c>
      <c r="F431" s="20">
        <v>1</v>
      </c>
      <c r="G431" s="20">
        <v>0</v>
      </c>
      <c r="H431" s="7">
        <f t="shared" si="24"/>
        <v>270000</v>
      </c>
      <c r="I431" s="1">
        <f t="shared" si="25"/>
        <v>270000</v>
      </c>
      <c r="J431" s="7">
        <f t="shared" si="26"/>
        <v>0.27</v>
      </c>
      <c r="K431" s="7">
        <f t="shared" si="27"/>
        <v>0.27</v>
      </c>
    </row>
    <row r="432" spans="1:11" x14ac:dyDescent="0.25">
      <c r="A432" s="20" t="s">
        <v>98</v>
      </c>
      <c r="B432" s="20">
        <v>3624</v>
      </c>
      <c r="C432" s="20" t="s">
        <v>13</v>
      </c>
      <c r="D432" s="20">
        <v>345000</v>
      </c>
      <c r="E432" s="20">
        <v>345000</v>
      </c>
      <c r="F432" s="20">
        <v>1</v>
      </c>
      <c r="G432" s="20">
        <v>0</v>
      </c>
      <c r="H432" s="7">
        <f t="shared" si="24"/>
        <v>465750.00000000006</v>
      </c>
      <c r="I432" s="1">
        <f t="shared" si="25"/>
        <v>465750.00000000006</v>
      </c>
      <c r="J432" s="7">
        <f t="shared" si="26"/>
        <v>0.46575000000000005</v>
      </c>
      <c r="K432" s="7">
        <f t="shared" si="27"/>
        <v>0.46575000000000005</v>
      </c>
    </row>
    <row r="433" spans="1:11" x14ac:dyDescent="0.25">
      <c r="A433" s="20" t="s">
        <v>76</v>
      </c>
      <c r="B433" s="20">
        <v>3624</v>
      </c>
      <c r="C433" s="20" t="s">
        <v>13</v>
      </c>
      <c r="D433" s="20">
        <v>200000</v>
      </c>
      <c r="E433" s="20">
        <v>200000</v>
      </c>
      <c r="F433" s="20">
        <v>1</v>
      </c>
      <c r="G433" s="20">
        <v>1</v>
      </c>
      <c r="H433" s="7">
        <f t="shared" si="24"/>
        <v>270000</v>
      </c>
      <c r="I433" s="1">
        <f t="shared" si="25"/>
        <v>270000</v>
      </c>
      <c r="J433" s="7">
        <f t="shared" si="26"/>
        <v>0.27</v>
      </c>
      <c r="K433" s="7">
        <f t="shared" si="27"/>
        <v>0.27</v>
      </c>
    </row>
    <row r="434" spans="1:11" x14ac:dyDescent="0.25">
      <c r="A434" s="20" t="s">
        <v>98</v>
      </c>
      <c r="B434" s="20">
        <v>3624</v>
      </c>
      <c r="C434" s="20" t="s">
        <v>13</v>
      </c>
      <c r="D434" s="20">
        <v>2462700</v>
      </c>
      <c r="E434" s="20">
        <v>2462700</v>
      </c>
      <c r="F434" s="20">
        <v>3</v>
      </c>
      <c r="G434" s="20">
        <v>1</v>
      </c>
      <c r="H434" s="7">
        <f t="shared" si="24"/>
        <v>3324645</v>
      </c>
      <c r="I434" s="1">
        <f t="shared" si="25"/>
        <v>3324645</v>
      </c>
      <c r="J434" s="7">
        <f t="shared" si="26"/>
        <v>3.3246449999999999</v>
      </c>
      <c r="K434" s="7">
        <f t="shared" si="27"/>
        <v>3.3246449999999999</v>
      </c>
    </row>
    <row r="435" spans="1:11" x14ac:dyDescent="0.25">
      <c r="A435" s="20" t="s">
        <v>98</v>
      </c>
      <c r="B435" s="20" t="s">
        <v>7</v>
      </c>
      <c r="C435" s="20" t="s">
        <v>13</v>
      </c>
      <c r="D435" s="20">
        <v>101000</v>
      </c>
      <c r="E435" s="20">
        <v>101000</v>
      </c>
      <c r="F435" s="20">
        <v>1</v>
      </c>
      <c r="G435" s="20">
        <v>0</v>
      </c>
      <c r="H435" s="7">
        <f t="shared" si="24"/>
        <v>136350</v>
      </c>
      <c r="I435" s="1">
        <f t="shared" si="25"/>
        <v>136350</v>
      </c>
      <c r="J435" s="7">
        <f t="shared" si="26"/>
        <v>0.13635</v>
      </c>
      <c r="K435" s="7">
        <f t="shared" si="27"/>
        <v>0.13635</v>
      </c>
    </row>
    <row r="436" spans="1:11" x14ac:dyDescent="0.25">
      <c r="A436" s="20" t="s">
        <v>98</v>
      </c>
      <c r="B436" s="20" t="s">
        <v>7</v>
      </c>
      <c r="C436" s="20" t="s">
        <v>13</v>
      </c>
      <c r="D436" s="20">
        <v>22746034</v>
      </c>
      <c r="E436" s="20">
        <v>22746034</v>
      </c>
      <c r="F436" s="20">
        <v>32</v>
      </c>
      <c r="G436" s="20">
        <v>1</v>
      </c>
      <c r="H436" s="7">
        <f t="shared" si="24"/>
        <v>30707145.900000002</v>
      </c>
      <c r="I436" s="1">
        <f t="shared" si="25"/>
        <v>30707145.900000002</v>
      </c>
      <c r="J436" s="7">
        <f t="shared" si="26"/>
        <v>30.707145900000004</v>
      </c>
      <c r="K436" s="7">
        <f t="shared" si="27"/>
        <v>30.707145900000004</v>
      </c>
    </row>
    <row r="437" spans="1:11" x14ac:dyDescent="0.25">
      <c r="A437" s="20" t="s">
        <v>76</v>
      </c>
      <c r="B437" s="20" t="s">
        <v>8</v>
      </c>
      <c r="C437" s="20" t="s">
        <v>13</v>
      </c>
      <c r="D437" s="20">
        <v>16448885.4299854</v>
      </c>
      <c r="E437" s="20">
        <v>16448885.4299854</v>
      </c>
      <c r="F437" s="20">
        <v>3</v>
      </c>
      <c r="G437" s="20">
        <v>0</v>
      </c>
      <c r="H437" s="7">
        <f t="shared" si="24"/>
        <v>22205995.330480292</v>
      </c>
      <c r="I437" s="1">
        <f t="shared" si="25"/>
        <v>22205995.330480292</v>
      </c>
      <c r="J437" s="7">
        <f t="shared" si="26"/>
        <v>22.205995330480292</v>
      </c>
      <c r="K437" s="7">
        <f t="shared" si="27"/>
        <v>22.205995330480292</v>
      </c>
    </row>
    <row r="438" spans="1:11" x14ac:dyDescent="0.25">
      <c r="A438" s="20" t="s">
        <v>98</v>
      </c>
      <c r="B438" s="20" t="s">
        <v>8</v>
      </c>
      <c r="C438" s="20" t="s">
        <v>13</v>
      </c>
      <c r="D438" s="20">
        <v>175292598.767708</v>
      </c>
      <c r="E438" s="20">
        <v>87273963.569168001</v>
      </c>
      <c r="F438" s="20">
        <v>20</v>
      </c>
      <c r="G438" s="20">
        <v>0</v>
      </c>
      <c r="H438" s="7">
        <f t="shared" si="24"/>
        <v>236645008.33640581</v>
      </c>
      <c r="I438" s="1">
        <f t="shared" si="25"/>
        <v>117819850.81837681</v>
      </c>
      <c r="J438" s="7">
        <f t="shared" si="26"/>
        <v>236.64500833640582</v>
      </c>
      <c r="K438" s="7">
        <f t="shared" si="27"/>
        <v>117.81985081837681</v>
      </c>
    </row>
    <row r="439" spans="1:11" x14ac:dyDescent="0.25">
      <c r="A439" s="20" t="s">
        <v>122</v>
      </c>
      <c r="B439" s="20" t="s">
        <v>8</v>
      </c>
      <c r="C439" s="20" t="s">
        <v>13</v>
      </c>
      <c r="D439" s="20">
        <v>36117049.745032303</v>
      </c>
      <c r="E439" s="20">
        <v>18058524.872516099</v>
      </c>
      <c r="F439" s="20">
        <v>1</v>
      </c>
      <c r="G439" s="20">
        <v>1</v>
      </c>
      <c r="H439" s="7">
        <f t="shared" si="24"/>
        <v>48758017.155793615</v>
      </c>
      <c r="I439" s="1">
        <f t="shared" si="25"/>
        <v>24379008.577896737</v>
      </c>
      <c r="J439" s="7">
        <f t="shared" si="26"/>
        <v>48.758017155793617</v>
      </c>
      <c r="K439" s="7">
        <f t="shared" si="27"/>
        <v>24.379008577896737</v>
      </c>
    </row>
    <row r="440" spans="1:11" x14ac:dyDescent="0.25">
      <c r="A440" s="20" t="s">
        <v>76</v>
      </c>
      <c r="B440" s="20" t="s">
        <v>8</v>
      </c>
      <c r="C440" s="20" t="s">
        <v>13</v>
      </c>
      <c r="D440" s="20">
        <v>263034815.831615</v>
      </c>
      <c r="E440" s="20">
        <v>239889344.47848099</v>
      </c>
      <c r="F440" s="20">
        <v>90</v>
      </c>
      <c r="G440" s="20">
        <v>1</v>
      </c>
      <c r="H440" s="7">
        <f t="shared" si="24"/>
        <v>355097001.37268025</v>
      </c>
      <c r="I440" s="1">
        <f t="shared" si="25"/>
        <v>323850615.04594934</v>
      </c>
      <c r="J440" s="7">
        <f t="shared" si="26"/>
        <v>355.09700137268027</v>
      </c>
      <c r="K440" s="7">
        <f t="shared" si="27"/>
        <v>323.85061504594933</v>
      </c>
    </row>
    <row r="441" spans="1:11" x14ac:dyDescent="0.25">
      <c r="A441" s="20" t="s">
        <v>98</v>
      </c>
      <c r="B441" s="20" t="s">
        <v>8</v>
      </c>
      <c r="C441" s="20" t="s">
        <v>13</v>
      </c>
      <c r="D441" s="20">
        <v>906507554.61050797</v>
      </c>
      <c r="E441" s="20">
        <v>666539312.39975405</v>
      </c>
      <c r="F441" s="20">
        <v>227</v>
      </c>
      <c r="G441" s="20">
        <v>1</v>
      </c>
      <c r="H441" s="7">
        <f t="shared" si="24"/>
        <v>1223785198.7241859</v>
      </c>
      <c r="I441" s="1">
        <f t="shared" si="25"/>
        <v>899828071.73966801</v>
      </c>
      <c r="J441" s="7">
        <f t="shared" si="26"/>
        <v>1223.7851987241859</v>
      </c>
      <c r="K441" s="7">
        <f t="shared" si="27"/>
        <v>899.82807173966796</v>
      </c>
    </row>
    <row r="442" spans="1:11" x14ac:dyDescent="0.25">
      <c r="A442" s="20" t="s">
        <v>122</v>
      </c>
      <c r="B442" s="20" t="s">
        <v>9</v>
      </c>
      <c r="C442" s="20" t="s">
        <v>13</v>
      </c>
      <c r="D442" s="20">
        <v>185600</v>
      </c>
      <c r="E442" s="20">
        <v>185600</v>
      </c>
      <c r="F442" s="20">
        <v>1</v>
      </c>
      <c r="G442" s="20">
        <v>1</v>
      </c>
      <c r="H442" s="7">
        <f t="shared" si="24"/>
        <v>250560.00000000003</v>
      </c>
      <c r="I442" s="1">
        <f t="shared" si="25"/>
        <v>250560.00000000003</v>
      </c>
      <c r="J442" s="7">
        <f t="shared" si="26"/>
        <v>0.25056</v>
      </c>
      <c r="K442" s="7">
        <f t="shared" si="27"/>
        <v>0.25056</v>
      </c>
    </row>
    <row r="443" spans="1:11" x14ac:dyDescent="0.25">
      <c r="A443" s="20" t="s">
        <v>76</v>
      </c>
      <c r="B443" s="20" t="s">
        <v>9</v>
      </c>
      <c r="C443" s="20" t="s">
        <v>13</v>
      </c>
      <c r="D443" s="20">
        <v>5264746.4000000004</v>
      </c>
      <c r="E443" s="20">
        <v>5264746.4000000004</v>
      </c>
      <c r="F443" s="20">
        <v>9</v>
      </c>
      <c r="G443" s="20">
        <v>1</v>
      </c>
      <c r="H443" s="7">
        <f t="shared" si="24"/>
        <v>7107407.6400000006</v>
      </c>
      <c r="I443" s="1">
        <f t="shared" si="25"/>
        <v>7107407.6400000006</v>
      </c>
      <c r="J443" s="7">
        <f t="shared" si="26"/>
        <v>7.1074076400000008</v>
      </c>
      <c r="K443" s="7">
        <f t="shared" si="27"/>
        <v>7.1074076400000008</v>
      </c>
    </row>
    <row r="444" spans="1:11" x14ac:dyDescent="0.25">
      <c r="A444" s="20" t="s">
        <v>98</v>
      </c>
      <c r="B444" s="20" t="s">
        <v>9</v>
      </c>
      <c r="C444" s="20" t="s">
        <v>13</v>
      </c>
      <c r="D444" s="20">
        <v>101774358.815952</v>
      </c>
      <c r="E444" s="20">
        <v>100967402.815952</v>
      </c>
      <c r="F444" s="20">
        <v>76</v>
      </c>
      <c r="G444" s="20">
        <v>1</v>
      </c>
      <c r="H444" s="7">
        <f t="shared" si="24"/>
        <v>137395384.40153521</v>
      </c>
      <c r="I444" s="1">
        <f t="shared" si="25"/>
        <v>136305993.80153522</v>
      </c>
      <c r="J444" s="7">
        <f t="shared" si="26"/>
        <v>137.39538440153521</v>
      </c>
      <c r="K444" s="7">
        <f t="shared" si="27"/>
        <v>136.30599380153521</v>
      </c>
    </row>
    <row r="445" spans="1:11" x14ac:dyDescent="0.25">
      <c r="A445" s="20" t="s">
        <v>98</v>
      </c>
      <c r="B445" s="20">
        <v>33</v>
      </c>
      <c r="C445" s="20" t="s">
        <v>14</v>
      </c>
      <c r="D445" s="20">
        <v>2365811502.90905</v>
      </c>
      <c r="E445" s="20">
        <v>1413295965.35532</v>
      </c>
      <c r="F445" s="20">
        <v>326</v>
      </c>
      <c r="G445" s="20">
        <v>0</v>
      </c>
      <c r="H445" s="7">
        <f t="shared" si="24"/>
        <v>3193845528.9272175</v>
      </c>
      <c r="I445" s="1">
        <f t="shared" si="25"/>
        <v>1907949553.2296822</v>
      </c>
      <c r="J445" s="7">
        <f t="shared" si="26"/>
        <v>3193.8455289272174</v>
      </c>
      <c r="K445" s="7">
        <f t="shared" si="27"/>
        <v>1907.9495532296821</v>
      </c>
    </row>
    <row r="446" spans="1:11" x14ac:dyDescent="0.25">
      <c r="A446" s="20" t="s">
        <v>98</v>
      </c>
      <c r="B446" s="20">
        <v>33</v>
      </c>
      <c r="C446" s="20" t="s">
        <v>14</v>
      </c>
      <c r="D446" s="20">
        <v>738973417.34851599</v>
      </c>
      <c r="E446" s="20">
        <v>426252309.81766498</v>
      </c>
      <c r="F446" s="20">
        <v>106</v>
      </c>
      <c r="G446" s="20">
        <v>1</v>
      </c>
      <c r="H446" s="7">
        <f t="shared" si="24"/>
        <v>997614113.4204967</v>
      </c>
      <c r="I446" s="1">
        <f t="shared" si="25"/>
        <v>575440618.25384772</v>
      </c>
      <c r="J446" s="7">
        <f t="shared" si="26"/>
        <v>997.61411342049666</v>
      </c>
      <c r="K446" s="7">
        <f t="shared" si="27"/>
        <v>575.44061825384767</v>
      </c>
    </row>
    <row r="447" spans="1:11" x14ac:dyDescent="0.25">
      <c r="A447" s="20" t="s">
        <v>98</v>
      </c>
      <c r="B447" s="20">
        <v>3624</v>
      </c>
      <c r="C447" s="20" t="s">
        <v>14</v>
      </c>
      <c r="D447" s="20">
        <v>345000</v>
      </c>
      <c r="E447" s="20">
        <v>345000</v>
      </c>
      <c r="F447" s="20">
        <v>1</v>
      </c>
      <c r="G447" s="20">
        <v>0</v>
      </c>
      <c r="H447" s="7">
        <f t="shared" si="24"/>
        <v>465750.00000000006</v>
      </c>
      <c r="I447" s="1">
        <f t="shared" si="25"/>
        <v>465750.00000000006</v>
      </c>
      <c r="J447" s="7">
        <f t="shared" si="26"/>
        <v>0.46575000000000005</v>
      </c>
      <c r="K447" s="7">
        <f t="shared" si="27"/>
        <v>0.46575000000000005</v>
      </c>
    </row>
    <row r="448" spans="1:11" x14ac:dyDescent="0.25">
      <c r="A448" s="20" t="s">
        <v>98</v>
      </c>
      <c r="B448" s="20">
        <v>3624</v>
      </c>
      <c r="C448" s="20" t="s">
        <v>14</v>
      </c>
      <c r="D448" s="20">
        <v>2462700</v>
      </c>
      <c r="E448" s="20">
        <v>2462700</v>
      </c>
      <c r="F448" s="20">
        <v>3</v>
      </c>
      <c r="G448" s="20">
        <v>1</v>
      </c>
      <c r="H448" s="7">
        <f t="shared" si="24"/>
        <v>3324645</v>
      </c>
      <c r="I448" s="1">
        <f t="shared" si="25"/>
        <v>3324645</v>
      </c>
      <c r="J448" s="7">
        <f t="shared" si="26"/>
        <v>3.3246449999999999</v>
      </c>
      <c r="K448" s="7">
        <f t="shared" si="27"/>
        <v>3.3246449999999999</v>
      </c>
    </row>
    <row r="449" spans="1:11" x14ac:dyDescent="0.25">
      <c r="A449" s="20" t="s">
        <v>98</v>
      </c>
      <c r="B449" s="20" t="s">
        <v>7</v>
      </c>
      <c r="C449" s="20" t="s">
        <v>14</v>
      </c>
      <c r="D449" s="20">
        <v>101000</v>
      </c>
      <c r="E449" s="20">
        <v>101000</v>
      </c>
      <c r="F449" s="20">
        <v>1</v>
      </c>
      <c r="G449" s="20">
        <v>0</v>
      </c>
      <c r="H449" s="7">
        <f t="shared" si="24"/>
        <v>136350</v>
      </c>
      <c r="I449" s="1">
        <f t="shared" si="25"/>
        <v>136350</v>
      </c>
      <c r="J449" s="7">
        <f t="shared" si="26"/>
        <v>0.13635</v>
      </c>
      <c r="K449" s="7">
        <f t="shared" si="27"/>
        <v>0.13635</v>
      </c>
    </row>
    <row r="450" spans="1:11" x14ac:dyDescent="0.25">
      <c r="A450" s="20" t="s">
        <v>98</v>
      </c>
      <c r="B450" s="20" t="s">
        <v>7</v>
      </c>
      <c r="C450" s="20" t="s">
        <v>14</v>
      </c>
      <c r="D450" s="20">
        <v>22746034</v>
      </c>
      <c r="E450" s="20">
        <v>22746034</v>
      </c>
      <c r="F450" s="20">
        <v>32</v>
      </c>
      <c r="G450" s="20">
        <v>1</v>
      </c>
      <c r="H450" s="7">
        <f t="shared" si="24"/>
        <v>30707145.900000002</v>
      </c>
      <c r="I450" s="1">
        <f t="shared" si="25"/>
        <v>30707145.900000002</v>
      </c>
      <c r="J450" s="7">
        <f t="shared" si="26"/>
        <v>30.707145900000004</v>
      </c>
      <c r="K450" s="7">
        <f t="shared" si="27"/>
        <v>30.707145900000004</v>
      </c>
    </row>
    <row r="451" spans="1:11" x14ac:dyDescent="0.25">
      <c r="A451" s="20" t="s">
        <v>98</v>
      </c>
      <c r="B451" s="20" t="s">
        <v>8</v>
      </c>
      <c r="C451" s="20" t="s">
        <v>14</v>
      </c>
      <c r="D451" s="20">
        <v>175292598.767708</v>
      </c>
      <c r="E451" s="20">
        <v>87273963.569168001</v>
      </c>
      <c r="F451" s="20">
        <v>20</v>
      </c>
      <c r="G451" s="20">
        <v>0</v>
      </c>
      <c r="H451" s="7">
        <f t="shared" ref="H451:H453" si="28">D451*1.35</f>
        <v>236645008.33640581</v>
      </c>
      <c r="I451" s="1">
        <f t="shared" ref="I451:I453" si="29">E451*1.35</f>
        <v>117819850.81837681</v>
      </c>
      <c r="J451" s="7">
        <f t="shared" ref="J451:J453" si="30">H451/1000000</f>
        <v>236.64500833640582</v>
      </c>
      <c r="K451" s="7">
        <f t="shared" ref="K451:K453" si="31">I451/1000000</f>
        <v>117.81985081837681</v>
      </c>
    </row>
    <row r="452" spans="1:11" x14ac:dyDescent="0.25">
      <c r="A452" s="20" t="s">
        <v>98</v>
      </c>
      <c r="B452" s="20" t="s">
        <v>8</v>
      </c>
      <c r="C452" s="20" t="s">
        <v>14</v>
      </c>
      <c r="D452" s="20">
        <v>906507554.61050797</v>
      </c>
      <c r="E452" s="20">
        <v>666539312.39975405</v>
      </c>
      <c r="F452" s="20">
        <v>227</v>
      </c>
      <c r="G452" s="20">
        <v>1</v>
      </c>
      <c r="H452" s="7">
        <f t="shared" si="28"/>
        <v>1223785198.7241859</v>
      </c>
      <c r="I452" s="1">
        <f t="shared" si="29"/>
        <v>899828071.73966801</v>
      </c>
      <c r="J452" s="7">
        <f t="shared" si="30"/>
        <v>1223.7851987241859</v>
      </c>
      <c r="K452" s="7">
        <f t="shared" si="31"/>
        <v>899.82807173966796</v>
      </c>
    </row>
    <row r="453" spans="1:11" x14ac:dyDescent="0.25">
      <c r="A453" s="20" t="s">
        <v>98</v>
      </c>
      <c r="B453" s="20" t="s">
        <v>9</v>
      </c>
      <c r="C453" s="20" t="s">
        <v>14</v>
      </c>
      <c r="D453" s="20">
        <v>101774358.815952</v>
      </c>
      <c r="E453" s="20">
        <v>100967402.815952</v>
      </c>
      <c r="F453" s="20">
        <v>76</v>
      </c>
      <c r="G453" s="20">
        <v>1</v>
      </c>
      <c r="H453" s="7">
        <f t="shared" si="28"/>
        <v>137395384.40153521</v>
      </c>
      <c r="I453" s="1">
        <f t="shared" si="29"/>
        <v>136305993.80153522</v>
      </c>
      <c r="J453" s="7">
        <f t="shared" si="30"/>
        <v>137.39538440153521</v>
      </c>
      <c r="K453" s="7">
        <f t="shared" si="31"/>
        <v>136.30599380153521</v>
      </c>
    </row>
  </sheetData>
  <autoFilter ref="A1:K1" xr:uid="{7AFF8D1C-8141-46BC-BBA6-9DC9DE3AA0B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workbookViewId="0">
      <pane ySplit="1" topLeftCell="A2" activePane="bottomLeft" state="frozen"/>
      <selection pane="bottomLeft"/>
    </sheetView>
  </sheetViews>
  <sheetFormatPr defaultRowHeight="12.5" x14ac:dyDescent="0.25"/>
  <cols>
    <col min="1" max="1" width="26" customWidth="1"/>
    <col min="2" max="2" width="110" customWidth="1"/>
  </cols>
  <sheetData>
    <row r="1" spans="1:2" x14ac:dyDescent="0.25">
      <c r="A1" t="s">
        <v>164</v>
      </c>
      <c r="B1" t="s">
        <v>141</v>
      </c>
    </row>
    <row r="2" spans="1:2" ht="30" customHeight="1" x14ac:dyDescent="0.25">
      <c r="A2" t="s">
        <v>165</v>
      </c>
      <c r="B2" t="s">
        <v>166</v>
      </c>
    </row>
    <row r="3" spans="1:2" ht="30" customHeight="1" x14ac:dyDescent="0.25">
      <c r="A3" t="s">
        <v>167</v>
      </c>
      <c r="B3" t="s">
        <v>168</v>
      </c>
    </row>
    <row r="4" spans="1:2" ht="30" customHeight="1" x14ac:dyDescent="0.25">
      <c r="A4" t="s">
        <v>169</v>
      </c>
      <c r="B4" t="s">
        <v>170</v>
      </c>
    </row>
    <row r="5" spans="1:2" ht="30" customHeight="1" x14ac:dyDescent="0.25">
      <c r="A5" t="s">
        <v>171</v>
      </c>
      <c r="B5" t="s">
        <v>172</v>
      </c>
    </row>
    <row r="6" spans="1:2" ht="30" customHeight="1" x14ac:dyDescent="0.25">
      <c r="A6" t="s">
        <v>173</v>
      </c>
      <c r="B6" t="s">
        <v>174</v>
      </c>
    </row>
    <row r="7" spans="1:2" ht="30" customHeight="1" x14ac:dyDescent="0.25">
      <c r="A7" t="s">
        <v>175</v>
      </c>
      <c r="B7" t="s">
        <v>176</v>
      </c>
    </row>
    <row r="8" spans="1:2" ht="30" customHeight="1" x14ac:dyDescent="0.25">
      <c r="A8" t="s">
        <v>177</v>
      </c>
      <c r="B8" t="s">
        <v>178</v>
      </c>
    </row>
    <row r="9" spans="1:2" ht="30" customHeight="1" x14ac:dyDescent="0.25">
      <c r="A9" t="s">
        <v>179</v>
      </c>
      <c r="B9" t="s">
        <v>180</v>
      </c>
    </row>
    <row r="10" spans="1:2" ht="30" customHeight="1" x14ac:dyDescent="0.25">
      <c r="A10" t="s">
        <v>181</v>
      </c>
      <c r="B10" t="s">
        <v>182</v>
      </c>
    </row>
  </sheetData>
  <autoFilter ref="A1:B10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500-000000000000}">
  <dimension ref="A1:B8"/>
  <sheetViews>
    <sheetView workbookViewId="0">
      <selection activeCell="B4" sqref="B4"/>
    </sheetView>
  </sheetViews>
  <sheetFormatPr defaultRowHeight="12.5" ns3:dyDescent="0.25"/>
  <cols>
    <col min="1" max="1" width="42" customWidth="1"/>
    <col min="2" max="2" width="28" customWidth="1"/>
    <col min="3" max="3" width="22" customWidth="1"/>
    <col min="4" max="4" width="82" customWidth="1"/>
  </cols>
  <sheetData>
    <row r="1" spans="1:2" ns3:dyDescent="0.25">
      <c r="A1" s="1" t="s">
        <v>183</v>
      </c>
    </row>
    <row r="3" spans="1:2" ns3:dyDescent="0.25">
      <c r="A3" t="s">
        <v>184</v>
      </c>
      <c r="B3" s="7">
        <v>1.35</v>
      </c>
    </row>
    <row r="4" spans="1:2" ns3:dyDescent="0.25">
      <c r="A4" t="s">
        <v>185</v>
      </c>
      <c r="B4" t="s">
        <v>186</v>
      </c>
    </row>
    <row r="5" spans="1:2" ns3:dyDescent="0.25">
      <c r="A5" t="s">
        <v>187</v>
      </c>
      <c r="B5" t="s">
        <v>188</v>
      </c>
    </row>
    <row r="6" spans="1:2" ns3:dyDescent="0.25">
      <c r="A6" t="s">
        <v>189</v>
      </c>
      <c r="B6" t="s">
        <v>190</v>
      </c>
    </row>
    <row r="7">
      <c r="A7" t="inlineStr">
        <is>
          <t>Entity</t>
        </is>
      </c>
      <c r="B7" t="inlineStr">
        <is>
          <t>HIC</t>
        </is>
      </c>
    </row>
    <row r="8" spans="1:2" ns3:dyDescent="0.25">
      <c r="A8" t="s">
        <v>191</v>
      </c>
      <c r="B8" t="s">
        <v>192</v>
      </c>
    </row>
  </sheetData>
  <dataValidations count="1">
    <dataValidation type="list" allowBlank="0" sqref="B7">
      <formula1>"33,HIC,HIG,HSA,3624"</formula1>
    </dataValidation>
  </dataValidations>
  <pageMargins left="0.7" right="0.7" top="0.75" bottom="0.3" header="0.3" footer="0.3"/>
</worksheet>
</file>

<file path=xl/worksheets/sheet7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600-000000000000}">
  <dimension ref="A1:D14"/>
  <sheetViews>
    <sheetView workbookViewId="0"/>
  </sheetViews>
  <sheetFormatPr defaultRowHeight="12.5" ns3:dyDescent="0.25"/>
  <cols>
    <col min="1" max="1" width="46" customWidth="1"/>
    <col min="2" max="3" width="18" customWidth="1"/>
    <col min="4" max="4" width="58" customWidth="1"/>
  </cols>
  <sheetData>
    <row r="1" spans="1:4" ns3:dyDescent="0.25">
      <c r="A1" s="1" t="s">
        <v>193</v>
      </c>
    </row>
    <row r="2" spans="1:4" ns3:dyDescent="0.25">
      <c r="A2" t="s">
        <v>194</v>
      </c>
    </row>
    <row r="3" spans="1:4" ns3:dyDescent="0.25">
      <c r="A3" s="1" t="s">
        <v>195</v>
      </c>
      <c r="B3" s="1" t="s">
        <v>196</v>
      </c>
      <c r="C3" s="1" t="s">
        <v>197</v>
      </c>
      <c r="D3" s="1" t="s">
        <v>167</v>
      </c>
    </row>
    <row r="4" spans="1:4" ns3:dyDescent="0.25">
      <c r="A4" t="s">
        <v>198</v>
      </c>
      <c r="D4" t="s">
        <v>199</v>
      </c>
    </row>
    <row r="5" spans="1:4" ns3:dyDescent="0.25">
      <c r="A5" t="s">
        <v>200</v>
      </c>
      <c r="D5" t="s">
        <v>199</v>
      </c>
    </row>
    <row r="6" spans="1:4" ns3:dyDescent="0.25">
      <c r="A6" t="s">
        <v>201</v>
      </c>
      <c r="D6" t="s">
        <v>199</v>
      </c>
    </row>
    <row r="7" spans="1:4" ns3:dyDescent="0.25">
      <c r="A7" t="s">
        <v>202</v>
      </c>
      <c r="D7" t="s">
        <v>199</v>
      </c>
    </row>
    <row r="8" spans="1:4" ns3:dyDescent="0.25">
      <c r="A8" t="s">
        <v>203</v>
      </c>
      <c r="D8" t="s">
        <v>199</v>
      </c>
    </row>
    <row r="9" spans="1:4" ns3:dyDescent="0.25">
      <c r="A9" t="s">
        <v>204</v>
      </c>
      <c r="D9" t="s">
        <v>199</v>
      </c>
    </row>
    <row r="10" spans="1:4" ns3:dyDescent="0.25">
      <c r="A10" t="s">
        <v>205</v>
      </c>
      <c r="D10" t="s">
        <v>199</v>
      </c>
    </row>
    <row r="11" spans="1:4" ns3:dyDescent="0.25">
      <c r="A11" t="s">
        <v>206</v>
      </c>
      <c r="D11" t="s">
        <v>199</v>
      </c>
    </row>
    <row r="12" spans="1:4" ns3:dyDescent="0.25">
      <c r="A12" t="s">
        <v>207</v>
      </c>
      <c r="D12" t="s">
        <v>199</v>
      </c>
    </row>
    <row r="14" spans="1:4" ns3:dyDescent="0.25">
      <c r="A14" t="s">
        <v>208</v>
      </c>
      <c r="B14" s="7">
        <f>SUMIFS('BSCR Output'!$I:$I,'BSCR Output'!$A:$A,Settings!$B$7,'BSCR Output'!$B:$B,"ALL")</f>
        <v>164353.167868338</v>
      </c>
      <c r="C14" s="7">
        <f>SUMIFS('BSCR Output'!$J:$J,'BSCR Output'!$A:$A,Settings!$B$7,'BSCR Output'!$B:$B,"ALL")</f>
        <v>164353.167868338</v>
      </c>
      <c r="D14" t="s">
        <v>209</v>
      </c>
    </row>
  </sheetData>
  <pageMargins left="0.7" right="0.7" top="0.75" bottom="0.3" header="0.3" footer="0.3"/>
</worksheet>
</file>

<file path=xl/worksheets/sheet8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700-000000000000}">
  <dimension ref="A1:D14"/>
  <sheetViews>
    <sheetView workbookViewId="0">
      <selection activeCell="C42" sqref="C42"/>
    </sheetView>
  </sheetViews>
  <sheetFormatPr defaultRowHeight="12.5" ns3:dyDescent="0.25"/>
  <cols>
    <col min="1" max="1" width="46" customWidth="1"/>
    <col min="2" max="3" width="18" customWidth="1"/>
    <col min="4" max="4" width="58" customWidth="1"/>
  </cols>
  <sheetData>
    <row r="1" spans="1:4" ns3:dyDescent="0.25">
      <c r="A1" s="1" t="s">
        <v>210</v>
      </c>
    </row>
    <row r="2" spans="1:4" ns3:dyDescent="0.25">
      <c r="A2" t="s">
        <v>211</v>
      </c>
    </row>
    <row r="3" spans="1:4" ns3:dyDescent="0.25">
      <c r="A3" s="1" t="s">
        <v>195</v>
      </c>
      <c r="B3" s="1" t="s">
        <v>196</v>
      </c>
      <c r="C3" s="1" t="s">
        <v>197</v>
      </c>
      <c r="D3" s="1" t="s">
        <v>167</v>
      </c>
    </row>
    <row r="4" spans="1:4" ns3:dyDescent="0.25">
      <c r="A4" t="s">
        <v>198</v>
      </c>
      <c r="D4" t="s">
        <v>199</v>
      </c>
    </row>
    <row r="5" spans="1:4" ns3:dyDescent="0.25">
      <c r="A5" t="s">
        <v>200</v>
      </c>
      <c r="D5" t="s">
        <v>199</v>
      </c>
    </row>
    <row r="6" spans="1:4" ns3:dyDescent="0.25">
      <c r="A6" t="s">
        <v>201</v>
      </c>
      <c r="D6" t="s">
        <v>199</v>
      </c>
    </row>
    <row r="7" spans="1:4" ns3:dyDescent="0.25">
      <c r="A7" t="s">
        <v>202</v>
      </c>
      <c r="D7" t="s">
        <v>199</v>
      </c>
    </row>
    <row r="8" spans="1:4" ns3:dyDescent="0.25">
      <c r="A8" t="s">
        <v>203</v>
      </c>
      <c r="D8" t="s">
        <v>199</v>
      </c>
    </row>
    <row r="9" spans="1:4" ns3:dyDescent="0.25">
      <c r="A9" t="s">
        <v>204</v>
      </c>
      <c r="D9" t="s">
        <v>199</v>
      </c>
    </row>
    <row r="10" spans="1:4" ns3:dyDescent="0.25">
      <c r="A10" t="s">
        <v>205</v>
      </c>
      <c r="D10" t="s">
        <v>199</v>
      </c>
    </row>
    <row r="11" spans="1:4" ns3:dyDescent="0.25">
      <c r="A11" t="s">
        <v>206</v>
      </c>
      <c r="D11" t="s">
        <v>199</v>
      </c>
    </row>
    <row r="12" spans="1:4" ns3:dyDescent="0.25">
      <c r="A12" t="s">
        <v>207</v>
      </c>
      <c r="D12" t="s">
        <v>199</v>
      </c>
    </row>
    <row r="14" spans="1:4" ns3:dyDescent="0.25">
      <c r="A14" t="s">
        <v>208</v>
      </c>
      <c r="B14" s="7">
        <f>SUMIFS('BSCR Output'!$I:$I,'BSCR Output'!$A:$A,Settings!$B$7,'BSCR Output'!$B:$B,"ALL")</f>
        <v>164353.167868338</v>
      </c>
      <c r="C14" s="7">
        <f>SUMIFS('BSCR Output'!$J:$J,'BSCR Output'!$A:$A,Settings!$B$7,'BSCR Output'!$B:$B,"ALL")</f>
        <v>164353.167868338</v>
      </c>
      <c r="D14" t="s">
        <v>209</v>
      </c>
    </row>
  </sheetData>
  <pageMargins left="0.7" right="0.7" top="0.75" bottom="0.3" header="0.3" footer="0.3"/>
</worksheet>
</file>

<file path=xl/worksheets/sheet9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800-000000000000}">
  <dimension ref="A1:D12"/>
  <sheetViews>
    <sheetView workbookViewId="0">
      <selection activeCell="B61" sqref="B61:B62"/>
    </sheetView>
  </sheetViews>
  <sheetFormatPr defaultRowHeight="12.5" ns3:dyDescent="0.25"/>
  <cols>
    <col min="1" max="1" width="38" customWidth="1"/>
    <col min="2" max="3" width="18" customWidth="1"/>
    <col min="4" max="4" width="62" customWidth="1"/>
  </cols>
  <sheetData>
    <row r="1" spans="1:4" ns3:dyDescent="0.25">
      <c r="A1" s="1" t="s">
        <v>212</v>
      </c>
    </row>
    <row r="2" spans="1:4" ns3:dyDescent="0.25">
      <c r="A2" t="s">
        <v>213</v>
      </c>
    </row>
    <row r="3" spans="1:4" ns3:dyDescent="0.25">
      <c r="A3" s="1" t="s">
        <v>214</v>
      </c>
      <c r="B3" s="1" t="s">
        <v>215</v>
      </c>
      <c r="C3" s="1" t="s">
        <v>216</v>
      </c>
      <c r="D3" s="1" t="s">
        <v>217</v>
      </c>
    </row>
    <row r="4" spans="1:4" ns3:dyDescent="0.25">
      <c r="A4" t="s">
        <v>218</v>
      </c>
      <c r="B4" s="7">
        <f>SUMIFS('BSCR Output'!$I:$I,'BSCR Output'!$A:$A,Settings!$B$7,'BSCR Output'!$B:$B,"is_nahu")</f>
        <v>30.843495900000004</v>
      </c>
      <c r="C4" s="7">
        <f>SUMIFS('BSCR Output'!$J:$J,'BSCR Output'!$A:$A,Settings!$B$7,'BSCR Output'!$B:$B,"is_nahu")</f>
        <v>30.843495900000004</v>
      </c>
      <c r="D4" t="s">
        <v>219</v>
      </c>
    </row>
    <row r="5" spans="1:4" ns3:dyDescent="0.25">
      <c r="A5" t="s">
        <v>220</v>
      </c>
      <c r="B5" s="7">
        <f>SUMIFS('BSCR Output'!$I:$I,'BSCR Output'!$A:$A,Settings!$B$7,'BSCR Output'!$B:$B,"is_na_eq")</f>
        <v>0.28620000000000001</v>
      </c>
      <c r="C5" s="7">
        <f>SUMIFS('BSCR Output'!$J:$J,'BSCR Output'!$A:$A,Settings!$B$7,'BSCR Output'!$B:$B,"is_na_eq")</f>
        <v>0.28620000000000001</v>
      </c>
      <c r="D5" t="s">
        <v>219</v>
      </c>
    </row>
    <row r="6" spans="1:4" ns3:dyDescent="0.25">
      <c r="A6" t="s">
        <v>221</v>
      </c>
      <c r="B6" s="7">
        <f>SUMIFS('BSCR Output'!$I:$I,'BSCR Output'!$A:$A,Settings!$B$7,'BSCR Output'!$B:$B,"is_eu")</f>
        <v>163747.90559558698</v>
      </c>
      <c r="C6" s="7">
        <f>SUMIFS('BSCR Output'!$J:$J,'BSCR Output'!$A:$A,Settings!$B$7,'BSCR Output'!$B:$B,"is_eu")</f>
        <v>163747.90559558698</v>
      </c>
      <c r="D6" t="s">
        <v>219</v>
      </c>
    </row>
    <row r="7" spans="1:4" ns3:dyDescent="0.25">
      <c r="A7" t="s">
        <v>222</v>
      </c>
      <c r="B7" s="7">
        <f>SUMIFS('BSCR Output'!$I:$I,'BSCR Output'!$A:$A,Settings!$B$7,'BSCR Output'!$B:$B,"is_jp")</f>
        <v>0.37259999999999999</v>
      </c>
      <c r="C7" s="7">
        <f>SUMIFS('BSCR Output'!$J:$J,'BSCR Output'!$A:$A,Settings!$B$7,'BSCR Output'!$B:$B,"is_jp")</f>
        <v>0.37259999999999999</v>
      </c>
      <c r="D7" t="s">
        <v>219</v>
      </c>
    </row>
    <row r="8" spans="1:4" ns3:dyDescent="0.25">
      <c r="A8" t="s">
        <v>223</v>
      </c>
      <c r="B8" s="7">
        <f>SUMIFS('BSCR Output'!$I:$I,'BSCR Output'!$A:$A,Settings!$B$7,'BSCR Output'!$B:$B,"is_jp_eq")</f>
        <v>0.37259999999999999</v>
      </c>
      <c r="C8" s="7">
        <f>SUMIFS('BSCR Output'!$J:$J,'BSCR Output'!$A:$A,Settings!$B$7,'BSCR Output'!$B:$B,"is_jp_eq")</f>
        <v>0.37259999999999999</v>
      </c>
      <c r="D8" t="s">
        <v>224</v>
      </c>
    </row>
    <row r="11" spans="1:4" ns3:dyDescent="0.25">
      <c r="A11" t="s">
        <v>225</v>
      </c>
      <c r="D11" t="s">
        <v>226</v>
      </c>
    </row>
    <row r="12" spans="1:4" ns3:dyDescent="0.25">
      <c r="A12" t="s">
        <v>227</v>
      </c>
      <c r="D12" t="s">
        <v>228</v>
      </c>
    </row>
  </sheetData>
  <pageMargins left="0.7" right="0.7" top="0.75" bottom="0.3" header="0.3" footer="0.3"/>
</worksheet>
</file>

<file path=xl/worksheets/sheet10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900-000000000000}">
  <dimension ref="A1:H8"/>
  <sheetViews>
    <sheetView workbookViewId="0">
      <selection activeCell="E5" sqref="E5"/>
    </sheetView>
  </sheetViews>
  <sheetFormatPr defaultRowHeight="12.5" ns3:dyDescent="0.25"/>
  <cols>
    <col min="1" max="1" width="42" customWidth="1"/>
    <col min="2" max="2" width="14" customWidth="1"/>
    <col min="3" max="4" width="18" customWidth="1"/>
    <col min="5" max="5" width="16" customWidth="1"/>
    <col min="6" max="6" width="20" customWidth="1"/>
    <col min="7" max="7" width="18" customWidth="1"/>
    <col min="8" max="8" width="48" customWidth="1"/>
  </cols>
  <sheetData>
    <row r="1" spans="1:8" ns3:dyDescent="0.25">
      <c r="A1" s="1" t="s">
        <v>229</v>
      </c>
    </row>
    <row r="2" spans="1:8" ns3:dyDescent="0.25">
      <c r="A2" t="s">
        <v>230</v>
      </c>
    </row>
    <row r="3" spans="1:8" ns3:dyDescent="0.25">
      <c r="A3" s="1" t="s">
        <v>231</v>
      </c>
      <c r="B3" s="1" t="s">
        <v>232</v>
      </c>
      <c r="C3" s="1" t="s">
        <v>233</v>
      </c>
      <c r="D3" s="1" t="s">
        <v>234</v>
      </c>
      <c r="E3" s="1" t="s">
        <v>235</v>
      </c>
      <c r="F3" s="1" t="s">
        <v>236</v>
      </c>
      <c r="G3" s="1" t="s">
        <v>237</v>
      </c>
      <c r="H3" s="1" t="s">
        <v>167</v>
      </c>
    </row>
    <row r="4" spans="1:8" ns3:dyDescent="0.25">
      <c r="A4" t="s">
        <v>238</v>
      </c>
      <c r="B4" s="7">
        <f>SUMIFS('BSCR Output'!$E:$E,'BSCR Output'!$A:$A,Settings!$B$7,'BSCR Output'!$B:$B,"is_us_all")</f>
        <v>33</v>
      </c>
      <c r="C4" s="7">
        <f>SUMIFS('BSCR Output'!$I:$I,'BSCR Output'!$A:$A,Settings!$B$7,'BSCR Output'!$B:$B,"is_us_all")</f>
        <v>30.843495900000004</v>
      </c>
      <c r="D4" s="7">
        <f>SUMIFS('BSCR Output'!$J:$J,'BSCR Output'!$A:$A,Settings!$B$7,'BSCR Output'!$B:$B,"is_us_all")</f>
        <v>30.843495900000004</v>
      </c>
      <c r="E4" s="7">
        <f>SUMIFS('BSCR Output'!$E:$E,'BSCR Output'!$A:$A,Settings!$B$7,'BSCR Output'!$B:$B,"ALL")-B4</f>
        <v>173654</v>
      </c>
      <c r="F4" s="7">
        <f>SUMIFS('BSCR Output'!$I:$I,'BSCR Output'!$A:$A,Settings!$B$7,'BSCR Output'!$B:$B,"ALL")-C4</f>
        <v>164322.32437243802</v>
      </c>
      <c r="G4" s="7">
        <f>SUMIFS('BSCR Output'!$J:$J,'BSCR Output'!$A:$A,Settings!$B$7,'BSCR Output'!$B:$B,"ALL")-D4</f>
        <v>164322.32437243802</v>
      </c>
      <c r="H4" t="s">
        <v>239</v>
      </c>
    </row>
    <row r="5" spans="1:8" ns3:dyDescent="0.25">
      <c r="A5" t="s">
        <v>240</v>
      </c>
      <c r="H5" t="s">
        <v>241</v>
      </c>
    </row>
    <row r="6" spans="1:8" ns3:dyDescent="0.25">
      <c r="A6" t="s">
        <v>242</v>
      </c>
      <c r="H6" t="s">
        <v>241</v>
      </c>
    </row>
    <row r="8" spans="1:8" ns3:dyDescent="0.25">
      <c r="A8" t="s">
        <v>243</v>
      </c>
      <c r="B8" s="7">
        <f>SUMIFS('BSCR Output'!$E:$E,'BSCR Output'!$A:$A,Settings!$B$7,'BSCR Output'!$B:$B,"ALL")</f>
        <v>173687</v>
      </c>
      <c r="C8" s="7">
        <f>SUMIFS('BSCR Output'!$I:$I,'BSCR Output'!$A:$A,Settings!$B$7,'BSCR Output'!$B:$B,"ALL")</f>
        <v>164353.167868338</v>
      </c>
      <c r="D8" s="7">
        <f>SUMIFS('BSCR Output'!$J:$J,'BSCR Output'!$A:$A,Settings!$B$7,'BSCR Output'!$B:$B,"ALL")</f>
        <v>164353.167868338</v>
      </c>
      <c r="H8" t="s">
        <v>244</v>
      </c>
    </row>
  </sheetData>
  <pageMargins left="0.7" right="0.7" top="0.75" bottom="0.3" header="0.3" footer="0.3"/>
</worksheet>
</file>

<file path=docMetadata/LabelInfo.xml><?xml version="1.0" encoding="utf-8"?>
<clbl:labelList xmlns:clbl="http://schemas.microsoft.com/office/2020/mipLabelMetadata">
  <clbl:label id="{b0e772fd-230e-46a1-9b91-16e31ba7e038}" enabled="1" method="Privileged" siteId="{dfbcc178-bccf-4595-8f8e-3a3175df90b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BSCR Pivot Summary</vt:lpstr>
      <vt:lpstr>BSCR Output</vt:lpstr>
      <vt:lpstr>BSCR Source Data</vt:lpstr>
      <vt:lpstr>AUDIT_SUMMARY</vt:lpstr>
      <vt:lpstr>Settings</vt:lpstr>
      <vt:lpstr>Schedule X(a)</vt:lpstr>
      <vt:lpstr>Schedule X(b)</vt:lpstr>
      <vt:lpstr>Schedule X(c)</vt:lpstr>
      <vt:lpstr>Schedule X(f)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Hampton</dc:creator>
  <cp:lastModifiedBy>Richard Hampton</cp:lastModifiedBy>
  <dcterms:created xsi:type="dcterms:W3CDTF">2026-02-26T12:00:55Z</dcterms:created>
  <dcterms:modified xsi:type="dcterms:W3CDTF">2026-09-21T16:32:27Z</dcterms:modified>
</cp:coreProperties>
</file>