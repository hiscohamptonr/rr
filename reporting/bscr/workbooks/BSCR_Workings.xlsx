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0" xr2:uid="{33ED103A-C225-4AF7-8380-A17D5970A431}"/>
  </bookViews>
  <sheets>
    <sheet name="Instructions" sheetId="10" r:id="rId16"/>
    <sheet name="BSCR Pivot Summary" sheetId="2" r:id="rId1"/>
    <sheet name="BSCR Output Rollup" sheetId="1" r:id="rId2"/>
    <sheet name="BSCR Aggregated Input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'BSCR Output Rollup'!$A$1:$F$50</definedName>
    <definedName name="_xlnm._FilterDatabase" localSheetId="2" hidden="1">'BSCR Aggregated Input'!$A$1:$K$1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<sst xmlns="http://schemas.openxmlformats.org/spreadsheetml/2006/main" count="1363" uniqueCount="143">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</sst>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ns0:Relationship Id="rId16" Type="http://schemas.openxmlformats.org/officeDocument/2006/relationships/worksheet" Target="worksheets/sheet10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BSCR Output Rollup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BSCR Aggregated Input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SUMIFS('BSCR Aggregated Input'!$D:$D,'BSCR Aggregated Input'!$B:$B,$A2,'BSCR Aggregated Input'!$C:$C,$B2,'BSCR Aggregated Input'!$G:$G,$F2)</f>
        <v>4645929142.03575</v>
      </c>
      <c r="D2" s="1">
        <f>SUMIFS('BSCR Aggregated Input'!$E:$E,'BSCR Aggregated Input'!$B:$B,$A2,'BSCR Aggregated Input'!$C:$C,$B2,'BSCR Aggregated Input'!$G:$G,$F2)</f>
        <v>2931952651.02002</v>
      </c>
      <c r="E2">
        <f>SUMIFS('BSCR Aggregated Input'!$F:$F,'BSCR Aggregated Input'!$B:$B,$A2,'BSCR Aggregated Input'!$C:$C,$B2,'BSCR Aggregated Input'!$G:$G,$F2)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SUMIFS('BSCR Aggregated Input'!$D:$D,'BSCR Aggregated Input'!$B:$B,$A3,'BSCR Aggregated Input'!$C:$C,$B3,'BSCR Aggregated Input'!$G:$G,$F3)</f>
        <v>25152755366.6675</v>
      </c>
      <c r="D3" s="1">
        <f>SUMIFS('BSCR Aggregated Input'!$E:$E,'BSCR Aggregated Input'!$B:$B,$A3,'BSCR Aggregated Input'!$C:$C,$B3,'BSCR Aggregated Input'!$G:$G,$F3)</f>
        <v>18626528497.3074</v>
      </c>
      <c r="E3">
        <f>SUMIFS('BSCR Aggregated Input'!$F:$F,'BSCR Aggregated Input'!$B:$B,$A3,'BSCR Aggregated Input'!$C:$C,$B3,'BSCR Aggregated Input'!$G:$G,$F3)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SUMIFS('BSCR Aggregated Input'!$D:$D,'BSCR Aggregated Input'!$B:$B,$A4,'BSCR Aggregated Input'!$C:$C,$B4,'BSCR Aggregated Input'!$G:$G,$F4)</f>
        <v>1652000</v>
      </c>
      <c r="D4">
        <f>SUMIFS('BSCR Aggregated Input'!$E:$E,'BSCR Aggregated Input'!$B:$B,$A4,'BSCR Aggregated Input'!$C:$C,$B4,'BSCR Aggregated Input'!$G:$G,$F4)</f>
        <v>1652000</v>
      </c>
      <c r="E4">
        <f>SUMIFS('BSCR Aggregated Input'!$F:$F,'BSCR Aggregated Input'!$B:$B,$A4,'BSCR Aggregated Input'!$C:$C,$B4,'BSCR Aggregated Input'!$G:$G,$F4)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SUMIFS('BSCR Aggregated Input'!$D:$D,'BSCR Aggregated Input'!$B:$B,$A5,'BSCR Aggregated Input'!$C:$C,$B5,'BSCR Aggregated Input'!$G:$G,$F5)</f>
        <v>20414496.8</v>
      </c>
      <c r="D5">
        <f>SUMIFS('BSCR Aggregated Input'!$E:$E,'BSCR Aggregated Input'!$B:$B,$A5,'BSCR Aggregated Input'!$C:$C,$B5,'BSCR Aggregated Input'!$G:$G,$F5)</f>
        <v>20414496.8</v>
      </c>
      <c r="E5">
        <f>SUMIFS('BSCR Aggregated Input'!$F:$F,'BSCR Aggregated Input'!$B:$B,$A5,'BSCR Aggregated Input'!$C:$C,$B5,'BSCR Aggregated Input'!$G:$G,$F5)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SUMIFS('BSCR Aggregated Input'!$D:$D,'BSCR Aggregated Input'!$B:$B,$A6,'BSCR Aggregated Input'!$C:$C,$B6,'BSCR Aggregated Input'!$G:$G,$F6)</f>
        <v>15433806.4</v>
      </c>
      <c r="D6">
        <f>SUMIFS('BSCR Aggregated Input'!$E:$E,'BSCR Aggregated Input'!$B:$B,$A6,'BSCR Aggregated Input'!$C:$C,$B6,'BSCR Aggregated Input'!$G:$G,$F6)</f>
        <v>15433806.4</v>
      </c>
      <c r="E6">
        <f>SUMIFS('BSCR Aggregated Input'!$F:$F,'BSCR Aggregated Input'!$B:$B,$A6,'BSCR Aggregated Input'!$C:$C,$B6,'BSCR Aggregated Input'!$G:$G,$F6)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SUMIFS('BSCR Aggregated Input'!$D:$D,'BSCR Aggregated Input'!$B:$B,$A7,'BSCR Aggregated Input'!$C:$C,$B7,'BSCR Aggregated Input'!$G:$G,$F7)</f>
        <v>121728008563.88</v>
      </c>
      <c r="D7">
        <f>SUMIFS('BSCR Aggregated Input'!$E:$E,'BSCR Aggregated Input'!$B:$B,$A7,'BSCR Aggregated Input'!$C:$C,$B7,'BSCR Aggregated Input'!$G:$G,$F7)</f>
        <v>121728008563.88</v>
      </c>
      <c r="E7">
        <f>SUMIFS('BSCR Aggregated Input'!$F:$F,'BSCR Aggregated Input'!$B:$B,$A7,'BSCR Aggregated Input'!$C:$C,$B7,'BSCR Aggregated Input'!$G:$G,$F7)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SUMIFS('BSCR Aggregated Input'!$D:$D,'BSCR Aggregated Input'!$B:$B,$A8,'BSCR Aggregated Input'!$C:$C,$B8,'BSCR Aggregated Input'!$G:$G,$F8)</f>
        <v>699027304.76611</v>
      </c>
      <c r="D8">
        <f>SUMIFS('BSCR Aggregated Input'!$E:$E,'BSCR Aggregated Input'!$B:$B,$A8,'BSCR Aggregated Input'!$C:$C,$B8,'BSCR Aggregated Input'!$G:$G,$F8)</f>
        <v>406962151.02611</v>
      </c>
      <c r="E8">
        <f>SUMIFS('BSCR Aggregated Input'!$F:$F,'BSCR Aggregated Input'!$B:$B,$A8,'BSCR Aggregated Input'!$C:$C,$B8,'BSCR Aggregated Input'!$G:$G,$F8)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SUMIFS('BSCR Aggregated Input'!$D:$D,'BSCR Aggregated Input'!$B:$B,$A9,'BSCR Aggregated Input'!$C:$C,$B9,'BSCR Aggregated Input'!$G:$G,$F9)</f>
        <v>7347517214.04485</v>
      </c>
      <c r="D9">
        <f>SUMIFS('BSCR Aggregated Input'!$E:$E,'BSCR Aggregated Input'!$B:$B,$A9,'BSCR Aggregated Input'!$C:$C,$B9,'BSCR Aggregated Input'!$G:$G,$F9)</f>
        <v>5831772777.39485</v>
      </c>
      <c r="E9">
        <f>SUMIFS('BSCR Aggregated Input'!$F:$F,'BSCR Aggregated Input'!$B:$B,$A9,'BSCR Aggregated Input'!$C:$C,$B9,'BSCR Aggregated Input'!$G:$G,$F9)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SUMIFS('BSCR Aggregated Input'!$D:$D,'BSCR Aggregated Input'!$B:$B,$A10,'BSCR Aggregated Input'!$C:$C,$B10,'BSCR Aggregated Input'!$G:$G,$F10)</f>
        <v>349291128.7</v>
      </c>
      <c r="D10">
        <f>SUMIFS('BSCR Aggregated Input'!$E:$E,'BSCR Aggregated Input'!$B:$B,$A10,'BSCR Aggregated Input'!$C:$C,$B10,'BSCR Aggregated Input'!$G:$G,$F10)</f>
        <v>349291128.7</v>
      </c>
      <c r="E10">
        <f>SUMIFS('BSCR Aggregated Input'!$F:$F,'BSCR Aggregated Input'!$B:$B,$A10,'BSCR Aggregated Input'!$C:$C,$B10,'BSCR Aggregated Input'!$G:$G,$F10)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SUMIFS('BSCR Aggregated Input'!$D:$D,'BSCR Aggregated Input'!$B:$B,$A11,'BSCR Aggregated Input'!$C:$C,$B11,'BSCR Aggregated Input'!$G:$G,$F11)</f>
        <v>77211907518.142</v>
      </c>
      <c r="D11">
        <f>SUMIFS('BSCR Aggregated Input'!$E:$E,'BSCR Aggregated Input'!$B:$B,$A11,'BSCR Aggregated Input'!$C:$C,$B11,'BSCR Aggregated Input'!$G:$G,$F11)</f>
        <v>75515308381.742</v>
      </c>
      <c r="E11">
        <f>SUMIFS('BSCR Aggregated Input'!$F:$F,'BSCR Aggregated Input'!$B:$B,$A11,'BSCR Aggregated Input'!$C:$C,$B11,'BSCR Aggregated Input'!$G:$G,$F11)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SUMIFS('BSCR Aggregated Input'!$D:$D,'BSCR Aggregated Input'!$B:$B,$A12,'BSCR Aggregated Input'!$C:$C,$B12,'BSCR Aggregated Input'!$G:$G,$F12)</f>
        <v>591803570.7403</v>
      </c>
      <c r="D12" s="1">
        <f>SUMIFS('BSCR Aggregated Input'!$E:$E,'BSCR Aggregated Input'!$B:$B,$A12,'BSCR Aggregated Input'!$C:$C,$B12,'BSCR Aggregated Input'!$G:$G,$F12)</f>
        <v>395404009.102</v>
      </c>
      <c r="E12">
        <f>SUMIFS('BSCR Aggregated Input'!$F:$F,'BSCR Aggregated Input'!$B:$B,$A12,'BSCR Aggregated Input'!$C:$C,$B12,'BSCR Aggregated Input'!$G:$G,$F12)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SUMIFS('BSCR Aggregated Input'!$D:$D,'BSCR Aggregated Input'!$B:$B,$A13,'BSCR Aggregated Input'!$C:$C,$B13,'BSCR Aggregated Input'!$G:$G,$F13)</f>
        <v>15621176039.34</v>
      </c>
      <c r="D13" s="1">
        <f>SUMIFS('BSCR Aggregated Input'!$E:$E,'BSCR Aggregated Input'!$B:$B,$A13,'BSCR Aggregated Input'!$C:$C,$B13,'BSCR Aggregated Input'!$G:$G,$F13)</f>
        <v>12132651704.25</v>
      </c>
      <c r="E13">
        <f>SUMIFS('BSCR Aggregated Input'!$F:$F,'BSCR Aggregated Input'!$B:$B,$A13,'BSCR Aggregated Input'!$C:$C,$B13,'BSCR Aggregated Input'!$G:$G,$F13)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SUMIFS('BSCR Aggregated Input'!$D:$D,'BSCR Aggregated Input'!$B:$B,$A14,'BSCR Aggregated Input'!$C:$C,$B14,'BSCR Aggregated Input'!$G:$G,$F14)</f>
        <v>5578000</v>
      </c>
      <c r="D14">
        <f>SUMIFS('BSCR Aggregated Input'!$E:$E,'BSCR Aggregated Input'!$B:$B,$A14,'BSCR Aggregated Input'!$C:$C,$B14,'BSCR Aggregated Input'!$G:$G,$F14)</f>
        <v>5578000</v>
      </c>
      <c r="E14">
        <f>SUMIFS('BSCR Aggregated Input'!$F:$F,'BSCR Aggregated Input'!$B:$B,$A14,'BSCR Aggregated Input'!$C:$C,$B14,'BSCR Aggregated Input'!$G:$G,$F14)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SUMIFS('BSCR Aggregated Input'!$D:$D,'BSCR Aggregated Input'!$B:$B,$A15,'BSCR Aggregated Input'!$C:$C,$B15,'BSCR Aggregated Input'!$G:$G,$F15)</f>
        <v>7099946</v>
      </c>
      <c r="D15">
        <f>SUMIFS('BSCR Aggregated Input'!$E:$E,'BSCR Aggregated Input'!$B:$B,$A15,'BSCR Aggregated Input'!$C:$C,$B15,'BSCR Aggregated Input'!$G:$G,$F15)</f>
        <v>7099946</v>
      </c>
      <c r="E15">
        <f>SUMIFS('BSCR Aggregated Input'!$F:$F,'BSCR Aggregated Input'!$B:$B,$A15,'BSCR Aggregated Input'!$C:$C,$B15,'BSCR Aggregated Input'!$G:$G,$F15)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SUMIFS('BSCR Aggregated Input'!$D:$D,'BSCR Aggregated Input'!$B:$B,$A16,'BSCR Aggregated Input'!$C:$C,$B16,'BSCR Aggregated Input'!$G:$G,$F16)</f>
        <v>121288000000</v>
      </c>
      <c r="D16">
        <f>SUMIFS('BSCR Aggregated Input'!$E:$E,'BSCR Aggregated Input'!$B:$B,$A16,'BSCR Aggregated Input'!$C:$C,$B16,'BSCR Aggregated Input'!$G:$G,$F16)</f>
        <v>121288000000</v>
      </c>
      <c r="E16">
        <f>SUMIFS('BSCR Aggregated Input'!$F:$F,'BSCR Aggregated Input'!$B:$B,$A16,'BSCR Aggregated Input'!$C:$C,$B16,'BSCR Aggregated Input'!$G:$G,$F16)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SUMIFS('BSCR Aggregated Input'!$D:$D,'BSCR Aggregated Input'!$B:$B,$A17,'BSCR Aggregated Input'!$C:$C,$B17,'BSCR Aggregated Input'!$G:$G,$F17)</f>
        <v>210175711.428</v>
      </c>
      <c r="D17">
        <f>SUMIFS('BSCR Aggregated Input'!$E:$E,'BSCR Aggregated Input'!$B:$B,$A17,'BSCR Aggregated Input'!$C:$C,$B17,'BSCR Aggregated Input'!$G:$G,$F17)</f>
        <v>112614669.918</v>
      </c>
      <c r="E17">
        <f>SUMIFS('BSCR Aggregated Input'!$F:$F,'BSCR Aggregated Input'!$B:$B,$A17,'BSCR Aggregated Input'!$C:$C,$B17,'BSCR Aggregated Input'!$G:$G,$F17)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SUMIFS('BSCR Aggregated Input'!$D:$D,'BSCR Aggregated Input'!$B:$B,$A18,'BSCR Aggregated Input'!$C:$C,$B18,'BSCR Aggregated Input'!$G:$G,$F18)</f>
        <v>2859865269.5161</v>
      </c>
      <c r="D18">
        <f>SUMIFS('BSCR Aggregated Input'!$E:$E,'BSCR Aggregated Input'!$B:$B,$A18,'BSCR Aggregated Input'!$C:$C,$B18,'BSCR Aggregated Input'!$G:$G,$F18)</f>
        <v>2193629057.0861</v>
      </c>
      <c r="E18">
        <f>SUMIFS('BSCR Aggregated Input'!$F:$F,'BSCR Aggregated Input'!$B:$B,$A18,'BSCR Aggregated Input'!$C:$C,$B18,'BSCR Aggregated Input'!$G:$G,$F18)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SUMIFS('BSCR Aggregated Input'!$D:$D,'BSCR Aggregated Input'!$B:$B,$A19,'BSCR Aggregated Input'!$C:$C,$B19,'BSCR Aggregated Input'!$G:$G,$F19)</f>
        <v>75479150</v>
      </c>
      <c r="D19">
        <f>SUMIFS('BSCR Aggregated Input'!$E:$E,'BSCR Aggregated Input'!$B:$B,$A19,'BSCR Aggregated Input'!$C:$C,$B19,'BSCR Aggregated Input'!$G:$G,$F19)</f>
        <v>75479150</v>
      </c>
      <c r="E19">
        <f>SUMIFS('BSCR Aggregated Input'!$F:$F,'BSCR Aggregated Input'!$B:$B,$A19,'BSCR Aggregated Input'!$C:$C,$B19,'BSCR Aggregated Input'!$G:$G,$F19)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SUMIFS('BSCR Aggregated Input'!$D:$D,'BSCR Aggregated Input'!$B:$B,$A20,'BSCR Aggregated Input'!$C:$C,$B20,'BSCR Aggregated Input'!$G:$G,$F20)</f>
        <v>56019841640.34</v>
      </c>
      <c r="D20">
        <f>SUMIFS('BSCR Aggregated Input'!$E:$E,'BSCR Aggregated Input'!$B:$B,$A20,'BSCR Aggregated Input'!$C:$C,$B20,'BSCR Aggregated Input'!$G:$G,$F20)</f>
        <v>54739890726.34</v>
      </c>
      <c r="E20">
        <f>SUMIFS('BSCR Aggregated Input'!$F:$F,'BSCR Aggregated Input'!$B:$B,$A20,'BSCR Aggregated Input'!$C:$C,$B20,'BSCR Aggregated Input'!$G:$G,$F20)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SUMIFS('BSCR Aggregated Input'!$D:$D,'BSCR Aggregated Input'!$B:$B,$A21,'BSCR Aggregated Input'!$C:$C,$B21,'BSCR Aggregated Input'!$G:$G,$F21)</f>
        <v>3060082.643</v>
      </c>
      <c r="D21" s="1">
        <f>SUMIFS('BSCR Aggregated Input'!$E:$E,'BSCR Aggregated Input'!$B:$B,$A21,'BSCR Aggregated Input'!$C:$C,$B21,'BSCR Aggregated Input'!$G:$G,$F21)</f>
        <v>1599407.467</v>
      </c>
      <c r="E21">
        <f>SUMIFS('BSCR Aggregated Input'!$F:$F,'BSCR Aggregated Input'!$B:$B,$A21,'BSCR Aggregated Input'!$C:$C,$B21,'BSCR Aggregated Input'!$G:$G,$F21)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SUMIFS('BSCR Aggregated Input'!$D:$D,'BSCR Aggregated Input'!$B:$B,$A22,'BSCR Aggregated Input'!$C:$C,$B22,'BSCR Aggregated Input'!$G:$G,$F22)</f>
        <v>83586974.9</v>
      </c>
      <c r="D22" s="1">
        <f>SUMIFS('BSCR Aggregated Input'!$E:$E,'BSCR Aggregated Input'!$B:$B,$A22,'BSCR Aggregated Input'!$C:$C,$B22,'BSCR Aggregated Input'!$G:$G,$F22)</f>
        <v>47547711</v>
      </c>
      <c r="E22">
        <f>SUMIFS('BSCR Aggregated Input'!$F:$F,'BSCR Aggregated Input'!$B:$B,$A22,'BSCR Aggregated Input'!$C:$C,$B22,'BSCR Aggregated Input'!$G:$G,$F22)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SUMIFS('BSCR Aggregated Input'!$D:$D,'BSCR Aggregated Input'!$B:$B,$A23,'BSCR Aggregated Input'!$C:$C,$B23,'BSCR Aggregated Input'!$G:$G,$F23)</f>
        <v>276000</v>
      </c>
      <c r="D23">
        <f>SUMIFS('BSCR Aggregated Input'!$E:$E,'BSCR Aggregated Input'!$B:$B,$A23,'BSCR Aggregated Input'!$C:$C,$B23,'BSCR Aggregated Input'!$G:$G,$F23)</f>
        <v>276000</v>
      </c>
      <c r="E23">
        <f>SUMIFS('BSCR Aggregated Input'!$F:$F,'BSCR Aggregated Input'!$B:$B,$A23,'BSCR Aggregated Input'!$C:$C,$B23,'BSCR Aggregated Input'!$G:$G,$F23)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SUMIFS('BSCR Aggregated Input'!$D:$D,'BSCR Aggregated Input'!$B:$B,$A24,'BSCR Aggregated Input'!$C:$C,$B24,'BSCR Aggregated Input'!$G:$G,$F24)</f>
        <v>183525417</v>
      </c>
      <c r="D24">
        <f>SUMIFS('BSCR Aggregated Input'!$E:$E,'BSCR Aggregated Input'!$B:$B,$A24,'BSCR Aggregated Input'!$C:$C,$B24,'BSCR Aggregated Input'!$G:$G,$F24)</f>
        <v>107035050.9</v>
      </c>
      <c r="E24">
        <f>SUMIFS('BSCR Aggregated Input'!$F:$F,'BSCR Aggregated Input'!$B:$B,$A24,'BSCR Aggregated Input'!$C:$C,$B24,'BSCR Aggregated Input'!$G:$G,$F24)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SUMIFS('BSCR Aggregated Input'!$D:$D,'BSCR Aggregated Input'!$B:$B,$A25,'BSCR Aggregated Input'!$C:$C,$B25,'BSCR Aggregated Input'!$G:$G,$F25)</f>
        <v>20201080.8</v>
      </c>
      <c r="D25">
        <f>SUMIFS('BSCR Aggregated Input'!$E:$E,'BSCR Aggregated Input'!$B:$B,$A25,'BSCR Aggregated Input'!$C:$C,$B25,'BSCR Aggregated Input'!$G:$G,$F25)</f>
        <v>20201080.8</v>
      </c>
      <c r="E25">
        <f>SUMIFS('BSCR Aggregated Input'!$F:$F,'BSCR Aggregated Input'!$B:$B,$A25,'BSCR Aggregated Input'!$C:$C,$B25,'BSCR Aggregated Input'!$G:$G,$F25)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SUMIFS('BSCR Aggregated Input'!$D:$D,'BSCR Aggregated Input'!$B:$B,$A26,'BSCR Aggregated Input'!$C:$C,$B26,'BSCR Aggregated Input'!$G:$G,$F26)</f>
        <v>18301343.57</v>
      </c>
      <c r="D26" s="1">
        <f>SUMIFS('BSCR Aggregated Input'!$E:$E,'BSCR Aggregated Input'!$B:$B,$A26,'BSCR Aggregated Input'!$C:$C,$B26,'BSCR Aggregated Input'!$G:$G,$F26)</f>
        <v>16479715.69</v>
      </c>
      <c r="E26">
        <f>SUMIFS('BSCR Aggregated Input'!$F:$F,'BSCR Aggregated Input'!$B:$B,$A26,'BSCR Aggregated Input'!$C:$C,$B26,'BSCR Aggregated Input'!$G:$G,$F26)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SUMIFS('BSCR Aggregated Input'!$D:$D,'BSCR Aggregated Input'!$B:$B,$A27,'BSCR Aggregated Input'!$C:$C,$B27,'BSCR Aggregated Input'!$G:$G,$F27)</f>
        <v>210957528.1</v>
      </c>
      <c r="D27" s="1">
        <f>SUMIFS('BSCR Aggregated Input'!$E:$E,'BSCR Aggregated Input'!$B:$B,$A27,'BSCR Aggregated Input'!$C:$C,$B27,'BSCR Aggregated Input'!$G:$G,$F27)</f>
        <v>106631319.7</v>
      </c>
      <c r="E27">
        <f>SUMIFS('BSCR Aggregated Input'!$F:$F,'BSCR Aggregated Input'!$B:$B,$A27,'BSCR Aggregated Input'!$C:$C,$B27,'BSCR Aggregated Input'!$G:$G,$F27)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SUMIFS('BSCR Aggregated Input'!$D:$D,'BSCR Aggregated Input'!$B:$B,$A28,'BSCR Aggregated Input'!$C:$C,$B28,'BSCR Aggregated Input'!$G:$G,$F28)</f>
        <v>110000</v>
      </c>
      <c r="D28">
        <f>SUMIFS('BSCR Aggregated Input'!$E:$E,'BSCR Aggregated Input'!$B:$B,$A28,'BSCR Aggregated Input'!$C:$C,$B28,'BSCR Aggregated Input'!$G:$G,$F28)</f>
        <v>110000</v>
      </c>
      <c r="E28">
        <f>SUMIFS('BSCR Aggregated Input'!$F:$F,'BSCR Aggregated Input'!$B:$B,$A28,'BSCR Aggregated Input'!$C:$C,$B28,'BSCR Aggregated Input'!$G:$G,$F28)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SUMIFS('BSCR Aggregated Input'!$D:$D,'BSCR Aggregated Input'!$B:$B,$A29,'BSCR Aggregated Input'!$C:$C,$B29,'BSCR Aggregated Input'!$G:$G,$F29)</f>
        <v>110000</v>
      </c>
      <c r="D29">
        <f>SUMIFS('BSCR Aggregated Input'!$E:$E,'BSCR Aggregated Input'!$B:$B,$A29,'BSCR Aggregated Input'!$C:$C,$B29,'BSCR Aggregated Input'!$G:$G,$F29)</f>
        <v>110000</v>
      </c>
      <c r="E29">
        <f>SUMIFS('BSCR Aggregated Input'!$F:$F,'BSCR Aggregated Input'!$B:$B,$A29,'BSCR Aggregated Input'!$C:$C,$B29,'BSCR Aggregated Input'!$G:$G,$F29)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SUMIFS('BSCR Aggregated Input'!$D:$D,'BSCR Aggregated Input'!$B:$B,$A30,'BSCR Aggregated Input'!$C:$C,$B30,'BSCR Aggregated Input'!$G:$G,$F30)</f>
        <v>212000</v>
      </c>
      <c r="D30">
        <f>SUMIFS('BSCR Aggregated Input'!$E:$E,'BSCR Aggregated Input'!$B:$B,$A30,'BSCR Aggregated Input'!$C:$C,$B30,'BSCR Aggregated Input'!$G:$G,$F30)</f>
        <v>212000</v>
      </c>
      <c r="E30">
        <f>SUMIFS('BSCR Aggregated Input'!$F:$F,'BSCR Aggregated Input'!$B:$B,$A30,'BSCR Aggregated Input'!$C:$C,$B30,'BSCR Aggregated Input'!$G:$G,$F30)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SUMIFS('BSCR Aggregated Input'!$D:$D,'BSCR Aggregated Input'!$B:$B,$A31,'BSCR Aggregated Input'!$C:$C,$B31,'BSCR Aggregated Input'!$G:$G,$F31)</f>
        <v>7558346.16</v>
      </c>
      <c r="D31">
        <f>SUMIFS('BSCR Aggregated Input'!$E:$E,'BSCR Aggregated Input'!$B:$B,$A31,'BSCR Aggregated Input'!$C:$C,$B31,'BSCR Aggregated Input'!$G:$G,$F31)</f>
        <v>7558346.16</v>
      </c>
      <c r="E31">
        <f>SUMIFS('BSCR Aggregated Input'!$F:$F,'BSCR Aggregated Input'!$B:$B,$A31,'BSCR Aggregated Input'!$C:$C,$B31,'BSCR Aggregated Input'!$G:$G,$F31)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SUMIFS('BSCR Aggregated Input'!$D:$D,'BSCR Aggregated Input'!$B:$B,$A32,'BSCR Aggregated Input'!$C:$C,$B32,'BSCR Aggregated Input'!$G:$G,$F32)</f>
        <v>560000</v>
      </c>
      <c r="D32">
        <f>SUMIFS('BSCR Aggregated Input'!$E:$E,'BSCR Aggregated Input'!$B:$B,$A32,'BSCR Aggregated Input'!$C:$C,$B32,'BSCR Aggregated Input'!$G:$G,$F32)</f>
        <v>560000</v>
      </c>
      <c r="E32">
        <f>SUMIFS('BSCR Aggregated Input'!$F:$F,'BSCR Aggregated Input'!$B:$B,$A32,'BSCR Aggregated Input'!$C:$C,$B32,'BSCR Aggregated Input'!$G:$G,$F32)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SUMIFS('BSCR Aggregated Input'!$D:$D,'BSCR Aggregated Input'!$B:$B,$A33,'BSCR Aggregated Input'!$C:$C,$B33,'BSCR Aggregated Input'!$G:$G,$F33)</f>
        <v>2372926089.373</v>
      </c>
      <c r="D33" s="1">
        <f>SUMIFS('BSCR Aggregated Input'!$E:$E,'BSCR Aggregated Input'!$B:$B,$A33,'BSCR Aggregated Input'!$C:$C,$B33,'BSCR Aggregated Input'!$G:$G,$F33)</f>
        <v>1420410551.373</v>
      </c>
      <c r="E33">
        <f>SUMIFS('BSCR Aggregated Input'!$F:$F,'BSCR Aggregated Input'!$B:$B,$A33,'BSCR Aggregated Input'!$C:$C,$B33,'BSCR Aggregated Input'!$G:$G,$F33)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SUMIFS('BSCR Aggregated Input'!$D:$D,'BSCR Aggregated Input'!$B:$B,$A34,'BSCR Aggregated Input'!$C:$C,$B34,'BSCR Aggregated Input'!$G:$G,$F34)</f>
        <v>761662142.89</v>
      </c>
      <c r="D34" s="1">
        <f>SUMIFS('BSCR Aggregated Input'!$E:$E,'BSCR Aggregated Input'!$B:$B,$A34,'BSCR Aggregated Input'!$C:$C,$B34,'BSCR Aggregated Input'!$G:$G,$F34)</f>
        <v>448941035.39</v>
      </c>
      <c r="E34">
        <f>SUMIFS('BSCR Aggregated Input'!$F:$F,'BSCR Aggregated Input'!$B:$B,$A34,'BSCR Aggregated Input'!$C:$C,$B34,'BSCR Aggregated Input'!$G:$G,$F34)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SUMIFS('BSCR Aggregated Input'!$D:$D,'BSCR Aggregated Input'!$B:$B,$A35,'BSCR Aggregated Input'!$C:$C,$B35,'BSCR Aggregated Input'!$G:$G,$F35)</f>
        <v>545000</v>
      </c>
      <c r="D35">
        <f>SUMIFS('BSCR Aggregated Input'!$E:$E,'BSCR Aggregated Input'!$B:$B,$A35,'BSCR Aggregated Input'!$C:$C,$B35,'BSCR Aggregated Input'!$G:$G,$F35)</f>
        <v>545000</v>
      </c>
      <c r="E35">
        <f>SUMIFS('BSCR Aggregated Input'!$F:$F,'BSCR Aggregated Input'!$B:$B,$A35,'BSCR Aggregated Input'!$C:$C,$B35,'BSCR Aggregated Input'!$G:$G,$F35)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SUMIFS('BSCR Aggregated Input'!$D:$D,'BSCR Aggregated Input'!$B:$B,$A36,'BSCR Aggregated Input'!$C:$C,$B36,'BSCR Aggregated Input'!$G:$G,$F36)</f>
        <v>2662700</v>
      </c>
      <c r="D36">
        <f>SUMIFS('BSCR Aggregated Input'!$E:$E,'BSCR Aggregated Input'!$B:$B,$A36,'BSCR Aggregated Input'!$C:$C,$B36,'BSCR Aggregated Input'!$G:$G,$F36)</f>
        <v>2662700</v>
      </c>
      <c r="E36">
        <f>SUMIFS('BSCR Aggregated Input'!$F:$F,'BSCR Aggregated Input'!$B:$B,$A36,'BSCR Aggregated Input'!$C:$C,$B36,'BSCR Aggregated Input'!$G:$G,$F36)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SUMIFS('BSCR Aggregated Input'!$D:$D,'BSCR Aggregated Input'!$B:$B,$A37,'BSCR Aggregated Input'!$C:$C,$B37,'BSCR Aggregated Input'!$G:$G,$F37)</f>
        <v>101000</v>
      </c>
      <c r="D37">
        <f>SUMIFS('BSCR Aggregated Input'!$E:$E,'BSCR Aggregated Input'!$B:$B,$A37,'BSCR Aggregated Input'!$C:$C,$B37,'BSCR Aggregated Input'!$G:$G,$F37)</f>
        <v>101000</v>
      </c>
      <c r="E37">
        <f>SUMIFS('BSCR Aggregated Input'!$F:$F,'BSCR Aggregated Input'!$B:$B,$A37,'BSCR Aggregated Input'!$C:$C,$B37,'BSCR Aggregated Input'!$G:$G,$F37)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SUMIFS('BSCR Aggregated Input'!$D:$D,'BSCR Aggregated Input'!$B:$B,$A38,'BSCR Aggregated Input'!$C:$C,$B38,'BSCR Aggregated Input'!$G:$G,$F38)</f>
        <v>22746034</v>
      </c>
      <c r="D38">
        <f>SUMIFS('BSCR Aggregated Input'!$E:$E,'BSCR Aggregated Input'!$B:$B,$A38,'BSCR Aggregated Input'!$C:$C,$B38,'BSCR Aggregated Input'!$G:$G,$F38)</f>
        <v>22746034</v>
      </c>
      <c r="E38">
        <f>SUMIFS('BSCR Aggregated Input'!$F:$F,'BSCR Aggregated Input'!$B:$B,$A38,'BSCR Aggregated Input'!$C:$C,$B38,'BSCR Aggregated Input'!$G:$G,$F38)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SUMIFS('BSCR Aggregated Input'!$D:$D,'BSCR Aggregated Input'!$B:$B,$A39,'BSCR Aggregated Input'!$C:$C,$B39,'BSCR Aggregated Input'!$G:$G,$F39)</f>
        <v>191741484.23</v>
      </c>
      <c r="D39">
        <f>SUMIFS('BSCR Aggregated Input'!$E:$E,'BSCR Aggregated Input'!$B:$B,$A39,'BSCR Aggregated Input'!$C:$C,$B39,'BSCR Aggregated Input'!$G:$G,$F39)</f>
        <v>103722849</v>
      </c>
      <c r="E39">
        <f>SUMIFS('BSCR Aggregated Input'!$F:$F,'BSCR Aggregated Input'!$B:$B,$A39,'BSCR Aggregated Input'!$C:$C,$B39,'BSCR Aggregated Input'!$G:$G,$F39)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SUMIFS('BSCR Aggregated Input'!$D:$D,'BSCR Aggregated Input'!$B:$B,$A40,'BSCR Aggregated Input'!$C:$C,$B40,'BSCR Aggregated Input'!$G:$G,$F40)</f>
        <v>1205659420.15</v>
      </c>
      <c r="D40">
        <f>SUMIFS('BSCR Aggregated Input'!$E:$E,'BSCR Aggregated Input'!$B:$B,$A40,'BSCR Aggregated Input'!$C:$C,$B40,'BSCR Aggregated Input'!$G:$G,$F40)</f>
        <v>924487181.77</v>
      </c>
      <c r="E40">
        <f>SUMIFS('BSCR Aggregated Input'!$F:$F,'BSCR Aggregated Input'!$B:$B,$A40,'BSCR Aggregated Input'!$C:$C,$B40,'BSCR Aggregated Input'!$G:$G,$F40)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SUMIFS('BSCR Aggregated Input'!$D:$D,'BSCR Aggregated Input'!$B:$B,$A41,'BSCR Aggregated Input'!$C:$C,$B41,'BSCR Aggregated Input'!$G:$G,$F41)</f>
        <v>107224705.2</v>
      </c>
      <c r="D41">
        <f>SUMIFS('BSCR Aggregated Input'!$E:$E,'BSCR Aggregated Input'!$B:$B,$A41,'BSCR Aggregated Input'!$C:$C,$B41,'BSCR Aggregated Input'!$G:$G,$F41)</f>
        <v>106417749.2</v>
      </c>
      <c r="E41">
        <f>SUMIFS('BSCR Aggregated Input'!$F:$F,'BSCR Aggregated Input'!$B:$B,$A41,'BSCR Aggregated Input'!$C:$C,$B41,'BSCR Aggregated Input'!$G:$G,$F41)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SUMIFS('BSCR Aggregated Input'!$D:$D,'BSCR Aggregated Input'!$B:$B,$A42,'BSCR Aggregated Input'!$C:$C,$B42,'BSCR Aggregated Input'!$G:$G,$F42)</f>
        <v>2365811503</v>
      </c>
      <c r="D42" s="1">
        <f>SUMIFS('BSCR Aggregated Input'!$E:$E,'BSCR Aggregated Input'!$B:$B,$A42,'BSCR Aggregated Input'!$C:$C,$B42,'BSCR Aggregated Input'!$G:$G,$F42)</f>
        <v>1413295965</v>
      </c>
      <c r="E42">
        <f>SUMIFS('BSCR Aggregated Input'!$F:$F,'BSCR Aggregated Input'!$B:$B,$A42,'BSCR Aggregated Input'!$C:$C,$B42,'BSCR Aggregated Input'!$G:$G,$F42)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SUMIFS('BSCR Aggregated Input'!$D:$D,'BSCR Aggregated Input'!$B:$B,$A43,'BSCR Aggregated Input'!$C:$C,$B43,'BSCR Aggregated Input'!$G:$G,$F43)</f>
        <v>738973417.3</v>
      </c>
      <c r="D43" s="1">
        <f>SUMIFS('BSCR Aggregated Input'!$E:$E,'BSCR Aggregated Input'!$B:$B,$A43,'BSCR Aggregated Input'!$C:$C,$B43,'BSCR Aggregated Input'!$G:$G,$F43)</f>
        <v>426252309.8</v>
      </c>
      <c r="E43">
        <f>SUMIFS('BSCR Aggregated Input'!$F:$F,'BSCR Aggregated Input'!$B:$B,$A43,'BSCR Aggregated Input'!$C:$C,$B43,'BSCR Aggregated Input'!$G:$G,$F43)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SUMIFS('BSCR Aggregated Input'!$D:$D,'BSCR Aggregated Input'!$B:$B,$A44,'BSCR Aggregated Input'!$C:$C,$B44,'BSCR Aggregated Input'!$G:$G,$F44)</f>
        <v>345000</v>
      </c>
      <c r="D44">
        <f>SUMIFS('BSCR Aggregated Input'!$E:$E,'BSCR Aggregated Input'!$B:$B,$A44,'BSCR Aggregated Input'!$C:$C,$B44,'BSCR Aggregated Input'!$G:$G,$F44)</f>
        <v>345000</v>
      </c>
      <c r="E44">
        <f>SUMIFS('BSCR Aggregated Input'!$F:$F,'BSCR Aggregated Input'!$B:$B,$A44,'BSCR Aggregated Input'!$C:$C,$B44,'BSCR Aggregated Input'!$G:$G,$F44)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SUMIFS('BSCR Aggregated Input'!$D:$D,'BSCR Aggregated Input'!$B:$B,$A45,'BSCR Aggregated Input'!$C:$C,$B45,'BSCR Aggregated Input'!$G:$G,$F45)</f>
        <v>2462700</v>
      </c>
      <c r="D45">
        <f>SUMIFS('BSCR Aggregated Input'!$E:$E,'BSCR Aggregated Input'!$B:$B,$A45,'BSCR Aggregated Input'!$C:$C,$B45,'BSCR Aggregated Input'!$G:$G,$F45)</f>
        <v>2462700</v>
      </c>
      <c r="E45">
        <f>SUMIFS('BSCR Aggregated Input'!$F:$F,'BSCR Aggregated Input'!$B:$B,$A45,'BSCR Aggregated Input'!$C:$C,$B45,'BSCR Aggregated Input'!$G:$G,$F45)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SUMIFS('BSCR Aggregated Input'!$D:$D,'BSCR Aggregated Input'!$B:$B,$A46,'BSCR Aggregated Input'!$C:$C,$B46,'BSCR Aggregated Input'!$G:$G,$F46)</f>
        <v>101000</v>
      </c>
      <c r="D46">
        <f>SUMIFS('BSCR Aggregated Input'!$E:$E,'BSCR Aggregated Input'!$B:$B,$A46,'BSCR Aggregated Input'!$C:$C,$B46,'BSCR Aggregated Input'!$G:$G,$F46)</f>
        <v>101000</v>
      </c>
      <c r="E46">
        <f>SUMIFS('BSCR Aggregated Input'!$F:$F,'BSCR Aggregated Input'!$B:$B,$A46,'BSCR Aggregated Input'!$C:$C,$B46,'BSCR Aggregated Input'!$G:$G,$F46)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SUMIFS('BSCR Aggregated Input'!$D:$D,'BSCR Aggregated Input'!$B:$B,$A47,'BSCR Aggregated Input'!$C:$C,$B47,'BSCR Aggregated Input'!$G:$G,$F47)</f>
        <v>22746034</v>
      </c>
      <c r="D47">
        <f>SUMIFS('BSCR Aggregated Input'!$E:$E,'BSCR Aggregated Input'!$B:$B,$A47,'BSCR Aggregated Input'!$C:$C,$B47,'BSCR Aggregated Input'!$G:$G,$F47)</f>
        <v>22746034</v>
      </c>
      <c r="E47">
        <f>SUMIFS('BSCR Aggregated Input'!$F:$F,'BSCR Aggregated Input'!$B:$B,$A47,'BSCR Aggregated Input'!$C:$C,$B47,'BSCR Aggregated Input'!$G:$G,$F47)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SUMIFS('BSCR Aggregated Input'!$D:$D,'BSCR Aggregated Input'!$B:$B,$A48,'BSCR Aggregated Input'!$C:$C,$B48,'BSCR Aggregated Input'!$G:$G,$F48)</f>
        <v>175292598.8</v>
      </c>
      <c r="D48">
        <f>SUMIFS('BSCR Aggregated Input'!$E:$E,'BSCR Aggregated Input'!$B:$B,$A48,'BSCR Aggregated Input'!$C:$C,$B48,'BSCR Aggregated Input'!$G:$G,$F48)</f>
        <v>87273963.57</v>
      </c>
      <c r="E48">
        <f>SUMIFS('BSCR Aggregated Input'!$F:$F,'BSCR Aggregated Input'!$B:$B,$A48,'BSCR Aggregated Input'!$C:$C,$B48,'BSCR Aggregated Input'!$G:$G,$F48)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SUMIFS('BSCR Aggregated Input'!$D:$D,'BSCR Aggregated Input'!$B:$B,$A49,'BSCR Aggregated Input'!$C:$C,$B49,'BSCR Aggregated Input'!$G:$G,$F49)</f>
        <v>906507554.6</v>
      </c>
      <c r="D49">
        <f>SUMIFS('BSCR Aggregated Input'!$E:$E,'BSCR Aggregated Input'!$B:$B,$A49,'BSCR Aggregated Input'!$C:$C,$B49,'BSCR Aggregated Input'!$G:$G,$F49)</f>
        <v>666539312.4</v>
      </c>
      <c r="E49">
        <f>SUMIFS('BSCR Aggregated Input'!$F:$F,'BSCR Aggregated Input'!$B:$B,$A49,'BSCR Aggregated Input'!$C:$C,$B49,'BSCR Aggregated Input'!$G:$G,$F49)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SUMIFS('BSCR Aggregated Input'!$D:$D,'BSCR Aggregated Input'!$B:$B,$A50,'BSCR Aggregated Input'!$C:$C,$B50,'BSCR Aggregated Input'!$G:$G,$F50)</f>
        <v>101774358.8</v>
      </c>
      <c r="D50">
        <f>SUMIFS('BSCR Aggregated Input'!$E:$E,'BSCR Aggregated Input'!$B:$B,$A50,'BSCR Aggregated Input'!$C:$C,$B50,'BSCR Aggregated Input'!$G:$G,$F50)</f>
        <v>100967402.8</v>
      </c>
      <c r="E50">
        <f>SUMIFS('BSCR Aggregated Input'!$F:$F,'BSCR Aggregated Input'!$B:$B,$A50,'BSCR Aggregated Input'!$C:$C,$B50,'BSCR Aggregated Input'!$G:$G,$F50)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Generated output/bscr-output.csv columns A:G: cntrycode, bscr_entity, region, sum_pml, sum_net, count_policies, is_geocoded. Raw bscr-extract.sql output is a different 8-column contract.</t>
        </is>
      </c>
    </row>
    <row r="5" ht="30" customHeight="1">
      <c r="A5" t="inlineStr">
        <is>
          <t>Process</t>
        </is>
      </c>
      <c r="B5" t="inlineStr">
        <is>
          <t>Paste generated bscr-output.csv into BSCR Aggregated Input A:G without replacing formula columns. Formulas apply 1.35 GBP/USD and divide by 1,000,000; BSCR Output Rollup consolidates and BSCR Pivot Summary presents results.</t>
        </is>
      </c>
    </row>
    <row r="6" ht="30" customHeight="1">
      <c r="A6" t="inlineStr">
        <is>
          <t>Outputs</t>
        </is>
      </c>
      <c r="B6" t="inlineStr">
        <is>
          <t>Reviewed BSCR Pivot Summary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BSCR Output Rollup and BSCR Pivot Summary after loading. The checked-in piv is older than BSCR Aggregated Input, so reconcile query, raw SQL CSV, generated CSV, BSCR Aggregated Input, BSCR Output Rollup, BSCR Pivot Summary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(TABLE 15)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 Rollup'!$I:$I,'BSCR Output Rollup'!$A:$A,"HIC",'BSCR Output Rollup'!$B:$B,"ALL")</f>
        <v>164353.167868337</v>
      </c>
      <c r="C14" s="7">
        <f>SUMIFS('BSCR Output Rollup'!$J:$J,'BSCR Output Rollup'!$A:$A,"HIC",'BSCR Output Rollup'!$B:$B,"ALL")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(TABLE 15A)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 Rollup'!$I:$I,'BSCR Output Rollup'!$A:$A,"HIC",'BSCR Output Rollup'!$B:$B,"ALL")</f>
        <v>164353.167868337</v>
      </c>
      <c r="C14" s="7">
        <f>SUMIFS('BSCR Output Rollup'!$J:$J,'BSCR Output Rollup'!$A:$A,"HIC",'BSCR Output Rollup'!$B:$B,"ALL")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EXCEEDANCE PROBABILITY  (EP) CURVE  FOR REGIONS-PERILS (TABLE 15B)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Exposure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Exposure to Atlantic Basin Hurricane</t>
        </is>
      </c>
      <c r="B4" s="7">
        <f>SUMIFS('BSCR Output Rollup'!$I:$I,'BSCR Output Rollup'!$A:$A,"HIC",'BSCR Output Rollup'!$B:$B,"is_nahu")</f>
        <v>30.8434959</v>
      </c>
      <c r="C4" s="7">
        <f>SUMIFS('BSCR Output Rollup'!$J:$J,'BSCR Output Rollup'!$A:$A,"HIC",'BSCR Output Rollup'!$B:$B,"is_nahu")</f>
        <v>30.8434959</v>
      </c>
      <c r="D4" t="inlineStr">
        <is>
          <t>HIC output region total</t>
        </is>
      </c>
    </row>
    <row r="5">
      <c r="A5" t="inlineStr">
        <is>
          <t>Exposure to North American Earthquake</t>
        </is>
      </c>
      <c r="B5" s="7">
        <f>SUMIFS('BSCR Output Rollup'!$I:$I,'BSCR Output Rollup'!$A:$A,"HIC",'BSCR Output Rollup'!$B:$B,"is_na_eq")</f>
        <v>0.2862</v>
      </c>
      <c r="C5" s="7">
        <f>SUMIFS('BSCR Output Rollup'!$J:$J,'BSCR Output Rollup'!$A:$A,"HIC",'BSCR Output Rollup'!$B:$B,"is_na_eq")</f>
        <v>0.2862</v>
      </c>
      <c r="D5" t="inlineStr">
        <is>
          <t>HIC output region total</t>
        </is>
      </c>
    </row>
    <row r="6">
      <c r="A6" t="inlineStr">
        <is>
          <t>Exposure to European Windstorm</t>
        </is>
      </c>
      <c r="B6" s="7">
        <f>SUMIFS('BSCR Output Rollup'!$I:$I,'BSCR Output Rollup'!$A:$A,"HIC",'BSCR Output Rollup'!$B:$B,"is_eu")</f>
        <v>163747.905595587</v>
      </c>
      <c r="C6" s="7">
        <f>SUMIFS('BSCR Output Rollup'!$J:$J,'BSCR Output Rollup'!$A:$A,"HIC",'BSCR Output Rollup'!$B:$B,"is_eu")</f>
        <v>163747.905595587</v>
      </c>
      <c r="D6" t="inlineStr">
        <is>
          <t>HIC output region total</t>
        </is>
      </c>
    </row>
    <row r="7">
      <c r="A7" t="inlineStr">
        <is>
          <t>Exposure to Japanese Earthquake</t>
        </is>
      </c>
      <c r="B7" s="7">
        <f>SUMIFS('BSCR Output Rollup'!$I:$I,'BSCR Output Rollup'!$A:$A,"HIC",'BSCR Output Rollup'!$B:$B,"is_jp")</f>
        <v>0.3726</v>
      </c>
      <c r="C7" s="7">
        <f>SUMIFS('BSCR Output Rollup'!$J:$J,'BSCR Output Rollup'!$A:$A,"HIC",'BSCR Output Rollup'!$B:$B,"is_jp")</f>
        <v>0.3726</v>
      </c>
      <c r="D7" t="inlineStr">
        <is>
          <t>HIC output region total</t>
        </is>
      </c>
    </row>
    <row r="8">
      <c r="A8" t="inlineStr">
        <is>
          <t>Exposure to Japanese Typhoon</t>
        </is>
      </c>
      <c r="B8" s="7">
        <f>SUMIFS('BSCR Output Rollup'!$I:$I,'BSCR Output Rollup'!$A:$A,"HIC",'BSCR Output Rollup'!$B:$B,"is_jp")</f>
        <v>0.3726</v>
      </c>
      <c r="C8" s="7">
        <f>SUMIFS('BSCR Output Rollup'!$J:$J,'BSCR Output Rollup'!$A:$A,"HIC",'BSCR Output Rollup'!$B:$B,"is_jp")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Total statutory property catastrophe premium</t>
        </is>
      </c>
      <c r="D11" t="inlineStr">
        <is>
          <t>Not supplied by the BSCR exposure output</t>
        </is>
      </c>
    </row>
    <row r="12">
      <c r="A12" t="inlineStr">
        <is>
          <t>Exceedance probability information: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 ANALYSIS (TABLE 15E)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Contract 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all exposures</t>
        </is>
      </c>
      <c r="B4" s="7">
        <f>SUMIFS('BSCR Output Rollup'!$E:$E,'BSCR Output Rollup'!$A:$A,"HIC",'BSCR Output Rollup'!$B:$B,"is_us_all")</f>
        <v>33</v>
      </c>
      <c r="C4" s="7">
        <f>SUMIFS('BSCR Output Rollup'!$I:$I,'BSCR Output Rollup'!$A:$A,"HIC",'BSCR Output Rollup'!$B:$B,"is_us_all")</f>
        <v>30.8434959</v>
      </c>
      <c r="D4" s="7">
        <f>SUMIFS('BSCR Output Rollup'!$J:$J,'BSCR Output Rollup'!$A:$A,"HIC",'BSCR Output Rollup'!$B:$B,"is_us_all")</f>
        <v>30.8434959</v>
      </c>
      <c r="E4" s="7">
        <f>SUMIFS('BSCR Output Rollup'!$E:$E,'BSCR Output Rollup'!$A:$A,"HIC",'BSCR Output Rollup'!$B:$B,"ALL")-B4</f>
        <v>173654</v>
      </c>
      <c r="F4" s="7">
        <f>SUMIFS('BSCR Output Rollup'!$I:$I,'BSCR Output Rollup'!$A:$A,"HIC",'BSCR Output Rollup'!$B:$B,"ALL")-C4</f>
        <v>164322.324372437</v>
      </c>
      <c r="G4" s="7">
        <f>SUMIFS('BSCR Output Rollup'!$J:$J,'BSCR Output Rollup'!$A:$A,"HIC",'BSCR Output Rollup'!$B:$B,"ALL")-D4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modellable</t>
        </is>
      </c>
      <c r="H5" t="inlineStr">
        <is>
          <t>Requires approved modelability classification</t>
        </is>
      </c>
    </row>
    <row r="6">
      <c r="A6" t="inlineStr">
        <is>
          <t>Not modellable</t>
        </is>
      </c>
      <c r="H6" t="inlineStr">
        <is>
          <t>Requires approved modelability classification</t>
        </is>
      </c>
    </row>
    <row r="8">
      <c r="A8" t="inlineStr">
        <is>
          <t>Total</t>
        </is>
      </c>
      <c r="B8" s="7">
        <f>SUMIFS('BSCR Output Rollup'!$E:$E,'BSCR Output Rollup'!$A:$A,"HIC",'BSCR Output Rollup'!$B:$B,"ALL")</f>
        <v>173687</v>
      </c>
      <c r="C8" s="7">
        <f>SUMIFS('BSCR Output Rollup'!$I:$I,'BSCR Output Rollup'!$A:$A,"HIC",'BSCR Output Rollup'!$B:$B,"ALL")</f>
        <v>164353.167868337</v>
      </c>
      <c r="D8" s="7">
        <f>SUMIFS('BSCR Output Rollup'!$J:$J,'BSCR Output Rollup'!$A:$A,"HIC",'BSCR Output Rollup'!$B:$B,"ALL")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4" customWidth="1"/>
    <col min="2" max="2" width="118" customWidth="1"/>
  </cols>
  <sheetData>
    <row r="1">
      <c r="A1" t="inlineStr">
        <is>
          <t>BSCR Workings Instructions</t>
        </is>
      </c>
    </row>
    <row r="2">
      <c r="A2" t="inlineStr">
        <is>
          <t>Workbook</t>
        </is>
      </c>
      <c r="B2" t="inlineStr">
        <is>
          <t>BSCR_Workings.xlsx; final example: 2026 BSCR - UKEU - HIC.xlsx</t>
        </is>
      </c>
    </row>
    <row r="3"/>
    <row r="4">
      <c r="A4" t="inlineStr">
        <is>
          <t>Step / tab</t>
        </is>
      </c>
      <c r="B4" t="inlineStr">
        <is>
          <t>Action</t>
        </is>
      </c>
    </row>
    <row r="5">
      <c r="A5" t="inlineStr">
        <is>
          <t>1. Run SQL</t>
        </is>
      </c>
      <c r="B5" t="inlineStr">
        <is>
          <t>Run bscr/sql/bscr-extract.sql against the correct EDM database. Set @peril and @policy_type for the required run.</t>
        </is>
      </c>
    </row>
    <row r="6">
      <c r="A6" t="inlineStr">
        <is>
          <t>2. Save the SQL CSV</t>
        </is>
      </c>
      <c r="B6" t="inlineStr">
        <is>
          <t>Export the query result as CSV with exact header order: pml, accgrpid, uwritrname, state, userid1, branchname, cntrycode, is_geocoded. This raw 8-column CSV is not the workbook input.</t>
        </is>
      </c>
    </row>
    <row r="7">
      <c r="A7" t="inlineStr">
        <is>
          <t>3. Configure Python</t>
        </is>
      </c>
      <c r="B7" t="inlineStr">
        <is>
          <t>Edit bscr/BSCR_UKEU.py: set BSCR_INPUT_CSV to the raw CSV filename, leave PRA_INPUT_CSV = None for BSCR-only, and set OUTPUT_DIR to a new or empty folder.</t>
        </is>
      </c>
    </row>
    <row r="8">
      <c r="A8" t="inlineStr">
        <is>
          <t>4. Run Python</t>
        </is>
      </c>
      <c r="B8" t="inlineStr">
        <is>
          <t>From the reporting/ project folder run: uv run --isolated --locked python bscr/BSCR_UKEU.py. No script arguments. uvx is not required.</t>
        </is>
      </c>
    </row>
    <row r="9">
      <c r="A9" t="inlineStr">
        <is>
          <t>5. Check generated CSV</t>
        </is>
      </c>
      <c r="B9" t="inlineStr">
        <is>
          <t>Confirm output/bscr-output.csv has: cntrycode, bscr_entity, region, sum_pml, sum_net, count_policies, is_geocoded. Reconcile ALL-row totals and contributing-row counts to the raw SQL CSV.</t>
        </is>
      </c>
    </row>
    <row r="10">
      <c r="A10" t="inlineStr">
        <is>
          <t>6. BSCR Aggregated Input</t>
        </is>
      </c>
      <c r="B10" t="inlineStr">
        <is>
          <t>Paste generated output/bscr-output.csv into A:G only. Do not paste the raw SQL CSV. Do not overwrite formula columns H:K.</t>
        </is>
      </c>
    </row>
    <row r="11">
      <c r="A11" t="inlineStr">
        <is>
          <t>7. Refresh roll-up</t>
        </is>
      </c>
      <c r="B11" t="inlineStr">
        <is>
          <t>Use Formulas &gt; Calculate Now or Ctrl+Alt+F9, then Data &gt; Refresh All.</t>
        </is>
      </c>
    </row>
    <row r="12">
      <c r="A12" t="inlineStr">
        <is>
          <t>BSCR Output Rollup</t>
        </is>
      </c>
      <c r="B12" t="inlineStr">
        <is>
          <t>Formula-driven roll-up by entity, region/peril and geocoding status. Provides gross/net source values plus USD and USD-million values.</t>
        </is>
      </c>
    </row>
    <row r="13">
      <c r="A13" t="inlineStr">
        <is>
          <t>BSCR Pivot Summary</t>
        </is>
      </c>
      <c r="B13" t="inlineStr">
        <is>
          <t>Review roll-up of BSCR Output Rollup. Current pivot blocks are A3:J24, A39:I50 and A57:I68. Rows 69:78 are outside the pivot blocks and are not valid output.</t>
        </is>
      </c>
    </row>
    <row r="14">
      <c r="A14" t="inlineStr">
        <is>
          <t>Pivot reference rows</t>
        </is>
      </c>
      <c r="B14" t="inlineStr">
        <is>
          <t>In the current checked-in snapshot, HIC gross is row 63 (Sum of sum_pml_usd/1m) and HIC net is row 64 (Sum of sum_net_usd/1m). After refreshing, find the HIC and measure labels rather than relying only on row numbers.</t>
        </is>
      </c>
    </row>
    <row r="15">
      <c r="A15" t="inlineStr">
        <is>
          <t>Pivot region columns</t>
        </is>
      </c>
      <c r="B15" t="inlineStr">
        <is>
          <t>D = ALL; E = is_eu; F = is_jp; G = is_na_eq; H = is_nahu; I = is_us_all.</t>
        </is>
      </c>
    </row>
    <row r="16">
      <c r="A16" t="inlineStr">
        <is>
          <t>Schedule X(a)</t>
        </is>
      </c>
      <c r="B16" t="inlineStr">
        <is>
          <t>No direct pivot paste. Use the HIC ALL total only as a control. X(a) requires EP curves, annual average loss, standard deviation, premiums and modelled/not-modelled splits not produced by this workbook.</t>
        </is>
      </c>
    </row>
    <row r="17">
      <c r="A17" t="inlineStr">
        <is>
          <t>Schedule X(b)</t>
        </is>
      </c>
      <c r="B17" t="inlineStr">
        <is>
          <t>No direct pivot paste. X(b) requires the insurance EP curve and premium inputs not produced by this workbook.</t>
        </is>
      </c>
    </row>
    <row r="18">
      <c r="A18" t="inlineStr">
        <is>
          <t>X(c) Atlantic Basin Hurricane</t>
        </is>
      </c>
      <c r="B18" t="inlineStr">
        <is>
          <t>Copy BSCR Pivot Summary H63 (gross) and H64 (net) to the example template Schedule X(c) E27 and F27: Total all other statutory limits.</t>
        </is>
      </c>
    </row>
    <row r="19">
      <c r="A19" t="inlineStr">
        <is>
          <t>X(c) North American Earthquake</t>
        </is>
      </c>
      <c r="B19" t="inlineStr">
        <is>
          <t>Copy G63 (gross) and G64 (net) to example Schedule X(c) E49 and F49: Total all other statutory limits.</t>
        </is>
      </c>
    </row>
    <row r="20">
      <c r="A20" t="inlineStr">
        <is>
          <t>X(c) European Windstorm</t>
        </is>
      </c>
      <c r="B20" t="inlineStr">
        <is>
          <t>Copy E63 (gross) and E64 (net) to example Schedule X(c) E71 and F71: Total all other statutory limits.</t>
        </is>
      </c>
    </row>
    <row r="21">
      <c r="A21" t="inlineStr">
        <is>
          <t>X(c) Japanese Earthquake</t>
        </is>
      </c>
      <c r="B21" t="inlineStr">
        <is>
          <t>Copy F63 (gross) and F64 (net) to example Schedule X(c) E93 and F93: Total all other statutory limits.</t>
        </is>
      </c>
    </row>
    <row r="22">
      <c r="A22" t="inlineStr">
        <is>
          <t>X(c) Japanese Typhoon</t>
        </is>
      </c>
      <c r="B22" t="inlineStr">
        <is>
          <t>Copy F63/F64 again to example Schedule X(c) E115/F115. This is a Japanese-earthquake-region proxy, not an independent typhoon result.</t>
        </is>
      </c>
    </row>
    <row r="23">
      <c r="A23" t="inlineStr">
        <is>
          <t>X(c) premium fields</t>
        </is>
      </c>
      <c r="B23" t="inlineStr">
        <is>
          <t>Do not copy pivot values into the X(c) premium rows. The pivot contains exposure limits, not statutory premium inputs.</t>
        </is>
      </c>
    </row>
    <row r="24">
      <c r="A24" t="inlineStr">
        <is>
          <t>X(f) example total</t>
        </is>
      </c>
      <c r="B24" t="inlineStr">
        <is>
          <t>If using X(f), compact Schedule X(f) B4:G4 maps to example Schedule X(f) E12:J12 (US count/gross/net, then all-other count/gross/net). Calculate the example total cells K12:M12; do not populate modelability rows 10:11.</t>
        </is>
      </c>
    </row>
    <row r="25">
      <c r="A25" t="inlineStr">
        <is>
          <t>Transfer method</t>
        </is>
      </c>
      <c r="B25" t="inlineStr">
        <is>
          <t>In the final example workbook use Paste Special &gt; Values only. Preserve template formatting, formulas and validation. Record source cell, destination cell, run date and reviewer.</t>
        </is>
      </c>
    </row>
    <row r="26">
      <c r="A26" t="inlineStr">
        <is>
          <t>Control record</t>
        </is>
      </c>
      <c r="B26" t="inlineStr">
        <is>
          <t>Keep the raw SQL CSV, SQL parameters, generated bscr-output.csv, workbook version, row counts, gross/net totals, FX basis, operator and reviewer together.</t>
        </is>
      </c>
    </row>
  </sheetData>
  <autoFilter ref="A4:B26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 Rollup</vt:lpstr>
      <vt:lpstr>BSCR Aggregated Input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