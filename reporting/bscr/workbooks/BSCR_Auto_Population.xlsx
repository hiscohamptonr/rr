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QL input" sheetId="2" state="visible" r:id="rId2"/>
    <sheet xmlns:r="http://schemas.openxmlformats.org/officeDocument/2006/relationships" name="33" sheetId="3" state="visible" r:id="rId3"/>
    <sheet xmlns:r="http://schemas.openxmlformats.org/officeDocument/2006/relationships" name="3624" sheetId="4" state="visible" r:id="rId4"/>
    <sheet xmlns:r="http://schemas.openxmlformats.org/officeDocument/2006/relationships" name="HIC" sheetId="5" state="visible" r:id="rId5"/>
    <sheet xmlns:r="http://schemas.openxmlformats.org/officeDocument/2006/relationships" name="HIG" sheetId="6" state="visible" r:id="rId6"/>
    <sheet xmlns:r="http://schemas.openxmlformats.org/officeDocument/2006/relationships" name="HSA" sheetId="7" state="visible" r:id="rId7"/>
  </sheets>
  <definedNames>
    <definedName name="_xlnm.Print_Area" localSheetId="2">'33'!$A$1:$M$393</definedName>
    <definedName name="_xlnm.Print_Area" localSheetId="3">'3624'!$A$1:$M$393</definedName>
    <definedName name="_xlnm.Print_Area" localSheetId="4">'HIC'!$A$1:$M$393</definedName>
    <definedName name="_xlnm.Print_Area" localSheetId="5">'HIG'!$A$1:$M$393</definedName>
    <definedName name="_xlnm.Print_Area" localSheetId="6">'HSA'!$A$1:$M$393</definedName>
  </definedNames>
  <calcPr calcId="191029" fullCalcOnLoad="1" forceFullCalc="1"/>
</workbook>
</file>

<file path=xl/styles.xml><?xml version="1.0" encoding="utf-8"?>
<styleSheet xmlns="http://schemas.openxmlformats.org/spreadsheetml/2006/main">
  <numFmts count="5">
    <numFmt numFmtId="164" formatCode="[$-409]d\ mmmm\ yyyy;@"/>
    <numFmt numFmtId="165" formatCode="_(* #,##0_);_(* \(#,##0\);_(* &quot;-&quot;??_);_(@_)"/>
    <numFmt numFmtId="166" formatCode="_(* #,##0.0_);_(* \(#,##0.0\);_(* &quot;-&quot;??_);_(@_)"/>
    <numFmt numFmtId="167" formatCode="#,##0.000;[Red](#,##0.000);0.000"/>
    <numFmt numFmtId="168" formatCode="_(* #,##0.000_);_(* \(#,##0.000\);_(* &quot;-&quot;??_);_(@_)"/>
  </numFmts>
  <fonts count="37">
    <font>
      <name val="Calibri"/>
      <family val="2"/>
      <color theme="1"/>
      <sz val="11"/>
      <scheme val="minor"/>
    </font>
    <font>
      <name val="Calibri"/>
      <b val="1"/>
      <color rgb="00FFFFFF"/>
      <sz val="16"/>
    </font>
    <font>
      <name val="Calibri"/>
      <sz val="14"/>
    </font>
    <font>
      <name val="Franklin Gothic Book"/>
      <family val="2"/>
      <b val="1"/>
      <color indexed="9"/>
      <sz val="12"/>
    </font>
    <font>
      <name val="Franklin Gothic Book"/>
      <family val="2"/>
      <color indexed="9"/>
      <sz val="10"/>
      <u val="single"/>
    </font>
    <font>
      <name val="Arial"/>
      <family val="2"/>
      <sz val="10"/>
    </font>
    <font>
      <name val="Franklin Gothic Book"/>
      <family val="2"/>
      <color rgb="FFFF0000"/>
      <sz val="10"/>
    </font>
    <font>
      <name val="Franklin Gothic Book"/>
      <family val="2"/>
      <b val="1"/>
      <color indexed="10"/>
      <sz val="10"/>
      <u val="single"/>
    </font>
    <font>
      <name val="Franklin Gothic Book"/>
      <family val="2"/>
      <b val="1"/>
      <color indexed="18"/>
      <sz val="10"/>
    </font>
    <font>
      <name val="Franklin Gothic Book"/>
      <family val="2"/>
      <sz val="10"/>
    </font>
    <font>
      <name val="Franklin Gothic Book"/>
      <family val="2"/>
      <b val="1"/>
      <sz val="10"/>
    </font>
    <font>
      <name val="Franklin Gothic Book"/>
      <family val="2"/>
      <color indexed="10"/>
      <sz val="10"/>
    </font>
    <font>
      <name val="Franklin Gothic Book"/>
      <family val="2"/>
      <b val="1"/>
      <color indexed="12"/>
      <sz val="10"/>
      <u val="single"/>
    </font>
    <font>
      <name val="Franklin Gothic Book"/>
      <family val="2"/>
      <color indexed="12"/>
      <sz val="10"/>
    </font>
    <font>
      <name val="Franklin Gothic Book"/>
      <family val="2"/>
      <b val="1"/>
      <color indexed="9"/>
      <sz val="10"/>
    </font>
    <font>
      <name val="Franklin Gothic Book"/>
      <family val="2"/>
      <b val="1"/>
      <color indexed="12"/>
      <sz val="10"/>
    </font>
    <font>
      <name val="Franklin Gothic Book"/>
      <family val="2"/>
      <b val="1"/>
      <color indexed="10"/>
      <sz val="10"/>
    </font>
    <font>
      <name val="Franklin Gothic Book"/>
      <family val="2"/>
      <b val="1"/>
      <color indexed="9"/>
      <sz val="10"/>
      <u val="single"/>
    </font>
    <font>
      <name val="Franklin Gothic Book"/>
      <family val="2"/>
      <b val="1"/>
      <color indexed="9"/>
      <sz val="14"/>
    </font>
    <font>
      <name val="Franklin Gothic Book"/>
      <family val="2"/>
      <sz val="12"/>
    </font>
    <font>
      <name val="Franklin Gothic Book"/>
      <family val="2"/>
      <b val="1"/>
      <color indexed="18"/>
      <sz val="12"/>
    </font>
    <font>
      <name val="Franklin Gothic Book"/>
      <family val="2"/>
      <color rgb="FFFF0000"/>
      <sz val="12"/>
    </font>
    <font>
      <name val="Franklin Gothic Book"/>
      <family val="2"/>
      <b val="1"/>
      <sz val="12"/>
    </font>
    <font>
      <name val="Franklin Gothic Book"/>
      <family val="2"/>
      <color indexed="10"/>
      <sz val="12"/>
    </font>
    <font>
      <name val="Franklin Gothic Book"/>
      <family val="2"/>
      <b val="1"/>
      <color indexed="17"/>
      <sz val="12"/>
    </font>
    <font>
      <name val="Arial"/>
      <family val="2"/>
      <color rgb="FFFF0000"/>
      <sz val="12"/>
    </font>
    <font>
      <name val="Franklin Gothic Book"/>
      <family val="2"/>
      <color indexed="12"/>
      <sz val="12"/>
    </font>
    <font>
      <name val="Franklin Gothic Book"/>
      <family val="2"/>
      <b val="1"/>
      <color indexed="10"/>
      <sz val="12"/>
      <u val="single"/>
    </font>
    <font>
      <name val="Franklin Gothic Book"/>
      <family val="2"/>
      <b val="1"/>
      <color indexed="12"/>
      <sz val="12"/>
      <u val="single"/>
    </font>
    <font>
      <name val="Franklin Gothic Book"/>
      <family val="2"/>
      <color indexed="22"/>
      <sz val="12"/>
    </font>
    <font>
      <name val="Franklin Gothic Book"/>
      <family val="2"/>
      <color indexed="18"/>
      <sz val="12"/>
    </font>
    <font>
      <name val="Franklin Gothic Book"/>
      <family val="2"/>
      <sz val="11"/>
    </font>
    <font>
      <name val="Franklin Gothic Book"/>
      <family val="2"/>
      <b val="1"/>
      <color indexed="12"/>
      <sz val="11"/>
      <u val="single"/>
    </font>
    <font>
      <name val="Franklin Gothic Book"/>
      <family val="2"/>
      <b val="1"/>
      <sz val="11"/>
    </font>
    <font>
      <name val="Franklin Gothic Book"/>
      <family val="2"/>
      <color indexed="12"/>
      <sz val="11"/>
    </font>
    <font>
      <name val="Franklin Gothic Book"/>
      <family val="2"/>
      <b val="1"/>
      <color indexed="18"/>
      <sz val="11"/>
    </font>
    <font>
      <name val="Franklin Gothic Book"/>
      <family val="2"/>
      <b val="1"/>
      <color rgb="FFFF0000"/>
      <sz val="10"/>
    </font>
  </fonts>
  <fills count="9">
    <fill>
      <patternFill/>
    </fill>
    <fill>
      <patternFill patternType="gray125"/>
    </fill>
    <fill>
      <patternFill patternType="solid">
        <fgColor rgb="0017365D"/>
      </patternFill>
    </fill>
    <fill>
      <patternFill patternType="solid">
        <fgColor indexed="18"/>
        <bgColor indexed="64"/>
      </patternFill>
    </fill>
    <fill>
      <patternFill patternType="solid">
        <fgColor indexed="22"/>
        <bgColor indexed="64"/>
      </patternFill>
    </fill>
    <fill>
      <patternFill patternType="solid">
        <fgColor indexed="31"/>
        <bgColor indexed="64"/>
      </patternFill>
    </fill>
    <fill>
      <patternFill patternType="solid">
        <fgColor rgb="00DDEBF7"/>
      </patternFill>
    </fill>
    <fill>
      <patternFill patternType="solid">
        <fgColor rgb="FFFFFF00"/>
        <bgColor indexed="64"/>
      </patternFill>
    </fill>
    <fill>
      <patternFill patternType="solid">
        <fgColor rgb="00E2F0D9"/>
      </patternFill>
    </fill>
  </fills>
  <borders count="43">
    <border>
      <left/>
      <right/>
      <top/>
      <bottom/>
      <diagonal/>
    </border>
    <border>
      <left style="thin">
        <color indexed="64"/>
      </left>
      <right/>
      <top style="thin">
        <color indexed="64"/>
      </top>
      <bottom/>
      <diagonal/>
    </border>
    <border>
      <left/>
      <right/>
      <top style="thin">
        <color indexed="64"/>
      </top>
      <bottom/>
      <diagonal/>
    </border>
    <border>
      <left/>
      <right style="thin">
        <color auto="1"/>
      </right>
      <top style="thin">
        <color indexed="64"/>
      </top>
      <bottom/>
      <diagonal/>
    </border>
    <border>
      <left style="thin">
        <color auto="1"/>
      </left>
      <right/>
      <top/>
      <bottom/>
      <diagonal/>
    </border>
    <border>
      <left/>
      <right style="thin">
        <color auto="1"/>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auto="1"/>
      </right>
      <top style="thin">
        <color indexed="64"/>
      </top>
      <bottom/>
      <diagonal/>
    </border>
    <border>
      <left style="medium">
        <color indexed="64"/>
      </left>
      <right style="thin">
        <color auto="1"/>
      </right>
      <top/>
      <bottom/>
      <diagonal/>
    </border>
    <border>
      <left/>
      <right style="medium">
        <color indexed="64"/>
      </right>
      <top style="thin">
        <color indexed="64"/>
      </top>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auto="1"/>
      </right>
      <top/>
      <bottom style="medium">
        <color auto="1"/>
      </bottom>
      <diagonal/>
    </border>
  </borders>
  <cellStyleXfs count="1">
    <xf numFmtId="0" fontId="0" fillId="0" borderId="0"/>
  </cellStyleXfs>
  <cellXfs count="198">
    <xf numFmtId="0" fontId="0" fillId="0" borderId="0" pivotButton="0" quotePrefix="0" xfId="0"/>
    <xf numFmtId="0" fontId="1" fillId="2" borderId="0" pivotButton="0" quotePrefix="0" xfId="0"/>
    <xf numFmtId="0" fontId="2" fillId="0" borderId="0" applyAlignment="1" pivotButton="0" quotePrefix="0" xfId="0">
      <alignment vertical="center" wrapText="1"/>
    </xf>
    <xf numFmtId="4" fontId="0" fillId="0" borderId="0" pivotButton="0" quotePrefix="0" xfId="0"/>
    <xf numFmtId="3" fontId="0" fillId="0" borderId="0" pivotButton="0" quotePrefix="0" xfId="0"/>
    <xf numFmtId="0" fontId="0" fillId="0" borderId="0" applyAlignment="1" pivotButton="0" quotePrefix="0" xfId="0">
      <alignment wrapText="1"/>
    </xf>
    <xf numFmtId="0" fontId="3" fillId="3" borderId="1" pivotButton="0" quotePrefix="0" xfId="0"/>
    <xf numFmtId="0" fontId="3" fillId="3" borderId="2" pivotButton="0" quotePrefix="0" xfId="0"/>
    <xf numFmtId="0" fontId="4" fillId="3" borderId="2" applyAlignment="1" pivotButton="0" quotePrefix="0" xfId="0">
      <alignment horizontal="right"/>
    </xf>
    <xf numFmtId="0" fontId="3" fillId="3" borderId="3" pivotButton="0" quotePrefix="0" xfId="0"/>
    <xf numFmtId="0" fontId="5" fillId="0" borderId="0" pivotButton="0" quotePrefix="0" xfId="0"/>
    <xf numFmtId="0" fontId="6" fillId="4" borderId="0" pivotButton="0" quotePrefix="0" xfId="0"/>
    <xf numFmtId="0" fontId="7" fillId="5" borderId="4" pivotButton="0" quotePrefix="0" xfId="0"/>
    <xf numFmtId="3" fontId="8" fillId="5" borderId="0" pivotButton="0" quotePrefix="0" xfId="0"/>
    <xf numFmtId="0" fontId="9" fillId="5" borderId="0" pivotButton="0" quotePrefix="0" xfId="0"/>
    <xf numFmtId="0" fontId="9" fillId="5" borderId="5" pivotButton="0" quotePrefix="0" xfId="0"/>
    <xf numFmtId="164" fontId="8" fillId="5" borderId="0" applyAlignment="1" pivotButton="0" quotePrefix="0" xfId="0">
      <alignment horizontal="left"/>
    </xf>
    <xf numFmtId="0" fontId="10" fillId="5" borderId="0" applyAlignment="1" pivotButton="0" quotePrefix="0" xfId="0">
      <alignment horizontal="center"/>
    </xf>
    <xf numFmtId="0" fontId="11" fillId="5" borderId="4" pivotButton="0" quotePrefix="0" xfId="0"/>
    <xf numFmtId="0" fontId="12" fillId="5" borderId="0" pivotButton="0" quotePrefix="0" xfId="0"/>
    <xf numFmtId="0" fontId="9" fillId="5" borderId="1" pivotButton="0" quotePrefix="0" xfId="0"/>
    <xf numFmtId="0" fontId="10" fillId="5" borderId="6" applyAlignment="1" pivotButton="0" quotePrefix="0" xfId="0">
      <alignment horizontal="center"/>
    </xf>
    <xf numFmtId="0" fontId="0" fillId="0" borderId="15" pivotButton="0" quotePrefix="0" xfId="0"/>
    <xf numFmtId="0" fontId="10" fillId="5" borderId="7" applyAlignment="1" pivotButton="0" quotePrefix="0" xfId="0">
      <alignment horizontal="right" wrapText="1"/>
    </xf>
    <xf numFmtId="0" fontId="10" fillId="5" borderId="8" applyAlignment="1" pivotButton="0" quotePrefix="0" xfId="0">
      <alignment horizontal="center" vertical="center" wrapText="1"/>
    </xf>
    <xf numFmtId="0" fontId="6" fillId="4" borderId="0" applyAlignment="1" pivotButton="0" quotePrefix="0" xfId="0">
      <alignment horizontal="right" wrapText="1"/>
    </xf>
    <xf numFmtId="0" fontId="10" fillId="5" borderId="4" applyAlignment="1" pivotButton="0" quotePrefix="0" xfId="0">
      <alignment horizontal="right" wrapText="1"/>
    </xf>
    <xf numFmtId="0" fontId="9" fillId="5" borderId="4" pivotButton="0" quotePrefix="0" xfId="0"/>
    <xf numFmtId="165" fontId="13" fillId="6" borderId="8" applyProtection="1" pivotButton="0" quotePrefix="0" xfId="0">
      <protection locked="0" hidden="0"/>
    </xf>
    <xf numFmtId="165" fontId="13" fillId="6" borderId="9" applyProtection="1" pivotButton="0" quotePrefix="0" xfId="0">
      <protection locked="0" hidden="0"/>
    </xf>
    <xf numFmtId="0" fontId="9" fillId="5" borderId="7" pivotButton="0" quotePrefix="0" xfId="0"/>
    <xf numFmtId="165" fontId="13" fillId="6" borderId="10" applyProtection="1" pivotButton="0" quotePrefix="0" xfId="0">
      <protection locked="0" hidden="0"/>
    </xf>
    <xf numFmtId="37" fontId="9" fillId="5" borderId="0" pivotButton="0" quotePrefix="0" xfId="0"/>
    <xf numFmtId="0" fontId="9" fillId="5" borderId="0" applyAlignment="1" pivotButton="0" quotePrefix="0" xfId="0">
      <alignment horizontal="right"/>
    </xf>
    <xf numFmtId="165" fontId="13" fillId="6" borderId="6" applyProtection="1" pivotButton="0" quotePrefix="0" xfId="0">
      <protection locked="0" hidden="0"/>
    </xf>
    <xf numFmtId="165" fontId="13" fillId="5" borderId="0" applyAlignment="1" pivotButton="0" quotePrefix="0" xfId="0">
      <alignment horizontal="right"/>
    </xf>
    <xf numFmtId="166" fontId="13" fillId="6" borderId="6" applyProtection="1" pivotButton="0" quotePrefix="0" xfId="0">
      <protection locked="0" hidden="0"/>
    </xf>
    <xf numFmtId="167" fontId="13" fillId="8" borderId="6" pivotButton="0" quotePrefix="0" xfId="0"/>
    <xf numFmtId="0" fontId="13" fillId="6" borderId="6" applyAlignment="1" applyProtection="1" pivotButton="0" quotePrefix="0" xfId="0">
      <alignment horizontal="center"/>
      <protection locked="0" hidden="0"/>
    </xf>
    <xf numFmtId="0" fontId="13" fillId="5" borderId="0" applyAlignment="1" pivotButton="0" quotePrefix="0" xfId="0">
      <alignment horizontal="center"/>
    </xf>
    <xf numFmtId="0" fontId="9" fillId="5" borderId="0" applyAlignment="1" pivotButton="0" quotePrefix="0" xfId="0">
      <alignment horizontal="center"/>
    </xf>
    <xf numFmtId="0" fontId="9" fillId="6" borderId="5" applyAlignment="1" applyProtection="1" pivotButton="0" quotePrefix="0" xfId="0">
      <alignment horizontal="left" wrapText="1"/>
      <protection locked="0" hidden="0"/>
    </xf>
    <xf numFmtId="0" fontId="0" fillId="0" borderId="0" applyProtection="1" pivotButton="0" quotePrefix="0" xfId="0">
      <protection locked="0" hidden="0"/>
    </xf>
    <xf numFmtId="0" fontId="0" fillId="0" borderId="5" applyProtection="1" pivotButton="0" quotePrefix="0" xfId="0">
      <protection locked="0" hidden="0"/>
    </xf>
    <xf numFmtId="0" fontId="13" fillId="6" borderId="8" applyAlignment="1" applyProtection="1" pivotButton="0" quotePrefix="0" xfId="0">
      <alignment horizontal="center"/>
      <protection locked="0" hidden="0"/>
    </xf>
    <xf numFmtId="0" fontId="0" fillId="0" borderId="14" applyProtection="1" pivotButton="0" quotePrefix="0" xfId="0">
      <protection locked="0" hidden="0"/>
    </xf>
    <xf numFmtId="0" fontId="0" fillId="0" borderId="15" applyProtection="1" pivotButton="0" quotePrefix="0" xfId="0">
      <protection locked="0" hidden="0"/>
    </xf>
    <xf numFmtId="37" fontId="9" fillId="5" borderId="0" applyAlignment="1" pivotButton="0" quotePrefix="0" xfId="0">
      <alignment horizontal="center"/>
    </xf>
    <xf numFmtId="0" fontId="9" fillId="6" borderId="0" applyProtection="1" pivotButton="0" quotePrefix="0" xfId="0">
      <protection locked="0" hidden="0"/>
    </xf>
    <xf numFmtId="0" fontId="9" fillId="6" borderId="5" applyProtection="1" pivotButton="0" quotePrefix="0" xfId="0">
      <protection locked="0" hidden="0"/>
    </xf>
    <xf numFmtId="0" fontId="9" fillId="6" borderId="0" applyAlignment="1" applyProtection="1" pivotButton="0" quotePrefix="0" xfId="0">
      <alignment horizontal="left" wrapText="1"/>
      <protection locked="0" hidden="0"/>
    </xf>
    <xf numFmtId="0" fontId="10" fillId="5" borderId="0" pivotButton="0" quotePrefix="0" xfId="0"/>
    <xf numFmtId="10" fontId="9" fillId="5" borderId="0" pivotButton="0" quotePrefix="0" xfId="0"/>
    <xf numFmtId="0" fontId="13" fillId="5" borderId="0" pivotButton="0" quotePrefix="0" xfId="0"/>
    <xf numFmtId="10" fontId="13" fillId="6" borderId="6" applyAlignment="1" applyProtection="1" pivotButton="0" quotePrefix="0" xfId="0">
      <alignment horizontal="center"/>
      <protection locked="0" hidden="0"/>
    </xf>
    <xf numFmtId="0" fontId="13" fillId="6" borderId="6" applyAlignment="1" applyProtection="1" pivotButton="0" quotePrefix="0" xfId="0">
      <alignment horizontal="center" vertical="center" wrapText="1"/>
      <protection locked="0" hidden="0"/>
    </xf>
    <xf numFmtId="0" fontId="0" fillId="0" borderId="13" applyProtection="1" pivotButton="0" quotePrefix="0" xfId="0">
      <protection locked="0" hidden="0"/>
    </xf>
    <xf numFmtId="0" fontId="0" fillId="0" borderId="7" applyProtection="1" pivotButton="0" quotePrefix="0" xfId="0">
      <protection locked="0" hidden="0"/>
    </xf>
    <xf numFmtId="0" fontId="0" fillId="0" borderId="12" applyProtection="1" pivotButton="0" quotePrefix="0" xfId="0">
      <protection locked="0" hidden="0"/>
    </xf>
    <xf numFmtId="0" fontId="11" fillId="5" borderId="7" pivotButton="0" quotePrefix="0" xfId="0"/>
    <xf numFmtId="0" fontId="9" fillId="5" borderId="11" pivotButton="0" quotePrefix="0" xfId="0"/>
    <xf numFmtId="0" fontId="13" fillId="5" borderId="11" pivotButton="0" quotePrefix="0" xfId="0"/>
    <xf numFmtId="0" fontId="9" fillId="5" borderId="12" pivotButton="0" quotePrefix="0" xfId="0"/>
    <xf numFmtId="0" fontId="14" fillId="3" borderId="1" pivotButton="0" quotePrefix="0" xfId="0"/>
    <xf numFmtId="0" fontId="14" fillId="3" borderId="2" pivotButton="0" quotePrefix="0" xfId="0"/>
    <xf numFmtId="0" fontId="14" fillId="3" borderId="3" pivotButton="0" quotePrefix="0" xfId="0"/>
    <xf numFmtId="3" fontId="15" fillId="5" borderId="0" pivotButton="0" quotePrefix="0" xfId="0"/>
    <xf numFmtId="0" fontId="16" fillId="5" borderId="0" pivotButton="0" quotePrefix="0" xfId="0"/>
    <xf numFmtId="0" fontId="10" fillId="5" borderId="6" applyAlignment="1" pivotButton="0" quotePrefix="0" xfId="0">
      <alignment horizontal="center" vertical="center" wrapText="1"/>
    </xf>
    <xf numFmtId="0" fontId="10" fillId="5" borderId="6" applyAlignment="1" pivotButton="0" quotePrefix="0" xfId="0">
      <alignment horizontal="right" vertical="center" wrapText="1"/>
    </xf>
    <xf numFmtId="0" fontId="10" fillId="5" borderId="8" applyAlignment="1" pivotButton="0" quotePrefix="0" xfId="0">
      <alignment horizontal="center" wrapText="1"/>
    </xf>
    <xf numFmtId="165" fontId="13" fillId="5" borderId="0" pivotButton="0" quotePrefix="0" xfId="0"/>
    <xf numFmtId="165" fontId="13" fillId="6" borderId="0" applyProtection="1" pivotButton="0" quotePrefix="0" xfId="0">
      <protection locked="0" hidden="0"/>
    </xf>
    <xf numFmtId="0" fontId="13" fillId="5" borderId="0" applyAlignment="1" pivotButton="0" quotePrefix="0" xfId="0">
      <alignment horizontal="left"/>
    </xf>
    <xf numFmtId="0" fontId="9" fillId="6" borderId="0" applyAlignment="1" applyProtection="1" pivotButton="0" quotePrefix="0" xfId="0">
      <alignment horizontal="left"/>
      <protection locked="0" hidden="0"/>
    </xf>
    <xf numFmtId="0" fontId="9" fillId="6" borderId="5" applyAlignment="1" applyProtection="1" pivotButton="0" quotePrefix="0" xfId="0">
      <alignment horizontal="left"/>
      <protection locked="0" hidden="0"/>
    </xf>
    <xf numFmtId="0" fontId="13" fillId="5" borderId="0" applyAlignment="1" pivotButton="0" quotePrefix="0" xfId="0">
      <alignment horizontal="center" vertical="top"/>
    </xf>
    <xf numFmtId="10" fontId="13" fillId="6" borderId="6" applyAlignment="1" applyProtection="1" pivotButton="0" quotePrefix="0" xfId="0">
      <alignment horizontal="center" vertical="top"/>
      <protection locked="0" hidden="0"/>
    </xf>
    <xf numFmtId="0" fontId="13" fillId="6" borderId="6" applyAlignment="1" applyProtection="1" pivotButton="0" quotePrefix="0" xfId="0">
      <alignment horizontal="center" vertical="top"/>
      <protection locked="0" hidden="0"/>
    </xf>
    <xf numFmtId="0" fontId="9" fillId="5" borderId="0" applyAlignment="1" pivotButton="0" quotePrefix="0" xfId="0">
      <alignment horizontal="left"/>
    </xf>
    <xf numFmtId="0" fontId="13" fillId="6" borderId="8" applyAlignment="1" applyProtection="1" pivotButton="0" quotePrefix="0" xfId="0">
      <alignment horizontal="center" vertical="top"/>
      <protection locked="0" hidden="0"/>
    </xf>
    <xf numFmtId="0" fontId="13" fillId="6" borderId="6" applyAlignment="1" applyProtection="1" pivotButton="0" quotePrefix="0" xfId="0">
      <alignment horizontal="center" vertical="top" wrapText="1"/>
      <protection locked="0" hidden="0"/>
    </xf>
    <xf numFmtId="0" fontId="13" fillId="5" borderId="11" applyAlignment="1" pivotButton="0" quotePrefix="0" xfId="0">
      <alignment horizontal="center" vertical="top"/>
    </xf>
    <xf numFmtId="0" fontId="17" fillId="3" borderId="1" pivotButton="0" quotePrefix="0" xfId="0"/>
    <xf numFmtId="0" fontId="18" fillId="3" borderId="2" applyAlignment="1" pivotButton="0" quotePrefix="0" xfId="0">
      <alignment horizontal="left" wrapText="1"/>
    </xf>
    <xf numFmtId="0" fontId="0" fillId="0" borderId="2" pivotButton="0" quotePrefix="0" xfId="0"/>
    <xf numFmtId="0" fontId="17" fillId="3" borderId="3" pivotButton="0" quotePrefix="0" xfId="0"/>
    <xf numFmtId="14" fontId="6" fillId="4" borderId="0" pivotButton="0" quotePrefix="0" xfId="0"/>
    <xf numFmtId="0" fontId="19" fillId="5" borderId="4" pivotButton="0" quotePrefix="0" xfId="0"/>
    <xf numFmtId="3" fontId="20" fillId="5" borderId="0" pivotButton="0" quotePrefix="0" xfId="0"/>
    <xf numFmtId="0" fontId="19" fillId="5" borderId="0" pivotButton="0" quotePrefix="0" xfId="0"/>
    <xf numFmtId="0" fontId="19" fillId="5" borderId="5" pivotButton="0" quotePrefix="0" xfId="0"/>
    <xf numFmtId="0" fontId="21" fillId="4" borderId="0" pivotButton="0" quotePrefix="0" xfId="0"/>
    <xf numFmtId="164" fontId="20" fillId="5" borderId="0" applyAlignment="1" pivotButton="0" quotePrefix="0" xfId="0">
      <alignment horizontal="left"/>
    </xf>
    <xf numFmtId="0" fontId="22" fillId="5" borderId="0" applyAlignment="1" pivotButton="0" quotePrefix="0" xfId="0">
      <alignment horizontal="center"/>
    </xf>
    <xf numFmtId="0" fontId="23" fillId="5" borderId="0" pivotButton="0" quotePrefix="0" xfId="0"/>
    <xf numFmtId="0" fontId="23" fillId="5" borderId="0" applyAlignment="1" pivotButton="0" quotePrefix="0" xfId="0">
      <alignment wrapText="1"/>
    </xf>
    <xf numFmtId="0" fontId="22" fillId="5" borderId="0" applyAlignment="1" pivotButton="0" quotePrefix="0" xfId="0">
      <alignment horizontal="left" wrapText="1"/>
    </xf>
    <xf numFmtId="0" fontId="22" fillId="5" borderId="0" applyAlignment="1" pivotButton="0" quotePrefix="0" xfId="0">
      <alignment wrapText="1"/>
    </xf>
    <xf numFmtId="0" fontId="24" fillId="5" borderId="0" pivotButton="0" quotePrefix="0" xfId="0"/>
    <xf numFmtId="0" fontId="25" fillId="4" borderId="0" pivotButton="0" quotePrefix="0" xfId="0"/>
    <xf numFmtId="0" fontId="19" fillId="5" borderId="0" applyAlignment="1" pivotButton="0" quotePrefix="0" xfId="0">
      <alignment horizontal="center"/>
    </xf>
    <xf numFmtId="0" fontId="26" fillId="6" borderId="6" applyProtection="1" pivotButton="0" quotePrefix="0" xfId="0">
      <protection locked="0" hidden="0"/>
    </xf>
    <xf numFmtId="0" fontId="21" fillId="4" borderId="0" applyProtection="1" pivotButton="0" quotePrefix="0" xfId="0">
      <protection locked="1" hidden="1"/>
    </xf>
    <xf numFmtId="165" fontId="26" fillId="6" borderId="6" applyProtection="1" pivotButton="0" quotePrefix="0" xfId="0">
      <protection locked="0" hidden="0"/>
    </xf>
    <xf numFmtId="0" fontId="21" fillId="4" borderId="0" applyAlignment="1" pivotButton="0" quotePrefix="0" xfId="0">
      <alignment horizontal="right" wrapText="1"/>
    </xf>
    <xf numFmtId="0" fontId="27" fillId="5" borderId="0" applyAlignment="1" pivotButton="0" quotePrefix="0" xfId="0">
      <alignment horizontal="left"/>
    </xf>
    <xf numFmtId="0" fontId="28" fillId="5" borderId="0" applyAlignment="1" pivotButton="0" quotePrefix="0" xfId="0">
      <alignment horizontal="left"/>
    </xf>
    <xf numFmtId="0" fontId="19" fillId="5" borderId="18" pivotButton="0" quotePrefix="0" xfId="0"/>
    <xf numFmtId="0" fontId="22" fillId="5" borderId="19" applyAlignment="1" pivotButton="0" quotePrefix="0" xfId="0">
      <alignment horizontal="center"/>
    </xf>
    <xf numFmtId="0" fontId="0" fillId="0" borderId="38" pivotButton="0" quotePrefix="0" xfId="0"/>
    <xf numFmtId="0" fontId="22" fillId="5" borderId="20" applyAlignment="1" pivotButton="0" quotePrefix="0" xfId="0">
      <alignment horizontal="center"/>
    </xf>
    <xf numFmtId="0" fontId="0" fillId="0" borderId="41" pivotButton="0" quotePrefix="0" xfId="0"/>
    <xf numFmtId="0" fontId="22" fillId="5" borderId="21" applyAlignment="1" pivotButton="0" quotePrefix="0" xfId="0">
      <alignment horizontal="right" wrapText="1"/>
    </xf>
    <xf numFmtId="0" fontId="22" fillId="5" borderId="8" applyAlignment="1" pivotButton="0" quotePrefix="0" xfId="0">
      <alignment horizontal="center" vertical="center" wrapText="1"/>
    </xf>
    <xf numFmtId="0" fontId="22" fillId="5" borderId="6" applyAlignment="1" pivotButton="0" quotePrefix="0" xfId="0">
      <alignment horizontal="center" vertical="center" wrapText="1"/>
    </xf>
    <xf numFmtId="0" fontId="22" fillId="5" borderId="22" applyAlignment="1" pivotButton="0" quotePrefix="0" xfId="0">
      <alignment horizontal="center" vertical="center" wrapText="1"/>
    </xf>
    <xf numFmtId="0" fontId="22" fillId="5" borderId="23" applyAlignment="1" pivotButton="0" quotePrefix="0" xfId="0">
      <alignment horizontal="right" wrapText="1"/>
    </xf>
    <xf numFmtId="0" fontId="22" fillId="5" borderId="8" applyAlignment="1" pivotButton="0" quotePrefix="0" xfId="0">
      <alignment horizontal="center" wrapText="1"/>
    </xf>
    <xf numFmtId="0" fontId="22" fillId="5" borderId="24" applyAlignment="1" pivotButton="0" quotePrefix="0" xfId="0">
      <alignment horizontal="center" wrapText="1"/>
    </xf>
    <xf numFmtId="0" fontId="19" fillId="5" borderId="23" pivotButton="0" quotePrefix="0" xfId="0"/>
    <xf numFmtId="165" fontId="26" fillId="6" borderId="8" applyProtection="1" pivotButton="0" quotePrefix="0" xfId="0">
      <protection locked="0" hidden="0"/>
    </xf>
    <xf numFmtId="0" fontId="19" fillId="5" borderId="25" pivotButton="0" quotePrefix="0" xfId="0"/>
    <xf numFmtId="165" fontId="26" fillId="5" borderId="0" pivotButton="0" quotePrefix="0" xfId="0"/>
    <xf numFmtId="0" fontId="29" fillId="5" borderId="0" pivotButton="0" quotePrefix="0" xfId="0"/>
    <xf numFmtId="0" fontId="22" fillId="5" borderId="26" applyAlignment="1" pivotButton="0" quotePrefix="0" xfId="0">
      <alignment horizontal="right" vertical="center" wrapText="1"/>
    </xf>
    <xf numFmtId="0" fontId="22" fillId="5" borderId="27" applyAlignment="1" pivotButton="0" quotePrefix="0" xfId="0">
      <alignment horizontal="center" vertical="center" wrapText="1"/>
    </xf>
    <xf numFmtId="0" fontId="22" fillId="5" borderId="20" applyAlignment="1" pivotButton="0" quotePrefix="0" xfId="0">
      <alignment horizontal="center" vertical="center" wrapText="1"/>
    </xf>
    <xf numFmtId="0" fontId="22" fillId="5" borderId="28" applyAlignment="1" pivotButton="0" quotePrefix="0" xfId="0">
      <alignment horizontal="center" wrapText="1"/>
    </xf>
    <xf numFmtId="0" fontId="0" fillId="0" borderId="3" pivotButton="0" quotePrefix="0" xfId="0"/>
    <xf numFmtId="0" fontId="19" fillId="5" borderId="29" applyAlignment="1" pivotButton="0" quotePrefix="0" xfId="0">
      <alignment horizontal="right"/>
    </xf>
    <xf numFmtId="0" fontId="0" fillId="0" borderId="5" pivotButton="0" quotePrefix="0" xfId="0"/>
    <xf numFmtId="165" fontId="26" fillId="6" borderId="30" applyProtection="1" pivotButton="0" quotePrefix="0" xfId="0">
      <protection locked="0" hidden="0"/>
    </xf>
    <xf numFmtId="165" fontId="26" fillId="6" borderId="9" applyProtection="1" pivotButton="0" quotePrefix="0" xfId="0">
      <protection locked="0" hidden="0"/>
    </xf>
    <xf numFmtId="165" fontId="26" fillId="6" borderId="31" applyProtection="1" pivotButton="0" quotePrefix="0" xfId="0">
      <protection locked="0" hidden="0"/>
    </xf>
    <xf numFmtId="0" fontId="19" fillId="5" borderId="32" applyAlignment="1" pivotButton="0" quotePrefix="0" xfId="0">
      <alignment horizontal="right"/>
    </xf>
    <xf numFmtId="0" fontId="0" fillId="0" borderId="39" pivotButton="0" quotePrefix="0" xfId="0"/>
    <xf numFmtId="167" fontId="26" fillId="8" borderId="33" pivotButton="0" quotePrefix="0" xfId="0"/>
    <xf numFmtId="167" fontId="26" fillId="8" borderId="34" pivotButton="0" quotePrefix="0" xfId="0"/>
    <xf numFmtId="43" fontId="19" fillId="5" borderId="0" pivotButton="0" quotePrefix="0" xfId="0"/>
    <xf numFmtId="166" fontId="26" fillId="6" borderId="9" applyProtection="1" pivotButton="0" quotePrefix="0" xfId="0">
      <protection locked="0" hidden="0"/>
    </xf>
    <xf numFmtId="166" fontId="26" fillId="6" borderId="31" applyProtection="1" pivotButton="0" quotePrefix="0" xfId="0">
      <protection locked="0" hidden="0"/>
    </xf>
    <xf numFmtId="0" fontId="22" fillId="5" borderId="27" applyAlignment="1" pivotButton="0" quotePrefix="0" xfId="0">
      <alignment horizontal="center"/>
    </xf>
    <xf numFmtId="0" fontId="0" fillId="0" borderId="37" pivotButton="0" quotePrefix="0" xfId="0"/>
    <xf numFmtId="0" fontId="22" fillId="5" borderId="35" applyAlignment="1" pivotButton="0" quotePrefix="0" xfId="0">
      <alignment horizontal="right" wrapText="1"/>
    </xf>
    <xf numFmtId="0" fontId="22" fillId="5" borderId="10" applyAlignment="1" pivotButton="0" quotePrefix="0" xfId="0">
      <alignment horizontal="center" vertical="center" wrapText="1"/>
    </xf>
    <xf numFmtId="0" fontId="11" fillId="5" borderId="0" pivotButton="0" quotePrefix="0" xfId="0"/>
    <xf numFmtId="0" fontId="18" fillId="3" borderId="2" pivotButton="0" quotePrefix="0" xfId="0"/>
    <xf numFmtId="3" fontId="20" fillId="5" borderId="0" applyAlignment="1" pivotButton="0" quotePrefix="0" xfId="0">
      <alignment horizontal="left" vertical="top"/>
    </xf>
    <xf numFmtId="0" fontId="30" fillId="5" borderId="0" pivotButton="0" quotePrefix="0" xfId="0"/>
    <xf numFmtId="164" fontId="20" fillId="5" borderId="0" applyAlignment="1" pivotButton="0" quotePrefix="0" xfId="0">
      <alignment horizontal="left" vertical="top"/>
    </xf>
    <xf numFmtId="0" fontId="22" fillId="5" borderId="0" applyAlignment="1" pivotButton="0" quotePrefix="0" xfId="0">
      <alignment horizontal="right"/>
    </xf>
    <xf numFmtId="0" fontId="31" fillId="5" borderId="4" pivotButton="0" quotePrefix="0" xfId="0"/>
    <xf numFmtId="0" fontId="32" fillId="5" borderId="0" pivotButton="0" quotePrefix="0" xfId="0"/>
    <xf numFmtId="0" fontId="31" fillId="5" borderId="0" pivotButton="0" quotePrefix="0" xfId="0"/>
    <xf numFmtId="0" fontId="33" fillId="5" borderId="0" pivotButton="0" quotePrefix="0" xfId="0"/>
    <xf numFmtId="0" fontId="33" fillId="5" borderId="6" applyAlignment="1" pivotButton="0" quotePrefix="0" xfId="0">
      <alignment horizontal="center" wrapText="1"/>
    </xf>
    <xf numFmtId="0" fontId="0" fillId="0" borderId="14" pivotButton="0" quotePrefix="0" xfId="0"/>
    <xf numFmtId="0" fontId="31" fillId="5" borderId="6" applyAlignment="1" pivotButton="0" quotePrefix="0" xfId="0">
      <alignment horizontal="center" wrapText="1"/>
    </xf>
    <xf numFmtId="0" fontId="31" fillId="5" borderId="6" applyAlignment="1" pivotButton="0" quotePrefix="0" xfId="0">
      <alignment horizontal="right" wrapText="1"/>
    </xf>
    <xf numFmtId="0" fontId="31" fillId="5" borderId="0" applyAlignment="1" pivotButton="0" quotePrefix="0" xfId="0">
      <alignment horizontal="right"/>
    </xf>
    <xf numFmtId="3" fontId="34" fillId="8" borderId="9" pivotButton="0" quotePrefix="0" xfId="0"/>
    <xf numFmtId="167" fontId="34" fillId="8" borderId="9" pivotButton="0" quotePrefix="0" xfId="0"/>
    <xf numFmtId="3" fontId="35" fillId="8" borderId="9" pivotButton="0" quotePrefix="0" xfId="0"/>
    <xf numFmtId="167" fontId="35" fillId="8" borderId="9" pivotButton="0" quotePrefix="0" xfId="0"/>
    <xf numFmtId="3" fontId="35" fillId="8" borderId="6" pivotButton="0" quotePrefix="0" xfId="0"/>
    <xf numFmtId="167" fontId="35" fillId="8" borderId="6" pivotButton="0" quotePrefix="0" xfId="0"/>
    <xf numFmtId="165" fontId="31" fillId="5" borderId="0" pivotButton="0" quotePrefix="0" xfId="0"/>
    <xf numFmtId="0" fontId="31" fillId="6" borderId="5" applyAlignment="1" applyProtection="1" pivotButton="0" quotePrefix="0" xfId="0">
      <alignment horizontal="right" wrapText="1"/>
      <protection locked="0" hidden="0"/>
    </xf>
    <xf numFmtId="167" fontId="34" fillId="8" borderId="6" pivotButton="0" quotePrefix="0" xfId="0"/>
    <xf numFmtId="3" fontId="34" fillId="8" borderId="6" pivotButton="0" quotePrefix="0" xfId="0"/>
    <xf numFmtId="0" fontId="34" fillId="6" borderId="6" applyAlignment="1" applyProtection="1" pivotButton="0" quotePrefix="0" xfId="0">
      <alignment horizontal="left" wrapText="1"/>
      <protection locked="0" hidden="0"/>
    </xf>
    <xf numFmtId="0" fontId="33" fillId="5" borderId="0" applyAlignment="1" pivotButton="0" quotePrefix="0" xfId="0">
      <alignment vertical="center"/>
    </xf>
    <xf numFmtId="0" fontId="33" fillId="5" borderId="0" applyAlignment="1" pivotButton="0" quotePrefix="0" xfId="0">
      <alignment horizontal="left" wrapText="1"/>
    </xf>
    <xf numFmtId="3" fontId="35" fillId="8" borderId="1" pivotButton="0" quotePrefix="0" xfId="0"/>
    <xf numFmtId="167" fontId="35" fillId="8" borderId="8" pivotButton="0" quotePrefix="0" xfId="0"/>
    <xf numFmtId="167" fontId="35" fillId="8" borderId="3" pivotButton="0" quotePrefix="0" xfId="0"/>
    <xf numFmtId="3" fontId="35" fillId="8" borderId="4" pivotButton="0" quotePrefix="0" xfId="0"/>
    <xf numFmtId="167" fontId="35" fillId="8" borderId="5" pivotButton="0" quotePrefix="0" xfId="0"/>
    <xf numFmtId="0" fontId="0" fillId="0" borderId="2" applyProtection="1" pivotButton="0" quotePrefix="0" xfId="0">
      <protection locked="0" hidden="0"/>
    </xf>
    <xf numFmtId="0" fontId="0" fillId="0" borderId="11" applyProtection="1" pivotButton="0" quotePrefix="0" xfId="0">
      <protection locked="0" hidden="0"/>
    </xf>
    <xf numFmtId="0" fontId="31" fillId="5" borderId="0" applyAlignment="1" pivotButton="0" quotePrefix="0" xfId="0">
      <alignment horizontal="left" wrapText="1"/>
    </xf>
    <xf numFmtId="9" fontId="34" fillId="6" borderId="6" applyAlignment="1" applyProtection="1" pivotButton="0" quotePrefix="0" xfId="0">
      <alignment horizontal="left"/>
      <protection locked="0" hidden="0"/>
    </xf>
    <xf numFmtId="37" fontId="34" fillId="6" borderId="6" applyAlignment="1" applyProtection="1" pivotButton="0" quotePrefix="0" xfId="0">
      <alignment horizontal="left" wrapText="1"/>
      <protection locked="0" hidden="0"/>
    </xf>
    <xf numFmtId="0" fontId="33" fillId="5" borderId="0" applyAlignment="1" pivotButton="0" quotePrefix="0" xfId="0">
      <alignment vertical="top"/>
    </xf>
    <xf numFmtId="0" fontId="33" fillId="5" borderId="0" applyAlignment="1" pivotButton="0" quotePrefix="0" xfId="0">
      <alignment wrapText="1"/>
    </xf>
    <xf numFmtId="0" fontId="31" fillId="5" borderId="7" pivotButton="0" quotePrefix="0" xfId="0"/>
    <xf numFmtId="0" fontId="33" fillId="5" borderId="11" pivotButton="0" quotePrefix="0" xfId="0"/>
    <xf numFmtId="0" fontId="31" fillId="5" borderId="11" pivotButton="0" quotePrefix="0" xfId="0"/>
    <xf numFmtId="0" fontId="36" fillId="4" borderId="0" pivotButton="0" quotePrefix="0" xfId="0"/>
    <xf numFmtId="43" fontId="13" fillId="6" borderId="6" applyProtection="1" pivotButton="0" quotePrefix="0" xfId="0">
      <protection locked="0" hidden="0"/>
    </xf>
    <xf numFmtId="43" fontId="26" fillId="6" borderId="9" applyProtection="1" pivotButton="0" quotePrefix="0" xfId="0">
      <protection locked="0" hidden="0"/>
    </xf>
    <xf numFmtId="43" fontId="26" fillId="6" borderId="31" applyProtection="1" pivotButton="0" quotePrefix="0" xfId="0">
      <protection locked="0" hidden="0"/>
    </xf>
    <xf numFmtId="167" fontId="26" fillId="8" borderId="42" pivotButton="0" quotePrefix="0" xfId="0"/>
    <xf numFmtId="168" fontId="26" fillId="6" borderId="9" applyProtection="1" pivotButton="0" quotePrefix="0" xfId="0">
      <protection locked="0" hidden="0"/>
    </xf>
    <xf numFmtId="168" fontId="26" fillId="6" borderId="31" applyProtection="1" pivotButton="0" quotePrefix="0" xfId="0">
      <protection locked="0" hidden="0"/>
    </xf>
    <xf numFmtId="3" fontId="34" fillId="8" borderId="8" pivotButton="0" quotePrefix="0" xfId="0"/>
    <xf numFmtId="167" fontId="34" fillId="8" borderId="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Input source</author>
    <author>Input contract</author>
  </authors>
  <commentList>
    <comment ref="A1" authorId="0" shapeId="0">
      <text>
        <t>Initially loaded from reporting/bscr/reconcile/bscr_output_wseq.csv. This is a copy of the uploaded CSV, not a live database connection. This source note does not change when new results are pasted.</t>
      </text>
    </comment>
    <comment ref="D1" authorId="1" shapeId="0">
      <text>
        <t>Full USD, not USD millions. Already converted by SQL.</t>
      </text>
    </comment>
    <comment ref="F1" authorId="1" shapeId="0">
      <text>
        <t>Existing grouped-source-row count; not a distinct-contract measure.</t>
      </text>
    </comment>
  </commentList>
</comments>
</file>

<file path=xl/comments/comment2.xml><?xml version="1.0" encoding="utf-8"?>
<comments xmlns="http://schemas.openxmlformats.org/spreadsheetml/2006/main">
  <authors>
    <author>Manual field</author>
    <author>BSCR mapping</author>
  </authors>
  <commentList>
    <comment ref="E16" authorId="0" shapeId="0">
      <text>
        <t>Manual input: not supplied by SQL. Historical Schedule X(a)!E9 cached value: HICM. Do not assume it remains appropriate.</t>
      </text>
    </comment>
    <comment ref="F16" authorId="0" shapeId="0">
      <text>
        <t>Manual input: not supplied by SQL. Historical Schedule X(a)!F9 cached value: HICM. Do not assume it remains appropriate.</t>
      </text>
    </comment>
    <comment ref="G16" authorId="0" shapeId="0">
      <text>
        <t>Manual input: not supplied by SQL. Historical Schedule X(a)!G9 cached value: HICM. Do not assume it remains appropriate.</t>
      </text>
    </comment>
    <comment ref="H16" authorId="0" shapeId="0">
      <text>
        <t>Manual input: not supplied by SQL. Historical Schedule X(a)!H9 cached value: HICM. Do not assume it remains appropriate.</t>
      </text>
    </comment>
    <comment ref="E17" authorId="0" shapeId="0">
      <text>
        <t>Manual input: not supplied by SQL. Historical Schedule X(a)!E10 cached value: HICM. Do not assume it remains appropriate.</t>
      </text>
    </comment>
    <comment ref="F17" authorId="0" shapeId="0">
      <text>
        <t>Manual input: not supplied by SQL. Historical Schedule X(a)!F10 cached value: HICM. Do not assume it remains appropriate.</t>
      </text>
    </comment>
    <comment ref="G17" authorId="0" shapeId="0">
      <text>
        <t>Manual input: not supplied by SQL. Historical Schedule X(a)!G10 cached value: HICM. Do not assume it remains appropriate.</t>
      </text>
    </comment>
    <comment ref="H17" authorId="0" shapeId="0">
      <text>
        <t>Manual input: not supplied by SQL. Historical Schedule X(a)!H10 cached value: HICM. Do not assume it remains appropriate.</t>
      </text>
    </comment>
    <comment ref="E18" authorId="0" shapeId="0">
      <text>
        <t>Manual input: not supplied by SQL. Historical Schedule X(a)!E11 cached value: HICM. Do not assume it remains appropriate.</t>
      </text>
    </comment>
    <comment ref="F18" authorId="0" shapeId="0">
      <text>
        <t>Manual input: not supplied by SQL. Historical Schedule X(a)!F11 cached value: HICM. Do not assume it remains appropriate.</t>
      </text>
    </comment>
    <comment ref="G18" authorId="0" shapeId="0">
      <text>
        <t>Manual input: not supplied by SQL. Historical Schedule X(a)!G11 cached value: HICM. Do not assume it remains appropriate.</t>
      </text>
    </comment>
    <comment ref="H18" authorId="0" shapeId="0">
      <text>
        <t>Manual input: not supplied by SQL. Historical Schedule X(a)!H11 cached value: HICM. Do not assume it remains appropriate.</t>
      </text>
    </comment>
    <comment ref="E19" authorId="0" shapeId="0">
      <text>
        <t>Manual input: not supplied by SQL. Historical Schedule X(a)!E12 cached value: HICM. Do not assume it remains appropriate.</t>
      </text>
    </comment>
    <comment ref="F19" authorId="0" shapeId="0">
      <text>
        <t>Manual input: not supplied by SQL. Historical Schedule X(a)!F12 cached value: HICM. Do not assume it remains appropriate.</t>
      </text>
    </comment>
    <comment ref="G19" authorId="0" shapeId="0">
      <text>
        <t>Manual input: not supplied by SQL. Historical Schedule X(a)!G12 cached value: HICM. Do not assume it remains appropriate.</t>
      </text>
    </comment>
    <comment ref="H19" authorId="0" shapeId="0">
      <text>
        <t>Manual input: not supplied by SQL. Historical Schedule X(a)!H12 cached value: HICM. Do not assume it remains appropriate.</t>
      </text>
    </comment>
    <comment ref="E20" authorId="0" shapeId="0">
      <text>
        <t>Manual input: not supplied by SQL. Historical Schedule X(a)!E13 cached value: HICM. Do not assume it remains appropriate.</t>
      </text>
    </comment>
    <comment ref="F20" authorId="0" shapeId="0">
      <text>
        <t>Manual input: not supplied by SQL. Historical Schedule X(a)!F13 cached value: HICM. Do not assume it remains appropriate.</t>
      </text>
    </comment>
    <comment ref="G20" authorId="0" shapeId="0">
      <text>
        <t>Manual input: not supplied by SQL. Historical Schedule X(a)!G13 cached value: HICM. Do not assume it remains appropriate.</t>
      </text>
    </comment>
    <comment ref="H20" authorId="0" shapeId="0">
      <text>
        <t>Manual input: not supplied by SQL. Historical Schedule X(a)!H13 cached value: HICM. Do not assume it remains appropriate.</t>
      </text>
    </comment>
    <comment ref="E23" authorId="0" shapeId="0">
      <text>
        <t>Manual input: not supplied by SQL. Historical Schedule X(a)!E16 cached value: HICM. Do not assume it remains appropriate.</t>
      </text>
    </comment>
    <comment ref="J23" authorId="0" shapeId="0">
      <text>
        <t>Manual input: not supplied by SQL. Historical Schedule X(a)!J16 cached value: HICM. Do not assume it remains appropriate.</t>
      </text>
    </comment>
    <comment ref="J24" authorId="0" shapeId="0">
      <text>
        <t>Manual input: not supplied by SQL. Historical Schedule X(a)!J17 cached value: HICM. Do not assume it remains appropriate.</t>
      </text>
    </comment>
    <comment ref="E25" authorId="0" shapeId="0">
      <text>
        <t>Manual input: not supplied by SQL. Historical Schedule X(a)!E18 cached value: HICM. Do not assume it remains appropriate.</t>
      </text>
    </comment>
    <comment ref="J25" authorId="0" shapeId="0">
      <text>
        <t>Manual input: not supplied by SQL. Historical Schedule X(a)!J18 cached value: HICM. Do not assume it remains appropriate.</t>
      </text>
    </comment>
    <comment ref="E27" authorId="0" shapeId="0">
      <text>
        <t>Manual input: not supplied by SQL. Historical Schedule X(a)!E20 cached value: None. Do not assume it remains appropriate.</t>
      </text>
    </comment>
    <comment ref="J27" authorId="0" shapeId="0">
      <text>
        <t>Manual input: not supplied by SQL. Historical Schedule X(a)!J20 cached value: None. Do not assume it remains appropriate.</t>
      </text>
    </comment>
    <comment ref="E28" authorId="0" shapeId="0">
      <text>
        <t>Manual input: not supplied by SQL. Historical Schedule X(a)!E21 cached value: 53.23. Do not assume it remains appropriate.</t>
      </text>
    </comment>
    <comment ref="J28" authorId="0" shapeId="0">
      <text>
        <t>Manual input: not supplied by SQL. Historical Schedule X(a)!J21 cached value: 47.62. Do not assume it remains appropriate.</t>
      </text>
    </comment>
    <comment ref="E30" authorId="0" shapeId="0">
      <text>
        <t>Manual input: not supplied by SQL. Historical Schedule X(a)!E23 cached value: None. Do not assume it remains appropriate.</t>
      </text>
    </comment>
    <comment ref="J30" authorId="0" shapeId="0">
      <text>
        <t>Manual input: not supplied by SQL. Historical Schedule X(a)!J23 cached value: None. Do not assume it remains appropriate.</t>
      </text>
    </comment>
    <comment ref="E31" authorId="0" shapeId="0">
      <text>
        <t>Manual input: not supplied by SQL. Historical Schedule X(a)!E24 cached value: None. Do not assume it remains appropriate.</t>
      </text>
    </comment>
    <comment ref="J31" authorId="0" shapeId="0">
      <text>
        <t>Manual input: not supplied by SQL. Historical Schedule X(a)!J24 cached value: None. Do not assume it remains appropriate.</t>
      </text>
    </comment>
    <comment ref="E32" authorId="1" shapeId="0">
      <text>
        <t>Automatic from SQL input. Money is already USD: divide by 1,000,000 only. Counts are unscaled.</t>
      </text>
    </comment>
    <comment ref="J32" authorId="1" shapeId="0">
      <text>
        <t>Automatic from SQL input. Money is already USD: divide by 1,000,000 only. Counts are unscaled.</t>
      </text>
    </comment>
    <comment ref="E33" authorId="1" shapeId="0">
      <text>
        <t>Automatic from SQL input. Money is already USD: divide by 1,000,000 only. Counts are unscaled.</t>
      </text>
    </comment>
    <comment ref="J33" authorId="1" shapeId="0">
      <text>
        <t>Automatic from SQL input. Money is already USD: divide by 1,000,000 only. Counts are unscaled.</t>
      </text>
    </comment>
    <comment ref="E34" authorId="0" shapeId="0">
      <text>
        <t>Manual input: not supplied by SQL. Historical Schedule X(a)!E27 cached value: None. Do not assume it remains appropriate.</t>
      </text>
    </comment>
    <comment ref="J34" authorId="0" shapeId="0">
      <text>
        <t>Manual input: not supplied by SQL. Historical Schedule X(a)!J27 cached value: None. Do not assume it remains appropriate.</t>
      </text>
    </comment>
    <comment ref="E35" authorId="0" shapeId="0">
      <text>
        <t>Manual input: not supplied by SQL. Historical Schedule X(a)!E28 cached value: None. Do not assume it remains appropriate.</t>
      </text>
    </comment>
    <comment ref="J35" authorId="0" shapeId="0">
      <text>
        <t>Manual input: not supplied by SQL. Historical Schedule X(a)!J28 cached value: None. Do not assume it remains appropriate.</t>
      </text>
    </comment>
    <comment ref="E38" authorId="0" shapeId="0">
      <text>
        <t>Manual input: not supplied by SQL. Historical Schedule X(a)!E31 cached value: None. Do not assume it remains appropriate.</t>
      </text>
    </comment>
    <comment ref="I38" authorId="0" shapeId="0">
      <text>
        <t>Manual input: not supplied by SQL. Historical Schedule X(a)!I31 cached value: None. Do not assume it remains appropriate.</t>
      </text>
    </comment>
    <comment ref="E39" authorId="0" shapeId="0">
      <text>
        <t>Manual input: not supplied by SQL. Historical Schedule X(a)!E32 cached value: None. Do not assume it remains appropriate.</t>
      </text>
    </comment>
    <comment ref="I39" authorId="0" shapeId="0">
      <text>
        <t>Manual input: not supplied by SQL. Historical Schedule X(a)!I32 cached value: None. Do not assume it remains appropriate.</t>
      </text>
    </comment>
    <comment ref="E40" authorId="0" shapeId="0">
      <text>
        <t>Manual input: not supplied by SQL. Historical Schedule X(a)!E33 cached value: None. Do not assume it remains appropriate.</t>
      </text>
    </comment>
    <comment ref="I40" authorId="0" shapeId="0">
      <text>
        <t>Manual input: not supplied by SQL. Historical Schedule X(a)!I33 cached value: None. Do not assume it remains appropriate.</t>
      </text>
    </comment>
    <comment ref="E41" authorId="0" shapeId="0">
      <text>
        <t>Manual input: not supplied by SQL. Historical Schedule X(a)!E34 cached value: None. Do not assume it remains appropriate.</t>
      </text>
    </comment>
    <comment ref="I41" authorId="0" shapeId="0">
      <text>
        <t>Manual input: not supplied by SQL. Historical Schedule X(a)!I34 cached value: None. Do not assume it remains appropriate.</t>
      </text>
    </comment>
    <comment ref="E42" authorId="0" shapeId="0">
      <text>
        <t>Manual input: not supplied by SQL. Historical Schedule X(a)!E35 cached value: None. Do not assume it remains appropriate.</t>
      </text>
    </comment>
    <comment ref="I42" authorId="0" shapeId="0">
      <text>
        <t>Manual input: not supplied by SQL. Historical Schedule X(a)!I35 cached value: None. Do not assume it remains appropriate.</t>
      </text>
    </comment>
    <comment ref="E43" authorId="0" shapeId="0">
      <text>
        <t>Manual input: not supplied by SQL. Historical Schedule X(a)!E36 cached value: None. Do not assume it remains appropriate.</t>
      </text>
    </comment>
    <comment ref="I43" authorId="0" shapeId="0">
      <text>
        <t>Manual input: not supplied by SQL. Historical Schedule X(a)!I36 cached value: None. Do not assume it remains appropriate.</t>
      </text>
    </comment>
    <comment ref="E44" authorId="0" shapeId="0">
      <text>
        <t>Manual input: not supplied by SQL. Historical Schedule X(a)!E37 cached value: None. Do not assume it remains appropriate.</t>
      </text>
    </comment>
    <comment ref="I44" authorId="0" shapeId="0">
      <text>
        <t>Manual input: not supplied by SQL. Historical Schedule X(a)!I37 cached value: None. Do not assume it remains appropriate.</t>
      </text>
    </comment>
    <comment ref="E45" authorId="0" shapeId="0">
      <text>
        <t>Manual input: not supplied by SQL. Historical Schedule X(a)!E38 cached value: None. Do not assume it remains appropriate.</t>
      </text>
    </comment>
    <comment ref="I45" authorId="0" shapeId="0">
      <text>
        <t>Manual input: not supplied by SQL. Historical Schedule X(a)!I38 cached value: None. Do not assume it remains appropriate.</t>
      </text>
    </comment>
    <comment ref="E46" authorId="0" shapeId="0">
      <text>
        <t>Manual input: not supplied by SQL. Historical Schedule X(a)!E39 cached value: None. Do not assume it remains appropriate.</t>
      </text>
    </comment>
    <comment ref="I46" authorId="0" shapeId="0">
      <text>
        <t>Manual input: not supplied by SQL. Historical Schedule X(a)!I39 cached value: None. Do not assume it remains appropriate.</t>
      </text>
    </comment>
    <comment ref="E47" authorId="0" shapeId="0">
      <text>
        <t>Manual input: not supplied by SQL. Historical Schedule X(a)!E40 cached value: None. Do not assume it remains appropriate.</t>
      </text>
    </comment>
    <comment ref="I47" authorId="0" shapeId="0">
      <text>
        <t>Manual input: not supplied by SQL. Historical Schedule X(a)!I40 cached value: None. Do not assume it remains appropriate.</t>
      </text>
    </comment>
    <comment ref="E48" authorId="0" shapeId="0">
      <text>
        <t>Manual input: not supplied by SQL. Historical Schedule X(a)!E41 cached value: None. Do not assume it remains appropriate.</t>
      </text>
    </comment>
    <comment ref="I48" authorId="0" shapeId="0">
      <text>
        <t>Manual input: not supplied by SQL. Historical Schedule X(a)!I41 cached value: None. Do not assume it remains appropriate.</t>
      </text>
    </comment>
    <comment ref="E49" authorId="0" shapeId="0">
      <text>
        <t>Manual input: not supplied by SQL. Historical Schedule X(a)!E42 cached value: None. Do not assume it remains appropriate.</t>
      </text>
    </comment>
    <comment ref="I49" authorId="0" shapeId="0">
      <text>
        <t>Manual input: not supplied by SQL. Historical Schedule X(a)!I42 cached value: None. Do not assume it remains appropriate.</t>
      </text>
    </comment>
    <comment ref="E50" authorId="0" shapeId="0">
      <text>
        <t>Manual input: not supplied by SQL. Historical Schedule X(a)!E43 cached value: None. Do not assume it remains appropriate.</t>
      </text>
    </comment>
    <comment ref="I50" authorId="0" shapeId="0">
      <text>
        <t>Manual input: not supplied by SQL. Historical Schedule X(a)!I43 cached value: None. Do not assume it remains appropriate.</t>
      </text>
    </comment>
    <comment ref="E51" authorId="0" shapeId="0">
      <text>
        <t>Manual input: not supplied by SQL. Historical Schedule X(a)!E44 cached value: None. Do not assume it remains appropriate.</t>
      </text>
    </comment>
    <comment ref="I51" authorId="0" shapeId="0">
      <text>
        <t>Manual input: not supplied by SQL. Historical Schedule X(a)!I44 cached value: None. Do not assume it remains appropriate.</t>
      </text>
    </comment>
    <comment ref="E52" authorId="0" shapeId="0">
      <text>
        <t>Manual input: not supplied by SQL. Historical Schedule X(a)!E45 cached value: None. Do not assume it remains appropriate.</t>
      </text>
    </comment>
    <comment ref="I52" authorId="0" shapeId="0">
      <text>
        <t>Manual input: not supplied by SQL. Historical Schedule X(a)!I45 cached value: None. Do not assume it remains appropriate.</t>
      </text>
    </comment>
    <comment ref="E53" authorId="0" shapeId="0">
      <text>
        <t>Manual input: not supplied by SQL. Historical Schedule X(a)!E46 cached value: None. Do not assume it remains appropriate.</t>
      </text>
    </comment>
    <comment ref="I53" authorId="0" shapeId="0">
      <text>
        <t>Manual input: not supplied by SQL. Historical Schedule X(a)!I46 cached value: None. Do not assume it remains appropriate.</t>
      </text>
    </comment>
    <comment ref="I54" authorId="0" shapeId="0">
      <text>
        <t>Manual input: not supplied by SQL. Historical Schedule X(a)!I47 cached value: None. Do not assume it remains appropriate.</t>
      </text>
    </comment>
    <comment ref="J54" authorId="0" shapeId="0">
      <text>
        <t>Manual input: not supplied by SQL. Historical Schedule X(a)!J47 cached value: None. Do not assume it remains appropriate.</t>
      </text>
    </comment>
    <comment ref="K54" authorId="0" shapeId="0">
      <text>
        <t>Manual input: not supplied by SQL. Historical Schedule X(a)!K47 cached value: None. Do not assume it remains appropriate.</t>
      </text>
    </comment>
    <comment ref="I55" authorId="0" shapeId="0">
      <text>
        <t>Manual input: not supplied by SQL. Historical Schedule X(a)!I48 cached value: None. Do not assume it remains appropriate.</t>
      </text>
    </comment>
    <comment ref="J55" authorId="0" shapeId="0">
      <text>
        <t>Manual input: not supplied by SQL. Historical Schedule X(a)!J48 cached value: None. Do not assume it remains appropriate.</t>
      </text>
    </comment>
    <comment ref="K55" authorId="0" shapeId="0">
      <text>
        <t>Manual input: not supplied by SQL. Historical Schedule X(a)!K48 cached value: None. Do not assume it remains appropriate.</t>
      </text>
    </comment>
    <comment ref="E56" authorId="0" shapeId="0">
      <text>
        <t>Manual input: not supplied by SQL. Historical Schedule X(a)!E49 cached value: None. Do not assume it remains appropriate.</t>
      </text>
    </comment>
    <comment ref="I56" authorId="0" shapeId="0">
      <text>
        <t>Manual input: not supplied by SQL. Historical Schedule X(a)!I49 cached value: None. Do not assume it remains appropriate.</t>
      </text>
    </comment>
    <comment ref="E57" authorId="0" shapeId="0">
      <text>
        <t>Manual input: not supplied by SQL. Historical Schedule X(a)!E50 cached value: None. Do not assume it remains appropriate.</t>
      </text>
    </comment>
    <comment ref="I57" authorId="0" shapeId="0">
      <text>
        <t>Manual input: not supplied by SQL. Historical Schedule X(a)!I50 cached value: None. Do not assume it remains appropriate.</t>
      </text>
    </comment>
    <comment ref="E58" authorId="0" shapeId="0">
      <text>
        <t>Manual input: not supplied by SQL. Historical Schedule X(a)!E51 cached value: None. Do not assume it remains appropriate.</t>
      </text>
    </comment>
    <comment ref="I58" authorId="0" shapeId="0">
      <text>
        <t>Manual input: not supplied by SQL. Historical Schedule X(a)!I51 cached value: None. Do not assume it remains appropriate.</t>
      </text>
    </comment>
    <comment ref="E59" authorId="0" shapeId="0">
      <text>
        <t>Manual input: not supplied by SQL. Historical Schedule X(a)!E52 cached value: None. Do not assume it remains appropriate.</t>
      </text>
    </comment>
    <comment ref="I59" authorId="0" shapeId="0">
      <text>
        <t>Manual input: not supplied by SQL. Historical Schedule X(a)!I52 cached value: None. Do not assume it remains appropriate.</t>
      </text>
    </comment>
    <comment ref="E60" authorId="0" shapeId="0">
      <text>
        <t>Manual input: not supplied by SQL. Historical Schedule X(a)!E53 cached value: None. Do not assume it remains appropriate.</t>
      </text>
    </comment>
    <comment ref="I60" authorId="0" shapeId="0">
      <text>
        <t>Manual input: not supplied by SQL. Historical Schedule X(a)!I53 cached value: None. Do not assume it remains appropriate.</t>
      </text>
    </comment>
    <comment ref="I61" authorId="0" shapeId="0">
      <text>
        <t>Manual input: not supplied by SQL. Historical Schedule X(a)!I54 cached value: None. Do not assume it remains appropriate.</t>
      </text>
    </comment>
    <comment ref="J61" authorId="0" shapeId="0">
      <text>
        <t>Manual input: not supplied by SQL. Historical Schedule X(a)!J54 cached value: None. Do not assume it remains appropriate.</t>
      </text>
    </comment>
    <comment ref="K61" authorId="0" shapeId="0">
      <text>
        <t>Manual input: not supplied by SQL. Historical Schedule X(a)!K54 cached value: None. Do not assume it remains appropriate.</t>
      </text>
    </comment>
    <comment ref="I62" authorId="0" shapeId="0">
      <text>
        <t>Manual input: not supplied by SQL. Historical Schedule X(a)!I55 cached value: None. Do not assume it remains appropriate.</t>
      </text>
    </comment>
    <comment ref="J62" authorId="0" shapeId="0">
      <text>
        <t>Manual input: not supplied by SQL. Historical Schedule X(a)!J55 cached value: None. Do not assume it remains appropriate.</t>
      </text>
    </comment>
    <comment ref="K62" authorId="0" shapeId="0">
      <text>
        <t>Manual input: not supplied by SQL. Historical Schedule X(a)!K55 cached value: None. Do not assume it remains appropriate.</t>
      </text>
    </comment>
    <comment ref="E63" authorId="0" shapeId="0">
      <text>
        <t>Manual input: not supplied by SQL. Historical Schedule X(a)!E56 cached value: None. Do not assume it remains appropriate.</t>
      </text>
    </comment>
    <comment ref="I63" authorId="0" shapeId="0">
      <text>
        <t>Manual input: not supplied by SQL. Historical Schedule X(a)!I56 cached value: None. Do not assume it remains appropriate.</t>
      </text>
    </comment>
    <comment ref="E64" authorId="0" shapeId="0">
      <text>
        <t>Manual input: not supplied by SQL. Historical Schedule X(a)!E57 cached value: None. Do not assume it remains appropriate.</t>
      </text>
    </comment>
    <comment ref="I64" authorId="0" shapeId="0">
      <text>
        <t>Manual input: not supplied by SQL. Historical Schedule X(a)!I57 cached value: None. Do not assume it remains appropriate.</t>
      </text>
    </comment>
    <comment ref="I65" authorId="0" shapeId="0">
      <text>
        <t>Manual input: not supplied by SQL. Historical Schedule X(a)!I58 cached value: None. Do not assume it remains appropriate.</t>
      </text>
    </comment>
    <comment ref="J65" authorId="0" shapeId="0">
      <text>
        <t>Manual input: not supplied by SQL. Historical Schedule X(a)!J58 cached value: None. Do not assume it remains appropriate.</t>
      </text>
    </comment>
    <comment ref="K65" authorId="0" shapeId="0">
      <text>
        <t>Manual input: not supplied by SQL. Historical Schedule X(a)!K58 cached value: None. Do not assume it remains appropriate.</t>
      </text>
    </comment>
    <comment ref="I66" authorId="0" shapeId="0">
      <text>
        <t>Manual input: not supplied by SQL. Historical Schedule X(a)!I59 cached value: None. Do not assume it remains appropriate.</t>
      </text>
    </comment>
    <comment ref="J66" authorId="0" shapeId="0">
      <text>
        <t>Manual input: not supplied by SQL. Historical Schedule X(a)!J59 cached value: None. Do not assume it remains appropriate.</t>
      </text>
    </comment>
    <comment ref="K66" authorId="0" shapeId="0">
      <text>
        <t>Manual input: not supplied by SQL. Historical Schedule X(a)!K59 cached value: None. Do not assume it remains appropriate.</t>
      </text>
    </comment>
    <comment ref="E67" authorId="0" shapeId="0">
      <text>
        <t>Manual input: not supplied by SQL. Historical Schedule X(a)!E60 cached value: None. Do not assume it remains appropriate.</t>
      </text>
    </comment>
    <comment ref="I67" authorId="0" shapeId="0">
      <text>
        <t>Manual input: not supplied by SQL. Historical Schedule X(a)!I60 cached value: None. Do not assume it remains appropriate.</t>
      </text>
    </comment>
    <comment ref="E68" authorId="0" shapeId="0">
      <text>
        <t>Manual input: not supplied by SQL. Historical Schedule X(a)!E61 cached value: None. Do not assume it remains appropriate.</t>
      </text>
    </comment>
    <comment ref="I68" authorId="0" shapeId="0">
      <text>
        <t>Manual input: not supplied by SQL. Historical Schedule X(a)!I61 cached value: None. Do not assume it remains appropriate.</t>
      </text>
    </comment>
    <comment ref="E69" authorId="0" shapeId="0">
      <text>
        <t>Manual input: not supplied by SQL. Historical Schedule X(a)!E62 cached value: None. Do not assume it remains appropriate.</t>
      </text>
    </comment>
    <comment ref="I69" authorId="0" shapeId="0">
      <text>
        <t>Manual input: not supplied by SQL. Historical Schedule X(a)!I62 cached value: None. Do not assume it remains appropriate.</t>
      </text>
    </comment>
    <comment ref="E70" authorId="0" shapeId="0">
      <text>
        <t>Manual input: not supplied by SQL. Historical Schedule X(a)!E63 cached value: None. Do not assume it remains appropriate.</t>
      </text>
    </comment>
    <comment ref="I70" authorId="0" shapeId="0">
      <text>
        <t>Manual input: not supplied by SQL. Historical Schedule X(a)!I63 cached value: None. Do not assume it remains appropriate.</t>
      </text>
    </comment>
    <comment ref="E71" authorId="0" shapeId="0">
      <text>
        <t>Manual input: not supplied by SQL. Historical Schedule X(a)!E64 cached value: None. Do not assume it remains appropriate.</t>
      </text>
    </comment>
    <comment ref="I71" authorId="0" shapeId="0">
      <text>
        <t>Manual input: not supplied by SQL. Historical Schedule X(a)!I64 cached value: None. Do not assume it remains appropriate.</t>
      </text>
    </comment>
    <comment ref="E72" authorId="0" shapeId="0">
      <text>
        <t>Manual input: not supplied by SQL. Historical Schedule X(a)!E65 cached value: None. Do not assume it remains appropriate.</t>
      </text>
    </comment>
    <comment ref="I72" authorId="0" shapeId="0">
      <text>
        <t>Manual input: not supplied by SQL. Historical Schedule X(a)!I65 cached value: None. Do not assume it remains appropriate.</t>
      </text>
    </comment>
    <comment ref="I73" authorId="0" shapeId="0">
      <text>
        <t>Manual input: not supplied by SQL. Historical Schedule X(a)!I66 cached value: None. Do not assume it remains appropriate.</t>
      </text>
    </comment>
    <comment ref="J73" authorId="0" shapeId="0">
      <text>
        <t>Manual input: not supplied by SQL. Historical Schedule X(a)!J66 cached value: None. Do not assume it remains appropriate.</t>
      </text>
    </comment>
    <comment ref="K73" authorId="0" shapeId="0">
      <text>
        <t>Manual input: not supplied by SQL. Historical Schedule X(a)!K66 cached value: None. Do not assume it remains appropriate.</t>
      </text>
    </comment>
    <comment ref="I74" authorId="0" shapeId="0">
      <text>
        <t>Manual input: not supplied by SQL. Historical Schedule X(a)!I67 cached value: None. Do not assume it remains appropriate.</t>
      </text>
    </comment>
    <comment ref="J74" authorId="0" shapeId="0">
      <text>
        <t>Manual input: not supplied by SQL. Historical Schedule X(a)!J67 cached value: None. Do not assume it remains appropriate.</t>
      </text>
    </comment>
    <comment ref="K74" authorId="0" shapeId="0">
      <text>
        <t>Manual input: not supplied by SQL. Historical Schedule X(a)!K67 cached value: None. Do not assume it remains appropriate.</t>
      </text>
    </comment>
    <comment ref="E75" authorId="0" shapeId="0">
      <text>
        <t>Manual input: not supplied by SQL. Historical Schedule X(a)!E68 cached value: None. Do not assume it remains appropriate.</t>
      </text>
    </comment>
    <comment ref="I75" authorId="0" shapeId="0">
      <text>
        <t>Manual input: not supplied by SQL. Historical Schedule X(a)!I68 cached value: None. Do not assume it remains appropriate.</t>
      </text>
    </comment>
    <comment ref="E76" authorId="0" shapeId="0">
      <text>
        <t>Manual input: not supplied by SQL. Historical Schedule X(a)!E69 cached value: None. Do not assume it remains appropriate.</t>
      </text>
    </comment>
    <comment ref="I76" authorId="0" shapeId="0">
      <text>
        <t>Manual input: not supplied by SQL. Historical Schedule X(a)!I69 cached value: None. Do not assume it remains appropriate.</t>
      </text>
    </comment>
    <comment ref="E77" authorId="0" shapeId="0">
      <text>
        <t>Manual input: not supplied by SQL. Historical Schedule X(a)!E70 cached value: None. Do not assume it remains appropriate.</t>
      </text>
    </comment>
    <comment ref="I77" authorId="0" shapeId="0">
      <text>
        <t>Manual input: not supplied by SQL. Historical Schedule X(a)!I70 cached value: None. Do not assume it remains appropriate.</t>
      </text>
    </comment>
    <comment ref="E78" authorId="0" shapeId="0">
      <text>
        <t>Manual input: not supplied by SQL. Historical Schedule X(a)!E71 cached value: None. Do not assume it remains appropriate.</t>
      </text>
    </comment>
    <comment ref="I78" authorId="0" shapeId="0">
      <text>
        <t>Manual input: not supplied by SQL. Historical Schedule X(a)!I71 cached value: None. Do not assume it remains appropriate.</t>
      </text>
    </comment>
    <comment ref="E79" authorId="0" shapeId="0">
      <text>
        <t>Manual input: not supplied by SQL. Historical Schedule X(a)!E72 cached value: None. Do not assume it remains appropriate.</t>
      </text>
    </comment>
    <comment ref="I79" authorId="0" shapeId="0">
      <text>
        <t>Manual input: not supplied by SQL. Historical Schedule X(a)!I72 cached value: None. Do not assume it remains appropriate.</t>
      </text>
    </comment>
    <comment ref="E80" authorId="0" shapeId="0">
      <text>
        <t>Manual input: not supplied by SQL. Historical Schedule X(a)!E73 cached value: None. Do not assume it remains appropriate.</t>
      </text>
    </comment>
    <comment ref="I80" authorId="0" shapeId="0">
      <text>
        <t>Manual input: not supplied by SQL. Historical Schedule X(a)!I73 cached value: None. Do not assume it remains appropriate.</t>
      </text>
    </comment>
    <comment ref="E81" authorId="0" shapeId="0">
      <text>
        <t>Manual input: not supplied by SQL. Historical Schedule X(a)!E74 cached value: None. Do not assume it remains appropriate.</t>
      </text>
    </comment>
    <comment ref="I81" authorId="0" shapeId="0">
      <text>
        <t>Manual input: not supplied by SQL. Historical Schedule X(a)!I74 cached value: None. Do not assume it remains appropriate.</t>
      </text>
    </comment>
    <comment ref="E82" authorId="0" shapeId="0">
      <text>
        <t>Manual input: not supplied by SQL. Historical Schedule X(a)!E75 cached value: None. Do not assume it remains appropriate.</t>
      </text>
    </comment>
    <comment ref="I82" authorId="0" shapeId="0">
      <text>
        <t>Manual input: not supplied by SQL. Historical Schedule X(a)!I75 cached value: None. Do not assume it remains appropriate.</t>
      </text>
    </comment>
    <comment ref="I83" authorId="0" shapeId="0">
      <text>
        <t>Manual input: not supplied by SQL. Historical Schedule X(a)!I76 cached value: None. Do not assume it remains appropriate.</t>
      </text>
    </comment>
    <comment ref="J83" authorId="0" shapeId="0">
      <text>
        <t>Manual input: not supplied by SQL. Historical Schedule X(a)!J76 cached value: None. Do not assume it remains appropriate.</t>
      </text>
    </comment>
    <comment ref="K83" authorId="0" shapeId="0">
      <text>
        <t>Manual input: not supplied by SQL. Historical Schedule X(a)!K76 cached value: None. Do not assume it remains appropriate.</t>
      </text>
    </comment>
    <comment ref="G84" authorId="0" shapeId="0">
      <text>
        <t>Manual input: not supplied by SQL. Historical Schedule X(a)!G77 cached value: None. Do not assume it remains appropriate.</t>
      </text>
    </comment>
    <comment ref="I84" authorId="0" shapeId="0">
      <text>
        <t>Manual input: not supplied by SQL. Historical Schedule X(a)!I77 cached value: None. Do not assume it remains appropriate.</t>
      </text>
    </comment>
    <comment ref="J84" authorId="0" shapeId="0">
      <text>
        <t>Manual input: not supplied by SQL. Historical Schedule X(a)!J77 cached value: None. Do not assume it remains appropriate.</t>
      </text>
    </comment>
    <comment ref="K84" authorId="0" shapeId="0">
      <text>
        <t>Manual input: not supplied by SQL. Historical Schedule X(a)!K77 cached value: None. Do not assume it remains appropriate.</t>
      </text>
    </comment>
    <comment ref="G85" authorId="0" shapeId="0">
      <text>
        <t>Manual input: not supplied by SQL. Historical Schedule X(a)!G78 cached value: None. Do not assume it remains appropriate.</t>
      </text>
    </comment>
    <comment ref="I85" authorId="0" shapeId="0">
      <text>
        <t>Manual input: not supplied by SQL. Historical Schedule X(a)!I78 cached value: None. Do not assume it remains appropriate.</t>
      </text>
    </comment>
    <comment ref="J85" authorId="0" shapeId="0">
      <text>
        <t>Manual input: not supplied by SQL. Historical Schedule X(a)!J78 cached value: None. Do not assume it remains appropriate.</t>
      </text>
    </comment>
    <comment ref="K85" authorId="0" shapeId="0">
      <text>
        <t>Manual input: not supplied by SQL. Historical Schedule X(a)!K78 cached value: None. Do not assume it remains appropriate.</t>
      </text>
    </comment>
    <comment ref="I86" authorId="0" shapeId="0">
      <text>
        <t>Manual input: not supplied by SQL. Historical Schedule X(a)!I79 cached value: None. Do not assume it remains appropriate.</t>
      </text>
    </comment>
    <comment ref="J86" authorId="0" shapeId="0">
      <text>
        <t>Manual input: not supplied by SQL. Historical Schedule X(a)!J79 cached value: None. Do not assume it remains appropriate.</t>
      </text>
    </comment>
    <comment ref="K86" authorId="0" shapeId="0">
      <text>
        <t>Manual input: not supplied by SQL. Historical Schedule X(a)!K79 cached value: None. Do not assume it remains appropriate.</t>
      </text>
    </comment>
    <comment ref="G87" authorId="0" shapeId="0">
      <text>
        <t>Manual input: not supplied by SQL. Historical Schedule X(a)!G80 cached value: None. Do not assume it remains appropriate.</t>
      </text>
    </comment>
    <comment ref="I87" authorId="0" shapeId="0">
      <text>
        <t>Manual input: not supplied by SQL. Historical Schedule X(a)!I80 cached value: None. Do not assume it remains appropriate.</t>
      </text>
    </comment>
    <comment ref="J87" authorId="0" shapeId="0">
      <text>
        <t>Manual input: not supplied by SQL. Historical Schedule X(a)!J80 cached value: None. Do not assume it remains appropriate.</t>
      </text>
    </comment>
    <comment ref="K87" authorId="0" shapeId="0">
      <text>
        <t>Manual input: not supplied by SQL. Historical Schedule X(a)!K80 cached value: None. Do not assume it remains appropriate.</t>
      </text>
    </comment>
    <comment ref="G88" authorId="0" shapeId="0">
      <text>
        <t>Manual input: not supplied by SQL. Historical Schedule X(a)!G81 cached value: None. Do not assume it remains appropriate.</t>
      </text>
    </comment>
    <comment ref="E108" authorId="0" shapeId="0">
      <text>
        <t>Manual input: not supplied by SQL. Historical Schedule X(b)!E11 cached value: HICM. Do not assume it remains appropriate.</t>
      </text>
    </comment>
    <comment ref="F108" authorId="0" shapeId="0">
      <text>
        <t>Manual input: not supplied by SQL. Historical Schedule X(b)!F11 cached value: HICM. Do not assume it remains appropriate.</t>
      </text>
    </comment>
    <comment ref="G108" authorId="0" shapeId="0">
      <text>
        <t>Manual input: not supplied by SQL. Historical Schedule X(b)!G11 cached value: HICM. Do not assume it remains appropriate.</t>
      </text>
    </comment>
    <comment ref="H108" authorId="0" shapeId="0">
      <text>
        <t>Manual input: not supplied by SQL. Historical Schedule X(b)!H11 cached value: HICM. Do not assume it remains appropriate.</t>
      </text>
    </comment>
    <comment ref="E109" authorId="0" shapeId="0">
      <text>
        <t>Manual input: not supplied by SQL. Historical Schedule X(b)!E12 cached value: HICM. Do not assume it remains appropriate.</t>
      </text>
    </comment>
    <comment ref="F109" authorId="0" shapeId="0">
      <text>
        <t>Manual input: not supplied by SQL. Historical Schedule X(b)!F12 cached value: HICM. Do not assume it remains appropriate.</t>
      </text>
    </comment>
    <comment ref="G109" authorId="0" shapeId="0">
      <text>
        <t>Manual input: not supplied by SQL. Historical Schedule X(b)!G12 cached value: HICM. Do not assume it remains appropriate.</t>
      </text>
    </comment>
    <comment ref="H109" authorId="0" shapeId="0">
      <text>
        <t>Manual input: not supplied by SQL. Historical Schedule X(b)!H12 cached value: HICM. Do not assume it remains appropriate.</t>
      </text>
    </comment>
    <comment ref="E110" authorId="0" shapeId="0">
      <text>
        <t>Manual input: not supplied by SQL. Historical Schedule X(b)!E13 cached value: HICM. Do not assume it remains appropriate.</t>
      </text>
    </comment>
    <comment ref="F110" authorId="0" shapeId="0">
      <text>
        <t>Manual input: not supplied by SQL. Historical Schedule X(b)!F13 cached value: HICM. Do not assume it remains appropriate.</t>
      </text>
    </comment>
    <comment ref="G110" authorId="0" shapeId="0">
      <text>
        <t>Manual input: not supplied by SQL. Historical Schedule X(b)!G13 cached value: HICM. Do not assume it remains appropriate.</t>
      </text>
    </comment>
    <comment ref="H110" authorId="0" shapeId="0">
      <text>
        <t>Manual input: not supplied by SQL. Historical Schedule X(b)!H13 cached value: HICM. Do not assume it remains appropriate.</t>
      </text>
    </comment>
    <comment ref="E111" authorId="0" shapeId="0">
      <text>
        <t>Manual input: not supplied by SQL. Historical Schedule X(b)!E14 cached value: HICM. Do not assume it remains appropriate.</t>
      </text>
    </comment>
    <comment ref="F111" authorId="0" shapeId="0">
      <text>
        <t>Manual input: not supplied by SQL. Historical Schedule X(b)!F14 cached value: HICM. Do not assume it remains appropriate.</t>
      </text>
    </comment>
    <comment ref="G111" authorId="0" shapeId="0">
      <text>
        <t>Manual input: not supplied by SQL. Historical Schedule X(b)!G14 cached value: HICM. Do not assume it remains appropriate.</t>
      </text>
    </comment>
    <comment ref="H111" authorId="0" shapeId="0">
      <text>
        <t>Manual input: not supplied by SQL. Historical Schedule X(b)!H14 cached value: HICM. Do not assume it remains appropriate.</t>
      </text>
    </comment>
    <comment ref="E112" authorId="0" shapeId="0">
      <text>
        <t>Manual input: not supplied by SQL. Historical Schedule X(b)!E15 cached value: HICM. Do not assume it remains appropriate.</t>
      </text>
    </comment>
    <comment ref="F112" authorId="0" shapeId="0">
      <text>
        <t>Manual input: not supplied by SQL. Historical Schedule X(b)!F15 cached value: HICM. Do not assume it remains appropriate.</t>
      </text>
    </comment>
    <comment ref="G112" authorId="0" shapeId="0">
      <text>
        <t>Manual input: not supplied by SQL. Historical Schedule X(b)!G15 cached value: HICM. Do not assume it remains appropriate.</t>
      </text>
    </comment>
    <comment ref="H112" authorId="0" shapeId="0">
      <text>
        <t>Manual input: not supplied by SQL. Historical Schedule X(b)!H15 cached value: HICM. Do not assume it remains appropriate.</t>
      </text>
    </comment>
    <comment ref="E115" authorId="0" shapeId="0">
      <text>
        <t>Manual input: not supplied by SQL. Historical Schedule X(b)!E18 cached value: HICM. Do not assume it remains appropriate.</t>
      </text>
    </comment>
    <comment ref="J115" authorId="0" shapeId="0">
      <text>
        <t>Manual input: not supplied by SQL. Historical Schedule X(b)!J18 cached value: HICM. Do not assume it remains appropriate.</t>
      </text>
    </comment>
    <comment ref="J116" authorId="0" shapeId="0">
      <text>
        <t>Manual input: not supplied by SQL. Historical Schedule X(b)!J19 cached value: HICM. Do not assume it remains appropriate.</t>
      </text>
    </comment>
    <comment ref="E117" authorId="0" shapeId="0">
      <text>
        <t>Manual input: not supplied by SQL. Historical Schedule X(b)!E20 cached value: HICM. Do not assume it remains appropriate.</t>
      </text>
    </comment>
    <comment ref="J117" authorId="0" shapeId="0">
      <text>
        <t>Manual input: not supplied by SQL. Historical Schedule X(b)!J20 cached value: HICM. Do not assume it remains appropriate.</t>
      </text>
    </comment>
    <comment ref="E119" authorId="0" shapeId="0">
      <text>
        <t>Manual input: not supplied by SQL. Historical Schedule X(b)!E22 cached value: 0. Do not assume it remains appropriate.</t>
      </text>
    </comment>
    <comment ref="J119" authorId="0" shapeId="0">
      <text>
        <t>Manual input: not supplied by SQL. Historical Schedule X(b)!J22 cached value: 0. Do not assume it remains appropriate.</t>
      </text>
    </comment>
    <comment ref="E120" authorId="0" shapeId="0">
      <text>
        <t>Manual input: not supplied by SQL. Historical Schedule X(b)!E23 cached value: 53.23. Do not assume it remains appropriate.</t>
      </text>
    </comment>
    <comment ref="J120" authorId="0" shapeId="0">
      <text>
        <t>Manual input: not supplied by SQL. Historical Schedule X(b)!J23 cached value: 47.62. Do not assume it remains appropriate.</t>
      </text>
    </comment>
    <comment ref="E122" authorId="0" shapeId="0">
      <text>
        <t>Manual input: not supplied by SQL. Historical Schedule X(b)!E25 cached value: None. Do not assume it remains appropriate.</t>
      </text>
    </comment>
    <comment ref="J122" authorId="0" shapeId="0">
      <text>
        <t>Manual input: not supplied by SQL. Historical Schedule X(b)!J25 cached value: None. Do not assume it remains appropriate.</t>
      </text>
    </comment>
    <comment ref="E123" authorId="0" shapeId="0">
      <text>
        <t>Manual input: not supplied by SQL. Historical Schedule X(b)!E26 cached value: None. Do not assume it remains appropriate.</t>
      </text>
    </comment>
    <comment ref="J123" authorId="0" shapeId="0">
      <text>
        <t>Manual input: not supplied by SQL. Historical Schedule X(b)!J26 cached value: None. Do not assume it remains appropriate.</t>
      </text>
    </comment>
    <comment ref="E124" authorId="1" shapeId="0">
      <text>
        <t>Automatic from SQL input. Money is already USD: divide by 1,000,000 only. Counts are unscaled.</t>
      </text>
    </comment>
    <comment ref="J124" authorId="1" shapeId="0">
      <text>
        <t>Automatic from SQL input. Money is already USD: divide by 1,000,000 only. Counts are unscaled.</t>
      </text>
    </comment>
    <comment ref="E125" authorId="1" shapeId="0">
      <text>
        <t>Automatic from SQL input. Money is already USD: divide by 1,000,000 only. Counts are unscaled.</t>
      </text>
    </comment>
    <comment ref="J125" authorId="1" shapeId="0">
      <text>
        <t>Automatic from SQL input. Money is already USD: divide by 1,000,000 only. Counts are unscaled.</t>
      </text>
    </comment>
    <comment ref="E126" authorId="0" shapeId="0">
      <text>
        <t>Manual input: not supplied by SQL. Historical Schedule X(b)!E29 cached value: None. Do not assume it remains appropriate.</t>
      </text>
    </comment>
    <comment ref="J126" authorId="0" shapeId="0">
      <text>
        <t>Manual input: not supplied by SQL. Historical Schedule X(b)!J29 cached value: None. Do not assume it remains appropriate.</t>
      </text>
    </comment>
    <comment ref="E127" authorId="0" shapeId="0">
      <text>
        <t>Manual input: not supplied by SQL. Historical Schedule X(b)!E30 cached value: 0. Do not assume it remains appropriate.</t>
      </text>
    </comment>
    <comment ref="J127" authorId="0" shapeId="0">
      <text>
        <t>Manual input: not supplied by SQL. Historical Schedule X(b)!J30 cached value: 0. Do not assume it remains appropriate.</t>
      </text>
    </comment>
    <comment ref="I129" authorId="0" shapeId="0">
      <text>
        <t>Manual input: not supplied by SQL. Historical Schedule X(b)!I32 cached value: None. Do not assume it remains appropriate.</t>
      </text>
    </comment>
    <comment ref="J129" authorId="0" shapeId="0">
      <text>
        <t>Manual input: not supplied by SQL. Historical Schedule X(b)!J32 cached value: None. Do not assume it remains appropriate.</t>
      </text>
    </comment>
    <comment ref="K129" authorId="0" shapeId="0">
      <text>
        <t>Manual input: not supplied by SQL. Historical Schedule X(b)!K32 cached value: None. Do not assume it remains appropriate.</t>
      </text>
    </comment>
    <comment ref="E130" authorId="0" shapeId="0">
      <text>
        <t>Manual input: not supplied by SQL. Historical Schedule X(b)!E33 cached value: None. Do not assume it remains appropriate.</t>
      </text>
    </comment>
    <comment ref="I130" authorId="0" shapeId="0">
      <text>
        <t>Manual input: not supplied by SQL. Historical Schedule X(b)!I33 cached value: #REF!. Do not assume it remains appropriate.</t>
      </text>
    </comment>
    <comment ref="E131" authorId="0" shapeId="0">
      <text>
        <t>Manual input: not supplied by SQL. Historical Schedule X(b)!E34 cached value: None. Do not assume it remains appropriate.</t>
      </text>
    </comment>
    <comment ref="I131" authorId="0" shapeId="0">
      <text>
        <t>Manual input: not supplied by SQL. Historical Schedule X(b)!I34 cached value: #REF!. Do not assume it remains appropriate.</t>
      </text>
    </comment>
    <comment ref="E132" authorId="0" shapeId="0">
      <text>
        <t>Manual input: not supplied by SQL. Historical Schedule X(b)!E35 cached value: None. Do not assume it remains appropriate.</t>
      </text>
    </comment>
    <comment ref="I132" authorId="0" shapeId="0">
      <text>
        <t>Manual input: not supplied by SQL. Historical Schedule X(b)!I35 cached value: #REF!. Do not assume it remains appropriate.</t>
      </text>
    </comment>
    <comment ref="E133" authorId="0" shapeId="0">
      <text>
        <t>Manual input: not supplied by SQL. Historical Schedule X(b)!E36 cached value: None. Do not assume it remains appropriate.</t>
      </text>
    </comment>
    <comment ref="I133" authorId="0" shapeId="0">
      <text>
        <t>Manual input: not supplied by SQL. Historical Schedule X(b)!I36 cached value: #REF!. Do not assume it remains appropriate.</t>
      </text>
    </comment>
    <comment ref="E134" authorId="0" shapeId="0">
      <text>
        <t>Manual input: not supplied by SQL. Historical Schedule X(b)!E37 cached value: None. Do not assume it remains appropriate.</t>
      </text>
    </comment>
    <comment ref="I134" authorId="0" shapeId="0">
      <text>
        <t>Manual input: not supplied by SQL. Historical Schedule X(b)!I37 cached value: #REF!. Do not assume it remains appropriate.</t>
      </text>
    </comment>
    <comment ref="E135" authorId="0" shapeId="0">
      <text>
        <t>Manual input: not supplied by SQL. Historical Schedule X(b)!E38 cached value: None. Do not assume it remains appropriate.</t>
      </text>
    </comment>
    <comment ref="I135" authorId="0" shapeId="0">
      <text>
        <t>Manual input: not supplied by SQL. Historical Schedule X(b)!I38 cached value: #REF!. Do not assume it remains appropriate.</t>
      </text>
    </comment>
    <comment ref="E136" authorId="0" shapeId="0">
      <text>
        <t>Manual input: not supplied by SQL. Historical Schedule X(b)!E39 cached value: None. Do not assume it remains appropriate.</t>
      </text>
    </comment>
    <comment ref="I136" authorId="0" shapeId="0">
      <text>
        <t>Manual input: not supplied by SQL. Historical Schedule X(b)!I39 cached value: #REF!. Do not assume it remains appropriate.</t>
      </text>
    </comment>
    <comment ref="E137" authorId="0" shapeId="0">
      <text>
        <t>Manual input: not supplied by SQL. Historical Schedule X(b)!E40 cached value: None. Do not assume it remains appropriate.</t>
      </text>
    </comment>
    <comment ref="I137" authorId="0" shapeId="0">
      <text>
        <t>Manual input: not supplied by SQL. Historical Schedule X(b)!I40 cached value: #REF!. Do not assume it remains appropriate.</t>
      </text>
    </comment>
    <comment ref="E138" authorId="0" shapeId="0">
      <text>
        <t>Manual input: not supplied by SQL. Historical Schedule X(b)!E41 cached value: None. Do not assume it remains appropriate.</t>
      </text>
    </comment>
    <comment ref="I138" authorId="0" shapeId="0">
      <text>
        <t>Manual input: not supplied by SQL. Historical Schedule X(b)!I41 cached value: #REF!. Do not assume it remains appropriate.</t>
      </text>
    </comment>
    <comment ref="E139" authorId="0" shapeId="0">
      <text>
        <t>Manual input: not supplied by SQL. Historical Schedule X(b)!E42 cached value: None. Do not assume it remains appropriate.</t>
      </text>
    </comment>
    <comment ref="I139" authorId="0" shapeId="0">
      <text>
        <t>Manual input: not supplied by SQL. Historical Schedule X(b)!I42 cached value: #REF!. Do not assume it remains appropriate.</t>
      </text>
    </comment>
    <comment ref="E140" authorId="0" shapeId="0">
      <text>
        <t>Manual input: not supplied by SQL. Historical Schedule X(b)!E43 cached value: None. Do not assume it remains appropriate.</t>
      </text>
    </comment>
    <comment ref="I140" authorId="0" shapeId="0">
      <text>
        <t>Manual input: not supplied by SQL. Historical Schedule X(b)!I43 cached value: #REF!. Do not assume it remains appropriate.</t>
      </text>
    </comment>
    <comment ref="E141" authorId="0" shapeId="0">
      <text>
        <t>Manual input: not supplied by SQL. Historical Schedule X(b)!E44 cached value: None. Do not assume it remains appropriate.</t>
      </text>
    </comment>
    <comment ref="I141" authorId="0" shapeId="0">
      <text>
        <t>Manual input: not supplied by SQL. Historical Schedule X(b)!I44 cached value: #REF!. Do not assume it remains appropriate.</t>
      </text>
    </comment>
    <comment ref="E142" authorId="0" shapeId="0">
      <text>
        <t>Manual input: not supplied by SQL. Historical Schedule X(b)!E45 cached value: None. Do not assume it remains appropriate.</t>
      </text>
    </comment>
    <comment ref="I142" authorId="0" shapeId="0">
      <text>
        <t>Manual input: not supplied by SQL. Historical Schedule X(b)!I45 cached value: #REF!. Do not assume it remains appropriate.</t>
      </text>
    </comment>
    <comment ref="E143" authorId="0" shapeId="0">
      <text>
        <t>Manual input: not supplied by SQL. Historical Schedule X(b)!E46 cached value: None. Do not assume it remains appropriate.</t>
      </text>
    </comment>
    <comment ref="I143" authorId="0" shapeId="0">
      <text>
        <t>Manual input: not supplied by SQL. Historical Schedule X(b)!I46 cached value: #REF!. Do not assume it remains appropriate.</t>
      </text>
    </comment>
    <comment ref="E144" authorId="0" shapeId="0">
      <text>
        <t>Manual input: not supplied by SQL. Historical Schedule X(b)!E47 cached value: None. Do not assume it remains appropriate.</t>
      </text>
    </comment>
    <comment ref="I144" authorId="0" shapeId="0">
      <text>
        <t>Manual input: not supplied by SQL. Historical Schedule X(b)!I47 cached value: #REF!. Do not assume it remains appropriate.</t>
      </text>
    </comment>
    <comment ref="E145" authorId="0" shapeId="0">
      <text>
        <t>Manual input: not supplied by SQL. Historical Schedule X(b)!E48 cached value: None. Do not assume it remains appropriate.</t>
      </text>
    </comment>
    <comment ref="I145" authorId="0" shapeId="0">
      <text>
        <t>Manual input: not supplied by SQL. Historical Schedule X(b)!I48 cached value: #REF!. Do not assume it remains appropriate.</t>
      </text>
    </comment>
    <comment ref="I146" authorId="0" shapeId="0">
      <text>
        <t>Manual input: not supplied by SQL. Historical Schedule X(b)!I49 cached value: None. Do not assume it remains appropriate.</t>
      </text>
    </comment>
    <comment ref="J146" authorId="0" shapeId="0">
      <text>
        <t>Manual input: not supplied by SQL. Historical Schedule X(b)!J49 cached value: None. Do not assume it remains appropriate.</t>
      </text>
    </comment>
    <comment ref="K146" authorId="0" shapeId="0">
      <text>
        <t>Manual input: not supplied by SQL. Historical Schedule X(b)!K49 cached value: None. Do not assume it remains appropriate.</t>
      </text>
    </comment>
    <comment ref="I147" authorId="0" shapeId="0">
      <text>
        <t>Manual input: not supplied by SQL. Historical Schedule X(b)!I50 cached value: None. Do not assume it remains appropriate.</t>
      </text>
    </comment>
    <comment ref="J147" authorId="0" shapeId="0">
      <text>
        <t>Manual input: not supplied by SQL. Historical Schedule X(b)!J50 cached value: None. Do not assume it remains appropriate.</t>
      </text>
    </comment>
    <comment ref="K147" authorId="0" shapeId="0">
      <text>
        <t>Manual input: not supplied by SQL. Historical Schedule X(b)!K50 cached value: None. Do not assume it remains appropriate.</t>
      </text>
    </comment>
    <comment ref="E148" authorId="0" shapeId="0">
      <text>
        <t>Manual input: not supplied by SQL. Historical Schedule X(b)!E51 cached value: None. Do not assume it remains appropriate.</t>
      </text>
    </comment>
    <comment ref="I148" authorId="0" shapeId="0">
      <text>
        <t>Manual input: not supplied by SQL. Historical Schedule X(b)!I51 cached value: #REF!. Do not assume it remains appropriate.</t>
      </text>
    </comment>
    <comment ref="E149" authorId="0" shapeId="0">
      <text>
        <t>Manual input: not supplied by SQL. Historical Schedule X(b)!E52 cached value: None. Do not assume it remains appropriate.</t>
      </text>
    </comment>
    <comment ref="I149" authorId="0" shapeId="0">
      <text>
        <t>Manual input: not supplied by SQL. Historical Schedule X(b)!I52 cached value: #REF!. Do not assume it remains appropriate.</t>
      </text>
    </comment>
    <comment ref="E150" authorId="0" shapeId="0">
      <text>
        <t>Manual input: not supplied by SQL. Historical Schedule X(b)!E53 cached value: None. Do not assume it remains appropriate.</t>
      </text>
    </comment>
    <comment ref="I150" authorId="0" shapeId="0">
      <text>
        <t>Manual input: not supplied by SQL. Historical Schedule X(b)!I53 cached value: #REF!. Do not assume it remains appropriate.</t>
      </text>
    </comment>
    <comment ref="E151" authorId="0" shapeId="0">
      <text>
        <t>Manual input: not supplied by SQL. Historical Schedule X(b)!E54 cached value: None. Do not assume it remains appropriate.</t>
      </text>
    </comment>
    <comment ref="I151" authorId="0" shapeId="0">
      <text>
        <t>Manual input: not supplied by SQL. Historical Schedule X(b)!I54 cached value: #REF!. Do not assume it remains appropriate.</t>
      </text>
    </comment>
    <comment ref="E152" authorId="0" shapeId="0">
      <text>
        <t>Manual input: not supplied by SQL. Historical Schedule X(b)!E55 cached value: None. Do not assume it remains appropriate.</t>
      </text>
    </comment>
    <comment ref="I152" authorId="0" shapeId="0">
      <text>
        <t>Manual input: not supplied by SQL. Historical Schedule X(b)!I55 cached value: #REF!. Do not assume it remains appropriate.</t>
      </text>
    </comment>
    <comment ref="I153" authorId="0" shapeId="0">
      <text>
        <t>Manual input: not supplied by SQL. Historical Schedule X(b)!I56 cached value: None. Do not assume it remains appropriate.</t>
      </text>
    </comment>
    <comment ref="J153" authorId="0" shapeId="0">
      <text>
        <t>Manual input: not supplied by SQL. Historical Schedule X(b)!J56 cached value: None. Do not assume it remains appropriate.</t>
      </text>
    </comment>
    <comment ref="K153" authorId="0" shapeId="0">
      <text>
        <t>Manual input: not supplied by SQL. Historical Schedule X(b)!K56 cached value: None. Do not assume it remains appropriate.</t>
      </text>
    </comment>
    <comment ref="I154" authorId="0" shapeId="0">
      <text>
        <t>Manual input: not supplied by SQL. Historical Schedule X(b)!I57 cached value: None. Do not assume it remains appropriate.</t>
      </text>
    </comment>
    <comment ref="J154" authorId="0" shapeId="0">
      <text>
        <t>Manual input: not supplied by SQL. Historical Schedule X(b)!J57 cached value: None. Do not assume it remains appropriate.</t>
      </text>
    </comment>
    <comment ref="K154" authorId="0" shapeId="0">
      <text>
        <t>Manual input: not supplied by SQL. Historical Schedule X(b)!K57 cached value: None. Do not assume it remains appropriate.</t>
      </text>
    </comment>
    <comment ref="E155" authorId="0" shapeId="0">
      <text>
        <t>Manual input: not supplied by SQL. Historical Schedule X(b)!E58 cached value: None. Do not assume it remains appropriate.</t>
      </text>
    </comment>
    <comment ref="I155" authorId="0" shapeId="0">
      <text>
        <t>Manual input: not supplied by SQL. Historical Schedule X(b)!I58 cached value: #REF!. Do not assume it remains appropriate.</t>
      </text>
    </comment>
    <comment ref="E156" authorId="0" shapeId="0">
      <text>
        <t>Manual input: not supplied by SQL. Historical Schedule X(b)!E59 cached value: None. Do not assume it remains appropriate.</t>
      </text>
    </comment>
    <comment ref="I156" authorId="0" shapeId="0">
      <text>
        <t>Manual input: not supplied by SQL. Historical Schedule X(b)!I59 cached value: #REF!. Do not assume it remains appropriate.</t>
      </text>
    </comment>
    <comment ref="I157" authorId="0" shapeId="0">
      <text>
        <t>Manual input: not supplied by SQL. Historical Schedule X(b)!I60 cached value: None. Do not assume it remains appropriate.</t>
      </text>
    </comment>
    <comment ref="J157" authorId="0" shapeId="0">
      <text>
        <t>Manual input: not supplied by SQL. Historical Schedule X(b)!J60 cached value: None. Do not assume it remains appropriate.</t>
      </text>
    </comment>
    <comment ref="K157" authorId="0" shapeId="0">
      <text>
        <t>Manual input: not supplied by SQL. Historical Schedule X(b)!K60 cached value: None. Do not assume it remains appropriate.</t>
      </text>
    </comment>
    <comment ref="I158" authorId="0" shapeId="0">
      <text>
        <t>Manual input: not supplied by SQL. Historical Schedule X(b)!I61 cached value: None. Do not assume it remains appropriate.</t>
      </text>
    </comment>
    <comment ref="J158" authorId="0" shapeId="0">
      <text>
        <t>Manual input: not supplied by SQL. Historical Schedule X(b)!J61 cached value: None. Do not assume it remains appropriate.</t>
      </text>
    </comment>
    <comment ref="K158" authorId="0" shapeId="0">
      <text>
        <t>Manual input: not supplied by SQL. Historical Schedule X(b)!K61 cached value: None. Do not assume it remains appropriate.</t>
      </text>
    </comment>
    <comment ref="E159" authorId="0" shapeId="0">
      <text>
        <t>Manual input: not supplied by SQL. Historical Schedule X(b)!E62 cached value: None. Do not assume it remains appropriate.</t>
      </text>
    </comment>
    <comment ref="I159" authorId="0" shapeId="0">
      <text>
        <t>Manual input: not supplied by SQL. Historical Schedule X(b)!I62 cached value: #REF!. Do not assume it remains appropriate.</t>
      </text>
    </comment>
    <comment ref="E160" authorId="0" shapeId="0">
      <text>
        <t>Manual input: not supplied by SQL. Historical Schedule X(b)!E63 cached value: None. Do not assume it remains appropriate.</t>
      </text>
    </comment>
    <comment ref="I160" authorId="0" shapeId="0">
      <text>
        <t>Manual input: not supplied by SQL. Historical Schedule X(b)!I63 cached value: #REF!. Do not assume it remains appropriate.</t>
      </text>
    </comment>
    <comment ref="E161" authorId="0" shapeId="0">
      <text>
        <t>Manual input: not supplied by SQL. Historical Schedule X(b)!E64 cached value: None. Do not assume it remains appropriate.</t>
      </text>
    </comment>
    <comment ref="I161" authorId="0" shapeId="0">
      <text>
        <t>Manual input: not supplied by SQL. Historical Schedule X(b)!I64 cached value: #REF!. Do not assume it remains appropriate.</t>
      </text>
    </comment>
    <comment ref="E162" authorId="0" shapeId="0">
      <text>
        <t>Manual input: not supplied by SQL. Historical Schedule X(b)!E65 cached value: None. Do not assume it remains appropriate.</t>
      </text>
    </comment>
    <comment ref="I162" authorId="0" shapeId="0">
      <text>
        <t>Manual input: not supplied by SQL. Historical Schedule X(b)!I65 cached value: #REF!. Do not assume it remains appropriate.</t>
      </text>
    </comment>
    <comment ref="E163" authorId="0" shapeId="0">
      <text>
        <t>Manual input: not supplied by SQL. Historical Schedule X(b)!E66 cached value: None. Do not assume it remains appropriate.</t>
      </text>
    </comment>
    <comment ref="I163" authorId="0" shapeId="0">
      <text>
        <t>Manual input: not supplied by SQL. Historical Schedule X(b)!I66 cached value: #REF!. Do not assume it remains appropriate.</t>
      </text>
    </comment>
    <comment ref="E164" authorId="0" shapeId="0">
      <text>
        <t>Manual input: not supplied by SQL. Historical Schedule X(b)!E67 cached value: None. Do not assume it remains appropriate.</t>
      </text>
    </comment>
    <comment ref="I164" authorId="0" shapeId="0">
      <text>
        <t>Manual input: not supplied by SQL. Historical Schedule X(b)!I67 cached value: #REF!. Do not assume it remains appropriate.</t>
      </text>
    </comment>
    <comment ref="I165" authorId="0" shapeId="0">
      <text>
        <t>Manual input: not supplied by SQL. Historical Schedule X(b)!I68 cached value: None. Do not assume it remains appropriate.</t>
      </text>
    </comment>
    <comment ref="J165" authorId="0" shapeId="0">
      <text>
        <t>Manual input: not supplied by SQL. Historical Schedule X(b)!J68 cached value: None. Do not assume it remains appropriate.</t>
      </text>
    </comment>
    <comment ref="K165" authorId="0" shapeId="0">
      <text>
        <t>Manual input: not supplied by SQL. Historical Schedule X(b)!K68 cached value: None. Do not assume it remains appropriate.</t>
      </text>
    </comment>
    <comment ref="I166" authorId="0" shapeId="0">
      <text>
        <t>Manual input: not supplied by SQL. Historical Schedule X(b)!I69 cached value: None. Do not assume it remains appropriate.</t>
      </text>
    </comment>
    <comment ref="J166" authorId="0" shapeId="0">
      <text>
        <t>Manual input: not supplied by SQL. Historical Schedule X(b)!J69 cached value: None. Do not assume it remains appropriate.</t>
      </text>
    </comment>
    <comment ref="K166" authorId="0" shapeId="0">
      <text>
        <t>Manual input: not supplied by SQL. Historical Schedule X(b)!K69 cached value: None. Do not assume it remains appropriate.</t>
      </text>
    </comment>
    <comment ref="E167" authorId="0" shapeId="0">
      <text>
        <t>Manual input: not supplied by SQL. Historical Schedule X(b)!E70 cached value: None. Do not assume it remains appropriate.</t>
      </text>
    </comment>
    <comment ref="I167" authorId="0" shapeId="0">
      <text>
        <t>Manual input: not supplied by SQL. Historical Schedule X(b)!I70 cached value: #REF!. Do not assume it remains appropriate.</t>
      </text>
    </comment>
    <comment ref="E168" authorId="0" shapeId="0">
      <text>
        <t>Manual input: not supplied by SQL. Historical Schedule X(b)!E71 cached value: None. Do not assume it remains appropriate.</t>
      </text>
    </comment>
    <comment ref="I168" authorId="0" shapeId="0">
      <text>
        <t>Manual input: not supplied by SQL. Historical Schedule X(b)!I71 cached value: #REF!. Do not assume it remains appropriate.</t>
      </text>
    </comment>
    <comment ref="E169" authorId="0" shapeId="0">
      <text>
        <t>Manual input: not supplied by SQL. Historical Schedule X(b)!E72 cached value: None. Do not assume it remains appropriate.</t>
      </text>
    </comment>
    <comment ref="I169" authorId="0" shapeId="0">
      <text>
        <t>Manual input: not supplied by SQL. Historical Schedule X(b)!I72 cached value: #REF!. Do not assume it remains appropriate.</t>
      </text>
    </comment>
    <comment ref="E170" authorId="0" shapeId="0">
      <text>
        <t>Manual input: not supplied by SQL. Historical Schedule X(b)!E73 cached value: None. Do not assume it remains appropriate.</t>
      </text>
    </comment>
    <comment ref="I170" authorId="0" shapeId="0">
      <text>
        <t>Manual input: not supplied by SQL. Historical Schedule X(b)!I73 cached value: #REF!. Do not assume it remains appropriate.</t>
      </text>
    </comment>
    <comment ref="E171" authorId="0" shapeId="0">
      <text>
        <t>Manual input: not supplied by SQL. Historical Schedule X(b)!E74 cached value: None. Do not assume it remains appropriate.</t>
      </text>
    </comment>
    <comment ref="I171" authorId="0" shapeId="0">
      <text>
        <t>Manual input: not supplied by SQL. Historical Schedule X(b)!I74 cached value: #REF!. Do not assume it remains appropriate.</t>
      </text>
    </comment>
    <comment ref="E172" authorId="0" shapeId="0">
      <text>
        <t>Manual input: not supplied by SQL. Historical Schedule X(b)!E75 cached value: None. Do not assume it remains appropriate.</t>
      </text>
    </comment>
    <comment ref="I172" authorId="0" shapeId="0">
      <text>
        <t>Manual input: not supplied by SQL. Historical Schedule X(b)!I75 cached value: #REF!. Do not assume it remains appropriate.</t>
      </text>
    </comment>
    <comment ref="E173" authorId="0" shapeId="0">
      <text>
        <t>Manual input: not supplied by SQL. Historical Schedule X(b)!E76 cached value: None. Do not assume it remains appropriate.</t>
      </text>
    </comment>
    <comment ref="I173" authorId="0" shapeId="0">
      <text>
        <t>Manual input: not supplied by SQL. Historical Schedule X(b)!I76 cached value: #REF!. Do not assume it remains appropriate.</t>
      </text>
    </comment>
    <comment ref="E174" authorId="0" shapeId="0">
      <text>
        <t>Manual input: not supplied by SQL. Historical Schedule X(b)!E77 cached value: None. Do not assume it remains appropriate.</t>
      </text>
    </comment>
    <comment ref="I174" authorId="0" shapeId="0">
      <text>
        <t>Manual input: not supplied by SQL. Historical Schedule X(b)!I77 cached value: #REF!. Do not assume it remains appropriate.</t>
      </text>
    </comment>
    <comment ref="I175" authorId="0" shapeId="0">
      <text>
        <t>Manual input: not supplied by SQL. Historical Schedule X(b)!I78 cached value: None. Do not assume it remains appropriate.</t>
      </text>
    </comment>
    <comment ref="J175" authorId="0" shapeId="0">
      <text>
        <t>Manual input: not supplied by SQL. Historical Schedule X(b)!J78 cached value: None. Do not assume it remains appropriate.</t>
      </text>
    </comment>
    <comment ref="K175" authorId="0" shapeId="0">
      <text>
        <t>Manual input: not supplied by SQL. Historical Schedule X(b)!K78 cached value: None. Do not assume it remains appropriate.</t>
      </text>
    </comment>
    <comment ref="G176" authorId="0" shapeId="0">
      <text>
        <t>Manual input: not supplied by SQL. Historical Schedule X(b)!G79 cached value: None. Do not assume it remains appropriate.</t>
      </text>
    </comment>
    <comment ref="I176" authorId="0" shapeId="0">
      <text>
        <t>Manual input: not supplied by SQL. Historical Schedule X(b)!I79 cached value: None. Do not assume it remains appropriate.</t>
      </text>
    </comment>
    <comment ref="J176" authorId="0" shapeId="0">
      <text>
        <t>Manual input: not supplied by SQL. Historical Schedule X(b)!J79 cached value: None. Do not assume it remains appropriate.</t>
      </text>
    </comment>
    <comment ref="K176" authorId="0" shapeId="0">
      <text>
        <t>Manual input: not supplied by SQL. Historical Schedule X(b)!K79 cached value: None. Do not assume it remains appropriate.</t>
      </text>
    </comment>
    <comment ref="G177" authorId="0" shapeId="0">
      <text>
        <t>Manual input: not supplied by SQL. Historical Schedule X(b)!G80 cached value: None. Do not assume it remains appropriate.</t>
      </text>
    </comment>
    <comment ref="I177" authorId="0" shapeId="0">
      <text>
        <t>Manual input: not supplied by SQL. Historical Schedule X(b)!I80 cached value: None. Do not assume it remains appropriate.</t>
      </text>
    </comment>
    <comment ref="J177" authorId="0" shapeId="0">
      <text>
        <t>Manual input: not supplied by SQL. Historical Schedule X(b)!J80 cached value: None. Do not assume it remains appropriate.</t>
      </text>
    </comment>
    <comment ref="K177" authorId="0" shapeId="0">
      <text>
        <t>Manual input: not supplied by SQL. Historical Schedule X(b)!K80 cached value: None. Do not assume it remains appropriate.</t>
      </text>
    </comment>
    <comment ref="I178" authorId="0" shapeId="0">
      <text>
        <t>Manual input: not supplied by SQL. Historical Schedule X(b)!I81 cached value: None. Do not assume it remains appropriate.</t>
      </text>
    </comment>
    <comment ref="J178" authorId="0" shapeId="0">
      <text>
        <t>Manual input: not supplied by SQL. Historical Schedule X(b)!J81 cached value: None. Do not assume it remains appropriate.</t>
      </text>
    </comment>
    <comment ref="K178" authorId="0" shapeId="0">
      <text>
        <t>Manual input: not supplied by SQL. Historical Schedule X(b)!K81 cached value: None. Do not assume it remains appropriate.</t>
      </text>
    </comment>
    <comment ref="G179" authorId="0" shapeId="0">
      <text>
        <t>Manual input: not supplied by SQL. Historical Schedule X(b)!G82 cached value: None. Do not assume it remains appropriate.</t>
      </text>
    </comment>
    <comment ref="I179" authorId="0" shapeId="0">
      <text>
        <t>Manual input: not supplied by SQL. Historical Schedule X(b)!I82 cached value: None. Do not assume it remains appropriate.</t>
      </text>
    </comment>
    <comment ref="J179" authorId="0" shapeId="0">
      <text>
        <t>Manual input: not supplied by SQL. Historical Schedule X(b)!J82 cached value: None. Do not assume it remains appropriate.</t>
      </text>
    </comment>
    <comment ref="K179" authorId="0" shapeId="0">
      <text>
        <t>Manual input: not supplied by SQL. Historical Schedule X(b)!K82 cached value: None. Do not assume it remains appropriate.</t>
      </text>
    </comment>
    <comment ref="G180" authorId="0" shapeId="0">
      <text>
        <t>Manual input: not supplied by SQL. Historical Schedule X(b)!G83 cached value: None. Do not assume it remains appropriate.</t>
      </text>
    </comment>
    <comment ref="F196" authorId="0" shapeId="0">
      <text>
        <t>Manual input: not supplied by SQL. Historical Schedule X(c)!F9 cached value: AIR and RMS. Do not assume it remains appropriate.</t>
      </text>
    </comment>
    <comment ref="F197" authorId="0" shapeId="0">
      <text>
        <t>Manual input: not supplied by SQL. Historical Schedule X(c)!F10 cached value: AIR vXX RMS vXX. Do not assume it remains appropriate.</t>
      </text>
    </comment>
    <comment ref="D203" authorId="0" shapeId="0">
      <text>
        <t>Manual input: not supplied by SQL. Historical Schedule X(c)!D16 cached value: HICM. Do not assume it remains appropriate.</t>
      </text>
    </comment>
    <comment ref="E203" authorId="0" shapeId="0">
      <text>
        <t>Manual input: not supplied by SQL. Historical Schedule X(c)!E16 cached value: HICM. Do not assume it remains appropriate.</t>
      </text>
    </comment>
    <comment ref="F203" authorId="0" shapeId="0">
      <text>
        <t>Manual input: not supplied by SQL. Historical Schedule X(c)!F16 cached value: HICM. Do not assume it remains appropriate.</t>
      </text>
    </comment>
    <comment ref="G203" authorId="0" shapeId="0">
      <text>
        <t>Manual input: not supplied by SQL. Historical Schedule X(c)!G16 cached value: HICM. Do not assume it remains appropriate.</t>
      </text>
    </comment>
    <comment ref="D204" authorId="0" shapeId="0">
      <text>
        <t>Manual input: not supplied by SQL. Historical Schedule X(c)!D17 cached value: HICM. Do not assume it remains appropriate.</t>
      </text>
    </comment>
    <comment ref="E204" authorId="0" shapeId="0">
      <text>
        <t>Manual input: not supplied by SQL. Historical Schedule X(c)!E17 cached value: HICM. Do not assume it remains appropriate.</t>
      </text>
    </comment>
    <comment ref="F204" authorId="0" shapeId="0">
      <text>
        <t>Manual input: not supplied by SQL. Historical Schedule X(c)!F17 cached value: HICM. Do not assume it remains appropriate.</t>
      </text>
    </comment>
    <comment ref="G204" authorId="0" shapeId="0">
      <text>
        <t>Manual input: not supplied by SQL. Historical Schedule X(c)!G17 cached value: HICM. Do not assume it remains appropriate.</t>
      </text>
    </comment>
    <comment ref="D205" authorId="0" shapeId="0">
      <text>
        <t>Manual input: not supplied by SQL. Historical Schedule X(c)!D18 cached value: HICM. Do not assume it remains appropriate.</t>
      </text>
    </comment>
    <comment ref="E205" authorId="0" shapeId="0">
      <text>
        <t>Manual input: not supplied by SQL. Historical Schedule X(c)!E18 cached value: HICM. Do not assume it remains appropriate.</t>
      </text>
    </comment>
    <comment ref="F205" authorId="0" shapeId="0">
      <text>
        <t>Manual input: not supplied by SQL. Historical Schedule X(c)!F18 cached value: HICM. Do not assume it remains appropriate.</t>
      </text>
    </comment>
    <comment ref="G205" authorId="0" shapeId="0">
      <text>
        <t>Manual input: not supplied by SQL. Historical Schedule X(c)!G18 cached value: HICM. Do not assume it remains appropriate.</t>
      </text>
    </comment>
    <comment ref="D206" authorId="0" shapeId="0">
      <text>
        <t>Manual input: not supplied by SQL. Historical Schedule X(c)!D19 cached value: HICM. Do not assume it remains appropriate.</t>
      </text>
    </comment>
    <comment ref="E206" authorId="0" shapeId="0">
      <text>
        <t>Manual input: not supplied by SQL. Historical Schedule X(c)!E19 cached value: HICM. Do not assume it remains appropriate.</t>
      </text>
    </comment>
    <comment ref="F206" authorId="0" shapeId="0">
      <text>
        <t>Manual input: not supplied by SQL. Historical Schedule X(c)!F19 cached value: HICM. Do not assume it remains appropriate.</t>
      </text>
    </comment>
    <comment ref="G206" authorId="0" shapeId="0">
      <text>
        <t>Manual input: not supplied by SQL. Historical Schedule X(c)!G19 cached value: HICM. Do not assume it remains appropriate.</t>
      </text>
    </comment>
    <comment ref="D207" authorId="0" shapeId="0">
      <text>
        <t>Manual input: not supplied by SQL. Historical Schedule X(c)!D20 cached value: HICM. Do not assume it remains appropriate.</t>
      </text>
    </comment>
    <comment ref="E207" authorId="0" shapeId="0">
      <text>
        <t>Manual input: not supplied by SQL. Historical Schedule X(c)!E20 cached value: HICM. Do not assume it remains appropriate.</t>
      </text>
    </comment>
    <comment ref="F207" authorId="0" shapeId="0">
      <text>
        <t>Manual input: not supplied by SQL. Historical Schedule X(c)!F20 cached value: HICM. Do not assume it remains appropriate.</t>
      </text>
    </comment>
    <comment ref="G207" authorId="0" shapeId="0">
      <text>
        <t>Manual input: not supplied by SQL. Historical Schedule X(c)!G20 cached value: HICM. Do not assume it remains appropriate.</t>
      </text>
    </comment>
    <comment ref="E211" authorId="0" shapeId="0">
      <text>
        <t>Manual input: not supplied by SQL. Historical Schedule X(c)!E24 cached value: None. Do not assume it remains appropriate.</t>
      </text>
    </comment>
    <comment ref="F211" authorId="0" shapeId="0">
      <text>
        <t>Manual input: not supplied by SQL. Historical Schedule X(c)!F24 cached value: None. Do not assume it remains appropriate.</t>
      </text>
    </comment>
    <comment ref="E212" authorId="0" shapeId="0">
      <text>
        <t>Manual input: not supplied by SQL. Historical Schedule X(c)!E25 cached value: 5.545800233. Do not assume it remains appropriate.</t>
      </text>
    </comment>
    <comment ref="F212" authorId="0" shapeId="0">
      <text>
        <t>Manual input: not supplied by SQL. Historical Schedule X(c)!F25 cached value: 4.06. Do not assume it remains appropriate.</t>
      </text>
    </comment>
    <comment ref="E213" authorId="0" shapeId="0">
      <text>
        <t>Manual input: not supplied by SQL. Historical Schedule X(c)!E26 cached value: None. Do not assume it remains appropriate.</t>
      </text>
    </comment>
    <comment ref="F213" authorId="0" shapeId="0">
      <text>
        <t>Manual input: not supplied by SQL. Historical Schedule X(c)!F26 cached value: None. Do not assume it remains appropriate.</t>
      </text>
    </comment>
    <comment ref="E214" authorId="1" shapeId="0">
      <text>
        <t>Automatic from SQL input. Money is already USD: divide by 1,000,000 only. Counts are unscaled.</t>
      </text>
    </comment>
    <comment ref="F214" authorId="1" shapeId="0">
      <text>
        <t>Automatic from SQL input. Money is already USD: divide by 1,000,000 only. Counts are unscaled.</t>
      </text>
    </comment>
    <comment ref="F218" authorId="0" shapeId="0">
      <text>
        <t>Manual input: not supplied by SQL. Historical Schedule X(c)!F31 cached value: AIR and RMS. Do not assume it remains appropriate.</t>
      </text>
    </comment>
    <comment ref="F219" authorId="0" shapeId="0">
      <text>
        <t>Manual input: not supplied by SQL. Historical Schedule X(c)!F32 cached value: AIR vXX RMS vXX. Do not assume it remains appropriate.</t>
      </text>
    </comment>
    <comment ref="D225" authorId="0" shapeId="0">
      <text>
        <t>Manual input: not supplied by SQL. Historical Schedule X(c)!D38 cached value: HICM. Do not assume it remains appropriate.</t>
      </text>
    </comment>
    <comment ref="E225" authorId="0" shapeId="0">
      <text>
        <t>Manual input: not supplied by SQL. Historical Schedule X(c)!E38 cached value: HICM. Do not assume it remains appropriate.</t>
      </text>
    </comment>
    <comment ref="F225" authorId="0" shapeId="0">
      <text>
        <t>Manual input: not supplied by SQL. Historical Schedule X(c)!F38 cached value: HICM. Do not assume it remains appropriate.</t>
      </text>
    </comment>
    <comment ref="G225" authorId="0" shapeId="0">
      <text>
        <t>Manual input: not supplied by SQL. Historical Schedule X(c)!G38 cached value: HICM. Do not assume it remains appropriate.</t>
      </text>
    </comment>
    <comment ref="D226" authorId="0" shapeId="0">
      <text>
        <t>Manual input: not supplied by SQL. Historical Schedule X(c)!D39 cached value: HICM. Do not assume it remains appropriate.</t>
      </text>
    </comment>
    <comment ref="E226" authorId="0" shapeId="0">
      <text>
        <t>Manual input: not supplied by SQL. Historical Schedule X(c)!E39 cached value: HICM. Do not assume it remains appropriate.</t>
      </text>
    </comment>
    <comment ref="F226" authorId="0" shapeId="0">
      <text>
        <t>Manual input: not supplied by SQL. Historical Schedule X(c)!F39 cached value: HICM. Do not assume it remains appropriate.</t>
      </text>
    </comment>
    <comment ref="G226" authorId="0" shapeId="0">
      <text>
        <t>Manual input: not supplied by SQL. Historical Schedule X(c)!G39 cached value: HICM. Do not assume it remains appropriate.</t>
      </text>
    </comment>
    <comment ref="D227" authorId="0" shapeId="0">
      <text>
        <t>Manual input: not supplied by SQL. Historical Schedule X(c)!D40 cached value: HICM. Do not assume it remains appropriate.</t>
      </text>
    </comment>
    <comment ref="E227" authorId="0" shapeId="0">
      <text>
        <t>Manual input: not supplied by SQL. Historical Schedule X(c)!E40 cached value: HICM. Do not assume it remains appropriate.</t>
      </text>
    </comment>
    <comment ref="F227" authorId="0" shapeId="0">
      <text>
        <t>Manual input: not supplied by SQL. Historical Schedule X(c)!F40 cached value: HICM. Do not assume it remains appropriate.</t>
      </text>
    </comment>
    <comment ref="G227" authorId="0" shapeId="0">
      <text>
        <t>Manual input: not supplied by SQL. Historical Schedule X(c)!G40 cached value: HICM. Do not assume it remains appropriate.</t>
      </text>
    </comment>
    <comment ref="D228" authorId="0" shapeId="0">
      <text>
        <t>Manual input: not supplied by SQL. Historical Schedule X(c)!D41 cached value: HICM. Do not assume it remains appropriate.</t>
      </text>
    </comment>
    <comment ref="E228" authorId="0" shapeId="0">
      <text>
        <t>Manual input: not supplied by SQL. Historical Schedule X(c)!E41 cached value: HICM. Do not assume it remains appropriate.</t>
      </text>
    </comment>
    <comment ref="F228" authorId="0" shapeId="0">
      <text>
        <t>Manual input: not supplied by SQL. Historical Schedule X(c)!F41 cached value: HICM. Do not assume it remains appropriate.</t>
      </text>
    </comment>
    <comment ref="G228" authorId="0" shapeId="0">
      <text>
        <t>Manual input: not supplied by SQL. Historical Schedule X(c)!G41 cached value: HICM. Do not assume it remains appropriate.</t>
      </text>
    </comment>
    <comment ref="D229" authorId="0" shapeId="0">
      <text>
        <t>Manual input: not supplied by SQL. Historical Schedule X(c)!D42 cached value: HICM. Do not assume it remains appropriate.</t>
      </text>
    </comment>
    <comment ref="E229" authorId="0" shapeId="0">
      <text>
        <t>Manual input: not supplied by SQL. Historical Schedule X(c)!E42 cached value: HICM. Do not assume it remains appropriate.</t>
      </text>
    </comment>
    <comment ref="F229" authorId="0" shapeId="0">
      <text>
        <t>Manual input: not supplied by SQL. Historical Schedule X(c)!F42 cached value: HICM. Do not assume it remains appropriate.</t>
      </text>
    </comment>
    <comment ref="G229" authorId="0" shapeId="0">
      <text>
        <t>Manual input: not supplied by SQL. Historical Schedule X(c)!G42 cached value: HICM. Do not assume it remains appropriate.</t>
      </text>
    </comment>
    <comment ref="E233" authorId="0" shapeId="0">
      <text>
        <t>Manual input: not supplied by SQL. Historical Schedule X(c)!E46 cached value: None. Do not assume it remains appropriate.</t>
      </text>
    </comment>
    <comment ref="F233" authorId="0" shapeId="0">
      <text>
        <t>Manual input: not supplied by SQL. Historical Schedule X(c)!F46 cached value: None. Do not assume it remains appropriate.</t>
      </text>
    </comment>
    <comment ref="E234" authorId="0" shapeId="0">
      <text>
        <t>Manual input: not supplied by SQL. Historical Schedule X(c)!E47 cached value: 5.96. Do not assume it remains appropriate.</t>
      </text>
    </comment>
    <comment ref="F234" authorId="0" shapeId="0">
      <text>
        <t>Manual input: not supplied by SQL. Historical Schedule X(c)!F47 cached value: 4.33. Do not assume it remains appropriate.</t>
      </text>
    </comment>
    <comment ref="E235" authorId="0" shapeId="0">
      <text>
        <t>Manual input: not supplied by SQL. Historical Schedule X(c)!E48 cached value: None. Do not assume it remains appropriate.</t>
      </text>
    </comment>
    <comment ref="F235" authorId="0" shapeId="0">
      <text>
        <t>Manual input: not supplied by SQL. Historical Schedule X(c)!F48 cached value: None. Do not assume it remains appropriate.</t>
      </text>
    </comment>
    <comment ref="E236" authorId="1" shapeId="0">
      <text>
        <t>Automatic from SQL input. Money is already USD: divide by 1,000,000 only. Counts are unscaled.</t>
      </text>
    </comment>
    <comment ref="F236" authorId="1" shapeId="0">
      <text>
        <t>Automatic from SQL input. Money is already USD: divide by 1,000,000 only. Counts are unscaled.</t>
      </text>
    </comment>
    <comment ref="F240" authorId="0" shapeId="0">
      <text>
        <t>Manual input: not supplied by SQL. Historical Schedule X(c)!F53 cached value: AIR and RMS. Do not assume it remains appropriate.</t>
      </text>
    </comment>
    <comment ref="F241" authorId="0" shapeId="0">
      <text>
        <t>Manual input: not supplied by SQL. Historical Schedule X(c)!F54 cached value: AIR vXX RMS vXX. Do not assume it remains appropriate.</t>
      </text>
    </comment>
    <comment ref="D247" authorId="0" shapeId="0">
      <text>
        <t>Manual input: not supplied by SQL. Historical Schedule X(c)!D60 cached value: HICM. Do not assume it remains appropriate.</t>
      </text>
    </comment>
    <comment ref="E247" authorId="0" shapeId="0">
      <text>
        <t>Manual input: not supplied by SQL. Historical Schedule X(c)!E60 cached value: HICM. Do not assume it remains appropriate.</t>
      </text>
    </comment>
    <comment ref="F247" authorId="0" shapeId="0">
      <text>
        <t>Manual input: not supplied by SQL. Historical Schedule X(c)!F60 cached value: HICM. Do not assume it remains appropriate.</t>
      </text>
    </comment>
    <comment ref="G247" authorId="0" shapeId="0">
      <text>
        <t>Manual input: not supplied by SQL. Historical Schedule X(c)!G60 cached value: HICM. Do not assume it remains appropriate.</t>
      </text>
    </comment>
    <comment ref="D248" authorId="0" shapeId="0">
      <text>
        <t>Manual input: not supplied by SQL. Historical Schedule X(c)!D61 cached value: HICM. Do not assume it remains appropriate.</t>
      </text>
    </comment>
    <comment ref="E248" authorId="0" shapeId="0">
      <text>
        <t>Manual input: not supplied by SQL. Historical Schedule X(c)!E61 cached value: HICM. Do not assume it remains appropriate.</t>
      </text>
    </comment>
    <comment ref="F248" authorId="0" shapeId="0">
      <text>
        <t>Manual input: not supplied by SQL. Historical Schedule X(c)!F61 cached value: HICM. Do not assume it remains appropriate.</t>
      </text>
    </comment>
    <comment ref="G248" authorId="0" shapeId="0">
      <text>
        <t>Manual input: not supplied by SQL. Historical Schedule X(c)!G61 cached value: HICM. Do not assume it remains appropriate.</t>
      </text>
    </comment>
    <comment ref="D249" authorId="0" shapeId="0">
      <text>
        <t>Manual input: not supplied by SQL. Historical Schedule X(c)!D62 cached value: HICM. Do not assume it remains appropriate.</t>
      </text>
    </comment>
    <comment ref="E249" authorId="0" shapeId="0">
      <text>
        <t>Manual input: not supplied by SQL. Historical Schedule X(c)!E62 cached value: HICM. Do not assume it remains appropriate.</t>
      </text>
    </comment>
    <comment ref="F249" authorId="0" shapeId="0">
      <text>
        <t>Manual input: not supplied by SQL. Historical Schedule X(c)!F62 cached value: HICM. Do not assume it remains appropriate.</t>
      </text>
    </comment>
    <comment ref="G249" authorId="0" shapeId="0">
      <text>
        <t>Manual input: not supplied by SQL. Historical Schedule X(c)!G62 cached value: HICM. Do not assume it remains appropriate.</t>
      </text>
    </comment>
    <comment ref="D250" authorId="0" shapeId="0">
      <text>
        <t>Manual input: not supplied by SQL. Historical Schedule X(c)!D63 cached value: HICM. Do not assume it remains appropriate.</t>
      </text>
    </comment>
    <comment ref="E250" authorId="0" shapeId="0">
      <text>
        <t>Manual input: not supplied by SQL. Historical Schedule X(c)!E63 cached value: HICM. Do not assume it remains appropriate.</t>
      </text>
    </comment>
    <comment ref="F250" authorId="0" shapeId="0">
      <text>
        <t>Manual input: not supplied by SQL. Historical Schedule X(c)!F63 cached value: HICM. Do not assume it remains appropriate.</t>
      </text>
    </comment>
    <comment ref="G250" authorId="0" shapeId="0">
      <text>
        <t>Manual input: not supplied by SQL. Historical Schedule X(c)!G63 cached value: HICM. Do not assume it remains appropriate.</t>
      </text>
    </comment>
    <comment ref="D251" authorId="0" shapeId="0">
      <text>
        <t>Manual input: not supplied by SQL. Historical Schedule X(c)!D64 cached value: HICM. Do not assume it remains appropriate.</t>
      </text>
    </comment>
    <comment ref="E251" authorId="0" shapeId="0">
      <text>
        <t>Manual input: not supplied by SQL. Historical Schedule X(c)!E64 cached value: HICM. Do not assume it remains appropriate.</t>
      </text>
    </comment>
    <comment ref="F251" authorId="0" shapeId="0">
      <text>
        <t>Manual input: not supplied by SQL. Historical Schedule X(c)!F64 cached value: HICM. Do not assume it remains appropriate.</t>
      </text>
    </comment>
    <comment ref="G251" authorId="0" shapeId="0">
      <text>
        <t>Manual input: not supplied by SQL. Historical Schedule X(c)!G64 cached value: HICM. Do not assume it remains appropriate.</t>
      </text>
    </comment>
    <comment ref="E255" authorId="0" shapeId="0">
      <text>
        <t>Manual input: not supplied by SQL. Historical Schedule X(c)!E68 cached value: None. Do not assume it remains appropriate.</t>
      </text>
    </comment>
    <comment ref="F255" authorId="0" shapeId="0">
      <text>
        <t>Manual input: not supplied by SQL. Historical Schedule X(c)!F68 cached value: None. Do not assume it remains appropriate.</t>
      </text>
    </comment>
    <comment ref="E256" authorId="0" shapeId="0">
      <text>
        <t>Manual input: not supplied by SQL. Historical Schedule X(c)!E69 cached value: 28.96. Do not assume it remains appropriate.</t>
      </text>
    </comment>
    <comment ref="F256" authorId="0" shapeId="0">
      <text>
        <t>Manual input: not supplied by SQL. Historical Schedule X(c)!F69 cached value: 27.67. Do not assume it remains appropriate.</t>
      </text>
    </comment>
    <comment ref="E257" authorId="0" shapeId="0">
      <text>
        <t>Manual input: not supplied by SQL. Historical Schedule X(c)!E70 cached value: None. Do not assume it remains appropriate.</t>
      </text>
    </comment>
    <comment ref="F257" authorId="0" shapeId="0">
      <text>
        <t>Manual input: not supplied by SQL. Historical Schedule X(c)!F70 cached value: None. Do not assume it remains appropriate.</t>
      </text>
    </comment>
    <comment ref="E258" authorId="1" shapeId="0">
      <text>
        <t>Automatic from SQL input. Money is already USD: divide by 1,000,000 only. Counts are unscaled.</t>
      </text>
    </comment>
    <comment ref="F258" authorId="1" shapeId="0">
      <text>
        <t>Automatic from SQL input. Money is already USD: divide by 1,000,000 only. Counts are unscaled.</t>
      </text>
    </comment>
    <comment ref="F262" authorId="0" shapeId="0">
      <text>
        <t>Manual input: not supplied by SQL. Historical Schedule X(c)!F75 cached value: AIR and RMS. Do not assume it remains appropriate.</t>
      </text>
    </comment>
    <comment ref="F263" authorId="0" shapeId="0">
      <text>
        <t>Manual input: not supplied by SQL. Historical Schedule X(c)!F76 cached value: AIR vXX RMS vXX. Do not assume it remains appropriate.</t>
      </text>
    </comment>
    <comment ref="D269" authorId="0" shapeId="0">
      <text>
        <t>Manual input: not supplied by SQL. Historical Schedule X(c)!D82 cached value: HICM. Do not assume it remains appropriate.</t>
      </text>
    </comment>
    <comment ref="E269" authorId="0" shapeId="0">
      <text>
        <t>Manual input: not supplied by SQL. Historical Schedule X(c)!E82 cached value: HICM. Do not assume it remains appropriate.</t>
      </text>
    </comment>
    <comment ref="F269" authorId="0" shapeId="0">
      <text>
        <t>Manual input: not supplied by SQL. Historical Schedule X(c)!F82 cached value: HICM. Do not assume it remains appropriate.</t>
      </text>
    </comment>
    <comment ref="G269" authorId="0" shapeId="0">
      <text>
        <t>Manual input: not supplied by SQL. Historical Schedule X(c)!G82 cached value: HICM. Do not assume it remains appropriate.</t>
      </text>
    </comment>
    <comment ref="D270" authorId="0" shapeId="0">
      <text>
        <t>Manual input: not supplied by SQL. Historical Schedule X(c)!D83 cached value: HICM. Do not assume it remains appropriate.</t>
      </text>
    </comment>
    <comment ref="E270" authorId="0" shapeId="0">
      <text>
        <t>Manual input: not supplied by SQL. Historical Schedule X(c)!E83 cached value: HICM. Do not assume it remains appropriate.</t>
      </text>
    </comment>
    <comment ref="F270" authorId="0" shapeId="0">
      <text>
        <t>Manual input: not supplied by SQL. Historical Schedule X(c)!F83 cached value: HICM. Do not assume it remains appropriate.</t>
      </text>
    </comment>
    <comment ref="G270" authorId="0" shapeId="0">
      <text>
        <t>Manual input: not supplied by SQL. Historical Schedule X(c)!G83 cached value: HICM. Do not assume it remains appropriate.</t>
      </text>
    </comment>
    <comment ref="D271" authorId="0" shapeId="0">
      <text>
        <t>Manual input: not supplied by SQL. Historical Schedule X(c)!D84 cached value: HICM. Do not assume it remains appropriate.</t>
      </text>
    </comment>
    <comment ref="E271" authorId="0" shapeId="0">
      <text>
        <t>Manual input: not supplied by SQL. Historical Schedule X(c)!E84 cached value: HICM. Do not assume it remains appropriate.</t>
      </text>
    </comment>
    <comment ref="F271" authorId="0" shapeId="0">
      <text>
        <t>Manual input: not supplied by SQL. Historical Schedule X(c)!F84 cached value: HICM. Do not assume it remains appropriate.</t>
      </text>
    </comment>
    <comment ref="G271" authorId="0" shapeId="0">
      <text>
        <t>Manual input: not supplied by SQL. Historical Schedule X(c)!G84 cached value: HICM. Do not assume it remains appropriate.</t>
      </text>
    </comment>
    <comment ref="D272" authorId="0" shapeId="0">
      <text>
        <t>Manual input: not supplied by SQL. Historical Schedule X(c)!D85 cached value: HICM. Do not assume it remains appropriate.</t>
      </text>
    </comment>
    <comment ref="E272" authorId="0" shapeId="0">
      <text>
        <t>Manual input: not supplied by SQL. Historical Schedule X(c)!E85 cached value: HICM. Do not assume it remains appropriate.</t>
      </text>
    </comment>
    <comment ref="F272" authorId="0" shapeId="0">
      <text>
        <t>Manual input: not supplied by SQL. Historical Schedule X(c)!F85 cached value: HICM. Do not assume it remains appropriate.</t>
      </text>
    </comment>
    <comment ref="G272" authorId="0" shapeId="0">
      <text>
        <t>Manual input: not supplied by SQL. Historical Schedule X(c)!G85 cached value: HICM. Do not assume it remains appropriate.</t>
      </text>
    </comment>
    <comment ref="D273" authorId="0" shapeId="0">
      <text>
        <t>Manual input: not supplied by SQL. Historical Schedule X(c)!D86 cached value: HICM. Do not assume it remains appropriate.</t>
      </text>
    </comment>
    <comment ref="E273" authorId="0" shapeId="0">
      <text>
        <t>Manual input: not supplied by SQL. Historical Schedule X(c)!E86 cached value: HICM. Do not assume it remains appropriate.</t>
      </text>
    </comment>
    <comment ref="F273" authorId="0" shapeId="0">
      <text>
        <t>Manual input: not supplied by SQL. Historical Schedule X(c)!F86 cached value: HICM. Do not assume it remains appropriate.</t>
      </text>
    </comment>
    <comment ref="G273" authorId="0" shapeId="0">
      <text>
        <t>Manual input: not supplied by SQL. Historical Schedule X(c)!G86 cached value: HICM. Do not assume it remains appropriate.</t>
      </text>
    </comment>
    <comment ref="E277" authorId="0" shapeId="0">
      <text>
        <t>Manual input: not supplied by SQL. Historical Schedule X(c)!E90 cached value: None. Do not assume it remains appropriate.</t>
      </text>
    </comment>
    <comment ref="F277" authorId="0" shapeId="0">
      <text>
        <t>Manual input: not supplied by SQL. Historical Schedule X(c)!F90 cached value: None. Do not assume it remains appropriate.</t>
      </text>
    </comment>
    <comment ref="E278" authorId="0" shapeId="0">
      <text>
        <t>Manual input: not supplied by SQL. Historical Schedule X(c)!E91 cached value: 0.15. Do not assume it remains appropriate.</t>
      </text>
    </comment>
    <comment ref="F278" authorId="0" shapeId="0">
      <text>
        <t>Manual input: not supplied by SQL. Historical Schedule X(c)!F91 cached value: 0.11. Do not assume it remains appropriate.</t>
      </text>
    </comment>
    <comment ref="E279" authorId="0" shapeId="0">
      <text>
        <t>Manual input: not supplied by SQL. Historical Schedule X(c)!E92 cached value: None. Do not assume it remains appropriate.</t>
      </text>
    </comment>
    <comment ref="F279" authorId="0" shapeId="0">
      <text>
        <t>Manual input: not supplied by SQL. Historical Schedule X(c)!F92 cached value: None. Do not assume it remains appropriate.</t>
      </text>
    </comment>
    <comment ref="E280" authorId="1" shapeId="0">
      <text>
        <t>Automatic from SQL input. Money is already USD: divide by 1,000,000 only. Counts are unscaled.</t>
      </text>
    </comment>
    <comment ref="F280" authorId="1" shapeId="0">
      <text>
        <t>Automatic from SQL input. Money is already USD: divide by 1,000,000 only. Counts are unscaled.</t>
      </text>
    </comment>
    <comment ref="F284" authorId="0" shapeId="0">
      <text>
        <t>Manual input: not supplied by SQL. Historical Schedule X(c)!F97 cached value: AIR and RMS. Do not assume it remains appropriate.</t>
      </text>
    </comment>
    <comment ref="F285" authorId="0" shapeId="0">
      <text>
        <t>Manual input: not supplied by SQL. Historical Schedule X(c)!F98 cached value: AIR vXX RMS vXX. Do not assume it remains appropriate.</t>
      </text>
    </comment>
    <comment ref="D291" authorId="0" shapeId="0">
      <text>
        <t>Manual input: not supplied by SQL. Historical Schedule X(c)!D104 cached value: HICM. Do not assume it remains appropriate.</t>
      </text>
    </comment>
    <comment ref="E291" authorId="0" shapeId="0">
      <text>
        <t>Manual input: not supplied by SQL. Historical Schedule X(c)!E104 cached value: HICM. Do not assume it remains appropriate.</t>
      </text>
    </comment>
    <comment ref="F291" authorId="0" shapeId="0">
      <text>
        <t>Manual input: not supplied by SQL. Historical Schedule X(c)!F104 cached value: HICM. Do not assume it remains appropriate.</t>
      </text>
    </comment>
    <comment ref="G291" authorId="0" shapeId="0">
      <text>
        <t>Manual input: not supplied by SQL. Historical Schedule X(c)!G104 cached value: HICM. Do not assume it remains appropriate.</t>
      </text>
    </comment>
    <comment ref="D292" authorId="0" shapeId="0">
      <text>
        <t>Manual input: not supplied by SQL. Historical Schedule X(c)!D105 cached value: HICM. Do not assume it remains appropriate.</t>
      </text>
    </comment>
    <comment ref="E292" authorId="0" shapeId="0">
      <text>
        <t>Manual input: not supplied by SQL. Historical Schedule X(c)!E105 cached value: HICM. Do not assume it remains appropriate.</t>
      </text>
    </comment>
    <comment ref="F292" authorId="0" shapeId="0">
      <text>
        <t>Manual input: not supplied by SQL. Historical Schedule X(c)!F105 cached value: HICM. Do not assume it remains appropriate.</t>
      </text>
    </comment>
    <comment ref="G292" authorId="0" shapeId="0">
      <text>
        <t>Manual input: not supplied by SQL. Historical Schedule X(c)!G105 cached value: HICM. Do not assume it remains appropriate.</t>
      </text>
    </comment>
    <comment ref="D293" authorId="0" shapeId="0">
      <text>
        <t>Manual input: not supplied by SQL. Historical Schedule X(c)!D106 cached value: HICM. Do not assume it remains appropriate.</t>
      </text>
    </comment>
    <comment ref="E293" authorId="0" shapeId="0">
      <text>
        <t>Manual input: not supplied by SQL. Historical Schedule X(c)!E106 cached value: HICM. Do not assume it remains appropriate.</t>
      </text>
    </comment>
    <comment ref="F293" authorId="0" shapeId="0">
      <text>
        <t>Manual input: not supplied by SQL. Historical Schedule X(c)!F106 cached value: HICM. Do not assume it remains appropriate.</t>
      </text>
    </comment>
    <comment ref="G293" authorId="0" shapeId="0">
      <text>
        <t>Manual input: not supplied by SQL. Historical Schedule X(c)!G106 cached value: HICM. Do not assume it remains appropriate.</t>
      </text>
    </comment>
    <comment ref="D294" authorId="0" shapeId="0">
      <text>
        <t>Manual input: not supplied by SQL. Historical Schedule X(c)!D107 cached value: HICM. Do not assume it remains appropriate.</t>
      </text>
    </comment>
    <comment ref="E294" authorId="0" shapeId="0">
      <text>
        <t>Manual input: not supplied by SQL. Historical Schedule X(c)!E107 cached value: HICM. Do not assume it remains appropriate.</t>
      </text>
    </comment>
    <comment ref="F294" authorId="0" shapeId="0">
      <text>
        <t>Manual input: not supplied by SQL. Historical Schedule X(c)!F107 cached value: HICM. Do not assume it remains appropriate.</t>
      </text>
    </comment>
    <comment ref="G294" authorId="0" shapeId="0">
      <text>
        <t>Manual input: not supplied by SQL. Historical Schedule X(c)!G107 cached value: HICM. Do not assume it remains appropriate.</t>
      </text>
    </comment>
    <comment ref="D295" authorId="0" shapeId="0">
      <text>
        <t>Manual input: not supplied by SQL. Historical Schedule X(c)!D108 cached value: HICM. Do not assume it remains appropriate.</t>
      </text>
    </comment>
    <comment ref="E295" authorId="0" shapeId="0">
      <text>
        <t>Manual input: not supplied by SQL. Historical Schedule X(c)!E108 cached value: HICM. Do not assume it remains appropriate.</t>
      </text>
    </comment>
    <comment ref="F295" authorId="0" shapeId="0">
      <text>
        <t>Manual input: not supplied by SQL. Historical Schedule X(c)!F108 cached value: HICM. Do not assume it remains appropriate.</t>
      </text>
    </comment>
    <comment ref="G295" authorId="0" shapeId="0">
      <text>
        <t>Manual input: not supplied by SQL. Historical Schedule X(c)!G108 cached value: HICM. Do not assume it remains appropriate.</t>
      </text>
    </comment>
    <comment ref="E299" authorId="0" shapeId="0">
      <text>
        <t>Manual input: not supplied by SQL. Historical Schedule X(c)!E112 cached value: None. Do not assume it remains appropriate.</t>
      </text>
    </comment>
    <comment ref="F299" authorId="0" shapeId="0">
      <text>
        <t>Manual input: not supplied by SQL. Historical Schedule X(c)!F112 cached value: None. Do not assume it remains appropriate.</t>
      </text>
    </comment>
    <comment ref="E300" authorId="0" shapeId="0">
      <text>
        <t>Manual input: not supplied by SQL. Historical Schedule X(c)!E113 cached value: 0.15. Do not assume it remains appropriate.</t>
      </text>
    </comment>
    <comment ref="F300" authorId="0" shapeId="0">
      <text>
        <t>Manual input: not supplied by SQL. Historical Schedule X(c)!F113 cached value: 0.11. Do not assume it remains appropriate.</t>
      </text>
    </comment>
    <comment ref="E301" authorId="0" shapeId="0">
      <text>
        <t>Manual input: not supplied by SQL. Historical Schedule X(c)!E114 cached value: None. Do not assume it remains appropriate.</t>
      </text>
    </comment>
    <comment ref="F301" authorId="0" shapeId="0">
      <text>
        <t>Manual input: not supplied by SQL. Historical Schedule X(c)!F114 cached value: None. Do not assume it remains appropriate.</t>
      </text>
    </comment>
    <comment ref="E302" authorId="1" shapeId="0">
      <text>
        <t>Automatic from SQL input. Money is already USD: divide by 1,000,000 only. Counts are unscaled.</t>
      </text>
    </comment>
    <comment ref="F302" authorId="1" shapeId="0">
      <text>
        <t>Automatic from SQL input. Money is already USD: divide by 1,000,000 only. Counts are unscaled.</t>
      </text>
    </comment>
    <comment ref="E318" authorId="1" shapeId="0">
      <text>
        <t>Automatic from SQL input. Money is already USD: divide by 1,000,000 only. Counts are unscaled.</t>
      </text>
    </comment>
    <comment ref="F318" authorId="1" shapeId="0">
      <text>
        <t>Automatic from SQL input. Money is already USD: divide by 1,000,000 only. Counts are unscaled.</t>
      </text>
    </comment>
    <comment ref="G318" authorId="1" shapeId="0">
      <text>
        <t>Automatic from SQL input. Money is already USD: divide by 1,000,000 only. Counts are unscaled.</t>
      </text>
    </comment>
    <comment ref="H318" authorId="1" shapeId="0">
      <text>
        <t>Automatic from SQL input. Money is already USD: divide by 1,000,000 only. Counts are unscaled.</t>
      </text>
    </comment>
    <comment ref="I318" authorId="1" shapeId="0">
      <text>
        <t>Automatic from SQL input. Money is already USD: divide by 1,000,000 only. Counts are unscaled.</t>
      </text>
    </comment>
    <comment ref="J318" authorId="1" shapeId="0">
      <text>
        <t>Automatic from SQL input. Money is already USD: divide by 1,000,000 only. Counts are unscaled.</t>
      </text>
    </comment>
    <comment ref="K318" authorId="1" shapeId="0">
      <text>
        <t>Automatic from SQL input. Money is already USD: divide by 1,000,000 only. Counts are unscaled.</t>
      </text>
    </comment>
    <comment ref="L318" authorId="1" shapeId="0">
      <text>
        <t>Automatic from SQL input. Money is already USD: divide by 1,000,000 only. Counts are unscaled.</t>
      </text>
    </comment>
    <comment ref="M318" authorId="1" shapeId="0">
      <text>
        <t>Automatic from SQL input. Money is already USD: divide by 1,000,000 only. Counts are unscaled.</t>
      </text>
    </comment>
    <comment ref="E319" authorId="1" shapeId="0">
      <text>
        <t>Automatic from SQL input. Money is already USD: divide by 1,000,000 only. Counts are unscaled.</t>
      </text>
    </comment>
    <comment ref="F319" authorId="1" shapeId="0">
      <text>
        <t>Automatic from SQL input. Money is already USD: divide by 1,000,000 only. Counts are unscaled.</t>
      </text>
    </comment>
    <comment ref="G319" authorId="1" shapeId="0">
      <text>
        <t>Automatic from SQL input. Money is already USD: divide by 1,000,000 only. Counts are unscaled.</t>
      </text>
    </comment>
    <comment ref="H319" authorId="1" shapeId="0">
      <text>
        <t>Automatic from SQL input. Money is already USD: divide by 1,000,000 only. Counts are unscaled.</t>
      </text>
    </comment>
    <comment ref="I319" authorId="1" shapeId="0">
      <text>
        <t>Automatic from SQL input. Money is already USD: divide by 1,000,000 only. Counts are unscaled.</t>
      </text>
    </comment>
    <comment ref="J319" authorId="1" shapeId="0">
      <text>
        <t>Automatic from SQL input. Money is already USD: divide by 1,000,000 only. Counts are unscaled.</t>
      </text>
    </comment>
    <comment ref="K319" authorId="1" shapeId="0">
      <text>
        <t>Automatic from SQL input. Money is already USD: divide by 1,000,000 only. Counts are unscaled.</t>
      </text>
    </comment>
    <comment ref="L319" authorId="1" shapeId="0">
      <text>
        <t>Automatic from SQL input. Money is already USD: divide by 1,000,000 only. Counts are unscaled.</t>
      </text>
    </comment>
    <comment ref="M319" authorId="1" shapeId="0">
      <text>
        <t>Automatic from SQL input. Money is already USD: divide by 1,000,000 only. Counts are unscaled.</t>
      </text>
    </comment>
    <comment ref="E320" authorId="1" shapeId="0">
      <text>
        <t>Automatic from SQL input. Money is already USD: divide by 1,000,000 only. Counts are unscaled.</t>
      </text>
    </comment>
    <comment ref="F320" authorId="1" shapeId="0">
      <text>
        <t>Automatic from SQL input. Money is already USD: divide by 1,000,000 only. Counts are unscaled.</t>
      </text>
    </comment>
    <comment ref="G320" authorId="1" shapeId="0">
      <text>
        <t>Automatic from SQL input. Money is already USD: divide by 1,000,000 only. Counts are unscaled.</t>
      </text>
    </comment>
    <comment ref="H320" authorId="1" shapeId="0">
      <text>
        <t>Automatic from SQL input. Money is already USD: divide by 1,000,000 only. Counts are unscaled.</t>
      </text>
    </comment>
    <comment ref="I320" authorId="1" shapeId="0">
      <text>
        <t>Automatic from SQL input. Money is already USD: divide by 1,000,000 only. Counts are unscaled.</t>
      </text>
    </comment>
    <comment ref="J320" authorId="1" shapeId="0">
      <text>
        <t>Automatic from SQL input. Money is already USD: divide by 1,000,000 only. Counts are unscaled.</t>
      </text>
    </comment>
    <comment ref="K320" authorId="1" shapeId="0">
      <text>
        <t>Automatic from SQL input. Money is already USD: divide by 1,000,000 only. Counts are unscaled.</t>
      </text>
    </comment>
    <comment ref="L320" authorId="1" shapeId="0">
      <text>
        <t>Automatic from SQL input. Money is already USD: divide by 1,000,000 only. Counts are unscaled.</t>
      </text>
    </comment>
    <comment ref="M320" authorId="1" shapeId="0">
      <text>
        <t>Automatic from SQL input. Money is already USD: divide by 1,000,000 only. Counts are unscaled.</t>
      </text>
    </comment>
    <comment ref="E327" authorId="1" shapeId="0">
      <text>
        <t>Automatic from SQL input. Money is already USD: divide by 1,000,000 only. Counts are unscaled.</t>
      </text>
    </comment>
    <comment ref="F327" authorId="1" shapeId="0">
      <text>
        <t>Automatic from SQL input. Money is already USD: divide by 1,000,000 only. Counts are unscaled.</t>
      </text>
    </comment>
    <comment ref="G327" authorId="1" shapeId="0">
      <text>
        <t>Automatic from SQL input. Money is already USD: divide by 1,000,000 only. Counts are unscaled.</t>
      </text>
    </comment>
    <comment ref="H327" authorId="1" shapeId="0">
      <text>
        <t>Automatic from SQL input. Money is already USD: divide by 1,000,000 only. Counts are unscaled.</t>
      </text>
    </comment>
    <comment ref="I327" authorId="1" shapeId="0">
      <text>
        <t>Automatic from SQL input. Money is already USD: divide by 1,000,000 only. Counts are unscaled.</t>
      </text>
    </comment>
    <comment ref="J327" authorId="1" shapeId="0">
      <text>
        <t>Automatic from SQL input. Money is already USD: divide by 1,000,000 only. Counts are unscaled.</t>
      </text>
    </comment>
    <comment ref="K327" authorId="1" shapeId="0">
      <text>
        <t>Automatic from SQL input. Money is already USD: divide by 1,000,000 only. Counts are unscaled.</t>
      </text>
    </comment>
    <comment ref="L327" authorId="1" shapeId="0">
      <text>
        <t>Automatic from SQL input. Money is already USD: divide by 1,000,000 only. Counts are unscaled.</t>
      </text>
    </comment>
    <comment ref="M327" authorId="1" shapeId="0">
      <text>
        <t>Automatic from SQL input. Money is already USD: divide by 1,000,000 only. Counts are unscaled.</t>
      </text>
    </comment>
    <comment ref="E328" authorId="1" shapeId="0">
      <text>
        <t>Automatic from SQL input. Money is already USD: divide by 1,000,000 only. Counts are unscaled.</t>
      </text>
    </comment>
    <comment ref="F328" authorId="1" shapeId="0">
      <text>
        <t>Automatic from SQL input. Money is already USD: divide by 1,000,000 only. Counts are unscaled.</t>
      </text>
    </comment>
    <comment ref="G328" authorId="1" shapeId="0">
      <text>
        <t>Automatic from SQL input. Money is already USD: divide by 1,000,000 only. Counts are unscaled.</t>
      </text>
    </comment>
    <comment ref="H328" authorId="1" shapeId="0">
      <text>
        <t>Automatic from SQL input. Money is already USD: divide by 1,000,000 only. Counts are unscaled.</t>
      </text>
    </comment>
    <comment ref="I328" authorId="1" shapeId="0">
      <text>
        <t>Automatic from SQL input. Money is already USD: divide by 1,000,000 only. Counts are unscaled.</t>
      </text>
    </comment>
    <comment ref="J328" authorId="1" shapeId="0">
      <text>
        <t>Automatic from SQL input. Money is already USD: divide by 1,000,000 only. Counts are unscaled.</t>
      </text>
    </comment>
    <comment ref="K328" authorId="1" shapeId="0">
      <text>
        <t>Automatic from SQL input. Money is already USD: divide by 1,000,000 only. Counts are unscaled.</t>
      </text>
    </comment>
    <comment ref="L328" authorId="1" shapeId="0">
      <text>
        <t>Automatic from SQL input. Money is already USD: divide by 1,000,000 only. Counts are unscaled.</t>
      </text>
    </comment>
    <comment ref="M328" authorId="1" shapeId="0">
      <text>
        <t>Automatic from SQL input. Money is already USD: divide by 1,000,000 only. Counts are unscaled.</t>
      </text>
    </comment>
    <comment ref="E329" authorId="1" shapeId="0">
      <text>
        <t>Automatic from SQL input. Money is already USD: divide by 1,000,000 only. Counts are unscaled.</t>
      </text>
    </comment>
    <comment ref="F329" authorId="1" shapeId="0">
      <text>
        <t>Automatic from SQL input. Money is already USD: divide by 1,000,000 only. Counts are unscaled.</t>
      </text>
    </comment>
    <comment ref="G329" authorId="1" shapeId="0">
      <text>
        <t>Automatic from SQL input. Money is already USD: divide by 1,000,000 only. Counts are unscaled.</t>
      </text>
    </comment>
    <comment ref="H329" authorId="1" shapeId="0">
      <text>
        <t>Automatic from SQL input. Money is already USD: divide by 1,000,000 only. Counts are unscaled.</t>
      </text>
    </comment>
    <comment ref="I329" authorId="1" shapeId="0">
      <text>
        <t>Automatic from SQL input. Money is already USD: divide by 1,000,000 only. Counts are unscaled.</t>
      </text>
    </comment>
    <comment ref="J329" authorId="1" shapeId="0">
      <text>
        <t>Automatic from SQL input. Money is already USD: divide by 1,000,000 only. Counts are unscaled.</t>
      </text>
    </comment>
    <comment ref="K329" authorId="1" shapeId="0">
      <text>
        <t>Automatic from SQL input. Money is already USD: divide by 1,000,000 only. Counts are unscaled.</t>
      </text>
    </comment>
    <comment ref="L329" authorId="1" shapeId="0">
      <text>
        <t>Automatic from SQL input. Money is already USD: divide by 1,000,000 only. Counts are unscaled.</t>
      </text>
    </comment>
    <comment ref="M329" authorId="1" shapeId="0">
      <text>
        <t>Automatic from SQL input. Money is already USD: divide by 1,000,000 only. Counts are unscaled.</t>
      </text>
    </comment>
    <comment ref="E336" authorId="1" shapeId="0">
      <text>
        <t>Automatic from SQL input. Money is already USD: divide by 1,000,000 only. Counts are unscaled.</t>
      </text>
    </comment>
    <comment ref="F336" authorId="1" shapeId="0">
      <text>
        <t>Automatic from SQL input. Money is already USD: divide by 1,000,000 only. Counts are unscaled.</t>
      </text>
    </comment>
    <comment ref="G336" authorId="1" shapeId="0">
      <text>
        <t>Automatic from SQL input. Money is already USD: divide by 1,000,000 only. Counts are unscaled.</t>
      </text>
    </comment>
    <comment ref="H336" authorId="1" shapeId="0">
      <text>
        <t>Automatic from SQL input. Money is already USD: divide by 1,000,000 only. Counts are unscaled.</t>
      </text>
    </comment>
    <comment ref="I336" authorId="1" shapeId="0">
      <text>
        <t>Automatic from SQL input. Money is already USD: divide by 1,000,000 only. Counts are unscaled.</t>
      </text>
    </comment>
    <comment ref="J336" authorId="1" shapeId="0">
      <text>
        <t>Automatic from SQL input. Money is already USD: divide by 1,000,000 only. Counts are unscaled.</t>
      </text>
    </comment>
    <comment ref="K336" authorId="1" shapeId="0">
      <text>
        <t>Automatic from SQL input. Money is already USD: divide by 1,000,000 only. Counts are unscaled.</t>
      </text>
    </comment>
    <comment ref="L336" authorId="1" shapeId="0">
      <text>
        <t>Automatic from SQL input. Money is already USD: divide by 1,000,000 only. Counts are unscaled.</t>
      </text>
    </comment>
    <comment ref="M336" authorId="1" shapeId="0">
      <text>
        <t>Automatic from SQL input. Money is already USD: divide by 1,000,000 only. Counts are unscaled.</t>
      </text>
    </comment>
    <comment ref="E337" authorId="1" shapeId="0">
      <text>
        <t>Zero under the agreed geocode-proxy allocation; does not classify April manual reallocations.</t>
      </text>
    </comment>
    <comment ref="F337" authorId="1" shapeId="0">
      <text>
        <t>Zero under the agreed geocode-proxy allocation; does not classify April manual reallocations.</t>
      </text>
    </comment>
    <comment ref="G337" authorId="1" shapeId="0">
      <text>
        <t>Zero under the agreed geocode-proxy allocation; does not classify April manual reallocations.</t>
      </text>
    </comment>
    <comment ref="H337" authorId="1" shapeId="0">
      <text>
        <t>Zero under the agreed geocode-proxy allocation; does not classify April manual reallocations.</t>
      </text>
    </comment>
    <comment ref="I337" authorId="1" shapeId="0">
      <text>
        <t>Zero under the agreed geocode-proxy allocation; does not classify April manual reallocations.</t>
      </text>
    </comment>
    <comment ref="J337" authorId="1" shapeId="0">
      <text>
        <t>Zero under the agreed geocode-proxy allocation; does not classify April manual reallocations.</t>
      </text>
    </comment>
    <comment ref="K337" authorId="1" shapeId="0">
      <text>
        <t>Zero under the agreed geocode-proxy allocation; does not classify April manual reallocations.</t>
      </text>
    </comment>
    <comment ref="L337" authorId="1" shapeId="0">
      <text>
        <t>Zero under the agreed geocode-proxy allocation; does not classify April manual reallocations.</t>
      </text>
    </comment>
    <comment ref="M337" authorId="1" shapeId="0">
      <text>
        <t>Zero under the agreed geocode-proxy allocation; does not classify April manual reallocations.</t>
      </text>
    </comment>
    <comment ref="C338" authorId="0" shapeId="0">
      <text>
        <t>Manual input: not supplied by SQL. Historical Schedule X(f)!C30 cached value: A proxy peer insurer is selected and losses are derived from this insurer. Do not assume it remains appropriate.</t>
      </text>
    </comment>
    <comment ref="E338" authorId="1" shapeId="0">
      <text>
        <t>Zero under the agreed geocode-proxy allocation; does not classify April manual reallocations.</t>
      </text>
    </comment>
    <comment ref="F338" authorId="1" shapeId="0">
      <text>
        <t>Zero under the agreed geocode-proxy allocation; does not classify April manual reallocations.</t>
      </text>
    </comment>
    <comment ref="G338" authorId="1" shapeId="0">
      <text>
        <t>Zero under the agreed geocode-proxy allocation; does not classify April manual reallocations.</t>
      </text>
    </comment>
    <comment ref="H338" authorId="1" shapeId="0">
      <text>
        <t>Zero under the agreed geocode-proxy allocation; does not classify April manual reallocations.</t>
      </text>
    </comment>
    <comment ref="I338" authorId="1" shapeId="0">
      <text>
        <t>Zero under the agreed geocode-proxy allocation; does not classify April manual reallocations.</t>
      </text>
    </comment>
    <comment ref="J338" authorId="1" shapeId="0">
      <text>
        <t>Zero under the agreed geocode-proxy allocation; does not classify April manual reallocations.</t>
      </text>
    </comment>
    <comment ref="K338" authorId="1" shapeId="0">
      <text>
        <t>Zero under the agreed geocode-proxy allocation; does not classify April manual reallocations.</t>
      </text>
    </comment>
    <comment ref="L338" authorId="1" shapeId="0">
      <text>
        <t>Zero under the agreed geocode-proxy allocation; does not classify April manual reallocations.</t>
      </text>
    </comment>
    <comment ref="M338" authorId="1" shapeId="0">
      <text>
        <t>Zero under the agreed geocode-proxy allocation; does not classify April manual reallocations.</t>
      </text>
    </comment>
    <comment ref="C339" authorId="0" shapeId="0">
      <text>
        <t>Manual input: not supplied by SQL. Historical Schedule X(f)!C31 cached value: Derived from an industry loss curve utilising market share. Do not assume it remains appropriate.</t>
      </text>
    </comment>
    <comment ref="E339" authorId="1" shapeId="0">
      <text>
        <t>Zero under the agreed geocode-proxy allocation; does not classify April manual reallocations.</t>
      </text>
    </comment>
    <comment ref="F339" authorId="1" shapeId="0">
      <text>
        <t>Zero under the agreed geocode-proxy allocation; does not classify April manual reallocations.</t>
      </text>
    </comment>
    <comment ref="G339" authorId="1" shapeId="0">
      <text>
        <t>Zero under the agreed geocode-proxy allocation; does not classify April manual reallocations.</t>
      </text>
    </comment>
    <comment ref="H339" authorId="1" shapeId="0">
      <text>
        <t>Zero under the agreed geocode-proxy allocation; does not classify April manual reallocations.</t>
      </text>
    </comment>
    <comment ref="I339" authorId="1" shapeId="0">
      <text>
        <t>Zero under the agreed geocode-proxy allocation; does not classify April manual reallocations.</t>
      </text>
    </comment>
    <comment ref="J339" authorId="1" shapeId="0">
      <text>
        <t>Zero under the agreed geocode-proxy allocation; does not classify April manual reallocations.</t>
      </text>
    </comment>
    <comment ref="K339" authorId="1" shapeId="0">
      <text>
        <t>Zero under the agreed geocode-proxy allocation; does not classify April manual reallocations.</t>
      </text>
    </comment>
    <comment ref="L339" authorId="1" shapeId="0">
      <text>
        <t>Zero under the agreed geocode-proxy allocation; does not classify April manual reallocations.</t>
      </text>
    </comment>
    <comment ref="M339" authorId="1" shapeId="0">
      <text>
        <t>Zero under the agreed geocode-proxy allocation; does not classify April manual reallocations.</t>
      </text>
    </comment>
    <comment ref="E340" authorId="1" shapeId="0">
      <text>
        <t>Zero under the agreed geocode-proxy allocation; does not classify April manual reallocations.</t>
      </text>
    </comment>
    <comment ref="F340" authorId="1" shapeId="0">
      <text>
        <t>Zero under the agreed geocode-proxy allocation; does not classify April manual reallocations.</t>
      </text>
    </comment>
    <comment ref="G340" authorId="1" shapeId="0">
      <text>
        <t>Zero under the agreed geocode-proxy allocation; does not classify April manual reallocations.</t>
      </text>
    </comment>
    <comment ref="H340" authorId="1" shapeId="0">
      <text>
        <t>Zero under the agreed geocode-proxy allocation; does not classify April manual reallocations.</t>
      </text>
    </comment>
    <comment ref="I340" authorId="1" shapeId="0">
      <text>
        <t>Zero under the agreed geocode-proxy allocation; does not classify April manual reallocations.</t>
      </text>
    </comment>
    <comment ref="J340" authorId="1" shapeId="0">
      <text>
        <t>Zero under the agreed geocode-proxy allocation; does not classify April manual reallocations.</t>
      </text>
    </comment>
    <comment ref="K340" authorId="1" shapeId="0">
      <text>
        <t>Zero under the agreed geocode-proxy allocation; does not classify April manual reallocations.</t>
      </text>
    </comment>
    <comment ref="L340" authorId="1" shapeId="0">
      <text>
        <t>Zero under the agreed geocode-proxy allocation; does not classify April manual reallocations.</t>
      </text>
    </comment>
    <comment ref="M340" authorId="1" shapeId="0">
      <text>
        <t>Zero under the agreed geocode-proxy allocation; does not classify April manual reallocations.</t>
      </text>
    </comment>
    <comment ref="E341" authorId="1" shapeId="0">
      <text>
        <t>Automatic from SQL input. Money is already USD: divide by 1,000,000 only. Counts are unscaled.</t>
      </text>
    </comment>
    <comment ref="F341" authorId="1" shapeId="0">
      <text>
        <t>Automatic from SQL input. Money is already USD: divide by 1,000,000 only. Counts are unscaled.</t>
      </text>
    </comment>
    <comment ref="G341" authorId="1" shapeId="0">
      <text>
        <t>Automatic from SQL input. Money is already USD: divide by 1,000,000 only. Counts are unscaled.</t>
      </text>
    </comment>
    <comment ref="H341" authorId="1" shapeId="0">
      <text>
        <t>Automatic from SQL input. Money is already USD: divide by 1,000,000 only. Counts are unscaled.</t>
      </text>
    </comment>
    <comment ref="I341" authorId="1" shapeId="0">
      <text>
        <t>Automatic from SQL input. Money is already USD: divide by 1,000,000 only. Counts are unscaled.</t>
      </text>
    </comment>
    <comment ref="J341" authorId="1" shapeId="0">
      <text>
        <t>Automatic from SQL input. Money is already USD: divide by 1,000,000 only. Counts are unscaled.</t>
      </text>
    </comment>
    <comment ref="K341" authorId="1" shapeId="0">
      <text>
        <t>Automatic from SQL input. Money is already USD: divide by 1,000,000 only. Counts are unscaled.</t>
      </text>
    </comment>
    <comment ref="L341" authorId="1" shapeId="0">
      <text>
        <t>Automatic from SQL input. Money is already USD: divide by 1,000,000 only. Counts are unscaled.</t>
      </text>
    </comment>
    <comment ref="M341" authorId="1" shapeId="0">
      <text>
        <t>Automatic from SQL input. Money is already USD: divide by 1,000,000 only. Counts are unscaled.</t>
      </text>
    </comment>
    <comment ref="C344" authorId="0" shapeId="0">
      <text>
        <t>Manual input: not supplied by SQL. Historical Schedule X(f)!C36 cached value: None. Do not assume it remains appropriate.</t>
      </text>
    </comment>
    <comment ref="E351" authorId="1" shapeId="0">
      <text>
        <t>Automatic from SQL input. Money is already USD: divide by 1,000,000 only. Counts are unscaled.</t>
      </text>
    </comment>
    <comment ref="F351" authorId="1" shapeId="0">
      <text>
        <t>Automatic from SQL input. Money is already USD: divide by 1,000,000 only. Counts are unscaled.</t>
      </text>
    </comment>
    <comment ref="G351" authorId="1" shapeId="0">
      <text>
        <t>Automatic from SQL input. Money is already USD: divide by 1,000,000 only. Counts are unscaled.</t>
      </text>
    </comment>
    <comment ref="H351" authorId="1" shapeId="0">
      <text>
        <t>Automatic from SQL input. Money is already USD: divide by 1,000,000 only. Counts are unscaled.</t>
      </text>
    </comment>
    <comment ref="I351" authorId="1" shapeId="0">
      <text>
        <t>Automatic from SQL input. Money is already USD: divide by 1,000,000 only. Counts are unscaled.</t>
      </text>
    </comment>
    <comment ref="J351" authorId="1" shapeId="0">
      <text>
        <t>Automatic from SQL input. Money is already USD: divide by 1,000,000 only. Counts are unscaled.</t>
      </text>
    </comment>
    <comment ref="K351" authorId="1" shapeId="0">
      <text>
        <t>Automatic from SQL input. Money is already USD: divide by 1,000,000 only. Counts are unscaled.</t>
      </text>
    </comment>
    <comment ref="L351" authorId="1" shapeId="0">
      <text>
        <t>Automatic from SQL input. Money is already USD: divide by 1,000,000 only. Counts are unscaled.</t>
      </text>
    </comment>
    <comment ref="M351" authorId="1" shapeId="0">
      <text>
        <t>Automatic from SQL input. Money is already USD: divide by 1,000,000 only. Counts are unscaled.</t>
      </text>
    </comment>
    <comment ref="E352" authorId="1" shapeId="0">
      <text>
        <t>Zero under the agreed geocode-proxy allocation; does not classify April manual reallocations.</t>
      </text>
    </comment>
    <comment ref="F352" authorId="1" shapeId="0">
      <text>
        <t>Zero under the agreed geocode-proxy allocation; does not classify April manual reallocations.</t>
      </text>
    </comment>
    <comment ref="G352" authorId="1" shapeId="0">
      <text>
        <t>Zero under the agreed geocode-proxy allocation; does not classify April manual reallocations.</t>
      </text>
    </comment>
    <comment ref="H352" authorId="1" shapeId="0">
      <text>
        <t>Zero under the agreed geocode-proxy allocation; does not classify April manual reallocations.</t>
      </text>
    </comment>
    <comment ref="I352" authorId="1" shapeId="0">
      <text>
        <t>Zero under the agreed geocode-proxy allocation; does not classify April manual reallocations.</t>
      </text>
    </comment>
    <comment ref="J352" authorId="1" shapeId="0">
      <text>
        <t>Zero under the agreed geocode-proxy allocation; does not classify April manual reallocations.</t>
      </text>
    </comment>
    <comment ref="K352" authorId="1" shapeId="0">
      <text>
        <t>Zero under the agreed geocode-proxy allocation; does not classify April manual reallocations.</t>
      </text>
    </comment>
    <comment ref="L352" authorId="1" shapeId="0">
      <text>
        <t>Zero under the agreed geocode-proxy allocation; does not classify April manual reallocations.</t>
      </text>
    </comment>
    <comment ref="M352" authorId="1" shapeId="0">
      <text>
        <t>Zero under the agreed geocode-proxy allocation; does not classify April manual reallocations.</t>
      </text>
    </comment>
    <comment ref="E353" authorId="1" shapeId="0">
      <text>
        <t>Zero under the agreed geocode-proxy allocation; does not classify April manual reallocations.</t>
      </text>
    </comment>
    <comment ref="F353" authorId="1" shapeId="0">
      <text>
        <t>Zero under the agreed geocode-proxy allocation; does not classify April manual reallocations.</t>
      </text>
    </comment>
    <comment ref="G353" authorId="1" shapeId="0">
      <text>
        <t>Zero under the agreed geocode-proxy allocation; does not classify April manual reallocations.</t>
      </text>
    </comment>
    <comment ref="H353" authorId="1" shapeId="0">
      <text>
        <t>Zero under the agreed geocode-proxy allocation; does not classify April manual reallocations.</t>
      </text>
    </comment>
    <comment ref="I353" authorId="1" shapeId="0">
      <text>
        <t>Zero under the agreed geocode-proxy allocation; does not classify April manual reallocations.</t>
      </text>
    </comment>
    <comment ref="J353" authorId="1" shapeId="0">
      <text>
        <t>Zero under the agreed geocode-proxy allocation; does not classify April manual reallocations.</t>
      </text>
    </comment>
    <comment ref="K353" authorId="1" shapeId="0">
      <text>
        <t>Zero under the agreed geocode-proxy allocation; does not classify April manual reallocations.</t>
      </text>
    </comment>
    <comment ref="L353" authorId="1" shapeId="0">
      <text>
        <t>Zero under the agreed geocode-proxy allocation; does not classify April manual reallocations.</t>
      </text>
    </comment>
    <comment ref="M353" authorId="1" shapeId="0">
      <text>
        <t>Zero under the agreed geocode-proxy allocation; does not classify April manual reallocations.</t>
      </text>
    </comment>
    <comment ref="E354" authorId="1" shapeId="0">
      <text>
        <t>Automatic from SQL input. Money is already USD: divide by 1,000,000 only. Counts are unscaled.</t>
      </text>
    </comment>
    <comment ref="F354" authorId="1" shapeId="0">
      <text>
        <t>Automatic from SQL input. Money is already USD: divide by 1,000,000 only. Counts are unscaled.</t>
      </text>
    </comment>
    <comment ref="G354" authorId="1" shapeId="0">
      <text>
        <t>Automatic from SQL input. Money is already USD: divide by 1,000,000 only. Counts are unscaled.</t>
      </text>
    </comment>
    <comment ref="H354" authorId="1" shapeId="0">
      <text>
        <t>Automatic from SQL input. Money is already USD: divide by 1,000,000 only. Counts are unscaled.</t>
      </text>
    </comment>
    <comment ref="I354" authorId="1" shapeId="0">
      <text>
        <t>Automatic from SQL input. Money is already USD: divide by 1,000,000 only. Counts are unscaled.</t>
      </text>
    </comment>
    <comment ref="J354" authorId="1" shapeId="0">
      <text>
        <t>Automatic from SQL input. Money is already USD: divide by 1,000,000 only. Counts are unscaled.</t>
      </text>
    </comment>
    <comment ref="K354" authorId="1" shapeId="0">
      <text>
        <t>Automatic from SQL input. Money is already USD: divide by 1,000,000 only. Counts are unscaled.</t>
      </text>
    </comment>
    <comment ref="L354" authorId="1" shapeId="0">
      <text>
        <t>Automatic from SQL input. Money is already USD: divide by 1,000,000 only. Counts are unscaled.</t>
      </text>
    </comment>
    <comment ref="M354" authorId="1" shapeId="0">
      <text>
        <t>Automatic from SQL input. Money is already USD: divide by 1,000,000 only. Counts are unscaled.</t>
      </text>
    </comment>
    <comment ref="C357" authorId="0" shapeId="0">
      <text>
        <t>Manual input: not supplied by SQL. Historical Schedule X(f)!C49 cached value: Territories covered individually too small to require modelled assessment of exposure. Do not assume it remains appropriate.</t>
      </text>
    </comment>
    <comment ref="C361" authorId="0" shapeId="0">
      <text>
        <t>Manual input: not supplied by SQL. Historical Schedule X(f)!C53 cached value: None. Do not assume it remains appropriate.</t>
      </text>
    </comment>
    <comment ref="E368" authorId="1" shapeId="0">
      <text>
        <t>Automatic from SQL input. Money is already USD: divide by 1,000,000 only. Counts are unscaled.</t>
      </text>
    </comment>
    <comment ref="F368" authorId="1" shapeId="0">
      <text>
        <t>Automatic from SQL input. Money is already USD: divide by 1,000,000 only. Counts are unscaled.</t>
      </text>
    </comment>
    <comment ref="G368" authorId="1" shapeId="0">
      <text>
        <t>Automatic from SQL input. Money is already USD: divide by 1,000,000 only. Counts are unscaled.</t>
      </text>
    </comment>
    <comment ref="H368" authorId="1" shapeId="0">
      <text>
        <t>Automatic from SQL input. Money is already USD: divide by 1,000,000 only. Counts are unscaled.</t>
      </text>
    </comment>
    <comment ref="I368" authorId="1" shapeId="0">
      <text>
        <t>Automatic from SQL input. Money is already USD: divide by 1,000,000 only. Counts are unscaled.</t>
      </text>
    </comment>
    <comment ref="J368" authorId="1" shapeId="0">
      <text>
        <t>Automatic from SQL input. Money is already USD: divide by 1,000,000 only. Counts are unscaled.</t>
      </text>
    </comment>
    <comment ref="K368" authorId="1" shapeId="0">
      <text>
        <t>Automatic from SQL input. Money is already USD: divide by 1,000,000 only. Counts are unscaled.</t>
      </text>
    </comment>
    <comment ref="L368" authorId="1" shapeId="0">
      <text>
        <t>Automatic from SQL input. Money is already USD: divide by 1,000,000 only. Counts are unscaled.</t>
      </text>
    </comment>
    <comment ref="M368" authorId="1" shapeId="0">
      <text>
        <t>Automatic from SQL input. Money is already USD: divide by 1,000,000 only. Counts are unscaled.</t>
      </text>
    </comment>
    <comment ref="E369" authorId="1" shapeId="0">
      <text>
        <t>Zero under the agreed geocode-proxy allocation; does not classify April manual reallocations.</t>
      </text>
    </comment>
    <comment ref="F369" authorId="1" shapeId="0">
      <text>
        <t>Zero under the agreed geocode-proxy allocation; does not classify April manual reallocations.</t>
      </text>
    </comment>
    <comment ref="G369" authorId="1" shapeId="0">
      <text>
        <t>Zero under the agreed geocode-proxy allocation; does not classify April manual reallocations.</t>
      </text>
    </comment>
    <comment ref="H369" authorId="1" shapeId="0">
      <text>
        <t>Zero under the agreed geocode-proxy allocation; does not classify April manual reallocations.</t>
      </text>
    </comment>
    <comment ref="I369" authorId="1" shapeId="0">
      <text>
        <t>Zero under the agreed geocode-proxy allocation; does not classify April manual reallocations.</t>
      </text>
    </comment>
    <comment ref="J369" authorId="1" shapeId="0">
      <text>
        <t>Zero under the agreed geocode-proxy allocation; does not classify April manual reallocations.</t>
      </text>
    </comment>
    <comment ref="K369" authorId="1" shapeId="0">
      <text>
        <t>Zero under the agreed geocode-proxy allocation; does not classify April manual reallocations.</t>
      </text>
    </comment>
    <comment ref="L369" authorId="1" shapeId="0">
      <text>
        <t>Zero under the agreed geocode-proxy allocation; does not classify April manual reallocations.</t>
      </text>
    </comment>
    <comment ref="M369" authorId="1" shapeId="0">
      <text>
        <t>Zero under the agreed geocode-proxy allocation; does not classify April manual reallocations.</t>
      </text>
    </comment>
    <comment ref="E370" authorId="1" shapeId="0">
      <text>
        <t>Zero under the agreed geocode-proxy allocation; does not classify April manual reallocations.</t>
      </text>
    </comment>
    <comment ref="F370" authorId="1" shapeId="0">
      <text>
        <t>Zero under the agreed geocode-proxy allocation; does not classify April manual reallocations.</t>
      </text>
    </comment>
    <comment ref="G370" authorId="1" shapeId="0">
      <text>
        <t>Zero under the agreed geocode-proxy allocation; does not classify April manual reallocations.</t>
      </text>
    </comment>
    <comment ref="H370" authorId="1" shapeId="0">
      <text>
        <t>Zero under the agreed geocode-proxy allocation; does not classify April manual reallocations.</t>
      </text>
    </comment>
    <comment ref="I370" authorId="1" shapeId="0">
      <text>
        <t>Zero under the agreed geocode-proxy allocation; does not classify April manual reallocations.</t>
      </text>
    </comment>
    <comment ref="J370" authorId="1" shapeId="0">
      <text>
        <t>Zero under the agreed geocode-proxy allocation; does not classify April manual reallocations.</t>
      </text>
    </comment>
    <comment ref="K370" authorId="1" shapeId="0">
      <text>
        <t>Zero under the agreed geocode-proxy allocation; does not classify April manual reallocations.</t>
      </text>
    </comment>
    <comment ref="L370" authorId="1" shapeId="0">
      <text>
        <t>Zero under the agreed geocode-proxy allocation; does not classify April manual reallocations.</t>
      </text>
    </comment>
    <comment ref="M370" authorId="1" shapeId="0">
      <text>
        <t>Zero under the agreed geocode-proxy allocation; does not classify April manual reallocations.</t>
      </text>
    </comment>
    <comment ref="E371" authorId="1" shapeId="0">
      <text>
        <t>Zero under the agreed geocode-proxy allocation; does not classify April manual reallocations.</t>
      </text>
    </comment>
    <comment ref="F371" authorId="1" shapeId="0">
      <text>
        <t>Zero under the agreed geocode-proxy allocation; does not classify April manual reallocations.</t>
      </text>
    </comment>
    <comment ref="G371" authorId="1" shapeId="0">
      <text>
        <t>Zero under the agreed geocode-proxy allocation; does not classify April manual reallocations.</t>
      </text>
    </comment>
    <comment ref="H371" authorId="1" shapeId="0">
      <text>
        <t>Zero under the agreed geocode-proxy allocation; does not classify April manual reallocations.</t>
      </text>
    </comment>
    <comment ref="I371" authorId="1" shapeId="0">
      <text>
        <t>Zero under the agreed geocode-proxy allocation; does not classify April manual reallocations.</t>
      </text>
    </comment>
    <comment ref="J371" authorId="1" shapeId="0">
      <text>
        <t>Zero under the agreed geocode-proxy allocation; does not classify April manual reallocations.</t>
      </text>
    </comment>
    <comment ref="K371" authorId="1" shapeId="0">
      <text>
        <t>Zero under the agreed geocode-proxy allocation; does not classify April manual reallocations.</t>
      </text>
    </comment>
    <comment ref="L371" authorId="1" shapeId="0">
      <text>
        <t>Zero under the agreed geocode-proxy allocation; does not classify April manual reallocations.</t>
      </text>
    </comment>
    <comment ref="M371" authorId="1" shapeId="0">
      <text>
        <t>Zero under the agreed geocode-proxy allocation; does not classify April manual reallocations.</t>
      </text>
    </comment>
    <comment ref="E372" authorId="1" shapeId="0">
      <text>
        <t>Automatic from SQL input. Money is already USD: divide by 1,000,000 only. Counts are unscaled.</t>
      </text>
    </comment>
    <comment ref="F372" authorId="1" shapeId="0">
      <text>
        <t>Automatic from SQL input. Money is already USD: divide by 1,000,000 only. Counts are unscaled.</t>
      </text>
    </comment>
    <comment ref="G372" authorId="1" shapeId="0">
      <text>
        <t>Automatic from SQL input. Money is already USD: divide by 1,000,000 only. Counts are unscaled.</t>
      </text>
    </comment>
    <comment ref="H372" authorId="1" shapeId="0">
      <text>
        <t>Automatic from SQL input. Money is already USD: divide by 1,000,000 only. Counts are unscaled.</t>
      </text>
    </comment>
    <comment ref="I372" authorId="1" shapeId="0">
      <text>
        <t>Automatic from SQL input. Money is already USD: divide by 1,000,000 only. Counts are unscaled.</t>
      </text>
    </comment>
    <comment ref="J372" authorId="1" shapeId="0">
      <text>
        <t>Automatic from SQL input. Money is already USD: divide by 1,000,000 only. Counts are unscaled.</t>
      </text>
    </comment>
    <comment ref="K372" authorId="1" shapeId="0">
      <text>
        <t>Automatic from SQL input. Money is already USD: divide by 1,000,000 only. Counts are unscaled.</t>
      </text>
    </comment>
    <comment ref="L372" authorId="1" shapeId="0">
      <text>
        <t>Automatic from SQL input. Money is already USD: divide by 1,000,000 only. Counts are unscaled.</t>
      </text>
    </comment>
    <comment ref="M372" authorId="1" shapeId="0">
      <text>
        <t>Automatic from SQL input. Money is already USD: divide by 1,000,000 only. Counts are unscaled.</t>
      </text>
    </comment>
    <comment ref="C375" authorId="0" shapeId="0">
      <text>
        <t>Manual input: not supplied by SQL. Historical Schedule X(f)!C67 cached value: None. Do not assume it remains appropriate.</t>
      </text>
    </comment>
    <comment ref="I378" authorId="0" shapeId="0">
      <text>
        <t>Manual input: not supplied by SQL. Historical Schedule X(f)!I70 cached value: None. Do not assume it remains appropriate.</t>
      </text>
    </comment>
    <comment ref="C382" authorId="0" shapeId="0">
      <text>
        <t>Manual input: not supplied by SQL. Historical Schedule X(f)!C74 cached value: None. Do not assume it remains appropriate.</t>
      </text>
    </comment>
    <comment ref="C386" authorId="0" shapeId="0">
      <text>
        <t>Manual input: not supplied by SQL. Historical Schedule X(f)!C78 cached value: None. Do not assume it remains appropriate.</t>
      </text>
    </comment>
  </commentList>
</comments>
</file>

<file path=xl/comments/comment3.xml><?xml version="1.0" encoding="utf-8"?>
<comments xmlns="http://schemas.openxmlformats.org/spreadsheetml/2006/main">
  <authors>
    <author>Manual field</author>
    <author>BSCR mapping</author>
  </authors>
  <commentList>
    <comment ref="E16" authorId="0" shapeId="0">
      <text>
        <t>Manual input: not supplied by SQL. Historical Schedule X(a)!E9 cached value: HICM. Do not assume it remains appropriate.</t>
      </text>
    </comment>
    <comment ref="F16" authorId="0" shapeId="0">
      <text>
        <t>Manual input: not supplied by SQL. Historical Schedule X(a)!F9 cached value: HICM. Do not assume it remains appropriate.</t>
      </text>
    </comment>
    <comment ref="G16" authorId="0" shapeId="0">
      <text>
        <t>Manual input: not supplied by SQL. Historical Schedule X(a)!G9 cached value: HICM. Do not assume it remains appropriate.</t>
      </text>
    </comment>
    <comment ref="H16" authorId="0" shapeId="0">
      <text>
        <t>Manual input: not supplied by SQL. Historical Schedule X(a)!H9 cached value: HICM. Do not assume it remains appropriate.</t>
      </text>
    </comment>
    <comment ref="E17" authorId="0" shapeId="0">
      <text>
        <t>Manual input: not supplied by SQL. Historical Schedule X(a)!E10 cached value: HICM. Do not assume it remains appropriate.</t>
      </text>
    </comment>
    <comment ref="F17" authorId="0" shapeId="0">
      <text>
        <t>Manual input: not supplied by SQL. Historical Schedule X(a)!F10 cached value: HICM. Do not assume it remains appropriate.</t>
      </text>
    </comment>
    <comment ref="G17" authorId="0" shapeId="0">
      <text>
        <t>Manual input: not supplied by SQL. Historical Schedule X(a)!G10 cached value: HICM. Do not assume it remains appropriate.</t>
      </text>
    </comment>
    <comment ref="H17" authorId="0" shapeId="0">
      <text>
        <t>Manual input: not supplied by SQL. Historical Schedule X(a)!H10 cached value: HICM. Do not assume it remains appropriate.</t>
      </text>
    </comment>
    <comment ref="E18" authorId="0" shapeId="0">
      <text>
        <t>Manual input: not supplied by SQL. Historical Schedule X(a)!E11 cached value: HICM. Do not assume it remains appropriate.</t>
      </text>
    </comment>
    <comment ref="F18" authorId="0" shapeId="0">
      <text>
        <t>Manual input: not supplied by SQL. Historical Schedule X(a)!F11 cached value: HICM. Do not assume it remains appropriate.</t>
      </text>
    </comment>
    <comment ref="G18" authorId="0" shapeId="0">
      <text>
        <t>Manual input: not supplied by SQL. Historical Schedule X(a)!G11 cached value: HICM. Do not assume it remains appropriate.</t>
      </text>
    </comment>
    <comment ref="H18" authorId="0" shapeId="0">
      <text>
        <t>Manual input: not supplied by SQL. Historical Schedule X(a)!H11 cached value: HICM. Do not assume it remains appropriate.</t>
      </text>
    </comment>
    <comment ref="E19" authorId="0" shapeId="0">
      <text>
        <t>Manual input: not supplied by SQL. Historical Schedule X(a)!E12 cached value: HICM. Do not assume it remains appropriate.</t>
      </text>
    </comment>
    <comment ref="F19" authorId="0" shapeId="0">
      <text>
        <t>Manual input: not supplied by SQL. Historical Schedule X(a)!F12 cached value: HICM. Do not assume it remains appropriate.</t>
      </text>
    </comment>
    <comment ref="G19" authorId="0" shapeId="0">
      <text>
        <t>Manual input: not supplied by SQL. Historical Schedule X(a)!G12 cached value: HICM. Do not assume it remains appropriate.</t>
      </text>
    </comment>
    <comment ref="H19" authorId="0" shapeId="0">
      <text>
        <t>Manual input: not supplied by SQL. Historical Schedule X(a)!H12 cached value: HICM. Do not assume it remains appropriate.</t>
      </text>
    </comment>
    <comment ref="E20" authorId="0" shapeId="0">
      <text>
        <t>Manual input: not supplied by SQL. Historical Schedule X(a)!E13 cached value: HICM. Do not assume it remains appropriate.</t>
      </text>
    </comment>
    <comment ref="F20" authorId="0" shapeId="0">
      <text>
        <t>Manual input: not supplied by SQL. Historical Schedule X(a)!F13 cached value: HICM. Do not assume it remains appropriate.</t>
      </text>
    </comment>
    <comment ref="G20" authorId="0" shapeId="0">
      <text>
        <t>Manual input: not supplied by SQL. Historical Schedule X(a)!G13 cached value: HICM. Do not assume it remains appropriate.</t>
      </text>
    </comment>
    <comment ref="H20" authorId="0" shapeId="0">
      <text>
        <t>Manual input: not supplied by SQL. Historical Schedule X(a)!H13 cached value: HICM. Do not assume it remains appropriate.</t>
      </text>
    </comment>
    <comment ref="E23" authorId="0" shapeId="0">
      <text>
        <t>Manual input: not supplied by SQL. Historical Schedule X(a)!E16 cached value: HICM. Do not assume it remains appropriate.</t>
      </text>
    </comment>
    <comment ref="J23" authorId="0" shapeId="0">
      <text>
        <t>Manual input: not supplied by SQL. Historical Schedule X(a)!J16 cached value: HICM. Do not assume it remains appropriate.</t>
      </text>
    </comment>
    <comment ref="J24" authorId="0" shapeId="0">
      <text>
        <t>Manual input: not supplied by SQL. Historical Schedule X(a)!J17 cached value: HICM. Do not assume it remains appropriate.</t>
      </text>
    </comment>
    <comment ref="E25" authorId="0" shapeId="0">
      <text>
        <t>Manual input: not supplied by SQL. Historical Schedule X(a)!E18 cached value: HICM. Do not assume it remains appropriate.</t>
      </text>
    </comment>
    <comment ref="J25" authorId="0" shapeId="0">
      <text>
        <t>Manual input: not supplied by SQL. Historical Schedule X(a)!J18 cached value: HICM. Do not assume it remains appropriate.</t>
      </text>
    </comment>
    <comment ref="E27" authorId="0" shapeId="0">
      <text>
        <t>Manual input: not supplied by SQL. Historical Schedule X(a)!E20 cached value: None. Do not assume it remains appropriate.</t>
      </text>
    </comment>
    <comment ref="J27" authorId="0" shapeId="0">
      <text>
        <t>Manual input: not supplied by SQL. Historical Schedule X(a)!J20 cached value: None. Do not assume it remains appropriate.</t>
      </text>
    </comment>
    <comment ref="E28" authorId="0" shapeId="0">
      <text>
        <t>Manual input: not supplied by SQL. Historical Schedule X(a)!E21 cached value: 0.31. Do not assume it remains appropriate.</t>
      </text>
    </comment>
    <comment ref="J28" authorId="0" shapeId="0">
      <text>
        <t>Manual input: not supplied by SQL. Historical Schedule X(a)!J21 cached value: 0.32. Do not assume it remains appropriate.</t>
      </text>
    </comment>
    <comment ref="E30" authorId="0" shapeId="0">
      <text>
        <t>Manual input: not supplied by SQL. Historical Schedule X(a)!E23 cached value: None. Do not assume it remains appropriate.</t>
      </text>
    </comment>
    <comment ref="J30" authorId="0" shapeId="0">
      <text>
        <t>Manual input: not supplied by SQL. Historical Schedule X(a)!J23 cached value: None. Do not assume it remains appropriate.</t>
      </text>
    </comment>
    <comment ref="E31" authorId="0" shapeId="0">
      <text>
        <t>Manual input: not supplied by SQL. Historical Schedule X(a)!E24 cached value: None. Do not assume it remains appropriate.</t>
      </text>
    </comment>
    <comment ref="J31" authorId="0" shapeId="0">
      <text>
        <t>Manual input: not supplied by SQL. Historical Schedule X(a)!J24 cached value: None. Do not assume it remains appropriate.</t>
      </text>
    </comment>
    <comment ref="E32" authorId="1" shapeId="0">
      <text>
        <t>Automatic from SQL input. Money is already USD: divide by 1,000,000 only. Counts are unscaled.</t>
      </text>
    </comment>
    <comment ref="J32" authorId="1" shapeId="0">
      <text>
        <t>Automatic from SQL input. Money is already USD: divide by 1,000,000 only. Counts are unscaled.</t>
      </text>
    </comment>
    <comment ref="E33" authorId="1" shapeId="0">
      <text>
        <t>Automatic from SQL input. Money is already USD: divide by 1,000,000 only. Counts are unscaled.</t>
      </text>
    </comment>
    <comment ref="J33" authorId="1" shapeId="0">
      <text>
        <t>Automatic from SQL input. Money is already USD: divide by 1,000,000 only. Counts are unscaled.</t>
      </text>
    </comment>
    <comment ref="E34" authorId="0" shapeId="0">
      <text>
        <t>Manual input: not supplied by SQL. Historical Schedule X(a)!E27 cached value: None. Do not assume it remains appropriate.</t>
      </text>
    </comment>
    <comment ref="J34" authorId="0" shapeId="0">
      <text>
        <t>Manual input: not supplied by SQL. Historical Schedule X(a)!J27 cached value: None. Do not assume it remains appropriate.</t>
      </text>
    </comment>
    <comment ref="E35" authorId="0" shapeId="0">
      <text>
        <t>Manual input: not supplied by SQL. Historical Schedule X(a)!E28 cached value: None. Do not assume it remains appropriate.</t>
      </text>
    </comment>
    <comment ref="J35" authorId="0" shapeId="0">
      <text>
        <t>Manual input: not supplied by SQL. Historical Schedule X(a)!J28 cached value: None. Do not assume it remains appropriate.</t>
      </text>
    </comment>
    <comment ref="E38" authorId="0" shapeId="0">
      <text>
        <t>Manual input: not supplied by SQL. Historical Schedule X(a)!E31 cached value: None. Do not assume it remains appropriate.</t>
      </text>
    </comment>
    <comment ref="I38" authorId="0" shapeId="0">
      <text>
        <t>Manual input: not supplied by SQL. Historical Schedule X(a)!I31 cached value: None. Do not assume it remains appropriate.</t>
      </text>
    </comment>
    <comment ref="E39" authorId="0" shapeId="0">
      <text>
        <t>Manual input: not supplied by SQL. Historical Schedule X(a)!E32 cached value: None. Do not assume it remains appropriate.</t>
      </text>
    </comment>
    <comment ref="I39" authorId="0" shapeId="0">
      <text>
        <t>Manual input: not supplied by SQL. Historical Schedule X(a)!I32 cached value: None. Do not assume it remains appropriate.</t>
      </text>
    </comment>
    <comment ref="E40" authorId="0" shapeId="0">
      <text>
        <t>Manual input: not supplied by SQL. Historical Schedule X(a)!E33 cached value: None. Do not assume it remains appropriate.</t>
      </text>
    </comment>
    <comment ref="I40" authorId="0" shapeId="0">
      <text>
        <t>Manual input: not supplied by SQL. Historical Schedule X(a)!I33 cached value: None. Do not assume it remains appropriate.</t>
      </text>
    </comment>
    <comment ref="E41" authorId="0" shapeId="0">
      <text>
        <t>Manual input: not supplied by SQL. Historical Schedule X(a)!E34 cached value: None. Do not assume it remains appropriate.</t>
      </text>
    </comment>
    <comment ref="I41" authorId="0" shapeId="0">
      <text>
        <t>Manual input: not supplied by SQL. Historical Schedule X(a)!I34 cached value: None. Do not assume it remains appropriate.</t>
      </text>
    </comment>
    <comment ref="E42" authorId="0" shapeId="0">
      <text>
        <t>Manual input: not supplied by SQL. Historical Schedule X(a)!E35 cached value: None. Do not assume it remains appropriate.</t>
      </text>
    </comment>
    <comment ref="I42" authorId="0" shapeId="0">
      <text>
        <t>Manual input: not supplied by SQL. Historical Schedule X(a)!I35 cached value: None. Do not assume it remains appropriate.</t>
      </text>
    </comment>
    <comment ref="E43" authorId="0" shapeId="0">
      <text>
        <t>Manual input: not supplied by SQL. Historical Schedule X(a)!E36 cached value: None. Do not assume it remains appropriate.</t>
      </text>
    </comment>
    <comment ref="I43" authorId="0" shapeId="0">
      <text>
        <t>Manual input: not supplied by SQL. Historical Schedule X(a)!I36 cached value: None. Do not assume it remains appropriate.</t>
      </text>
    </comment>
    <comment ref="E44" authorId="0" shapeId="0">
      <text>
        <t>Manual input: not supplied by SQL. Historical Schedule X(a)!E37 cached value: None. Do not assume it remains appropriate.</t>
      </text>
    </comment>
    <comment ref="I44" authorId="0" shapeId="0">
      <text>
        <t>Manual input: not supplied by SQL. Historical Schedule X(a)!I37 cached value: None. Do not assume it remains appropriate.</t>
      </text>
    </comment>
    <comment ref="E45" authorId="0" shapeId="0">
      <text>
        <t>Manual input: not supplied by SQL. Historical Schedule X(a)!E38 cached value: None. Do not assume it remains appropriate.</t>
      </text>
    </comment>
    <comment ref="I45" authorId="0" shapeId="0">
      <text>
        <t>Manual input: not supplied by SQL. Historical Schedule X(a)!I38 cached value: None. Do not assume it remains appropriate.</t>
      </text>
    </comment>
    <comment ref="E46" authorId="0" shapeId="0">
      <text>
        <t>Manual input: not supplied by SQL. Historical Schedule X(a)!E39 cached value: None. Do not assume it remains appropriate.</t>
      </text>
    </comment>
    <comment ref="I46" authorId="0" shapeId="0">
      <text>
        <t>Manual input: not supplied by SQL. Historical Schedule X(a)!I39 cached value: None. Do not assume it remains appropriate.</t>
      </text>
    </comment>
    <comment ref="E47" authorId="0" shapeId="0">
      <text>
        <t>Manual input: not supplied by SQL. Historical Schedule X(a)!E40 cached value: None. Do not assume it remains appropriate.</t>
      </text>
    </comment>
    <comment ref="I47" authorId="0" shapeId="0">
      <text>
        <t>Manual input: not supplied by SQL. Historical Schedule X(a)!I40 cached value: None. Do not assume it remains appropriate.</t>
      </text>
    </comment>
    <comment ref="E48" authorId="0" shapeId="0">
      <text>
        <t>Manual input: not supplied by SQL. Historical Schedule X(a)!E41 cached value: None. Do not assume it remains appropriate.</t>
      </text>
    </comment>
    <comment ref="I48" authorId="0" shapeId="0">
      <text>
        <t>Manual input: not supplied by SQL. Historical Schedule X(a)!I41 cached value: None. Do not assume it remains appropriate.</t>
      </text>
    </comment>
    <comment ref="E49" authorId="0" shapeId="0">
      <text>
        <t>Manual input: not supplied by SQL. Historical Schedule X(a)!E42 cached value: None. Do not assume it remains appropriate.</t>
      </text>
    </comment>
    <comment ref="I49" authorId="0" shapeId="0">
      <text>
        <t>Manual input: not supplied by SQL. Historical Schedule X(a)!I42 cached value: None. Do not assume it remains appropriate.</t>
      </text>
    </comment>
    <comment ref="E50" authorId="0" shapeId="0">
      <text>
        <t>Manual input: not supplied by SQL. Historical Schedule X(a)!E43 cached value: None. Do not assume it remains appropriate.</t>
      </text>
    </comment>
    <comment ref="I50" authorId="0" shapeId="0">
      <text>
        <t>Manual input: not supplied by SQL. Historical Schedule X(a)!I43 cached value: None. Do not assume it remains appropriate.</t>
      </text>
    </comment>
    <comment ref="E51" authorId="0" shapeId="0">
      <text>
        <t>Manual input: not supplied by SQL. Historical Schedule X(a)!E44 cached value: None. Do not assume it remains appropriate.</t>
      </text>
    </comment>
    <comment ref="I51" authorId="0" shapeId="0">
      <text>
        <t>Manual input: not supplied by SQL. Historical Schedule X(a)!I44 cached value: None. Do not assume it remains appropriate.</t>
      </text>
    </comment>
    <comment ref="E52" authorId="0" shapeId="0">
      <text>
        <t>Manual input: not supplied by SQL. Historical Schedule X(a)!E45 cached value: None. Do not assume it remains appropriate.</t>
      </text>
    </comment>
    <comment ref="I52" authorId="0" shapeId="0">
      <text>
        <t>Manual input: not supplied by SQL. Historical Schedule X(a)!I45 cached value: None. Do not assume it remains appropriate.</t>
      </text>
    </comment>
    <comment ref="E53" authorId="0" shapeId="0">
      <text>
        <t>Manual input: not supplied by SQL. Historical Schedule X(a)!E46 cached value: None. Do not assume it remains appropriate.</t>
      </text>
    </comment>
    <comment ref="I53" authorId="0" shapeId="0">
      <text>
        <t>Manual input: not supplied by SQL. Historical Schedule X(a)!I46 cached value: None. Do not assume it remains appropriate.</t>
      </text>
    </comment>
    <comment ref="I54" authorId="0" shapeId="0">
      <text>
        <t>Manual input: not supplied by SQL. Historical Schedule X(a)!I47 cached value: None. Do not assume it remains appropriate.</t>
      </text>
    </comment>
    <comment ref="J54" authorId="0" shapeId="0">
      <text>
        <t>Manual input: not supplied by SQL. Historical Schedule X(a)!J47 cached value: None. Do not assume it remains appropriate.</t>
      </text>
    </comment>
    <comment ref="K54" authorId="0" shapeId="0">
      <text>
        <t>Manual input: not supplied by SQL. Historical Schedule X(a)!K47 cached value: None. Do not assume it remains appropriate.</t>
      </text>
    </comment>
    <comment ref="I55" authorId="0" shapeId="0">
      <text>
        <t>Manual input: not supplied by SQL. Historical Schedule X(a)!I48 cached value: None. Do not assume it remains appropriate.</t>
      </text>
    </comment>
    <comment ref="J55" authorId="0" shapeId="0">
      <text>
        <t>Manual input: not supplied by SQL. Historical Schedule X(a)!J48 cached value: None. Do not assume it remains appropriate.</t>
      </text>
    </comment>
    <comment ref="K55" authorId="0" shapeId="0">
      <text>
        <t>Manual input: not supplied by SQL. Historical Schedule X(a)!K48 cached value: None. Do not assume it remains appropriate.</t>
      </text>
    </comment>
    <comment ref="E56" authorId="0" shapeId="0">
      <text>
        <t>Manual input: not supplied by SQL. Historical Schedule X(a)!E49 cached value: None. Do not assume it remains appropriate.</t>
      </text>
    </comment>
    <comment ref="I56" authorId="0" shapeId="0">
      <text>
        <t>Manual input: not supplied by SQL. Historical Schedule X(a)!I49 cached value: None. Do not assume it remains appropriate.</t>
      </text>
    </comment>
    <comment ref="E57" authorId="0" shapeId="0">
      <text>
        <t>Manual input: not supplied by SQL. Historical Schedule X(a)!E50 cached value: None. Do not assume it remains appropriate.</t>
      </text>
    </comment>
    <comment ref="I57" authorId="0" shapeId="0">
      <text>
        <t>Manual input: not supplied by SQL. Historical Schedule X(a)!I50 cached value: None. Do not assume it remains appropriate.</t>
      </text>
    </comment>
    <comment ref="E58" authorId="0" shapeId="0">
      <text>
        <t>Manual input: not supplied by SQL. Historical Schedule X(a)!E51 cached value: None. Do not assume it remains appropriate.</t>
      </text>
    </comment>
    <comment ref="I58" authorId="0" shapeId="0">
      <text>
        <t>Manual input: not supplied by SQL. Historical Schedule X(a)!I51 cached value: None. Do not assume it remains appropriate.</t>
      </text>
    </comment>
    <comment ref="E59" authorId="0" shapeId="0">
      <text>
        <t>Manual input: not supplied by SQL. Historical Schedule X(a)!E52 cached value: None. Do not assume it remains appropriate.</t>
      </text>
    </comment>
    <comment ref="I59" authorId="0" shapeId="0">
      <text>
        <t>Manual input: not supplied by SQL. Historical Schedule X(a)!I52 cached value: None. Do not assume it remains appropriate.</t>
      </text>
    </comment>
    <comment ref="E60" authorId="0" shapeId="0">
      <text>
        <t>Manual input: not supplied by SQL. Historical Schedule X(a)!E53 cached value: None. Do not assume it remains appropriate.</t>
      </text>
    </comment>
    <comment ref="I60" authorId="0" shapeId="0">
      <text>
        <t>Manual input: not supplied by SQL. Historical Schedule X(a)!I53 cached value: None. Do not assume it remains appropriate.</t>
      </text>
    </comment>
    <comment ref="I61" authorId="0" shapeId="0">
      <text>
        <t>Manual input: not supplied by SQL. Historical Schedule X(a)!I54 cached value: None. Do not assume it remains appropriate.</t>
      </text>
    </comment>
    <comment ref="J61" authorId="0" shapeId="0">
      <text>
        <t>Manual input: not supplied by SQL. Historical Schedule X(a)!J54 cached value: None. Do not assume it remains appropriate.</t>
      </text>
    </comment>
    <comment ref="K61" authorId="0" shapeId="0">
      <text>
        <t>Manual input: not supplied by SQL. Historical Schedule X(a)!K54 cached value: None. Do not assume it remains appropriate.</t>
      </text>
    </comment>
    <comment ref="I62" authorId="0" shapeId="0">
      <text>
        <t>Manual input: not supplied by SQL. Historical Schedule X(a)!I55 cached value: None. Do not assume it remains appropriate.</t>
      </text>
    </comment>
    <comment ref="J62" authorId="0" shapeId="0">
      <text>
        <t>Manual input: not supplied by SQL. Historical Schedule X(a)!J55 cached value: None. Do not assume it remains appropriate.</t>
      </text>
    </comment>
    <comment ref="K62" authorId="0" shapeId="0">
      <text>
        <t>Manual input: not supplied by SQL. Historical Schedule X(a)!K55 cached value: None. Do not assume it remains appropriate.</t>
      </text>
    </comment>
    <comment ref="E63" authorId="0" shapeId="0">
      <text>
        <t>Manual input: not supplied by SQL. Historical Schedule X(a)!E56 cached value: None. Do not assume it remains appropriate.</t>
      </text>
    </comment>
    <comment ref="I63" authorId="0" shapeId="0">
      <text>
        <t>Manual input: not supplied by SQL. Historical Schedule X(a)!I56 cached value: None. Do not assume it remains appropriate.</t>
      </text>
    </comment>
    <comment ref="E64" authorId="0" shapeId="0">
      <text>
        <t>Manual input: not supplied by SQL. Historical Schedule X(a)!E57 cached value: None. Do not assume it remains appropriate.</t>
      </text>
    </comment>
    <comment ref="I64" authorId="0" shapeId="0">
      <text>
        <t>Manual input: not supplied by SQL. Historical Schedule X(a)!I57 cached value: None. Do not assume it remains appropriate.</t>
      </text>
    </comment>
    <comment ref="I65" authorId="0" shapeId="0">
      <text>
        <t>Manual input: not supplied by SQL. Historical Schedule X(a)!I58 cached value: None. Do not assume it remains appropriate.</t>
      </text>
    </comment>
    <comment ref="J65" authorId="0" shapeId="0">
      <text>
        <t>Manual input: not supplied by SQL. Historical Schedule X(a)!J58 cached value: None. Do not assume it remains appropriate.</t>
      </text>
    </comment>
    <comment ref="K65" authorId="0" shapeId="0">
      <text>
        <t>Manual input: not supplied by SQL. Historical Schedule X(a)!K58 cached value: None. Do not assume it remains appropriate.</t>
      </text>
    </comment>
    <comment ref="I66" authorId="0" shapeId="0">
      <text>
        <t>Manual input: not supplied by SQL. Historical Schedule X(a)!I59 cached value: None. Do not assume it remains appropriate.</t>
      </text>
    </comment>
    <comment ref="J66" authorId="0" shapeId="0">
      <text>
        <t>Manual input: not supplied by SQL. Historical Schedule X(a)!J59 cached value: None. Do not assume it remains appropriate.</t>
      </text>
    </comment>
    <comment ref="K66" authorId="0" shapeId="0">
      <text>
        <t>Manual input: not supplied by SQL. Historical Schedule X(a)!K59 cached value: None. Do not assume it remains appropriate.</t>
      </text>
    </comment>
    <comment ref="E67" authorId="0" shapeId="0">
      <text>
        <t>Manual input: not supplied by SQL. Historical Schedule X(a)!E60 cached value: None. Do not assume it remains appropriate.</t>
      </text>
    </comment>
    <comment ref="I67" authorId="0" shapeId="0">
      <text>
        <t>Manual input: not supplied by SQL. Historical Schedule X(a)!I60 cached value: None. Do not assume it remains appropriate.</t>
      </text>
    </comment>
    <comment ref="E68" authorId="0" shapeId="0">
      <text>
        <t>Manual input: not supplied by SQL. Historical Schedule X(a)!E61 cached value: None. Do not assume it remains appropriate.</t>
      </text>
    </comment>
    <comment ref="I68" authorId="0" shapeId="0">
      <text>
        <t>Manual input: not supplied by SQL. Historical Schedule X(a)!I61 cached value: None. Do not assume it remains appropriate.</t>
      </text>
    </comment>
    <comment ref="E69" authorId="0" shapeId="0">
      <text>
        <t>Manual input: not supplied by SQL. Historical Schedule X(a)!E62 cached value: None. Do not assume it remains appropriate.</t>
      </text>
    </comment>
    <comment ref="I69" authorId="0" shapeId="0">
      <text>
        <t>Manual input: not supplied by SQL. Historical Schedule X(a)!I62 cached value: None. Do not assume it remains appropriate.</t>
      </text>
    </comment>
    <comment ref="E70" authorId="0" shapeId="0">
      <text>
        <t>Manual input: not supplied by SQL. Historical Schedule X(a)!E63 cached value: None. Do not assume it remains appropriate.</t>
      </text>
    </comment>
    <comment ref="I70" authorId="0" shapeId="0">
      <text>
        <t>Manual input: not supplied by SQL. Historical Schedule X(a)!I63 cached value: None. Do not assume it remains appropriate.</t>
      </text>
    </comment>
    <comment ref="E71" authorId="0" shapeId="0">
      <text>
        <t>Manual input: not supplied by SQL. Historical Schedule X(a)!E64 cached value: None. Do not assume it remains appropriate.</t>
      </text>
    </comment>
    <comment ref="I71" authorId="0" shapeId="0">
      <text>
        <t>Manual input: not supplied by SQL. Historical Schedule X(a)!I64 cached value: None. Do not assume it remains appropriate.</t>
      </text>
    </comment>
    <comment ref="E72" authorId="0" shapeId="0">
      <text>
        <t>Manual input: not supplied by SQL. Historical Schedule X(a)!E65 cached value: None. Do not assume it remains appropriate.</t>
      </text>
    </comment>
    <comment ref="I72" authorId="0" shapeId="0">
      <text>
        <t>Manual input: not supplied by SQL. Historical Schedule X(a)!I65 cached value: None. Do not assume it remains appropriate.</t>
      </text>
    </comment>
    <comment ref="I73" authorId="0" shapeId="0">
      <text>
        <t>Manual input: not supplied by SQL. Historical Schedule X(a)!I66 cached value: None. Do not assume it remains appropriate.</t>
      </text>
    </comment>
    <comment ref="J73" authorId="0" shapeId="0">
      <text>
        <t>Manual input: not supplied by SQL. Historical Schedule X(a)!J66 cached value: None. Do not assume it remains appropriate.</t>
      </text>
    </comment>
    <comment ref="K73" authorId="0" shapeId="0">
      <text>
        <t>Manual input: not supplied by SQL. Historical Schedule X(a)!K66 cached value: None. Do not assume it remains appropriate.</t>
      </text>
    </comment>
    <comment ref="I74" authorId="0" shapeId="0">
      <text>
        <t>Manual input: not supplied by SQL. Historical Schedule X(a)!I67 cached value: None. Do not assume it remains appropriate.</t>
      </text>
    </comment>
    <comment ref="J74" authorId="0" shapeId="0">
      <text>
        <t>Manual input: not supplied by SQL. Historical Schedule X(a)!J67 cached value: None. Do not assume it remains appropriate.</t>
      </text>
    </comment>
    <comment ref="K74" authorId="0" shapeId="0">
      <text>
        <t>Manual input: not supplied by SQL. Historical Schedule X(a)!K67 cached value: None. Do not assume it remains appropriate.</t>
      </text>
    </comment>
    <comment ref="E75" authorId="0" shapeId="0">
      <text>
        <t>Manual input: not supplied by SQL. Historical Schedule X(a)!E68 cached value: None. Do not assume it remains appropriate.</t>
      </text>
    </comment>
    <comment ref="I75" authorId="0" shapeId="0">
      <text>
        <t>Manual input: not supplied by SQL. Historical Schedule X(a)!I68 cached value: None. Do not assume it remains appropriate.</t>
      </text>
    </comment>
    <comment ref="E76" authorId="0" shapeId="0">
      <text>
        <t>Manual input: not supplied by SQL. Historical Schedule X(a)!E69 cached value: None. Do not assume it remains appropriate.</t>
      </text>
    </comment>
    <comment ref="I76" authorId="0" shapeId="0">
      <text>
        <t>Manual input: not supplied by SQL. Historical Schedule X(a)!I69 cached value: None. Do not assume it remains appropriate.</t>
      </text>
    </comment>
    <comment ref="E77" authorId="0" shapeId="0">
      <text>
        <t>Manual input: not supplied by SQL. Historical Schedule X(a)!E70 cached value: None. Do not assume it remains appropriate.</t>
      </text>
    </comment>
    <comment ref="I77" authorId="0" shapeId="0">
      <text>
        <t>Manual input: not supplied by SQL. Historical Schedule X(a)!I70 cached value: None. Do not assume it remains appropriate.</t>
      </text>
    </comment>
    <comment ref="E78" authorId="0" shapeId="0">
      <text>
        <t>Manual input: not supplied by SQL. Historical Schedule X(a)!E71 cached value: None. Do not assume it remains appropriate.</t>
      </text>
    </comment>
    <comment ref="I78" authorId="0" shapeId="0">
      <text>
        <t>Manual input: not supplied by SQL. Historical Schedule X(a)!I71 cached value: None. Do not assume it remains appropriate.</t>
      </text>
    </comment>
    <comment ref="E79" authorId="0" shapeId="0">
      <text>
        <t>Manual input: not supplied by SQL. Historical Schedule X(a)!E72 cached value: None. Do not assume it remains appropriate.</t>
      </text>
    </comment>
    <comment ref="I79" authorId="0" shapeId="0">
      <text>
        <t>Manual input: not supplied by SQL. Historical Schedule X(a)!I72 cached value: None. Do not assume it remains appropriate.</t>
      </text>
    </comment>
    <comment ref="E80" authorId="0" shapeId="0">
      <text>
        <t>Manual input: not supplied by SQL. Historical Schedule X(a)!E73 cached value: None. Do not assume it remains appropriate.</t>
      </text>
    </comment>
    <comment ref="I80" authorId="0" shapeId="0">
      <text>
        <t>Manual input: not supplied by SQL. Historical Schedule X(a)!I73 cached value: None. Do not assume it remains appropriate.</t>
      </text>
    </comment>
    <comment ref="E81" authorId="0" shapeId="0">
      <text>
        <t>Manual input: not supplied by SQL. Historical Schedule X(a)!E74 cached value: None. Do not assume it remains appropriate.</t>
      </text>
    </comment>
    <comment ref="I81" authorId="0" shapeId="0">
      <text>
        <t>Manual input: not supplied by SQL. Historical Schedule X(a)!I74 cached value: None. Do not assume it remains appropriate.</t>
      </text>
    </comment>
    <comment ref="E82" authorId="0" shapeId="0">
      <text>
        <t>Manual input: not supplied by SQL. Historical Schedule X(a)!E75 cached value: None. Do not assume it remains appropriate.</t>
      </text>
    </comment>
    <comment ref="I82" authorId="0" shapeId="0">
      <text>
        <t>Manual input: not supplied by SQL. Historical Schedule X(a)!I75 cached value: None. Do not assume it remains appropriate.</t>
      </text>
    </comment>
    <comment ref="I83" authorId="0" shapeId="0">
      <text>
        <t>Manual input: not supplied by SQL. Historical Schedule X(a)!I76 cached value: None. Do not assume it remains appropriate.</t>
      </text>
    </comment>
    <comment ref="J83" authorId="0" shapeId="0">
      <text>
        <t>Manual input: not supplied by SQL. Historical Schedule X(a)!J76 cached value: None. Do not assume it remains appropriate.</t>
      </text>
    </comment>
    <comment ref="K83" authorId="0" shapeId="0">
      <text>
        <t>Manual input: not supplied by SQL. Historical Schedule X(a)!K76 cached value: None. Do not assume it remains appropriate.</t>
      </text>
    </comment>
    <comment ref="G84" authorId="0" shapeId="0">
      <text>
        <t>Manual input: not supplied by SQL. Historical Schedule X(a)!G77 cached value: None. Do not assume it remains appropriate.</t>
      </text>
    </comment>
    <comment ref="I84" authorId="0" shapeId="0">
      <text>
        <t>Manual input: not supplied by SQL. Historical Schedule X(a)!I77 cached value: None. Do not assume it remains appropriate.</t>
      </text>
    </comment>
    <comment ref="J84" authorId="0" shapeId="0">
      <text>
        <t>Manual input: not supplied by SQL. Historical Schedule X(a)!J77 cached value: None. Do not assume it remains appropriate.</t>
      </text>
    </comment>
    <comment ref="K84" authorId="0" shapeId="0">
      <text>
        <t>Manual input: not supplied by SQL. Historical Schedule X(a)!K77 cached value: None. Do not assume it remains appropriate.</t>
      </text>
    </comment>
    <comment ref="G85" authorId="0" shapeId="0">
      <text>
        <t>Manual input: not supplied by SQL. Historical Schedule X(a)!G78 cached value: None. Do not assume it remains appropriate.</t>
      </text>
    </comment>
    <comment ref="I85" authorId="0" shapeId="0">
      <text>
        <t>Manual input: not supplied by SQL. Historical Schedule X(a)!I78 cached value: None. Do not assume it remains appropriate.</t>
      </text>
    </comment>
    <comment ref="J85" authorId="0" shapeId="0">
      <text>
        <t>Manual input: not supplied by SQL. Historical Schedule X(a)!J78 cached value: None. Do not assume it remains appropriate.</t>
      </text>
    </comment>
    <comment ref="K85" authorId="0" shapeId="0">
      <text>
        <t>Manual input: not supplied by SQL. Historical Schedule X(a)!K78 cached value: None. Do not assume it remains appropriate.</t>
      </text>
    </comment>
    <comment ref="I86" authorId="0" shapeId="0">
      <text>
        <t>Manual input: not supplied by SQL. Historical Schedule X(a)!I79 cached value: None. Do not assume it remains appropriate.</t>
      </text>
    </comment>
    <comment ref="J86" authorId="0" shapeId="0">
      <text>
        <t>Manual input: not supplied by SQL. Historical Schedule X(a)!J79 cached value: None. Do not assume it remains appropriate.</t>
      </text>
    </comment>
    <comment ref="K86" authorId="0" shapeId="0">
      <text>
        <t>Manual input: not supplied by SQL. Historical Schedule X(a)!K79 cached value: None. Do not assume it remains appropriate.</t>
      </text>
    </comment>
    <comment ref="G87" authorId="0" shapeId="0">
      <text>
        <t>Manual input: not supplied by SQL. Historical Schedule X(a)!G80 cached value: None. Do not assume it remains appropriate.</t>
      </text>
    </comment>
    <comment ref="I87" authorId="0" shapeId="0">
      <text>
        <t>Manual input: not supplied by SQL. Historical Schedule X(a)!I80 cached value: None. Do not assume it remains appropriate.</t>
      </text>
    </comment>
    <comment ref="J87" authorId="0" shapeId="0">
      <text>
        <t>Manual input: not supplied by SQL. Historical Schedule X(a)!J80 cached value: None. Do not assume it remains appropriate.</t>
      </text>
    </comment>
    <comment ref="K87" authorId="0" shapeId="0">
      <text>
        <t>Manual input: not supplied by SQL. Historical Schedule X(a)!K80 cached value: None. Do not assume it remains appropriate.</t>
      </text>
    </comment>
    <comment ref="G88" authorId="0" shapeId="0">
      <text>
        <t>Manual input: not supplied by SQL. Historical Schedule X(a)!G81 cached value: None. Do not assume it remains appropriate.</t>
      </text>
    </comment>
    <comment ref="E108" authorId="0" shapeId="0">
      <text>
        <t>Manual input: not supplied by SQL. Historical Schedule X(b)!E11 cached value: HICM. Do not assume it remains appropriate.</t>
      </text>
    </comment>
    <comment ref="F108" authorId="0" shapeId="0">
      <text>
        <t>Manual input: not supplied by SQL. Historical Schedule X(b)!F11 cached value: HICM. Do not assume it remains appropriate.</t>
      </text>
    </comment>
    <comment ref="G108" authorId="0" shapeId="0">
      <text>
        <t>Manual input: not supplied by SQL. Historical Schedule X(b)!G11 cached value: HICM. Do not assume it remains appropriate.</t>
      </text>
    </comment>
    <comment ref="H108" authorId="0" shapeId="0">
      <text>
        <t>Manual input: not supplied by SQL. Historical Schedule X(b)!H11 cached value: HICM. Do not assume it remains appropriate.</t>
      </text>
    </comment>
    <comment ref="E109" authorId="0" shapeId="0">
      <text>
        <t>Manual input: not supplied by SQL. Historical Schedule X(b)!E12 cached value: HICM. Do not assume it remains appropriate.</t>
      </text>
    </comment>
    <comment ref="F109" authorId="0" shapeId="0">
      <text>
        <t>Manual input: not supplied by SQL. Historical Schedule X(b)!F12 cached value: HICM. Do not assume it remains appropriate.</t>
      </text>
    </comment>
    <comment ref="G109" authorId="0" shapeId="0">
      <text>
        <t>Manual input: not supplied by SQL. Historical Schedule X(b)!G12 cached value: HICM. Do not assume it remains appropriate.</t>
      </text>
    </comment>
    <comment ref="H109" authorId="0" shapeId="0">
      <text>
        <t>Manual input: not supplied by SQL. Historical Schedule X(b)!H12 cached value: HICM. Do not assume it remains appropriate.</t>
      </text>
    </comment>
    <comment ref="E110" authorId="0" shapeId="0">
      <text>
        <t>Manual input: not supplied by SQL. Historical Schedule X(b)!E13 cached value: HICM. Do not assume it remains appropriate.</t>
      </text>
    </comment>
    <comment ref="F110" authorId="0" shapeId="0">
      <text>
        <t>Manual input: not supplied by SQL. Historical Schedule X(b)!F13 cached value: HICM. Do not assume it remains appropriate.</t>
      </text>
    </comment>
    <comment ref="G110" authorId="0" shapeId="0">
      <text>
        <t>Manual input: not supplied by SQL. Historical Schedule X(b)!G13 cached value: HICM. Do not assume it remains appropriate.</t>
      </text>
    </comment>
    <comment ref="H110" authorId="0" shapeId="0">
      <text>
        <t>Manual input: not supplied by SQL. Historical Schedule X(b)!H13 cached value: HICM. Do not assume it remains appropriate.</t>
      </text>
    </comment>
    <comment ref="E111" authorId="0" shapeId="0">
      <text>
        <t>Manual input: not supplied by SQL. Historical Schedule X(b)!E14 cached value: HICM. Do not assume it remains appropriate.</t>
      </text>
    </comment>
    <comment ref="F111" authorId="0" shapeId="0">
      <text>
        <t>Manual input: not supplied by SQL. Historical Schedule X(b)!F14 cached value: HICM. Do not assume it remains appropriate.</t>
      </text>
    </comment>
    <comment ref="G111" authorId="0" shapeId="0">
      <text>
        <t>Manual input: not supplied by SQL. Historical Schedule X(b)!G14 cached value: HICM. Do not assume it remains appropriate.</t>
      </text>
    </comment>
    <comment ref="H111" authorId="0" shapeId="0">
      <text>
        <t>Manual input: not supplied by SQL. Historical Schedule X(b)!H14 cached value: HICM. Do not assume it remains appropriate.</t>
      </text>
    </comment>
    <comment ref="E112" authorId="0" shapeId="0">
      <text>
        <t>Manual input: not supplied by SQL. Historical Schedule X(b)!E15 cached value: HICM. Do not assume it remains appropriate.</t>
      </text>
    </comment>
    <comment ref="F112" authorId="0" shapeId="0">
      <text>
        <t>Manual input: not supplied by SQL. Historical Schedule X(b)!F15 cached value: HICM. Do not assume it remains appropriate.</t>
      </text>
    </comment>
    <comment ref="G112" authorId="0" shapeId="0">
      <text>
        <t>Manual input: not supplied by SQL. Historical Schedule X(b)!G15 cached value: HICM. Do not assume it remains appropriate.</t>
      </text>
    </comment>
    <comment ref="H112" authorId="0" shapeId="0">
      <text>
        <t>Manual input: not supplied by SQL. Historical Schedule X(b)!H15 cached value: HICM. Do not assume it remains appropriate.</t>
      </text>
    </comment>
    <comment ref="E115" authorId="0" shapeId="0">
      <text>
        <t>Manual input: not supplied by SQL. Historical Schedule X(b)!E18 cached value: HICM. Do not assume it remains appropriate.</t>
      </text>
    </comment>
    <comment ref="J115" authorId="0" shapeId="0">
      <text>
        <t>Manual input: not supplied by SQL. Historical Schedule X(b)!J18 cached value: HICM. Do not assume it remains appropriate.</t>
      </text>
    </comment>
    <comment ref="J116" authorId="0" shapeId="0">
      <text>
        <t>Manual input: not supplied by SQL. Historical Schedule X(b)!J19 cached value: HICM. Do not assume it remains appropriate.</t>
      </text>
    </comment>
    <comment ref="E117" authorId="0" shapeId="0">
      <text>
        <t>Manual input: not supplied by SQL. Historical Schedule X(b)!E20 cached value: HICM. Do not assume it remains appropriate.</t>
      </text>
    </comment>
    <comment ref="J117" authorId="0" shapeId="0">
      <text>
        <t>Manual input: not supplied by SQL. Historical Schedule X(b)!J20 cached value: HICM. Do not assume it remains appropriate.</t>
      </text>
    </comment>
    <comment ref="E119" authorId="0" shapeId="0">
      <text>
        <t>Manual input: not supplied by SQL. Historical Schedule X(b)!E22 cached value: 0. Do not assume it remains appropriate.</t>
      </text>
    </comment>
    <comment ref="J119" authorId="0" shapeId="0">
      <text>
        <t>Manual input: not supplied by SQL. Historical Schedule X(b)!J22 cached value: 0. Do not assume it remains appropriate.</t>
      </text>
    </comment>
    <comment ref="E120" authorId="0" shapeId="0">
      <text>
        <t>Manual input: not supplied by SQL. Historical Schedule X(b)!E23 cached value: 0.31. Do not assume it remains appropriate.</t>
      </text>
    </comment>
    <comment ref="J120" authorId="0" shapeId="0">
      <text>
        <t>Manual input: not supplied by SQL. Historical Schedule X(b)!J23 cached value: 0.32. Do not assume it remains appropriate.</t>
      </text>
    </comment>
    <comment ref="E122" authorId="0" shapeId="0">
      <text>
        <t>Manual input: not supplied by SQL. Historical Schedule X(b)!E25 cached value: None. Do not assume it remains appropriate.</t>
      </text>
    </comment>
    <comment ref="J122" authorId="0" shapeId="0">
      <text>
        <t>Manual input: not supplied by SQL. Historical Schedule X(b)!J25 cached value: None. Do not assume it remains appropriate.</t>
      </text>
    </comment>
    <comment ref="E123" authorId="0" shapeId="0">
      <text>
        <t>Manual input: not supplied by SQL. Historical Schedule X(b)!E26 cached value: None. Do not assume it remains appropriate.</t>
      </text>
    </comment>
    <comment ref="J123" authorId="0" shapeId="0">
      <text>
        <t>Manual input: not supplied by SQL. Historical Schedule X(b)!J26 cached value: None. Do not assume it remains appropriate.</t>
      </text>
    </comment>
    <comment ref="E124" authorId="1" shapeId="0">
      <text>
        <t>Automatic from SQL input. Money is already USD: divide by 1,000,000 only. Counts are unscaled.</t>
      </text>
    </comment>
    <comment ref="J124" authorId="1" shapeId="0">
      <text>
        <t>Automatic from SQL input. Money is already USD: divide by 1,000,000 only. Counts are unscaled.</t>
      </text>
    </comment>
    <comment ref="E125" authorId="1" shapeId="0">
      <text>
        <t>Automatic from SQL input. Money is already USD: divide by 1,000,000 only. Counts are unscaled.</t>
      </text>
    </comment>
    <comment ref="J125" authorId="1" shapeId="0">
      <text>
        <t>Automatic from SQL input. Money is already USD: divide by 1,000,000 only. Counts are unscaled.</t>
      </text>
    </comment>
    <comment ref="E126" authorId="0" shapeId="0">
      <text>
        <t>Manual input: not supplied by SQL. Historical Schedule X(b)!E29 cached value: None. Do not assume it remains appropriate.</t>
      </text>
    </comment>
    <comment ref="J126" authorId="0" shapeId="0">
      <text>
        <t>Manual input: not supplied by SQL. Historical Schedule X(b)!J29 cached value: None. Do not assume it remains appropriate.</t>
      </text>
    </comment>
    <comment ref="E127" authorId="0" shapeId="0">
      <text>
        <t>Manual input: not supplied by SQL. Historical Schedule X(b)!E30 cached value: None. Do not assume it remains appropriate.</t>
      </text>
    </comment>
    <comment ref="J127" authorId="0" shapeId="0">
      <text>
        <t>Manual input: not supplied by SQL. Historical Schedule X(b)!J30 cached value: None. Do not assume it remains appropriate.</t>
      </text>
    </comment>
    <comment ref="I129" authorId="0" shapeId="0">
      <text>
        <t>Manual input: not supplied by SQL. Historical Schedule X(b)!I32 cached value: None. Do not assume it remains appropriate.</t>
      </text>
    </comment>
    <comment ref="J129" authorId="0" shapeId="0">
      <text>
        <t>Manual input: not supplied by SQL. Historical Schedule X(b)!J32 cached value: None. Do not assume it remains appropriate.</t>
      </text>
    </comment>
    <comment ref="K129" authorId="0" shapeId="0">
      <text>
        <t>Manual input: not supplied by SQL. Historical Schedule X(b)!K32 cached value: None. Do not assume it remains appropriate.</t>
      </text>
    </comment>
    <comment ref="E130" authorId="0" shapeId="0">
      <text>
        <t>Manual input: not supplied by SQL. Historical Schedule X(b)!E33 cached value: None. Do not assume it remains appropriate.</t>
      </text>
    </comment>
    <comment ref="I130" authorId="0" shapeId="0">
      <text>
        <t>Manual input: not supplied by SQL. Historical Schedule X(b)!I33 cached value: #REF!. Do not assume it remains appropriate.</t>
      </text>
    </comment>
    <comment ref="E131" authorId="0" shapeId="0">
      <text>
        <t>Manual input: not supplied by SQL. Historical Schedule X(b)!E34 cached value: None. Do not assume it remains appropriate.</t>
      </text>
    </comment>
    <comment ref="I131" authorId="0" shapeId="0">
      <text>
        <t>Manual input: not supplied by SQL. Historical Schedule X(b)!I34 cached value: #REF!. Do not assume it remains appropriate.</t>
      </text>
    </comment>
    <comment ref="E132" authorId="0" shapeId="0">
      <text>
        <t>Manual input: not supplied by SQL. Historical Schedule X(b)!E35 cached value: None. Do not assume it remains appropriate.</t>
      </text>
    </comment>
    <comment ref="I132" authorId="0" shapeId="0">
      <text>
        <t>Manual input: not supplied by SQL. Historical Schedule X(b)!I35 cached value: #REF!. Do not assume it remains appropriate.</t>
      </text>
    </comment>
    <comment ref="E133" authorId="0" shapeId="0">
      <text>
        <t>Manual input: not supplied by SQL. Historical Schedule X(b)!E36 cached value: None. Do not assume it remains appropriate.</t>
      </text>
    </comment>
    <comment ref="I133" authorId="0" shapeId="0">
      <text>
        <t>Manual input: not supplied by SQL. Historical Schedule X(b)!I36 cached value: #REF!. Do not assume it remains appropriate.</t>
      </text>
    </comment>
    <comment ref="E134" authorId="0" shapeId="0">
      <text>
        <t>Manual input: not supplied by SQL. Historical Schedule X(b)!E37 cached value: None. Do not assume it remains appropriate.</t>
      </text>
    </comment>
    <comment ref="I134" authorId="0" shapeId="0">
      <text>
        <t>Manual input: not supplied by SQL. Historical Schedule X(b)!I37 cached value: #REF!. Do not assume it remains appropriate.</t>
      </text>
    </comment>
    <comment ref="E135" authorId="0" shapeId="0">
      <text>
        <t>Manual input: not supplied by SQL. Historical Schedule X(b)!E38 cached value: None. Do not assume it remains appropriate.</t>
      </text>
    </comment>
    <comment ref="I135" authorId="0" shapeId="0">
      <text>
        <t>Manual input: not supplied by SQL. Historical Schedule X(b)!I38 cached value: #REF!. Do not assume it remains appropriate.</t>
      </text>
    </comment>
    <comment ref="E136" authorId="0" shapeId="0">
      <text>
        <t>Manual input: not supplied by SQL. Historical Schedule X(b)!E39 cached value: None. Do not assume it remains appropriate.</t>
      </text>
    </comment>
    <comment ref="I136" authorId="0" shapeId="0">
      <text>
        <t>Manual input: not supplied by SQL. Historical Schedule X(b)!I39 cached value: #REF!. Do not assume it remains appropriate.</t>
      </text>
    </comment>
    <comment ref="E137" authorId="0" shapeId="0">
      <text>
        <t>Manual input: not supplied by SQL. Historical Schedule X(b)!E40 cached value: None. Do not assume it remains appropriate.</t>
      </text>
    </comment>
    <comment ref="I137" authorId="0" shapeId="0">
      <text>
        <t>Manual input: not supplied by SQL. Historical Schedule X(b)!I40 cached value: #REF!. Do not assume it remains appropriate.</t>
      </text>
    </comment>
    <comment ref="E138" authorId="0" shapeId="0">
      <text>
        <t>Manual input: not supplied by SQL. Historical Schedule X(b)!E41 cached value: None. Do not assume it remains appropriate.</t>
      </text>
    </comment>
    <comment ref="I138" authorId="0" shapeId="0">
      <text>
        <t>Manual input: not supplied by SQL. Historical Schedule X(b)!I41 cached value: #REF!. Do not assume it remains appropriate.</t>
      </text>
    </comment>
    <comment ref="E139" authorId="0" shapeId="0">
      <text>
        <t>Manual input: not supplied by SQL. Historical Schedule X(b)!E42 cached value: None. Do not assume it remains appropriate.</t>
      </text>
    </comment>
    <comment ref="I139" authorId="0" shapeId="0">
      <text>
        <t>Manual input: not supplied by SQL. Historical Schedule X(b)!I42 cached value: #REF!. Do not assume it remains appropriate.</t>
      </text>
    </comment>
    <comment ref="E140" authorId="0" shapeId="0">
      <text>
        <t>Manual input: not supplied by SQL. Historical Schedule X(b)!E43 cached value: None. Do not assume it remains appropriate.</t>
      </text>
    </comment>
    <comment ref="I140" authorId="0" shapeId="0">
      <text>
        <t>Manual input: not supplied by SQL. Historical Schedule X(b)!I43 cached value: #REF!. Do not assume it remains appropriate.</t>
      </text>
    </comment>
    <comment ref="E141" authorId="0" shapeId="0">
      <text>
        <t>Manual input: not supplied by SQL. Historical Schedule X(b)!E44 cached value: None. Do not assume it remains appropriate.</t>
      </text>
    </comment>
    <comment ref="I141" authorId="0" shapeId="0">
      <text>
        <t>Manual input: not supplied by SQL. Historical Schedule X(b)!I44 cached value: #REF!. Do not assume it remains appropriate.</t>
      </text>
    </comment>
    <comment ref="E142" authorId="0" shapeId="0">
      <text>
        <t>Manual input: not supplied by SQL. Historical Schedule X(b)!E45 cached value: None. Do not assume it remains appropriate.</t>
      </text>
    </comment>
    <comment ref="I142" authorId="0" shapeId="0">
      <text>
        <t>Manual input: not supplied by SQL. Historical Schedule X(b)!I45 cached value: #REF!. Do not assume it remains appropriate.</t>
      </text>
    </comment>
    <comment ref="E143" authorId="0" shapeId="0">
      <text>
        <t>Manual input: not supplied by SQL. Historical Schedule X(b)!E46 cached value: None. Do not assume it remains appropriate.</t>
      </text>
    </comment>
    <comment ref="I143" authorId="0" shapeId="0">
      <text>
        <t>Manual input: not supplied by SQL. Historical Schedule X(b)!I46 cached value: #REF!. Do not assume it remains appropriate.</t>
      </text>
    </comment>
    <comment ref="E144" authorId="0" shapeId="0">
      <text>
        <t>Manual input: not supplied by SQL. Historical Schedule X(b)!E47 cached value: None. Do not assume it remains appropriate.</t>
      </text>
    </comment>
    <comment ref="I144" authorId="0" shapeId="0">
      <text>
        <t>Manual input: not supplied by SQL. Historical Schedule X(b)!I47 cached value: #REF!. Do not assume it remains appropriate.</t>
      </text>
    </comment>
    <comment ref="E145" authorId="0" shapeId="0">
      <text>
        <t>Manual input: not supplied by SQL. Historical Schedule X(b)!E48 cached value: None. Do not assume it remains appropriate.</t>
      </text>
    </comment>
    <comment ref="I145" authorId="0" shapeId="0">
      <text>
        <t>Manual input: not supplied by SQL. Historical Schedule X(b)!I48 cached value: #REF!. Do not assume it remains appropriate.</t>
      </text>
    </comment>
    <comment ref="I146" authorId="0" shapeId="0">
      <text>
        <t>Manual input: not supplied by SQL. Historical Schedule X(b)!I49 cached value: None. Do not assume it remains appropriate.</t>
      </text>
    </comment>
    <comment ref="J146" authorId="0" shapeId="0">
      <text>
        <t>Manual input: not supplied by SQL. Historical Schedule X(b)!J49 cached value: None. Do not assume it remains appropriate.</t>
      </text>
    </comment>
    <comment ref="K146" authorId="0" shapeId="0">
      <text>
        <t>Manual input: not supplied by SQL. Historical Schedule X(b)!K49 cached value: None. Do not assume it remains appropriate.</t>
      </text>
    </comment>
    <comment ref="I147" authorId="0" shapeId="0">
      <text>
        <t>Manual input: not supplied by SQL. Historical Schedule X(b)!I50 cached value: None. Do not assume it remains appropriate.</t>
      </text>
    </comment>
    <comment ref="J147" authorId="0" shapeId="0">
      <text>
        <t>Manual input: not supplied by SQL. Historical Schedule X(b)!J50 cached value: None. Do not assume it remains appropriate.</t>
      </text>
    </comment>
    <comment ref="K147" authorId="0" shapeId="0">
      <text>
        <t>Manual input: not supplied by SQL. Historical Schedule X(b)!K50 cached value: None. Do not assume it remains appropriate.</t>
      </text>
    </comment>
    <comment ref="E148" authorId="0" shapeId="0">
      <text>
        <t>Manual input: not supplied by SQL. Historical Schedule X(b)!E51 cached value: None. Do not assume it remains appropriate.</t>
      </text>
    </comment>
    <comment ref="I148" authorId="0" shapeId="0">
      <text>
        <t>Manual input: not supplied by SQL. Historical Schedule X(b)!I51 cached value: #REF!. Do not assume it remains appropriate.</t>
      </text>
    </comment>
    <comment ref="E149" authorId="0" shapeId="0">
      <text>
        <t>Manual input: not supplied by SQL. Historical Schedule X(b)!E52 cached value: None. Do not assume it remains appropriate.</t>
      </text>
    </comment>
    <comment ref="I149" authorId="0" shapeId="0">
      <text>
        <t>Manual input: not supplied by SQL. Historical Schedule X(b)!I52 cached value: #REF!. Do not assume it remains appropriate.</t>
      </text>
    </comment>
    <comment ref="E150" authorId="0" shapeId="0">
      <text>
        <t>Manual input: not supplied by SQL. Historical Schedule X(b)!E53 cached value: None. Do not assume it remains appropriate.</t>
      </text>
    </comment>
    <comment ref="I150" authorId="0" shapeId="0">
      <text>
        <t>Manual input: not supplied by SQL. Historical Schedule X(b)!I53 cached value: #REF!. Do not assume it remains appropriate.</t>
      </text>
    </comment>
    <comment ref="E151" authorId="0" shapeId="0">
      <text>
        <t>Manual input: not supplied by SQL. Historical Schedule X(b)!E54 cached value: None. Do not assume it remains appropriate.</t>
      </text>
    </comment>
    <comment ref="I151" authorId="0" shapeId="0">
      <text>
        <t>Manual input: not supplied by SQL. Historical Schedule X(b)!I54 cached value: #REF!. Do not assume it remains appropriate.</t>
      </text>
    </comment>
    <comment ref="E152" authorId="0" shapeId="0">
      <text>
        <t>Manual input: not supplied by SQL. Historical Schedule X(b)!E55 cached value: None. Do not assume it remains appropriate.</t>
      </text>
    </comment>
    <comment ref="I152" authorId="0" shapeId="0">
      <text>
        <t>Manual input: not supplied by SQL. Historical Schedule X(b)!I55 cached value: #REF!. Do not assume it remains appropriate.</t>
      </text>
    </comment>
    <comment ref="I153" authorId="0" shapeId="0">
      <text>
        <t>Manual input: not supplied by SQL. Historical Schedule X(b)!I56 cached value: None. Do not assume it remains appropriate.</t>
      </text>
    </comment>
    <comment ref="J153" authorId="0" shapeId="0">
      <text>
        <t>Manual input: not supplied by SQL. Historical Schedule X(b)!J56 cached value: None. Do not assume it remains appropriate.</t>
      </text>
    </comment>
    <comment ref="K153" authorId="0" shapeId="0">
      <text>
        <t>Manual input: not supplied by SQL. Historical Schedule X(b)!K56 cached value: None. Do not assume it remains appropriate.</t>
      </text>
    </comment>
    <comment ref="I154" authorId="0" shapeId="0">
      <text>
        <t>Manual input: not supplied by SQL. Historical Schedule X(b)!I57 cached value: None. Do not assume it remains appropriate.</t>
      </text>
    </comment>
    <comment ref="J154" authorId="0" shapeId="0">
      <text>
        <t>Manual input: not supplied by SQL. Historical Schedule X(b)!J57 cached value: None. Do not assume it remains appropriate.</t>
      </text>
    </comment>
    <comment ref="K154" authorId="0" shapeId="0">
      <text>
        <t>Manual input: not supplied by SQL. Historical Schedule X(b)!K57 cached value: None. Do not assume it remains appropriate.</t>
      </text>
    </comment>
    <comment ref="E155" authorId="0" shapeId="0">
      <text>
        <t>Manual input: not supplied by SQL. Historical Schedule X(b)!E58 cached value: None. Do not assume it remains appropriate.</t>
      </text>
    </comment>
    <comment ref="I155" authorId="0" shapeId="0">
      <text>
        <t>Manual input: not supplied by SQL. Historical Schedule X(b)!I58 cached value: #REF!. Do not assume it remains appropriate.</t>
      </text>
    </comment>
    <comment ref="E156" authorId="0" shapeId="0">
      <text>
        <t>Manual input: not supplied by SQL. Historical Schedule X(b)!E59 cached value: None. Do not assume it remains appropriate.</t>
      </text>
    </comment>
    <comment ref="I156" authorId="0" shapeId="0">
      <text>
        <t>Manual input: not supplied by SQL. Historical Schedule X(b)!I59 cached value: #REF!. Do not assume it remains appropriate.</t>
      </text>
    </comment>
    <comment ref="I157" authorId="0" shapeId="0">
      <text>
        <t>Manual input: not supplied by SQL. Historical Schedule X(b)!I60 cached value: None. Do not assume it remains appropriate.</t>
      </text>
    </comment>
    <comment ref="J157" authorId="0" shapeId="0">
      <text>
        <t>Manual input: not supplied by SQL. Historical Schedule X(b)!J60 cached value: None. Do not assume it remains appropriate.</t>
      </text>
    </comment>
    <comment ref="K157" authorId="0" shapeId="0">
      <text>
        <t>Manual input: not supplied by SQL. Historical Schedule X(b)!K60 cached value: None. Do not assume it remains appropriate.</t>
      </text>
    </comment>
    <comment ref="I158" authorId="0" shapeId="0">
      <text>
        <t>Manual input: not supplied by SQL. Historical Schedule X(b)!I61 cached value: None. Do not assume it remains appropriate.</t>
      </text>
    </comment>
    <comment ref="J158" authorId="0" shapeId="0">
      <text>
        <t>Manual input: not supplied by SQL. Historical Schedule X(b)!J61 cached value: None. Do not assume it remains appropriate.</t>
      </text>
    </comment>
    <comment ref="K158" authorId="0" shapeId="0">
      <text>
        <t>Manual input: not supplied by SQL. Historical Schedule X(b)!K61 cached value: None. Do not assume it remains appropriate.</t>
      </text>
    </comment>
    <comment ref="E159" authorId="0" shapeId="0">
      <text>
        <t>Manual input: not supplied by SQL. Historical Schedule X(b)!E62 cached value: None. Do not assume it remains appropriate.</t>
      </text>
    </comment>
    <comment ref="I159" authorId="0" shapeId="0">
      <text>
        <t>Manual input: not supplied by SQL. Historical Schedule X(b)!I62 cached value: #REF!. Do not assume it remains appropriate.</t>
      </text>
    </comment>
    <comment ref="E160" authorId="0" shapeId="0">
      <text>
        <t>Manual input: not supplied by SQL. Historical Schedule X(b)!E63 cached value: None. Do not assume it remains appropriate.</t>
      </text>
    </comment>
    <comment ref="I160" authorId="0" shapeId="0">
      <text>
        <t>Manual input: not supplied by SQL. Historical Schedule X(b)!I63 cached value: #REF!. Do not assume it remains appropriate.</t>
      </text>
    </comment>
    <comment ref="E161" authorId="0" shapeId="0">
      <text>
        <t>Manual input: not supplied by SQL. Historical Schedule X(b)!E64 cached value: None. Do not assume it remains appropriate.</t>
      </text>
    </comment>
    <comment ref="I161" authorId="0" shapeId="0">
      <text>
        <t>Manual input: not supplied by SQL. Historical Schedule X(b)!I64 cached value: #REF!. Do not assume it remains appropriate.</t>
      </text>
    </comment>
    <comment ref="E162" authorId="0" shapeId="0">
      <text>
        <t>Manual input: not supplied by SQL. Historical Schedule X(b)!E65 cached value: None. Do not assume it remains appropriate.</t>
      </text>
    </comment>
    <comment ref="I162" authorId="0" shapeId="0">
      <text>
        <t>Manual input: not supplied by SQL. Historical Schedule X(b)!I65 cached value: #REF!. Do not assume it remains appropriate.</t>
      </text>
    </comment>
    <comment ref="E163" authorId="0" shapeId="0">
      <text>
        <t>Manual input: not supplied by SQL. Historical Schedule X(b)!E66 cached value: None. Do not assume it remains appropriate.</t>
      </text>
    </comment>
    <comment ref="I163" authorId="0" shapeId="0">
      <text>
        <t>Manual input: not supplied by SQL. Historical Schedule X(b)!I66 cached value: #REF!. Do not assume it remains appropriate.</t>
      </text>
    </comment>
    <comment ref="E164" authorId="0" shapeId="0">
      <text>
        <t>Manual input: not supplied by SQL. Historical Schedule X(b)!E67 cached value: None. Do not assume it remains appropriate.</t>
      </text>
    </comment>
    <comment ref="I164" authorId="0" shapeId="0">
      <text>
        <t>Manual input: not supplied by SQL. Historical Schedule X(b)!I67 cached value: #REF!. Do not assume it remains appropriate.</t>
      </text>
    </comment>
    <comment ref="I165" authorId="0" shapeId="0">
      <text>
        <t>Manual input: not supplied by SQL. Historical Schedule X(b)!I68 cached value: None. Do not assume it remains appropriate.</t>
      </text>
    </comment>
    <comment ref="J165" authorId="0" shapeId="0">
      <text>
        <t>Manual input: not supplied by SQL. Historical Schedule X(b)!J68 cached value: None. Do not assume it remains appropriate.</t>
      </text>
    </comment>
    <comment ref="K165" authorId="0" shapeId="0">
      <text>
        <t>Manual input: not supplied by SQL. Historical Schedule X(b)!K68 cached value: None. Do not assume it remains appropriate.</t>
      </text>
    </comment>
    <comment ref="I166" authorId="0" shapeId="0">
      <text>
        <t>Manual input: not supplied by SQL. Historical Schedule X(b)!I69 cached value: None. Do not assume it remains appropriate.</t>
      </text>
    </comment>
    <comment ref="J166" authorId="0" shapeId="0">
      <text>
        <t>Manual input: not supplied by SQL. Historical Schedule X(b)!J69 cached value: None. Do not assume it remains appropriate.</t>
      </text>
    </comment>
    <comment ref="K166" authorId="0" shapeId="0">
      <text>
        <t>Manual input: not supplied by SQL. Historical Schedule X(b)!K69 cached value: None. Do not assume it remains appropriate.</t>
      </text>
    </comment>
    <comment ref="E167" authorId="0" shapeId="0">
      <text>
        <t>Manual input: not supplied by SQL. Historical Schedule X(b)!E70 cached value: None. Do not assume it remains appropriate.</t>
      </text>
    </comment>
    <comment ref="I167" authorId="0" shapeId="0">
      <text>
        <t>Manual input: not supplied by SQL. Historical Schedule X(b)!I70 cached value: #REF!. Do not assume it remains appropriate.</t>
      </text>
    </comment>
    <comment ref="E168" authorId="0" shapeId="0">
      <text>
        <t>Manual input: not supplied by SQL. Historical Schedule X(b)!E71 cached value: None. Do not assume it remains appropriate.</t>
      </text>
    </comment>
    <comment ref="I168" authorId="0" shapeId="0">
      <text>
        <t>Manual input: not supplied by SQL. Historical Schedule X(b)!I71 cached value: #REF!. Do not assume it remains appropriate.</t>
      </text>
    </comment>
    <comment ref="E169" authorId="0" shapeId="0">
      <text>
        <t>Manual input: not supplied by SQL. Historical Schedule X(b)!E72 cached value: None. Do not assume it remains appropriate.</t>
      </text>
    </comment>
    <comment ref="I169" authorId="0" shapeId="0">
      <text>
        <t>Manual input: not supplied by SQL. Historical Schedule X(b)!I72 cached value: #REF!. Do not assume it remains appropriate.</t>
      </text>
    </comment>
    <comment ref="E170" authorId="0" shapeId="0">
      <text>
        <t>Manual input: not supplied by SQL. Historical Schedule X(b)!E73 cached value: None. Do not assume it remains appropriate.</t>
      </text>
    </comment>
    <comment ref="I170" authorId="0" shapeId="0">
      <text>
        <t>Manual input: not supplied by SQL. Historical Schedule X(b)!I73 cached value: #REF!. Do not assume it remains appropriate.</t>
      </text>
    </comment>
    <comment ref="E171" authorId="0" shapeId="0">
      <text>
        <t>Manual input: not supplied by SQL. Historical Schedule X(b)!E74 cached value: None. Do not assume it remains appropriate.</t>
      </text>
    </comment>
    <comment ref="I171" authorId="0" shapeId="0">
      <text>
        <t>Manual input: not supplied by SQL. Historical Schedule X(b)!I74 cached value: #REF!. Do not assume it remains appropriate.</t>
      </text>
    </comment>
    <comment ref="E172" authorId="0" shapeId="0">
      <text>
        <t>Manual input: not supplied by SQL. Historical Schedule X(b)!E75 cached value: None. Do not assume it remains appropriate.</t>
      </text>
    </comment>
    <comment ref="I172" authorId="0" shapeId="0">
      <text>
        <t>Manual input: not supplied by SQL. Historical Schedule X(b)!I75 cached value: #REF!. Do not assume it remains appropriate.</t>
      </text>
    </comment>
    <comment ref="E173" authorId="0" shapeId="0">
      <text>
        <t>Manual input: not supplied by SQL. Historical Schedule X(b)!E76 cached value: None. Do not assume it remains appropriate.</t>
      </text>
    </comment>
    <comment ref="I173" authorId="0" shapeId="0">
      <text>
        <t>Manual input: not supplied by SQL. Historical Schedule X(b)!I76 cached value: #REF!. Do not assume it remains appropriate.</t>
      </text>
    </comment>
    <comment ref="E174" authorId="0" shapeId="0">
      <text>
        <t>Manual input: not supplied by SQL. Historical Schedule X(b)!E77 cached value: None. Do not assume it remains appropriate.</t>
      </text>
    </comment>
    <comment ref="I174" authorId="0" shapeId="0">
      <text>
        <t>Manual input: not supplied by SQL. Historical Schedule X(b)!I77 cached value: #REF!. Do not assume it remains appropriate.</t>
      </text>
    </comment>
    <comment ref="I175" authorId="0" shapeId="0">
      <text>
        <t>Manual input: not supplied by SQL. Historical Schedule X(b)!I78 cached value: None. Do not assume it remains appropriate.</t>
      </text>
    </comment>
    <comment ref="J175" authorId="0" shapeId="0">
      <text>
        <t>Manual input: not supplied by SQL. Historical Schedule X(b)!J78 cached value: None. Do not assume it remains appropriate.</t>
      </text>
    </comment>
    <comment ref="K175" authorId="0" shapeId="0">
      <text>
        <t>Manual input: not supplied by SQL. Historical Schedule X(b)!K78 cached value: None. Do not assume it remains appropriate.</t>
      </text>
    </comment>
    <comment ref="G176" authorId="0" shapeId="0">
      <text>
        <t>Manual input: not supplied by SQL. Historical Schedule X(b)!G79 cached value: None. Do not assume it remains appropriate.</t>
      </text>
    </comment>
    <comment ref="I176" authorId="0" shapeId="0">
      <text>
        <t>Manual input: not supplied by SQL. Historical Schedule X(b)!I79 cached value: None. Do not assume it remains appropriate.</t>
      </text>
    </comment>
    <comment ref="J176" authorId="0" shapeId="0">
      <text>
        <t>Manual input: not supplied by SQL. Historical Schedule X(b)!J79 cached value: None. Do not assume it remains appropriate.</t>
      </text>
    </comment>
    <comment ref="K176" authorId="0" shapeId="0">
      <text>
        <t>Manual input: not supplied by SQL. Historical Schedule X(b)!K79 cached value: None. Do not assume it remains appropriate.</t>
      </text>
    </comment>
    <comment ref="G177" authorId="0" shapeId="0">
      <text>
        <t>Manual input: not supplied by SQL. Historical Schedule X(b)!G80 cached value: None. Do not assume it remains appropriate.</t>
      </text>
    </comment>
    <comment ref="I177" authorId="0" shapeId="0">
      <text>
        <t>Manual input: not supplied by SQL. Historical Schedule X(b)!I80 cached value: None. Do not assume it remains appropriate.</t>
      </text>
    </comment>
    <comment ref="J177" authorId="0" shapeId="0">
      <text>
        <t>Manual input: not supplied by SQL. Historical Schedule X(b)!J80 cached value: None. Do not assume it remains appropriate.</t>
      </text>
    </comment>
    <comment ref="K177" authorId="0" shapeId="0">
      <text>
        <t>Manual input: not supplied by SQL. Historical Schedule X(b)!K80 cached value: None. Do not assume it remains appropriate.</t>
      </text>
    </comment>
    <comment ref="I178" authorId="0" shapeId="0">
      <text>
        <t>Manual input: not supplied by SQL. Historical Schedule X(b)!I81 cached value: None. Do not assume it remains appropriate.</t>
      </text>
    </comment>
    <comment ref="J178" authorId="0" shapeId="0">
      <text>
        <t>Manual input: not supplied by SQL. Historical Schedule X(b)!J81 cached value: None. Do not assume it remains appropriate.</t>
      </text>
    </comment>
    <comment ref="K178" authorId="0" shapeId="0">
      <text>
        <t>Manual input: not supplied by SQL. Historical Schedule X(b)!K81 cached value: None. Do not assume it remains appropriate.</t>
      </text>
    </comment>
    <comment ref="G179" authorId="0" shapeId="0">
      <text>
        <t>Manual input: not supplied by SQL. Historical Schedule X(b)!G82 cached value: None. Do not assume it remains appropriate.</t>
      </text>
    </comment>
    <comment ref="I179" authorId="0" shapeId="0">
      <text>
        <t>Manual input: not supplied by SQL. Historical Schedule X(b)!I82 cached value: None. Do not assume it remains appropriate.</t>
      </text>
    </comment>
    <comment ref="J179" authorId="0" shapeId="0">
      <text>
        <t>Manual input: not supplied by SQL. Historical Schedule X(b)!J82 cached value: None. Do not assume it remains appropriate.</t>
      </text>
    </comment>
    <comment ref="K179" authorId="0" shapeId="0">
      <text>
        <t>Manual input: not supplied by SQL. Historical Schedule X(b)!K82 cached value: None. Do not assume it remains appropriate.</t>
      </text>
    </comment>
    <comment ref="G180" authorId="0" shapeId="0">
      <text>
        <t>Manual input: not supplied by SQL. Historical Schedule X(b)!G83 cached value: None. Do not assume it remains appropriate.</t>
      </text>
    </comment>
    <comment ref="F196" authorId="0" shapeId="0">
      <text>
        <t>Manual input: not supplied by SQL. Historical Schedule X(c)!F9 cached value: AIR and RMS. Do not assume it remains appropriate.</t>
      </text>
    </comment>
    <comment ref="F197" authorId="0" shapeId="0">
      <text>
        <t>Manual input: not supplied by SQL. Historical Schedule X(c)!F10 cached value: AIR vXX RMS vXX. Do not assume it remains appropriate.</t>
      </text>
    </comment>
    <comment ref="D203" authorId="0" shapeId="0">
      <text>
        <t>Manual input: not supplied by SQL. Historical Schedule X(c)!D16 cached value: HICM. Do not assume it remains appropriate.</t>
      </text>
    </comment>
    <comment ref="E203" authorId="0" shapeId="0">
      <text>
        <t>Manual input: not supplied by SQL. Historical Schedule X(c)!E16 cached value: HICM. Do not assume it remains appropriate.</t>
      </text>
    </comment>
    <comment ref="F203" authorId="0" shapeId="0">
      <text>
        <t>Manual input: not supplied by SQL. Historical Schedule X(c)!F16 cached value: HICM. Do not assume it remains appropriate.</t>
      </text>
    </comment>
    <comment ref="G203" authorId="0" shapeId="0">
      <text>
        <t>Manual input: not supplied by SQL. Historical Schedule X(c)!G16 cached value: HICM. Do not assume it remains appropriate.</t>
      </text>
    </comment>
    <comment ref="D204" authorId="0" shapeId="0">
      <text>
        <t>Manual input: not supplied by SQL. Historical Schedule X(c)!D17 cached value: HICM. Do not assume it remains appropriate.</t>
      </text>
    </comment>
    <comment ref="E204" authorId="0" shapeId="0">
      <text>
        <t>Manual input: not supplied by SQL. Historical Schedule X(c)!E17 cached value: HICM. Do not assume it remains appropriate.</t>
      </text>
    </comment>
    <comment ref="F204" authorId="0" shapeId="0">
      <text>
        <t>Manual input: not supplied by SQL. Historical Schedule X(c)!F17 cached value: HICM. Do not assume it remains appropriate.</t>
      </text>
    </comment>
    <comment ref="G204" authorId="0" shapeId="0">
      <text>
        <t>Manual input: not supplied by SQL. Historical Schedule X(c)!G17 cached value: HICM. Do not assume it remains appropriate.</t>
      </text>
    </comment>
    <comment ref="D205" authorId="0" shapeId="0">
      <text>
        <t>Manual input: not supplied by SQL. Historical Schedule X(c)!D18 cached value: HICM. Do not assume it remains appropriate.</t>
      </text>
    </comment>
    <comment ref="E205" authorId="0" shapeId="0">
      <text>
        <t>Manual input: not supplied by SQL. Historical Schedule X(c)!E18 cached value: HICM. Do not assume it remains appropriate.</t>
      </text>
    </comment>
    <comment ref="F205" authorId="0" shapeId="0">
      <text>
        <t>Manual input: not supplied by SQL. Historical Schedule X(c)!F18 cached value: HICM. Do not assume it remains appropriate.</t>
      </text>
    </comment>
    <comment ref="G205" authorId="0" shapeId="0">
      <text>
        <t>Manual input: not supplied by SQL. Historical Schedule X(c)!G18 cached value: HICM. Do not assume it remains appropriate.</t>
      </text>
    </comment>
    <comment ref="D206" authorId="0" shapeId="0">
      <text>
        <t>Manual input: not supplied by SQL. Historical Schedule X(c)!D19 cached value: HICM. Do not assume it remains appropriate.</t>
      </text>
    </comment>
    <comment ref="E206" authorId="0" shapeId="0">
      <text>
        <t>Manual input: not supplied by SQL. Historical Schedule X(c)!E19 cached value: HICM. Do not assume it remains appropriate.</t>
      </text>
    </comment>
    <comment ref="F206" authorId="0" shapeId="0">
      <text>
        <t>Manual input: not supplied by SQL. Historical Schedule X(c)!F19 cached value: HICM. Do not assume it remains appropriate.</t>
      </text>
    </comment>
    <comment ref="G206" authorId="0" shapeId="0">
      <text>
        <t>Manual input: not supplied by SQL. Historical Schedule X(c)!G19 cached value: HICM. Do not assume it remains appropriate.</t>
      </text>
    </comment>
    <comment ref="D207" authorId="0" shapeId="0">
      <text>
        <t>Manual input: not supplied by SQL. Historical Schedule X(c)!D20 cached value: HICM. Do not assume it remains appropriate.</t>
      </text>
    </comment>
    <comment ref="E207" authorId="0" shapeId="0">
      <text>
        <t>Manual input: not supplied by SQL. Historical Schedule X(c)!E20 cached value: HICM. Do not assume it remains appropriate.</t>
      </text>
    </comment>
    <comment ref="F207" authorId="0" shapeId="0">
      <text>
        <t>Manual input: not supplied by SQL. Historical Schedule X(c)!F20 cached value: HICM. Do not assume it remains appropriate.</t>
      </text>
    </comment>
    <comment ref="G207" authorId="0" shapeId="0">
      <text>
        <t>Manual input: not supplied by SQL. Historical Schedule X(c)!G20 cached value: HICM. Do not assume it remains appropriate.</t>
      </text>
    </comment>
    <comment ref="E211" authorId="0" shapeId="0">
      <text>
        <t>Manual input: not supplied by SQL. Historical Schedule X(c)!E24 cached value: None. Do not assume it remains appropriate.</t>
      </text>
    </comment>
    <comment ref="F211" authorId="0" shapeId="0">
      <text>
        <t>Manual input: not supplied by SQL. Historical Schedule X(c)!F24 cached value: None. Do not assume it remains appropriate.</t>
      </text>
    </comment>
    <comment ref="E212" authorId="0" shapeId="0">
      <text>
        <t>Manual input: not supplied by SQL. Historical Schedule X(c)!E25 cached value: 0.04. Do not assume it remains appropriate.</t>
      </text>
    </comment>
    <comment ref="F212" authorId="0" shapeId="0">
      <text>
        <t>Manual input: not supplied by SQL. Historical Schedule X(c)!F25 cached value: 0.04. Do not assume it remains appropriate.</t>
      </text>
    </comment>
    <comment ref="E213" authorId="0" shapeId="0">
      <text>
        <t>Manual input: not supplied by SQL. Historical Schedule X(c)!E26 cached value: None. Do not assume it remains appropriate.</t>
      </text>
    </comment>
    <comment ref="F213" authorId="0" shapeId="0">
      <text>
        <t>Manual input: not supplied by SQL. Historical Schedule X(c)!F26 cached value: None. Do not assume it remains appropriate.</t>
      </text>
    </comment>
    <comment ref="E214" authorId="1" shapeId="0">
      <text>
        <t>Automatic from SQL input. Money is already USD: divide by 1,000,000 only. Counts are unscaled.</t>
      </text>
    </comment>
    <comment ref="F214" authorId="1" shapeId="0">
      <text>
        <t>Automatic from SQL input. Money is already USD: divide by 1,000,000 only. Counts are unscaled.</t>
      </text>
    </comment>
    <comment ref="F218" authorId="0" shapeId="0">
      <text>
        <t>Manual input: not supplied by SQL. Historical Schedule X(c)!F31 cached value: AIR and RMS. Do not assume it remains appropriate.</t>
      </text>
    </comment>
    <comment ref="F219" authorId="0" shapeId="0">
      <text>
        <t>Manual input: not supplied by SQL. Historical Schedule X(c)!F32 cached value: AIR vXX RMS vXX. Do not assume it remains appropriate.</t>
      </text>
    </comment>
    <comment ref="D225" authorId="0" shapeId="0">
      <text>
        <t>Manual input: not supplied by SQL. Historical Schedule X(c)!D38 cached value: HICM. Do not assume it remains appropriate.</t>
      </text>
    </comment>
    <comment ref="E225" authorId="0" shapeId="0">
      <text>
        <t>Manual input: not supplied by SQL. Historical Schedule X(c)!E38 cached value: HICM. Do not assume it remains appropriate.</t>
      </text>
    </comment>
    <comment ref="F225" authorId="0" shapeId="0">
      <text>
        <t>Manual input: not supplied by SQL. Historical Schedule X(c)!F38 cached value: HICM. Do not assume it remains appropriate.</t>
      </text>
    </comment>
    <comment ref="G225" authorId="0" shapeId="0">
      <text>
        <t>Manual input: not supplied by SQL. Historical Schedule X(c)!G38 cached value: HICM. Do not assume it remains appropriate.</t>
      </text>
    </comment>
    <comment ref="D226" authorId="0" shapeId="0">
      <text>
        <t>Manual input: not supplied by SQL. Historical Schedule X(c)!D39 cached value: HICM. Do not assume it remains appropriate.</t>
      </text>
    </comment>
    <comment ref="E226" authorId="0" shapeId="0">
      <text>
        <t>Manual input: not supplied by SQL. Historical Schedule X(c)!E39 cached value: HICM. Do not assume it remains appropriate.</t>
      </text>
    </comment>
    <comment ref="F226" authorId="0" shapeId="0">
      <text>
        <t>Manual input: not supplied by SQL. Historical Schedule X(c)!F39 cached value: HICM. Do not assume it remains appropriate.</t>
      </text>
    </comment>
    <comment ref="G226" authorId="0" shapeId="0">
      <text>
        <t>Manual input: not supplied by SQL. Historical Schedule X(c)!G39 cached value: HICM. Do not assume it remains appropriate.</t>
      </text>
    </comment>
    <comment ref="D227" authorId="0" shapeId="0">
      <text>
        <t>Manual input: not supplied by SQL. Historical Schedule X(c)!D40 cached value: HICM. Do not assume it remains appropriate.</t>
      </text>
    </comment>
    <comment ref="E227" authorId="0" shapeId="0">
      <text>
        <t>Manual input: not supplied by SQL. Historical Schedule X(c)!E40 cached value: HICM. Do not assume it remains appropriate.</t>
      </text>
    </comment>
    <comment ref="F227" authorId="0" shapeId="0">
      <text>
        <t>Manual input: not supplied by SQL. Historical Schedule X(c)!F40 cached value: HICM. Do not assume it remains appropriate.</t>
      </text>
    </comment>
    <comment ref="G227" authorId="0" shapeId="0">
      <text>
        <t>Manual input: not supplied by SQL. Historical Schedule X(c)!G40 cached value: HICM. Do not assume it remains appropriate.</t>
      </text>
    </comment>
    <comment ref="D228" authorId="0" shapeId="0">
      <text>
        <t>Manual input: not supplied by SQL. Historical Schedule X(c)!D41 cached value: HICM. Do not assume it remains appropriate.</t>
      </text>
    </comment>
    <comment ref="E228" authorId="0" shapeId="0">
      <text>
        <t>Manual input: not supplied by SQL. Historical Schedule X(c)!E41 cached value: HICM. Do not assume it remains appropriate.</t>
      </text>
    </comment>
    <comment ref="F228" authorId="0" shapeId="0">
      <text>
        <t>Manual input: not supplied by SQL. Historical Schedule X(c)!F41 cached value: HICM. Do not assume it remains appropriate.</t>
      </text>
    </comment>
    <comment ref="G228" authorId="0" shapeId="0">
      <text>
        <t>Manual input: not supplied by SQL. Historical Schedule X(c)!G41 cached value: HICM. Do not assume it remains appropriate.</t>
      </text>
    </comment>
    <comment ref="D229" authorId="0" shapeId="0">
      <text>
        <t>Manual input: not supplied by SQL. Historical Schedule X(c)!D42 cached value: HICM. Do not assume it remains appropriate.</t>
      </text>
    </comment>
    <comment ref="E229" authorId="0" shapeId="0">
      <text>
        <t>Manual input: not supplied by SQL. Historical Schedule X(c)!E42 cached value: HICM. Do not assume it remains appropriate.</t>
      </text>
    </comment>
    <comment ref="F229" authorId="0" shapeId="0">
      <text>
        <t>Manual input: not supplied by SQL. Historical Schedule X(c)!F42 cached value: HICM. Do not assume it remains appropriate.</t>
      </text>
    </comment>
    <comment ref="G229" authorId="0" shapeId="0">
      <text>
        <t>Manual input: not supplied by SQL. Historical Schedule X(c)!G42 cached value: HICM. Do not assume it remains appropriate.</t>
      </text>
    </comment>
    <comment ref="E233" authorId="0" shapeId="0">
      <text>
        <t>Manual input: not supplied by SQL. Historical Schedule X(c)!E46 cached value: None. Do not assume it remains appropriate.</t>
      </text>
    </comment>
    <comment ref="F233" authorId="0" shapeId="0">
      <text>
        <t>Manual input: not supplied by SQL. Historical Schedule X(c)!F46 cached value: None. Do not assume it remains appropriate.</t>
      </text>
    </comment>
    <comment ref="E234" authorId="0" shapeId="0">
      <text>
        <t>Manual input: not supplied by SQL. Historical Schedule X(c)!E47 cached value: 0.04. Do not assume it remains appropriate.</t>
      </text>
    </comment>
    <comment ref="F234" authorId="0" shapeId="0">
      <text>
        <t>Manual input: not supplied by SQL. Historical Schedule X(c)!F47 cached value: 0.04. Do not assume it remains appropriate.</t>
      </text>
    </comment>
    <comment ref="E235" authorId="0" shapeId="0">
      <text>
        <t>Manual input: not supplied by SQL. Historical Schedule X(c)!E48 cached value: None. Do not assume it remains appropriate.</t>
      </text>
    </comment>
    <comment ref="F235" authorId="0" shapeId="0">
      <text>
        <t>Manual input: not supplied by SQL. Historical Schedule X(c)!F48 cached value: None. Do not assume it remains appropriate.</t>
      </text>
    </comment>
    <comment ref="E236" authorId="1" shapeId="0">
      <text>
        <t>Automatic from SQL input. Money is already USD: divide by 1,000,000 only. Counts are unscaled.</t>
      </text>
    </comment>
    <comment ref="F236" authorId="1" shapeId="0">
      <text>
        <t>Automatic from SQL input. Money is already USD: divide by 1,000,000 only. Counts are unscaled.</t>
      </text>
    </comment>
    <comment ref="F240" authorId="0" shapeId="0">
      <text>
        <t>Manual input: not supplied by SQL. Historical Schedule X(c)!F53 cached value: AIR and RMS. Do not assume it remains appropriate.</t>
      </text>
    </comment>
    <comment ref="F241" authorId="0" shapeId="0">
      <text>
        <t>Manual input: not supplied by SQL. Historical Schedule X(c)!F54 cached value: AIR vXX RMS vXX. Do not assume it remains appropriate.</t>
      </text>
    </comment>
    <comment ref="D247" authorId="0" shapeId="0">
      <text>
        <t>Manual input: not supplied by SQL. Historical Schedule X(c)!D60 cached value: HICM. Do not assume it remains appropriate.</t>
      </text>
    </comment>
    <comment ref="E247" authorId="0" shapeId="0">
      <text>
        <t>Manual input: not supplied by SQL. Historical Schedule X(c)!E60 cached value: HICM. Do not assume it remains appropriate.</t>
      </text>
    </comment>
    <comment ref="F247" authorId="0" shapeId="0">
      <text>
        <t>Manual input: not supplied by SQL. Historical Schedule X(c)!F60 cached value: HICM. Do not assume it remains appropriate.</t>
      </text>
    </comment>
    <comment ref="G247" authorId="0" shapeId="0">
      <text>
        <t>Manual input: not supplied by SQL. Historical Schedule X(c)!G60 cached value: HICM. Do not assume it remains appropriate.</t>
      </text>
    </comment>
    <comment ref="D248" authorId="0" shapeId="0">
      <text>
        <t>Manual input: not supplied by SQL. Historical Schedule X(c)!D61 cached value: HICM. Do not assume it remains appropriate.</t>
      </text>
    </comment>
    <comment ref="E248" authorId="0" shapeId="0">
      <text>
        <t>Manual input: not supplied by SQL. Historical Schedule X(c)!E61 cached value: HICM. Do not assume it remains appropriate.</t>
      </text>
    </comment>
    <comment ref="F248" authorId="0" shapeId="0">
      <text>
        <t>Manual input: not supplied by SQL. Historical Schedule X(c)!F61 cached value: HICM. Do not assume it remains appropriate.</t>
      </text>
    </comment>
    <comment ref="G248" authorId="0" shapeId="0">
      <text>
        <t>Manual input: not supplied by SQL. Historical Schedule X(c)!G61 cached value: HICM. Do not assume it remains appropriate.</t>
      </text>
    </comment>
    <comment ref="D249" authorId="0" shapeId="0">
      <text>
        <t>Manual input: not supplied by SQL. Historical Schedule X(c)!D62 cached value: HICM. Do not assume it remains appropriate.</t>
      </text>
    </comment>
    <comment ref="E249" authorId="0" shapeId="0">
      <text>
        <t>Manual input: not supplied by SQL. Historical Schedule X(c)!E62 cached value: HICM. Do not assume it remains appropriate.</t>
      </text>
    </comment>
    <comment ref="F249" authorId="0" shapeId="0">
      <text>
        <t>Manual input: not supplied by SQL. Historical Schedule X(c)!F62 cached value: HICM. Do not assume it remains appropriate.</t>
      </text>
    </comment>
    <comment ref="G249" authorId="0" shapeId="0">
      <text>
        <t>Manual input: not supplied by SQL. Historical Schedule X(c)!G62 cached value: HICM. Do not assume it remains appropriate.</t>
      </text>
    </comment>
    <comment ref="D250" authorId="0" shapeId="0">
      <text>
        <t>Manual input: not supplied by SQL. Historical Schedule X(c)!D63 cached value: HICM. Do not assume it remains appropriate.</t>
      </text>
    </comment>
    <comment ref="E250" authorId="0" shapeId="0">
      <text>
        <t>Manual input: not supplied by SQL. Historical Schedule X(c)!E63 cached value: HICM. Do not assume it remains appropriate.</t>
      </text>
    </comment>
    <comment ref="F250" authorId="0" shapeId="0">
      <text>
        <t>Manual input: not supplied by SQL. Historical Schedule X(c)!F63 cached value: HICM. Do not assume it remains appropriate.</t>
      </text>
    </comment>
    <comment ref="G250" authorId="0" shapeId="0">
      <text>
        <t>Manual input: not supplied by SQL. Historical Schedule X(c)!G63 cached value: HICM. Do not assume it remains appropriate.</t>
      </text>
    </comment>
    <comment ref="D251" authorId="0" shapeId="0">
      <text>
        <t>Manual input: not supplied by SQL. Historical Schedule X(c)!D64 cached value: HICM. Do not assume it remains appropriate.</t>
      </text>
    </comment>
    <comment ref="E251" authorId="0" shapeId="0">
      <text>
        <t>Manual input: not supplied by SQL. Historical Schedule X(c)!E64 cached value: HICM. Do not assume it remains appropriate.</t>
      </text>
    </comment>
    <comment ref="F251" authorId="0" shapeId="0">
      <text>
        <t>Manual input: not supplied by SQL. Historical Schedule X(c)!F64 cached value: HICM. Do not assume it remains appropriate.</t>
      </text>
    </comment>
    <comment ref="G251" authorId="0" shapeId="0">
      <text>
        <t>Manual input: not supplied by SQL. Historical Schedule X(c)!G64 cached value: HICM. Do not assume it remains appropriate.</t>
      </text>
    </comment>
    <comment ref="E255" authorId="0" shapeId="0">
      <text>
        <t>Manual input: not supplied by SQL. Historical Schedule X(c)!E68 cached value: None. Do not assume it remains appropriate.</t>
      </text>
    </comment>
    <comment ref="F255" authorId="0" shapeId="0">
      <text>
        <t>Manual input: not supplied by SQL. Historical Schedule X(c)!F68 cached value: None. Do not assume it remains appropriate.</t>
      </text>
    </comment>
    <comment ref="E256" authorId="0" shapeId="0">
      <text>
        <t>Manual input: not supplied by SQL. Historical Schedule X(c)!E69 cached value: 0.08. Do not assume it remains appropriate.</t>
      </text>
    </comment>
    <comment ref="F256" authorId="0" shapeId="0">
      <text>
        <t>Manual input: not supplied by SQL. Historical Schedule X(c)!F69 cached value: 0.08. Do not assume it remains appropriate.</t>
      </text>
    </comment>
    <comment ref="E257" authorId="0" shapeId="0">
      <text>
        <t>Manual input: not supplied by SQL. Historical Schedule X(c)!E70 cached value: None. Do not assume it remains appropriate.</t>
      </text>
    </comment>
    <comment ref="F257" authorId="0" shapeId="0">
      <text>
        <t>Manual input: not supplied by SQL. Historical Schedule X(c)!F70 cached value: None. Do not assume it remains appropriate.</t>
      </text>
    </comment>
    <comment ref="E258" authorId="1" shapeId="0">
      <text>
        <t>Automatic from SQL input. Money is already USD: divide by 1,000,000 only. Counts are unscaled.</t>
      </text>
    </comment>
    <comment ref="F258" authorId="1" shapeId="0">
      <text>
        <t>Automatic from SQL input. Money is already USD: divide by 1,000,000 only. Counts are unscaled.</t>
      </text>
    </comment>
    <comment ref="F262" authorId="0" shapeId="0">
      <text>
        <t>Manual input: not supplied by SQL. Historical Schedule X(c)!F75 cached value: AIR and RMS. Do not assume it remains appropriate.</t>
      </text>
    </comment>
    <comment ref="F263" authorId="0" shapeId="0">
      <text>
        <t>Manual input: not supplied by SQL. Historical Schedule X(c)!F76 cached value: AIR vXX RMS vXX. Do not assume it remains appropriate.</t>
      </text>
    </comment>
    <comment ref="D269" authorId="0" shapeId="0">
      <text>
        <t>Manual input: not supplied by SQL. Historical Schedule X(c)!D82 cached value: HICM. Do not assume it remains appropriate.</t>
      </text>
    </comment>
    <comment ref="E269" authorId="0" shapeId="0">
      <text>
        <t>Manual input: not supplied by SQL. Historical Schedule X(c)!E82 cached value: HICM. Do not assume it remains appropriate.</t>
      </text>
    </comment>
    <comment ref="F269" authorId="0" shapeId="0">
      <text>
        <t>Manual input: not supplied by SQL. Historical Schedule X(c)!F82 cached value: HICM. Do not assume it remains appropriate.</t>
      </text>
    </comment>
    <comment ref="G269" authorId="0" shapeId="0">
      <text>
        <t>Manual input: not supplied by SQL. Historical Schedule X(c)!G82 cached value: HICM. Do not assume it remains appropriate.</t>
      </text>
    </comment>
    <comment ref="D270" authorId="0" shapeId="0">
      <text>
        <t>Manual input: not supplied by SQL. Historical Schedule X(c)!D83 cached value: HICM. Do not assume it remains appropriate.</t>
      </text>
    </comment>
    <comment ref="E270" authorId="0" shapeId="0">
      <text>
        <t>Manual input: not supplied by SQL. Historical Schedule X(c)!E83 cached value: HICM. Do not assume it remains appropriate.</t>
      </text>
    </comment>
    <comment ref="F270" authorId="0" shapeId="0">
      <text>
        <t>Manual input: not supplied by SQL. Historical Schedule X(c)!F83 cached value: HICM. Do not assume it remains appropriate.</t>
      </text>
    </comment>
    <comment ref="G270" authorId="0" shapeId="0">
      <text>
        <t>Manual input: not supplied by SQL. Historical Schedule X(c)!G83 cached value: HICM. Do not assume it remains appropriate.</t>
      </text>
    </comment>
    <comment ref="D271" authorId="0" shapeId="0">
      <text>
        <t>Manual input: not supplied by SQL. Historical Schedule X(c)!D84 cached value: HICM. Do not assume it remains appropriate.</t>
      </text>
    </comment>
    <comment ref="E271" authorId="0" shapeId="0">
      <text>
        <t>Manual input: not supplied by SQL. Historical Schedule X(c)!E84 cached value: HICM. Do not assume it remains appropriate.</t>
      </text>
    </comment>
    <comment ref="F271" authorId="0" shapeId="0">
      <text>
        <t>Manual input: not supplied by SQL. Historical Schedule X(c)!F84 cached value: HICM. Do not assume it remains appropriate.</t>
      </text>
    </comment>
    <comment ref="G271" authorId="0" shapeId="0">
      <text>
        <t>Manual input: not supplied by SQL. Historical Schedule X(c)!G84 cached value: HICM. Do not assume it remains appropriate.</t>
      </text>
    </comment>
    <comment ref="D272" authorId="0" shapeId="0">
      <text>
        <t>Manual input: not supplied by SQL. Historical Schedule X(c)!D85 cached value: HICM. Do not assume it remains appropriate.</t>
      </text>
    </comment>
    <comment ref="E272" authorId="0" shapeId="0">
      <text>
        <t>Manual input: not supplied by SQL. Historical Schedule X(c)!E85 cached value: HICM. Do not assume it remains appropriate.</t>
      </text>
    </comment>
    <comment ref="F272" authorId="0" shapeId="0">
      <text>
        <t>Manual input: not supplied by SQL. Historical Schedule X(c)!F85 cached value: HICM. Do not assume it remains appropriate.</t>
      </text>
    </comment>
    <comment ref="G272" authorId="0" shapeId="0">
      <text>
        <t>Manual input: not supplied by SQL. Historical Schedule X(c)!G85 cached value: HICM. Do not assume it remains appropriate.</t>
      </text>
    </comment>
    <comment ref="D273" authorId="0" shapeId="0">
      <text>
        <t>Manual input: not supplied by SQL. Historical Schedule X(c)!D86 cached value: HICM. Do not assume it remains appropriate.</t>
      </text>
    </comment>
    <comment ref="E273" authorId="0" shapeId="0">
      <text>
        <t>Manual input: not supplied by SQL. Historical Schedule X(c)!E86 cached value: HICM. Do not assume it remains appropriate.</t>
      </text>
    </comment>
    <comment ref="F273" authorId="0" shapeId="0">
      <text>
        <t>Manual input: not supplied by SQL. Historical Schedule X(c)!F86 cached value: HICM. Do not assume it remains appropriate.</t>
      </text>
    </comment>
    <comment ref="G273" authorId="0" shapeId="0">
      <text>
        <t>Manual input: not supplied by SQL. Historical Schedule X(c)!G86 cached value: HICM. Do not assume it remains appropriate.</t>
      </text>
    </comment>
    <comment ref="E277" authorId="0" shapeId="0">
      <text>
        <t>Manual input: not supplied by SQL. Historical Schedule X(c)!E90 cached value: None. Do not assume it remains appropriate.</t>
      </text>
    </comment>
    <comment ref="F277" authorId="0" shapeId="0">
      <text>
        <t>Manual input: not supplied by SQL. Historical Schedule X(c)!F90 cached value: None. Do not assume it remains appropriate.</t>
      </text>
    </comment>
    <comment ref="E278" authorId="0" shapeId="0">
      <text>
        <t>Manual input: not supplied by SQL. Historical Schedule X(c)!E91 cached value: None. Do not assume it remains appropriate.</t>
      </text>
    </comment>
    <comment ref="F278" authorId="0" shapeId="0">
      <text>
        <t>Manual input: not supplied by SQL. Historical Schedule X(c)!F91 cached value: None. Do not assume it remains appropriate.</t>
      </text>
    </comment>
    <comment ref="E279" authorId="0" shapeId="0">
      <text>
        <t>Manual input: not supplied by SQL. Historical Schedule X(c)!E92 cached value: None. Do not assume it remains appropriate.</t>
      </text>
    </comment>
    <comment ref="F279" authorId="0" shapeId="0">
      <text>
        <t>Manual input: not supplied by SQL. Historical Schedule X(c)!F92 cached value: None. Do not assume it remains appropriate.</t>
      </text>
    </comment>
    <comment ref="E280" authorId="1" shapeId="0">
      <text>
        <t>Automatic from SQL input. Money is already USD: divide by 1,000,000 only. Counts are unscaled.</t>
      </text>
    </comment>
    <comment ref="F280" authorId="1" shapeId="0">
      <text>
        <t>Automatic from SQL input. Money is already USD: divide by 1,000,000 only. Counts are unscaled.</t>
      </text>
    </comment>
    <comment ref="F284" authorId="0" shapeId="0">
      <text>
        <t>Manual input: not supplied by SQL. Historical Schedule X(c)!F97 cached value: AIR and RMS. Do not assume it remains appropriate.</t>
      </text>
    </comment>
    <comment ref="F285" authorId="0" shapeId="0">
      <text>
        <t>Manual input: not supplied by SQL. Historical Schedule X(c)!F98 cached value: AIR vXX RMS vXX. Do not assume it remains appropriate.</t>
      </text>
    </comment>
    <comment ref="D291" authorId="0" shapeId="0">
      <text>
        <t>Manual input: not supplied by SQL. Historical Schedule X(c)!D104 cached value: HICM. Do not assume it remains appropriate.</t>
      </text>
    </comment>
    <comment ref="E291" authorId="0" shapeId="0">
      <text>
        <t>Manual input: not supplied by SQL. Historical Schedule X(c)!E104 cached value: HICM. Do not assume it remains appropriate.</t>
      </text>
    </comment>
    <comment ref="F291" authorId="0" shapeId="0">
      <text>
        <t>Manual input: not supplied by SQL. Historical Schedule X(c)!F104 cached value: HICM. Do not assume it remains appropriate.</t>
      </text>
    </comment>
    <comment ref="G291" authorId="0" shapeId="0">
      <text>
        <t>Manual input: not supplied by SQL. Historical Schedule X(c)!G104 cached value: HICM. Do not assume it remains appropriate.</t>
      </text>
    </comment>
    <comment ref="D292" authorId="0" shapeId="0">
      <text>
        <t>Manual input: not supplied by SQL. Historical Schedule X(c)!D105 cached value: HICM. Do not assume it remains appropriate.</t>
      </text>
    </comment>
    <comment ref="E292" authorId="0" shapeId="0">
      <text>
        <t>Manual input: not supplied by SQL. Historical Schedule X(c)!E105 cached value: HICM. Do not assume it remains appropriate.</t>
      </text>
    </comment>
    <comment ref="F292" authorId="0" shapeId="0">
      <text>
        <t>Manual input: not supplied by SQL. Historical Schedule X(c)!F105 cached value: HICM. Do not assume it remains appropriate.</t>
      </text>
    </comment>
    <comment ref="G292" authorId="0" shapeId="0">
      <text>
        <t>Manual input: not supplied by SQL. Historical Schedule X(c)!G105 cached value: HICM. Do not assume it remains appropriate.</t>
      </text>
    </comment>
    <comment ref="D293" authorId="0" shapeId="0">
      <text>
        <t>Manual input: not supplied by SQL. Historical Schedule X(c)!D106 cached value: HICM. Do not assume it remains appropriate.</t>
      </text>
    </comment>
    <comment ref="E293" authorId="0" shapeId="0">
      <text>
        <t>Manual input: not supplied by SQL. Historical Schedule X(c)!E106 cached value: HICM. Do not assume it remains appropriate.</t>
      </text>
    </comment>
    <comment ref="F293" authorId="0" shapeId="0">
      <text>
        <t>Manual input: not supplied by SQL. Historical Schedule X(c)!F106 cached value: HICM. Do not assume it remains appropriate.</t>
      </text>
    </comment>
    <comment ref="G293" authorId="0" shapeId="0">
      <text>
        <t>Manual input: not supplied by SQL. Historical Schedule X(c)!G106 cached value: HICM. Do not assume it remains appropriate.</t>
      </text>
    </comment>
    <comment ref="D294" authorId="0" shapeId="0">
      <text>
        <t>Manual input: not supplied by SQL. Historical Schedule X(c)!D107 cached value: HICM. Do not assume it remains appropriate.</t>
      </text>
    </comment>
    <comment ref="E294" authorId="0" shapeId="0">
      <text>
        <t>Manual input: not supplied by SQL. Historical Schedule X(c)!E107 cached value: HICM. Do not assume it remains appropriate.</t>
      </text>
    </comment>
    <comment ref="F294" authorId="0" shapeId="0">
      <text>
        <t>Manual input: not supplied by SQL. Historical Schedule X(c)!F107 cached value: HICM. Do not assume it remains appropriate.</t>
      </text>
    </comment>
    <comment ref="G294" authorId="0" shapeId="0">
      <text>
        <t>Manual input: not supplied by SQL. Historical Schedule X(c)!G107 cached value: HICM. Do not assume it remains appropriate.</t>
      </text>
    </comment>
    <comment ref="D295" authorId="0" shapeId="0">
      <text>
        <t>Manual input: not supplied by SQL. Historical Schedule X(c)!D108 cached value: HICM. Do not assume it remains appropriate.</t>
      </text>
    </comment>
    <comment ref="E295" authorId="0" shapeId="0">
      <text>
        <t>Manual input: not supplied by SQL. Historical Schedule X(c)!E108 cached value: HICM. Do not assume it remains appropriate.</t>
      </text>
    </comment>
    <comment ref="F295" authorId="0" shapeId="0">
      <text>
        <t>Manual input: not supplied by SQL. Historical Schedule X(c)!F108 cached value: HICM. Do not assume it remains appropriate.</t>
      </text>
    </comment>
    <comment ref="G295" authorId="0" shapeId="0">
      <text>
        <t>Manual input: not supplied by SQL. Historical Schedule X(c)!G108 cached value: HICM. Do not assume it remains appropriate.</t>
      </text>
    </comment>
    <comment ref="E299" authorId="0" shapeId="0">
      <text>
        <t>Manual input: not supplied by SQL. Historical Schedule X(c)!E112 cached value: None. Do not assume it remains appropriate.</t>
      </text>
    </comment>
    <comment ref="F299" authorId="0" shapeId="0">
      <text>
        <t>Manual input: not supplied by SQL. Historical Schedule X(c)!F112 cached value: None. Do not assume it remains appropriate.</t>
      </text>
    </comment>
    <comment ref="E300" authorId="0" shapeId="0">
      <text>
        <t>Manual input: not supplied by SQL. Historical Schedule X(c)!E113 cached value: None. Do not assume it remains appropriate.</t>
      </text>
    </comment>
    <comment ref="F300" authorId="0" shapeId="0">
      <text>
        <t>Manual input: not supplied by SQL. Historical Schedule X(c)!F113 cached value: None. Do not assume it remains appropriate.</t>
      </text>
    </comment>
    <comment ref="E301" authorId="0" shapeId="0">
      <text>
        <t>Manual input: not supplied by SQL. Historical Schedule X(c)!E114 cached value: None. Do not assume it remains appropriate.</t>
      </text>
    </comment>
    <comment ref="F301" authorId="0" shapeId="0">
      <text>
        <t>Manual input: not supplied by SQL. Historical Schedule X(c)!F114 cached value: None. Do not assume it remains appropriate.</t>
      </text>
    </comment>
    <comment ref="E302" authorId="1" shapeId="0">
      <text>
        <t>Automatic from SQL input. Money is already USD: divide by 1,000,000 only. Counts are unscaled.</t>
      </text>
    </comment>
    <comment ref="F302" authorId="1" shapeId="0">
      <text>
        <t>Automatic from SQL input. Money is already USD: divide by 1,000,000 only. Counts are unscaled.</t>
      </text>
    </comment>
    <comment ref="E318" authorId="1" shapeId="0">
      <text>
        <t>Automatic from SQL input. Money is already USD: divide by 1,000,000 only. Counts are unscaled.</t>
      </text>
    </comment>
    <comment ref="F318" authorId="1" shapeId="0">
      <text>
        <t>Automatic from SQL input. Money is already USD: divide by 1,000,000 only. Counts are unscaled.</t>
      </text>
    </comment>
    <comment ref="G318" authorId="1" shapeId="0">
      <text>
        <t>Automatic from SQL input. Money is already USD: divide by 1,000,000 only. Counts are unscaled.</t>
      </text>
    </comment>
    <comment ref="H318" authorId="1" shapeId="0">
      <text>
        <t>Automatic from SQL input. Money is already USD: divide by 1,000,000 only. Counts are unscaled.</t>
      </text>
    </comment>
    <comment ref="I318" authorId="1" shapeId="0">
      <text>
        <t>Automatic from SQL input. Money is already USD: divide by 1,000,000 only. Counts are unscaled.</t>
      </text>
    </comment>
    <comment ref="J318" authorId="1" shapeId="0">
      <text>
        <t>Automatic from SQL input. Money is already USD: divide by 1,000,000 only. Counts are unscaled.</t>
      </text>
    </comment>
    <comment ref="K318" authorId="1" shapeId="0">
      <text>
        <t>Automatic from SQL input. Money is already USD: divide by 1,000,000 only. Counts are unscaled.</t>
      </text>
    </comment>
    <comment ref="L318" authorId="1" shapeId="0">
      <text>
        <t>Automatic from SQL input. Money is already USD: divide by 1,000,000 only. Counts are unscaled.</t>
      </text>
    </comment>
    <comment ref="M318" authorId="1" shapeId="0">
      <text>
        <t>Automatic from SQL input. Money is already USD: divide by 1,000,000 only. Counts are unscaled.</t>
      </text>
    </comment>
    <comment ref="E319" authorId="1" shapeId="0">
      <text>
        <t>Automatic from SQL input. Money is already USD: divide by 1,000,000 only. Counts are unscaled.</t>
      </text>
    </comment>
    <comment ref="F319" authorId="1" shapeId="0">
      <text>
        <t>Automatic from SQL input. Money is already USD: divide by 1,000,000 only. Counts are unscaled.</t>
      </text>
    </comment>
    <comment ref="G319" authorId="1" shapeId="0">
      <text>
        <t>Automatic from SQL input. Money is already USD: divide by 1,000,000 only. Counts are unscaled.</t>
      </text>
    </comment>
    <comment ref="H319" authorId="1" shapeId="0">
      <text>
        <t>Automatic from SQL input. Money is already USD: divide by 1,000,000 only. Counts are unscaled.</t>
      </text>
    </comment>
    <comment ref="I319" authorId="1" shapeId="0">
      <text>
        <t>Automatic from SQL input. Money is already USD: divide by 1,000,000 only. Counts are unscaled.</t>
      </text>
    </comment>
    <comment ref="J319" authorId="1" shapeId="0">
      <text>
        <t>Automatic from SQL input. Money is already USD: divide by 1,000,000 only. Counts are unscaled.</t>
      </text>
    </comment>
    <comment ref="K319" authorId="1" shapeId="0">
      <text>
        <t>Automatic from SQL input. Money is already USD: divide by 1,000,000 only. Counts are unscaled.</t>
      </text>
    </comment>
    <comment ref="L319" authorId="1" shapeId="0">
      <text>
        <t>Automatic from SQL input. Money is already USD: divide by 1,000,000 only. Counts are unscaled.</t>
      </text>
    </comment>
    <comment ref="M319" authorId="1" shapeId="0">
      <text>
        <t>Automatic from SQL input. Money is already USD: divide by 1,000,000 only. Counts are unscaled.</t>
      </text>
    </comment>
    <comment ref="E320" authorId="1" shapeId="0">
      <text>
        <t>Automatic from SQL input. Money is already USD: divide by 1,000,000 only. Counts are unscaled.</t>
      </text>
    </comment>
    <comment ref="F320" authorId="1" shapeId="0">
      <text>
        <t>Automatic from SQL input. Money is already USD: divide by 1,000,000 only. Counts are unscaled.</t>
      </text>
    </comment>
    <comment ref="G320" authorId="1" shapeId="0">
      <text>
        <t>Automatic from SQL input. Money is already USD: divide by 1,000,000 only. Counts are unscaled.</t>
      </text>
    </comment>
    <comment ref="H320" authorId="1" shapeId="0">
      <text>
        <t>Automatic from SQL input. Money is already USD: divide by 1,000,000 only. Counts are unscaled.</t>
      </text>
    </comment>
    <comment ref="I320" authorId="1" shapeId="0">
      <text>
        <t>Automatic from SQL input. Money is already USD: divide by 1,000,000 only. Counts are unscaled.</t>
      </text>
    </comment>
    <comment ref="J320" authorId="1" shapeId="0">
      <text>
        <t>Automatic from SQL input. Money is already USD: divide by 1,000,000 only. Counts are unscaled.</t>
      </text>
    </comment>
    <comment ref="K320" authorId="1" shapeId="0">
      <text>
        <t>Automatic from SQL input. Money is already USD: divide by 1,000,000 only. Counts are unscaled.</t>
      </text>
    </comment>
    <comment ref="L320" authorId="1" shapeId="0">
      <text>
        <t>Automatic from SQL input. Money is already USD: divide by 1,000,000 only. Counts are unscaled.</t>
      </text>
    </comment>
    <comment ref="M320" authorId="1" shapeId="0">
      <text>
        <t>Automatic from SQL input. Money is already USD: divide by 1,000,000 only. Counts are unscaled.</t>
      </text>
    </comment>
    <comment ref="E327" authorId="1" shapeId="0">
      <text>
        <t>Automatic from SQL input. Money is already USD: divide by 1,000,000 only. Counts are unscaled.</t>
      </text>
    </comment>
    <comment ref="F327" authorId="1" shapeId="0">
      <text>
        <t>Automatic from SQL input. Money is already USD: divide by 1,000,000 only. Counts are unscaled.</t>
      </text>
    </comment>
    <comment ref="G327" authorId="1" shapeId="0">
      <text>
        <t>Automatic from SQL input. Money is already USD: divide by 1,000,000 only. Counts are unscaled.</t>
      </text>
    </comment>
    <comment ref="H327" authorId="1" shapeId="0">
      <text>
        <t>Automatic from SQL input. Money is already USD: divide by 1,000,000 only. Counts are unscaled.</t>
      </text>
    </comment>
    <comment ref="I327" authorId="1" shapeId="0">
      <text>
        <t>Automatic from SQL input. Money is already USD: divide by 1,000,000 only. Counts are unscaled.</t>
      </text>
    </comment>
    <comment ref="J327" authorId="1" shapeId="0">
      <text>
        <t>Automatic from SQL input. Money is already USD: divide by 1,000,000 only. Counts are unscaled.</t>
      </text>
    </comment>
    <comment ref="K327" authorId="1" shapeId="0">
      <text>
        <t>Automatic from SQL input. Money is already USD: divide by 1,000,000 only. Counts are unscaled.</t>
      </text>
    </comment>
    <comment ref="L327" authorId="1" shapeId="0">
      <text>
        <t>Automatic from SQL input. Money is already USD: divide by 1,000,000 only. Counts are unscaled.</t>
      </text>
    </comment>
    <comment ref="M327" authorId="1" shapeId="0">
      <text>
        <t>Automatic from SQL input. Money is already USD: divide by 1,000,000 only. Counts are unscaled.</t>
      </text>
    </comment>
    <comment ref="E328" authorId="1" shapeId="0">
      <text>
        <t>Automatic from SQL input. Money is already USD: divide by 1,000,000 only. Counts are unscaled.</t>
      </text>
    </comment>
    <comment ref="F328" authorId="1" shapeId="0">
      <text>
        <t>Automatic from SQL input. Money is already USD: divide by 1,000,000 only. Counts are unscaled.</t>
      </text>
    </comment>
    <comment ref="G328" authorId="1" shapeId="0">
      <text>
        <t>Automatic from SQL input. Money is already USD: divide by 1,000,000 only. Counts are unscaled.</t>
      </text>
    </comment>
    <comment ref="H328" authorId="1" shapeId="0">
      <text>
        <t>Automatic from SQL input. Money is already USD: divide by 1,000,000 only. Counts are unscaled.</t>
      </text>
    </comment>
    <comment ref="I328" authorId="1" shapeId="0">
      <text>
        <t>Automatic from SQL input. Money is already USD: divide by 1,000,000 only. Counts are unscaled.</t>
      </text>
    </comment>
    <comment ref="J328" authorId="1" shapeId="0">
      <text>
        <t>Automatic from SQL input. Money is already USD: divide by 1,000,000 only. Counts are unscaled.</t>
      </text>
    </comment>
    <comment ref="K328" authorId="1" shapeId="0">
      <text>
        <t>Automatic from SQL input. Money is already USD: divide by 1,000,000 only. Counts are unscaled.</t>
      </text>
    </comment>
    <comment ref="L328" authorId="1" shapeId="0">
      <text>
        <t>Automatic from SQL input. Money is already USD: divide by 1,000,000 only. Counts are unscaled.</t>
      </text>
    </comment>
    <comment ref="M328" authorId="1" shapeId="0">
      <text>
        <t>Automatic from SQL input. Money is already USD: divide by 1,000,000 only. Counts are unscaled.</t>
      </text>
    </comment>
    <comment ref="E329" authorId="1" shapeId="0">
      <text>
        <t>Automatic from SQL input. Money is already USD: divide by 1,000,000 only. Counts are unscaled.</t>
      </text>
    </comment>
    <comment ref="F329" authorId="1" shapeId="0">
      <text>
        <t>Automatic from SQL input. Money is already USD: divide by 1,000,000 only. Counts are unscaled.</t>
      </text>
    </comment>
    <comment ref="G329" authorId="1" shapeId="0">
      <text>
        <t>Automatic from SQL input. Money is already USD: divide by 1,000,000 only. Counts are unscaled.</t>
      </text>
    </comment>
    <comment ref="H329" authorId="1" shapeId="0">
      <text>
        <t>Automatic from SQL input. Money is already USD: divide by 1,000,000 only. Counts are unscaled.</t>
      </text>
    </comment>
    <comment ref="I329" authorId="1" shapeId="0">
      <text>
        <t>Automatic from SQL input. Money is already USD: divide by 1,000,000 only. Counts are unscaled.</t>
      </text>
    </comment>
    <comment ref="J329" authorId="1" shapeId="0">
      <text>
        <t>Automatic from SQL input. Money is already USD: divide by 1,000,000 only. Counts are unscaled.</t>
      </text>
    </comment>
    <comment ref="K329" authorId="1" shapeId="0">
      <text>
        <t>Automatic from SQL input. Money is already USD: divide by 1,000,000 only. Counts are unscaled.</t>
      </text>
    </comment>
    <comment ref="L329" authorId="1" shapeId="0">
      <text>
        <t>Automatic from SQL input. Money is already USD: divide by 1,000,000 only. Counts are unscaled.</t>
      </text>
    </comment>
    <comment ref="M329" authorId="1" shapeId="0">
      <text>
        <t>Automatic from SQL input. Money is already USD: divide by 1,000,000 only. Counts are unscaled.</t>
      </text>
    </comment>
    <comment ref="E336" authorId="1" shapeId="0">
      <text>
        <t>Automatic from SQL input. Money is already USD: divide by 1,000,000 only. Counts are unscaled.</t>
      </text>
    </comment>
    <comment ref="F336" authorId="1" shapeId="0">
      <text>
        <t>Automatic from SQL input. Money is already USD: divide by 1,000,000 only. Counts are unscaled.</t>
      </text>
    </comment>
    <comment ref="G336" authorId="1" shapeId="0">
      <text>
        <t>Automatic from SQL input. Money is already USD: divide by 1,000,000 only. Counts are unscaled.</t>
      </text>
    </comment>
    <comment ref="H336" authorId="1" shapeId="0">
      <text>
        <t>Automatic from SQL input. Money is already USD: divide by 1,000,000 only. Counts are unscaled.</t>
      </text>
    </comment>
    <comment ref="I336" authorId="1" shapeId="0">
      <text>
        <t>Automatic from SQL input. Money is already USD: divide by 1,000,000 only. Counts are unscaled.</t>
      </text>
    </comment>
    <comment ref="J336" authorId="1" shapeId="0">
      <text>
        <t>Automatic from SQL input. Money is already USD: divide by 1,000,000 only. Counts are unscaled.</t>
      </text>
    </comment>
    <comment ref="K336" authorId="1" shapeId="0">
      <text>
        <t>Automatic from SQL input. Money is already USD: divide by 1,000,000 only. Counts are unscaled.</t>
      </text>
    </comment>
    <comment ref="L336" authorId="1" shapeId="0">
      <text>
        <t>Automatic from SQL input. Money is already USD: divide by 1,000,000 only. Counts are unscaled.</t>
      </text>
    </comment>
    <comment ref="M336" authorId="1" shapeId="0">
      <text>
        <t>Automatic from SQL input. Money is already USD: divide by 1,000,000 only. Counts are unscaled.</t>
      </text>
    </comment>
    <comment ref="E337" authorId="1" shapeId="0">
      <text>
        <t>Zero under the agreed geocode-proxy allocation; does not classify April manual reallocations.</t>
      </text>
    </comment>
    <comment ref="F337" authorId="1" shapeId="0">
      <text>
        <t>Zero under the agreed geocode-proxy allocation; does not classify April manual reallocations.</t>
      </text>
    </comment>
    <comment ref="G337" authorId="1" shapeId="0">
      <text>
        <t>Zero under the agreed geocode-proxy allocation; does not classify April manual reallocations.</t>
      </text>
    </comment>
    <comment ref="H337" authorId="1" shapeId="0">
      <text>
        <t>Zero under the agreed geocode-proxy allocation; does not classify April manual reallocations.</t>
      </text>
    </comment>
    <comment ref="I337" authorId="1" shapeId="0">
      <text>
        <t>Zero under the agreed geocode-proxy allocation; does not classify April manual reallocations.</t>
      </text>
    </comment>
    <comment ref="J337" authorId="1" shapeId="0">
      <text>
        <t>Zero under the agreed geocode-proxy allocation; does not classify April manual reallocations.</t>
      </text>
    </comment>
    <comment ref="K337" authorId="1" shapeId="0">
      <text>
        <t>Zero under the agreed geocode-proxy allocation; does not classify April manual reallocations.</t>
      </text>
    </comment>
    <comment ref="L337" authorId="1" shapeId="0">
      <text>
        <t>Zero under the agreed geocode-proxy allocation; does not classify April manual reallocations.</t>
      </text>
    </comment>
    <comment ref="M337" authorId="1" shapeId="0">
      <text>
        <t>Zero under the agreed geocode-proxy allocation; does not classify April manual reallocations.</t>
      </text>
    </comment>
    <comment ref="C338" authorId="0" shapeId="0">
      <text>
        <t>Manual input: not supplied by SQL. Historical Schedule X(f)!C30 cached value: A proxy peer insurer is selected and losses are derived from this insurer. Do not assume it remains appropriate.</t>
      </text>
    </comment>
    <comment ref="E338" authorId="1" shapeId="0">
      <text>
        <t>Zero under the agreed geocode-proxy allocation; does not classify April manual reallocations.</t>
      </text>
    </comment>
    <comment ref="F338" authorId="1" shapeId="0">
      <text>
        <t>Zero under the agreed geocode-proxy allocation; does not classify April manual reallocations.</t>
      </text>
    </comment>
    <comment ref="G338" authorId="1" shapeId="0">
      <text>
        <t>Zero under the agreed geocode-proxy allocation; does not classify April manual reallocations.</t>
      </text>
    </comment>
    <comment ref="H338" authorId="1" shapeId="0">
      <text>
        <t>Zero under the agreed geocode-proxy allocation; does not classify April manual reallocations.</t>
      </text>
    </comment>
    <comment ref="I338" authorId="1" shapeId="0">
      <text>
        <t>Zero under the agreed geocode-proxy allocation; does not classify April manual reallocations.</t>
      </text>
    </comment>
    <comment ref="J338" authorId="1" shapeId="0">
      <text>
        <t>Zero under the agreed geocode-proxy allocation; does not classify April manual reallocations.</t>
      </text>
    </comment>
    <comment ref="K338" authorId="1" shapeId="0">
      <text>
        <t>Zero under the agreed geocode-proxy allocation; does not classify April manual reallocations.</t>
      </text>
    </comment>
    <comment ref="L338" authorId="1" shapeId="0">
      <text>
        <t>Zero under the agreed geocode-proxy allocation; does not classify April manual reallocations.</t>
      </text>
    </comment>
    <comment ref="M338" authorId="1" shapeId="0">
      <text>
        <t>Zero under the agreed geocode-proxy allocation; does not classify April manual reallocations.</t>
      </text>
    </comment>
    <comment ref="C339" authorId="0" shapeId="0">
      <text>
        <t>Manual input: not supplied by SQL. Historical Schedule X(f)!C31 cached value: Derived from an industry loss curve utilising market share. Do not assume it remains appropriate.</t>
      </text>
    </comment>
    <comment ref="E339" authorId="1" shapeId="0">
      <text>
        <t>Zero under the agreed geocode-proxy allocation; does not classify April manual reallocations.</t>
      </text>
    </comment>
    <comment ref="F339" authorId="1" shapeId="0">
      <text>
        <t>Zero under the agreed geocode-proxy allocation; does not classify April manual reallocations.</t>
      </text>
    </comment>
    <comment ref="G339" authorId="1" shapeId="0">
      <text>
        <t>Zero under the agreed geocode-proxy allocation; does not classify April manual reallocations.</t>
      </text>
    </comment>
    <comment ref="H339" authorId="1" shapeId="0">
      <text>
        <t>Zero under the agreed geocode-proxy allocation; does not classify April manual reallocations.</t>
      </text>
    </comment>
    <comment ref="I339" authorId="1" shapeId="0">
      <text>
        <t>Zero under the agreed geocode-proxy allocation; does not classify April manual reallocations.</t>
      </text>
    </comment>
    <comment ref="J339" authorId="1" shapeId="0">
      <text>
        <t>Zero under the agreed geocode-proxy allocation; does not classify April manual reallocations.</t>
      </text>
    </comment>
    <comment ref="K339" authorId="1" shapeId="0">
      <text>
        <t>Zero under the agreed geocode-proxy allocation; does not classify April manual reallocations.</t>
      </text>
    </comment>
    <comment ref="L339" authorId="1" shapeId="0">
      <text>
        <t>Zero under the agreed geocode-proxy allocation; does not classify April manual reallocations.</t>
      </text>
    </comment>
    <comment ref="M339" authorId="1" shapeId="0">
      <text>
        <t>Zero under the agreed geocode-proxy allocation; does not classify April manual reallocations.</t>
      </text>
    </comment>
    <comment ref="E340" authorId="1" shapeId="0">
      <text>
        <t>Zero under the agreed geocode-proxy allocation; does not classify April manual reallocations.</t>
      </text>
    </comment>
    <comment ref="F340" authorId="1" shapeId="0">
      <text>
        <t>Zero under the agreed geocode-proxy allocation; does not classify April manual reallocations.</t>
      </text>
    </comment>
    <comment ref="G340" authorId="1" shapeId="0">
      <text>
        <t>Zero under the agreed geocode-proxy allocation; does not classify April manual reallocations.</t>
      </text>
    </comment>
    <comment ref="H340" authorId="1" shapeId="0">
      <text>
        <t>Zero under the agreed geocode-proxy allocation; does not classify April manual reallocations.</t>
      </text>
    </comment>
    <comment ref="I340" authorId="1" shapeId="0">
      <text>
        <t>Zero under the agreed geocode-proxy allocation; does not classify April manual reallocations.</t>
      </text>
    </comment>
    <comment ref="J340" authorId="1" shapeId="0">
      <text>
        <t>Zero under the agreed geocode-proxy allocation; does not classify April manual reallocations.</t>
      </text>
    </comment>
    <comment ref="K340" authorId="1" shapeId="0">
      <text>
        <t>Zero under the agreed geocode-proxy allocation; does not classify April manual reallocations.</t>
      </text>
    </comment>
    <comment ref="L340" authorId="1" shapeId="0">
      <text>
        <t>Zero under the agreed geocode-proxy allocation; does not classify April manual reallocations.</t>
      </text>
    </comment>
    <comment ref="M340" authorId="1" shapeId="0">
      <text>
        <t>Zero under the agreed geocode-proxy allocation; does not classify April manual reallocations.</t>
      </text>
    </comment>
    <comment ref="E341" authorId="1" shapeId="0">
      <text>
        <t>Automatic from SQL input. Money is already USD: divide by 1,000,000 only. Counts are unscaled.</t>
      </text>
    </comment>
    <comment ref="F341" authorId="1" shapeId="0">
      <text>
        <t>Automatic from SQL input. Money is already USD: divide by 1,000,000 only. Counts are unscaled.</t>
      </text>
    </comment>
    <comment ref="G341" authorId="1" shapeId="0">
      <text>
        <t>Automatic from SQL input. Money is already USD: divide by 1,000,000 only. Counts are unscaled.</t>
      </text>
    </comment>
    <comment ref="H341" authorId="1" shapeId="0">
      <text>
        <t>Automatic from SQL input. Money is already USD: divide by 1,000,000 only. Counts are unscaled.</t>
      </text>
    </comment>
    <comment ref="I341" authorId="1" shapeId="0">
      <text>
        <t>Automatic from SQL input. Money is already USD: divide by 1,000,000 only. Counts are unscaled.</t>
      </text>
    </comment>
    <comment ref="J341" authorId="1" shapeId="0">
      <text>
        <t>Automatic from SQL input. Money is already USD: divide by 1,000,000 only. Counts are unscaled.</t>
      </text>
    </comment>
    <comment ref="K341" authorId="1" shapeId="0">
      <text>
        <t>Automatic from SQL input. Money is already USD: divide by 1,000,000 only. Counts are unscaled.</t>
      </text>
    </comment>
    <comment ref="L341" authorId="1" shapeId="0">
      <text>
        <t>Automatic from SQL input. Money is already USD: divide by 1,000,000 only. Counts are unscaled.</t>
      </text>
    </comment>
    <comment ref="M341" authorId="1" shapeId="0">
      <text>
        <t>Automatic from SQL input. Money is already USD: divide by 1,000,000 only. Counts are unscaled.</t>
      </text>
    </comment>
    <comment ref="C344" authorId="0" shapeId="0">
      <text>
        <t>Manual input: not supplied by SQL. Historical Schedule X(f)!C36 cached value: None. Do not assume it remains appropriate.</t>
      </text>
    </comment>
    <comment ref="E351" authorId="1" shapeId="0">
      <text>
        <t>Automatic from SQL input. Money is already USD: divide by 1,000,000 only. Counts are unscaled.</t>
      </text>
    </comment>
    <comment ref="F351" authorId="1" shapeId="0">
      <text>
        <t>Automatic from SQL input. Money is already USD: divide by 1,000,000 only. Counts are unscaled.</t>
      </text>
    </comment>
    <comment ref="G351" authorId="1" shapeId="0">
      <text>
        <t>Automatic from SQL input. Money is already USD: divide by 1,000,000 only. Counts are unscaled.</t>
      </text>
    </comment>
    <comment ref="H351" authorId="1" shapeId="0">
      <text>
        <t>Automatic from SQL input. Money is already USD: divide by 1,000,000 only. Counts are unscaled.</t>
      </text>
    </comment>
    <comment ref="I351" authorId="1" shapeId="0">
      <text>
        <t>Automatic from SQL input. Money is already USD: divide by 1,000,000 only. Counts are unscaled.</t>
      </text>
    </comment>
    <comment ref="J351" authorId="1" shapeId="0">
      <text>
        <t>Automatic from SQL input. Money is already USD: divide by 1,000,000 only. Counts are unscaled.</t>
      </text>
    </comment>
    <comment ref="K351" authorId="1" shapeId="0">
      <text>
        <t>Automatic from SQL input. Money is already USD: divide by 1,000,000 only. Counts are unscaled.</t>
      </text>
    </comment>
    <comment ref="L351" authorId="1" shapeId="0">
      <text>
        <t>Automatic from SQL input. Money is already USD: divide by 1,000,000 only. Counts are unscaled.</t>
      </text>
    </comment>
    <comment ref="M351" authorId="1" shapeId="0">
      <text>
        <t>Automatic from SQL input. Money is already USD: divide by 1,000,000 only. Counts are unscaled.</t>
      </text>
    </comment>
    <comment ref="E352" authorId="1" shapeId="0">
      <text>
        <t>Zero under the agreed geocode-proxy allocation; does not classify April manual reallocations.</t>
      </text>
    </comment>
    <comment ref="F352" authorId="1" shapeId="0">
      <text>
        <t>Zero under the agreed geocode-proxy allocation; does not classify April manual reallocations.</t>
      </text>
    </comment>
    <comment ref="G352" authorId="1" shapeId="0">
      <text>
        <t>Zero under the agreed geocode-proxy allocation; does not classify April manual reallocations.</t>
      </text>
    </comment>
    <comment ref="H352" authorId="1" shapeId="0">
      <text>
        <t>Zero under the agreed geocode-proxy allocation; does not classify April manual reallocations.</t>
      </text>
    </comment>
    <comment ref="I352" authorId="1" shapeId="0">
      <text>
        <t>Zero under the agreed geocode-proxy allocation; does not classify April manual reallocations.</t>
      </text>
    </comment>
    <comment ref="J352" authorId="1" shapeId="0">
      <text>
        <t>Zero under the agreed geocode-proxy allocation; does not classify April manual reallocations.</t>
      </text>
    </comment>
    <comment ref="K352" authorId="1" shapeId="0">
      <text>
        <t>Zero under the agreed geocode-proxy allocation; does not classify April manual reallocations.</t>
      </text>
    </comment>
    <comment ref="L352" authorId="1" shapeId="0">
      <text>
        <t>Zero under the agreed geocode-proxy allocation; does not classify April manual reallocations.</t>
      </text>
    </comment>
    <comment ref="M352" authorId="1" shapeId="0">
      <text>
        <t>Zero under the agreed geocode-proxy allocation; does not classify April manual reallocations.</t>
      </text>
    </comment>
    <comment ref="E353" authorId="1" shapeId="0">
      <text>
        <t>Zero under the agreed geocode-proxy allocation; does not classify April manual reallocations.</t>
      </text>
    </comment>
    <comment ref="F353" authorId="1" shapeId="0">
      <text>
        <t>Zero under the agreed geocode-proxy allocation; does not classify April manual reallocations.</t>
      </text>
    </comment>
    <comment ref="G353" authorId="1" shapeId="0">
      <text>
        <t>Zero under the agreed geocode-proxy allocation; does not classify April manual reallocations.</t>
      </text>
    </comment>
    <comment ref="H353" authorId="1" shapeId="0">
      <text>
        <t>Zero under the agreed geocode-proxy allocation; does not classify April manual reallocations.</t>
      </text>
    </comment>
    <comment ref="I353" authorId="1" shapeId="0">
      <text>
        <t>Zero under the agreed geocode-proxy allocation; does not classify April manual reallocations.</t>
      </text>
    </comment>
    <comment ref="J353" authorId="1" shapeId="0">
      <text>
        <t>Zero under the agreed geocode-proxy allocation; does not classify April manual reallocations.</t>
      </text>
    </comment>
    <comment ref="K353" authorId="1" shapeId="0">
      <text>
        <t>Zero under the agreed geocode-proxy allocation; does not classify April manual reallocations.</t>
      </text>
    </comment>
    <comment ref="L353" authorId="1" shapeId="0">
      <text>
        <t>Zero under the agreed geocode-proxy allocation; does not classify April manual reallocations.</t>
      </text>
    </comment>
    <comment ref="M353" authorId="1" shapeId="0">
      <text>
        <t>Zero under the agreed geocode-proxy allocation; does not classify April manual reallocations.</t>
      </text>
    </comment>
    <comment ref="E354" authorId="1" shapeId="0">
      <text>
        <t>Automatic from SQL input. Money is already USD: divide by 1,000,000 only. Counts are unscaled.</t>
      </text>
    </comment>
    <comment ref="F354" authorId="1" shapeId="0">
      <text>
        <t>Automatic from SQL input. Money is already USD: divide by 1,000,000 only. Counts are unscaled.</t>
      </text>
    </comment>
    <comment ref="G354" authorId="1" shapeId="0">
      <text>
        <t>Automatic from SQL input. Money is already USD: divide by 1,000,000 only. Counts are unscaled.</t>
      </text>
    </comment>
    <comment ref="H354" authorId="1" shapeId="0">
      <text>
        <t>Automatic from SQL input. Money is already USD: divide by 1,000,000 only. Counts are unscaled.</t>
      </text>
    </comment>
    <comment ref="I354" authorId="1" shapeId="0">
      <text>
        <t>Automatic from SQL input. Money is already USD: divide by 1,000,000 only. Counts are unscaled.</t>
      </text>
    </comment>
    <comment ref="J354" authorId="1" shapeId="0">
      <text>
        <t>Automatic from SQL input. Money is already USD: divide by 1,000,000 only. Counts are unscaled.</t>
      </text>
    </comment>
    <comment ref="K354" authorId="1" shapeId="0">
      <text>
        <t>Automatic from SQL input. Money is already USD: divide by 1,000,000 only. Counts are unscaled.</t>
      </text>
    </comment>
    <comment ref="L354" authorId="1" shapeId="0">
      <text>
        <t>Automatic from SQL input. Money is already USD: divide by 1,000,000 only. Counts are unscaled.</t>
      </text>
    </comment>
    <comment ref="M354" authorId="1" shapeId="0">
      <text>
        <t>Automatic from SQL input. Money is already USD: divide by 1,000,000 only. Counts are unscaled.</t>
      </text>
    </comment>
    <comment ref="C357" authorId="0" shapeId="0">
      <text>
        <t>Manual input: not supplied by SQL. Historical Schedule X(f)!C49 cached value: Territories covered individually too small to require modelled assessment of exposure. Do not assume it remains appropriate.</t>
      </text>
    </comment>
    <comment ref="C361" authorId="0" shapeId="0">
      <text>
        <t>Manual input: not supplied by SQL. Historical Schedule X(f)!C53 cached value: None. Do not assume it remains appropriate.</t>
      </text>
    </comment>
    <comment ref="E368" authorId="1" shapeId="0">
      <text>
        <t>Automatic from SQL input. Money is already USD: divide by 1,000,000 only. Counts are unscaled.</t>
      </text>
    </comment>
    <comment ref="F368" authorId="1" shapeId="0">
      <text>
        <t>Automatic from SQL input. Money is already USD: divide by 1,000,000 only. Counts are unscaled.</t>
      </text>
    </comment>
    <comment ref="G368" authorId="1" shapeId="0">
      <text>
        <t>Automatic from SQL input. Money is already USD: divide by 1,000,000 only. Counts are unscaled.</t>
      </text>
    </comment>
    <comment ref="H368" authorId="1" shapeId="0">
      <text>
        <t>Automatic from SQL input. Money is already USD: divide by 1,000,000 only. Counts are unscaled.</t>
      </text>
    </comment>
    <comment ref="I368" authorId="1" shapeId="0">
      <text>
        <t>Automatic from SQL input. Money is already USD: divide by 1,000,000 only. Counts are unscaled.</t>
      </text>
    </comment>
    <comment ref="J368" authorId="1" shapeId="0">
      <text>
        <t>Automatic from SQL input. Money is already USD: divide by 1,000,000 only. Counts are unscaled.</t>
      </text>
    </comment>
    <comment ref="K368" authorId="1" shapeId="0">
      <text>
        <t>Automatic from SQL input. Money is already USD: divide by 1,000,000 only. Counts are unscaled.</t>
      </text>
    </comment>
    <comment ref="L368" authorId="1" shapeId="0">
      <text>
        <t>Automatic from SQL input. Money is already USD: divide by 1,000,000 only. Counts are unscaled.</t>
      </text>
    </comment>
    <comment ref="M368" authorId="1" shapeId="0">
      <text>
        <t>Automatic from SQL input. Money is already USD: divide by 1,000,000 only. Counts are unscaled.</t>
      </text>
    </comment>
    <comment ref="E369" authorId="1" shapeId="0">
      <text>
        <t>Zero under the agreed geocode-proxy allocation; does not classify April manual reallocations.</t>
      </text>
    </comment>
    <comment ref="F369" authorId="1" shapeId="0">
      <text>
        <t>Zero under the agreed geocode-proxy allocation; does not classify April manual reallocations.</t>
      </text>
    </comment>
    <comment ref="G369" authorId="1" shapeId="0">
      <text>
        <t>Zero under the agreed geocode-proxy allocation; does not classify April manual reallocations.</t>
      </text>
    </comment>
    <comment ref="H369" authorId="1" shapeId="0">
      <text>
        <t>Zero under the agreed geocode-proxy allocation; does not classify April manual reallocations.</t>
      </text>
    </comment>
    <comment ref="I369" authorId="1" shapeId="0">
      <text>
        <t>Zero under the agreed geocode-proxy allocation; does not classify April manual reallocations.</t>
      </text>
    </comment>
    <comment ref="J369" authorId="1" shapeId="0">
      <text>
        <t>Zero under the agreed geocode-proxy allocation; does not classify April manual reallocations.</t>
      </text>
    </comment>
    <comment ref="K369" authorId="1" shapeId="0">
      <text>
        <t>Zero under the agreed geocode-proxy allocation; does not classify April manual reallocations.</t>
      </text>
    </comment>
    <comment ref="L369" authorId="1" shapeId="0">
      <text>
        <t>Zero under the agreed geocode-proxy allocation; does not classify April manual reallocations.</t>
      </text>
    </comment>
    <comment ref="M369" authorId="1" shapeId="0">
      <text>
        <t>Zero under the agreed geocode-proxy allocation; does not classify April manual reallocations.</t>
      </text>
    </comment>
    <comment ref="E370" authorId="1" shapeId="0">
      <text>
        <t>Zero under the agreed geocode-proxy allocation; does not classify April manual reallocations.</t>
      </text>
    </comment>
    <comment ref="F370" authorId="1" shapeId="0">
      <text>
        <t>Zero under the agreed geocode-proxy allocation; does not classify April manual reallocations.</t>
      </text>
    </comment>
    <comment ref="G370" authorId="1" shapeId="0">
      <text>
        <t>Zero under the agreed geocode-proxy allocation; does not classify April manual reallocations.</t>
      </text>
    </comment>
    <comment ref="H370" authorId="1" shapeId="0">
      <text>
        <t>Zero under the agreed geocode-proxy allocation; does not classify April manual reallocations.</t>
      </text>
    </comment>
    <comment ref="I370" authorId="1" shapeId="0">
      <text>
        <t>Zero under the agreed geocode-proxy allocation; does not classify April manual reallocations.</t>
      </text>
    </comment>
    <comment ref="J370" authorId="1" shapeId="0">
      <text>
        <t>Zero under the agreed geocode-proxy allocation; does not classify April manual reallocations.</t>
      </text>
    </comment>
    <comment ref="K370" authorId="1" shapeId="0">
      <text>
        <t>Zero under the agreed geocode-proxy allocation; does not classify April manual reallocations.</t>
      </text>
    </comment>
    <comment ref="L370" authorId="1" shapeId="0">
      <text>
        <t>Zero under the agreed geocode-proxy allocation; does not classify April manual reallocations.</t>
      </text>
    </comment>
    <comment ref="M370" authorId="1" shapeId="0">
      <text>
        <t>Zero under the agreed geocode-proxy allocation; does not classify April manual reallocations.</t>
      </text>
    </comment>
    <comment ref="E371" authorId="1" shapeId="0">
      <text>
        <t>Zero under the agreed geocode-proxy allocation; does not classify April manual reallocations.</t>
      </text>
    </comment>
    <comment ref="F371" authorId="1" shapeId="0">
      <text>
        <t>Zero under the agreed geocode-proxy allocation; does not classify April manual reallocations.</t>
      </text>
    </comment>
    <comment ref="G371" authorId="1" shapeId="0">
      <text>
        <t>Zero under the agreed geocode-proxy allocation; does not classify April manual reallocations.</t>
      </text>
    </comment>
    <comment ref="H371" authorId="1" shapeId="0">
      <text>
        <t>Zero under the agreed geocode-proxy allocation; does not classify April manual reallocations.</t>
      </text>
    </comment>
    <comment ref="I371" authorId="1" shapeId="0">
      <text>
        <t>Zero under the agreed geocode-proxy allocation; does not classify April manual reallocations.</t>
      </text>
    </comment>
    <comment ref="J371" authorId="1" shapeId="0">
      <text>
        <t>Zero under the agreed geocode-proxy allocation; does not classify April manual reallocations.</t>
      </text>
    </comment>
    <comment ref="K371" authorId="1" shapeId="0">
      <text>
        <t>Zero under the agreed geocode-proxy allocation; does not classify April manual reallocations.</t>
      </text>
    </comment>
    <comment ref="L371" authorId="1" shapeId="0">
      <text>
        <t>Zero under the agreed geocode-proxy allocation; does not classify April manual reallocations.</t>
      </text>
    </comment>
    <comment ref="M371" authorId="1" shapeId="0">
      <text>
        <t>Zero under the agreed geocode-proxy allocation; does not classify April manual reallocations.</t>
      </text>
    </comment>
    <comment ref="E372" authorId="1" shapeId="0">
      <text>
        <t>Automatic from SQL input. Money is already USD: divide by 1,000,000 only. Counts are unscaled.</t>
      </text>
    </comment>
    <comment ref="F372" authorId="1" shapeId="0">
      <text>
        <t>Automatic from SQL input. Money is already USD: divide by 1,000,000 only. Counts are unscaled.</t>
      </text>
    </comment>
    <comment ref="G372" authorId="1" shapeId="0">
      <text>
        <t>Automatic from SQL input. Money is already USD: divide by 1,000,000 only. Counts are unscaled.</t>
      </text>
    </comment>
    <comment ref="H372" authorId="1" shapeId="0">
      <text>
        <t>Automatic from SQL input. Money is already USD: divide by 1,000,000 only. Counts are unscaled.</t>
      </text>
    </comment>
    <comment ref="I372" authorId="1" shapeId="0">
      <text>
        <t>Automatic from SQL input. Money is already USD: divide by 1,000,000 only. Counts are unscaled.</t>
      </text>
    </comment>
    <comment ref="J372" authorId="1" shapeId="0">
      <text>
        <t>Automatic from SQL input. Money is already USD: divide by 1,000,000 only. Counts are unscaled.</t>
      </text>
    </comment>
    <comment ref="K372" authorId="1" shapeId="0">
      <text>
        <t>Automatic from SQL input. Money is already USD: divide by 1,000,000 only. Counts are unscaled.</t>
      </text>
    </comment>
    <comment ref="L372" authorId="1" shapeId="0">
      <text>
        <t>Automatic from SQL input. Money is already USD: divide by 1,000,000 only. Counts are unscaled.</t>
      </text>
    </comment>
    <comment ref="M372" authorId="1" shapeId="0">
      <text>
        <t>Automatic from SQL input. Money is already USD: divide by 1,000,000 only. Counts are unscaled.</t>
      </text>
    </comment>
    <comment ref="C375" authorId="0" shapeId="0">
      <text>
        <t>Manual input: not supplied by SQL. Historical Schedule X(f)!C67 cached value: None. Do not assume it remains appropriate.</t>
      </text>
    </comment>
    <comment ref="I378" authorId="0" shapeId="0">
      <text>
        <t>Manual input: not supplied by SQL. Historical Schedule X(f)!I70 cached value: None. Do not assume it remains appropriate.</t>
      </text>
    </comment>
    <comment ref="C382" authorId="0" shapeId="0">
      <text>
        <t>Manual input: not supplied by SQL. Historical Schedule X(f)!C74 cached value: None. Do not assume it remains appropriate.</t>
      </text>
    </comment>
    <comment ref="C386" authorId="0" shapeId="0">
      <text>
        <t>Manual input: not supplied by SQL. Historical Schedule X(f)!C78 cached value: None. Do not assume it remains appropriate.</t>
      </text>
    </comment>
  </commentList>
</comments>
</file>

<file path=xl/comments/comment4.xml><?xml version="1.0" encoding="utf-8"?>
<comments xmlns="http://schemas.openxmlformats.org/spreadsheetml/2006/main">
  <authors>
    <author>Manual field</author>
    <author>BSCR mapping</author>
  </authors>
  <commentList>
    <comment ref="E16" authorId="0" shapeId="0">
      <text>
        <t>Manual input: not supplied by SQL. Historical Schedule X(a)!E9 cached value: HICM. Do not assume it remains appropriate.</t>
      </text>
    </comment>
    <comment ref="F16" authorId="0" shapeId="0">
      <text>
        <t>Manual input: not supplied by SQL. Historical Schedule X(a)!F9 cached value: HICM. Do not assume it remains appropriate.</t>
      </text>
    </comment>
    <comment ref="G16" authorId="0" shapeId="0">
      <text>
        <t>Manual input: not supplied by SQL. Historical Schedule X(a)!G9 cached value: HICM. Do not assume it remains appropriate.</t>
      </text>
    </comment>
    <comment ref="H16" authorId="0" shapeId="0">
      <text>
        <t>Manual input: not supplied by SQL. Historical Schedule X(a)!H9 cached value: HICM. Do not assume it remains appropriate.</t>
      </text>
    </comment>
    <comment ref="E17" authorId="0" shapeId="0">
      <text>
        <t>Manual input: not supplied by SQL. Historical Schedule X(a)!E10 cached value: HICM. Do not assume it remains appropriate.</t>
      </text>
    </comment>
    <comment ref="F17" authorId="0" shapeId="0">
      <text>
        <t>Manual input: not supplied by SQL. Historical Schedule X(a)!F10 cached value: HICM. Do not assume it remains appropriate.</t>
      </text>
    </comment>
    <comment ref="G17" authorId="0" shapeId="0">
      <text>
        <t>Manual input: not supplied by SQL. Historical Schedule X(a)!G10 cached value: HICM. Do not assume it remains appropriate.</t>
      </text>
    </comment>
    <comment ref="H17" authorId="0" shapeId="0">
      <text>
        <t>Manual input: not supplied by SQL. Historical Schedule X(a)!H10 cached value: HICM. Do not assume it remains appropriate.</t>
      </text>
    </comment>
    <comment ref="E18" authorId="0" shapeId="0">
      <text>
        <t>Manual input: not supplied by SQL. Historical Schedule X(a)!E11 cached value: HICM. Do not assume it remains appropriate.</t>
      </text>
    </comment>
    <comment ref="F18" authorId="0" shapeId="0">
      <text>
        <t>Manual input: not supplied by SQL. Historical Schedule X(a)!F11 cached value: HICM. Do not assume it remains appropriate.</t>
      </text>
    </comment>
    <comment ref="G18" authorId="0" shapeId="0">
      <text>
        <t>Manual input: not supplied by SQL. Historical Schedule X(a)!G11 cached value: HICM. Do not assume it remains appropriate.</t>
      </text>
    </comment>
    <comment ref="H18" authorId="0" shapeId="0">
      <text>
        <t>Manual input: not supplied by SQL. Historical Schedule X(a)!H11 cached value: HICM. Do not assume it remains appropriate.</t>
      </text>
    </comment>
    <comment ref="E19" authorId="0" shapeId="0">
      <text>
        <t>Manual input: not supplied by SQL. Historical Schedule X(a)!E12 cached value: HICM. Do not assume it remains appropriate.</t>
      </text>
    </comment>
    <comment ref="F19" authorId="0" shapeId="0">
      <text>
        <t>Manual input: not supplied by SQL. Historical Schedule X(a)!F12 cached value: HICM. Do not assume it remains appropriate.</t>
      </text>
    </comment>
    <comment ref="G19" authorId="0" shapeId="0">
      <text>
        <t>Manual input: not supplied by SQL. Historical Schedule X(a)!G12 cached value: HICM. Do not assume it remains appropriate.</t>
      </text>
    </comment>
    <comment ref="H19" authorId="0" shapeId="0">
      <text>
        <t>Manual input: not supplied by SQL. Historical Schedule X(a)!H12 cached value: HICM. Do not assume it remains appropriate.</t>
      </text>
    </comment>
    <comment ref="E20" authorId="0" shapeId="0">
      <text>
        <t>Manual input: not supplied by SQL. Historical Schedule X(a)!E13 cached value: HICM. Do not assume it remains appropriate.</t>
      </text>
    </comment>
    <comment ref="F20" authorId="0" shapeId="0">
      <text>
        <t>Manual input: not supplied by SQL. Historical Schedule X(a)!F13 cached value: HICM. Do not assume it remains appropriate.</t>
      </text>
    </comment>
    <comment ref="G20" authorId="0" shapeId="0">
      <text>
        <t>Manual input: not supplied by SQL. Historical Schedule X(a)!G13 cached value: HICM. Do not assume it remains appropriate.</t>
      </text>
    </comment>
    <comment ref="H20" authorId="0" shapeId="0">
      <text>
        <t>Manual input: not supplied by SQL. Historical Schedule X(a)!H13 cached value: HICM. Do not assume it remains appropriate.</t>
      </text>
    </comment>
    <comment ref="E23" authorId="0" shapeId="0">
      <text>
        <t>Manual input: not supplied by SQL. Historical Schedule X(a)!E16 cached value: HICM. Do not assume it remains appropriate.</t>
      </text>
    </comment>
    <comment ref="J23" authorId="0" shapeId="0">
      <text>
        <t>Manual input: not supplied by SQL. Historical Schedule X(a)!J16 cached value: HICM. Do not assume it remains appropriate.</t>
      </text>
    </comment>
    <comment ref="J24" authorId="0" shapeId="0">
      <text>
        <t>Manual input: not supplied by SQL. Historical Schedule X(a)!J17 cached value: HICM. Do not assume it remains appropriate.</t>
      </text>
    </comment>
    <comment ref="E25" authorId="0" shapeId="0">
      <text>
        <t>Manual input: not supplied by SQL. Historical Schedule X(a)!E18 cached value: HICM. Do not assume it remains appropriate.</t>
      </text>
    </comment>
    <comment ref="J25" authorId="0" shapeId="0">
      <text>
        <t>Manual input: not supplied by SQL. Historical Schedule X(a)!J18 cached value: HICM. Do not assume it remains appropriate.</t>
      </text>
    </comment>
    <comment ref="E27" authorId="0" shapeId="0">
      <text>
        <t>Manual input: not supplied by SQL. Historical Schedule X(a)!E20 cached value: None. Do not assume it remains appropriate.</t>
      </text>
    </comment>
    <comment ref="J27" authorId="0" shapeId="0">
      <text>
        <t>Manual input: not supplied by SQL. Historical Schedule X(a)!J20 cached value: None. Do not assume it remains appropriate.</t>
      </text>
    </comment>
    <comment ref="E28" authorId="0" shapeId="0">
      <text>
        <t>Manual input: not supplied by SQL. Historical Schedule X(a)!E21 cached value: 491.27. Do not assume it remains appropriate.</t>
      </text>
    </comment>
    <comment ref="J28" authorId="0" shapeId="0">
      <text>
        <t>Manual input: not supplied by SQL. Historical Schedule X(a)!J21 cached value: 491.27. Do not assume it remains appropriate.</t>
      </text>
    </comment>
    <comment ref="E30" authorId="0" shapeId="0">
      <text>
        <t>Manual input: not supplied by SQL. Historical Schedule X(a)!E23 cached value: None. Do not assume it remains appropriate.</t>
      </text>
    </comment>
    <comment ref="J30" authorId="0" shapeId="0">
      <text>
        <t>Manual input: not supplied by SQL. Historical Schedule X(a)!J23 cached value: None. Do not assume it remains appropriate.</t>
      </text>
    </comment>
    <comment ref="E31" authorId="0" shapeId="0">
      <text>
        <t>Manual input: not supplied by SQL. Historical Schedule X(a)!E24 cached value: None. Do not assume it remains appropriate.</t>
      </text>
    </comment>
    <comment ref="J31" authorId="0" shapeId="0">
      <text>
        <t>Manual input: not supplied by SQL. Historical Schedule X(a)!J24 cached value: None. Do not assume it remains appropriate.</t>
      </text>
    </comment>
    <comment ref="E32" authorId="1" shapeId="0">
      <text>
        <t>Automatic from SQL input. Money is already USD: divide by 1,000,000 only. Counts are unscaled.</t>
      </text>
    </comment>
    <comment ref="J32" authorId="1" shapeId="0">
      <text>
        <t>Automatic from SQL input. Money is already USD: divide by 1,000,000 only. Counts are unscaled.</t>
      </text>
    </comment>
    <comment ref="E33" authorId="1" shapeId="0">
      <text>
        <t>Automatic from SQL input. Money is already USD: divide by 1,000,000 only. Counts are unscaled.</t>
      </text>
    </comment>
    <comment ref="J33" authorId="1" shapeId="0">
      <text>
        <t>Automatic from SQL input. Money is already USD: divide by 1,000,000 only. Counts are unscaled.</t>
      </text>
    </comment>
    <comment ref="E34" authorId="0" shapeId="0">
      <text>
        <t>Manual input: not supplied by SQL. Historical Schedule X(a)!E27 cached value: None. Do not assume it remains appropriate.</t>
      </text>
    </comment>
    <comment ref="J34" authorId="0" shapeId="0">
      <text>
        <t>Manual input: not supplied by SQL. Historical Schedule X(a)!J27 cached value: None. Do not assume it remains appropriate.</t>
      </text>
    </comment>
    <comment ref="E35" authorId="0" shapeId="0">
      <text>
        <t>Manual input: not supplied by SQL. Historical Schedule X(a)!E28 cached value: None. Do not assume it remains appropriate.</t>
      </text>
    </comment>
    <comment ref="J35" authorId="0" shapeId="0">
      <text>
        <t>Manual input: not supplied by SQL. Historical Schedule X(a)!J28 cached value: None. Do not assume it remains appropriate.</t>
      </text>
    </comment>
    <comment ref="E38" authorId="0" shapeId="0">
      <text>
        <t>Manual input: not supplied by SQL. Historical Schedule X(a)!E31 cached value: None. Do not assume it remains appropriate.</t>
      </text>
    </comment>
    <comment ref="I38" authorId="0" shapeId="0">
      <text>
        <t>Manual input: not supplied by SQL. Historical Schedule X(a)!I31 cached value: None. Do not assume it remains appropriate.</t>
      </text>
    </comment>
    <comment ref="E39" authorId="0" shapeId="0">
      <text>
        <t>Manual input: not supplied by SQL. Historical Schedule X(a)!E32 cached value: None. Do not assume it remains appropriate.</t>
      </text>
    </comment>
    <comment ref="I39" authorId="0" shapeId="0">
      <text>
        <t>Manual input: not supplied by SQL. Historical Schedule X(a)!I32 cached value: None. Do not assume it remains appropriate.</t>
      </text>
    </comment>
    <comment ref="E40" authorId="0" shapeId="0">
      <text>
        <t>Manual input: not supplied by SQL. Historical Schedule X(a)!E33 cached value: None. Do not assume it remains appropriate.</t>
      </text>
    </comment>
    <comment ref="I40" authorId="0" shapeId="0">
      <text>
        <t>Manual input: not supplied by SQL. Historical Schedule X(a)!I33 cached value: None. Do not assume it remains appropriate.</t>
      </text>
    </comment>
    <comment ref="E41" authorId="0" shapeId="0">
      <text>
        <t>Manual input: not supplied by SQL. Historical Schedule X(a)!E34 cached value: None. Do not assume it remains appropriate.</t>
      </text>
    </comment>
    <comment ref="I41" authorId="0" shapeId="0">
      <text>
        <t>Manual input: not supplied by SQL. Historical Schedule X(a)!I34 cached value: None. Do not assume it remains appropriate.</t>
      </text>
    </comment>
    <comment ref="E42" authorId="0" shapeId="0">
      <text>
        <t>Manual input: not supplied by SQL. Historical Schedule X(a)!E35 cached value: None. Do not assume it remains appropriate.</t>
      </text>
    </comment>
    <comment ref="I42" authorId="0" shapeId="0">
      <text>
        <t>Manual input: not supplied by SQL. Historical Schedule X(a)!I35 cached value: None. Do not assume it remains appropriate.</t>
      </text>
    </comment>
    <comment ref="E43" authorId="0" shapeId="0">
      <text>
        <t>Manual input: not supplied by SQL. Historical Schedule X(a)!E36 cached value: None. Do not assume it remains appropriate.</t>
      </text>
    </comment>
    <comment ref="I43" authorId="0" shapeId="0">
      <text>
        <t>Manual input: not supplied by SQL. Historical Schedule X(a)!I36 cached value: None. Do not assume it remains appropriate.</t>
      </text>
    </comment>
    <comment ref="E44" authorId="0" shapeId="0">
      <text>
        <t>Manual input: not supplied by SQL. Historical Schedule X(a)!E37 cached value: None. Do not assume it remains appropriate.</t>
      </text>
    </comment>
    <comment ref="I44" authorId="0" shapeId="0">
      <text>
        <t>Manual input: not supplied by SQL. Historical Schedule X(a)!I37 cached value: None. Do not assume it remains appropriate.</t>
      </text>
    </comment>
    <comment ref="E45" authorId="0" shapeId="0">
      <text>
        <t>Manual input: not supplied by SQL. Historical Schedule X(a)!E38 cached value: None. Do not assume it remains appropriate.</t>
      </text>
    </comment>
    <comment ref="I45" authorId="0" shapeId="0">
      <text>
        <t>Manual input: not supplied by SQL. Historical Schedule X(a)!I38 cached value: None. Do not assume it remains appropriate.</t>
      </text>
    </comment>
    <comment ref="E46" authorId="0" shapeId="0">
      <text>
        <t>Manual input: not supplied by SQL. Historical Schedule X(a)!E39 cached value: None. Do not assume it remains appropriate.</t>
      </text>
    </comment>
    <comment ref="I46" authorId="0" shapeId="0">
      <text>
        <t>Manual input: not supplied by SQL. Historical Schedule X(a)!I39 cached value: None. Do not assume it remains appropriate.</t>
      </text>
    </comment>
    <comment ref="E47" authorId="0" shapeId="0">
      <text>
        <t>Manual input: not supplied by SQL. Historical Schedule X(a)!E40 cached value: None. Do not assume it remains appropriate.</t>
      </text>
    </comment>
    <comment ref="I47" authorId="0" shapeId="0">
      <text>
        <t>Manual input: not supplied by SQL. Historical Schedule X(a)!I40 cached value: None. Do not assume it remains appropriate.</t>
      </text>
    </comment>
    <comment ref="E48" authorId="0" shapeId="0">
      <text>
        <t>Manual input: not supplied by SQL. Historical Schedule X(a)!E41 cached value: None. Do not assume it remains appropriate.</t>
      </text>
    </comment>
    <comment ref="I48" authorId="0" shapeId="0">
      <text>
        <t>Manual input: not supplied by SQL. Historical Schedule X(a)!I41 cached value: None. Do not assume it remains appropriate.</t>
      </text>
    </comment>
    <comment ref="E49" authorId="0" shapeId="0">
      <text>
        <t>Manual input: not supplied by SQL. Historical Schedule X(a)!E42 cached value: None. Do not assume it remains appropriate.</t>
      </text>
    </comment>
    <comment ref="I49" authorId="0" shapeId="0">
      <text>
        <t>Manual input: not supplied by SQL. Historical Schedule X(a)!I42 cached value: None. Do not assume it remains appropriate.</t>
      </text>
    </comment>
    <comment ref="E50" authorId="0" shapeId="0">
      <text>
        <t>Manual input: not supplied by SQL. Historical Schedule X(a)!E43 cached value: None. Do not assume it remains appropriate.</t>
      </text>
    </comment>
    <comment ref="I50" authorId="0" shapeId="0">
      <text>
        <t>Manual input: not supplied by SQL. Historical Schedule X(a)!I43 cached value: None. Do not assume it remains appropriate.</t>
      </text>
    </comment>
    <comment ref="E51" authorId="0" shapeId="0">
      <text>
        <t>Manual input: not supplied by SQL. Historical Schedule X(a)!E44 cached value: None. Do not assume it remains appropriate.</t>
      </text>
    </comment>
    <comment ref="I51" authorId="0" shapeId="0">
      <text>
        <t>Manual input: not supplied by SQL. Historical Schedule X(a)!I44 cached value: None. Do not assume it remains appropriate.</t>
      </text>
    </comment>
    <comment ref="E52" authorId="0" shapeId="0">
      <text>
        <t>Manual input: not supplied by SQL. Historical Schedule X(a)!E45 cached value: None. Do not assume it remains appropriate.</t>
      </text>
    </comment>
    <comment ref="I52" authorId="0" shapeId="0">
      <text>
        <t>Manual input: not supplied by SQL. Historical Schedule X(a)!I45 cached value: None. Do not assume it remains appropriate.</t>
      </text>
    </comment>
    <comment ref="E53" authorId="0" shapeId="0">
      <text>
        <t>Manual input: not supplied by SQL. Historical Schedule X(a)!E46 cached value: None. Do not assume it remains appropriate.</t>
      </text>
    </comment>
    <comment ref="I53" authorId="0" shapeId="0">
      <text>
        <t>Manual input: not supplied by SQL. Historical Schedule X(a)!I46 cached value: None. Do not assume it remains appropriate.</t>
      </text>
    </comment>
    <comment ref="I54" authorId="0" shapeId="0">
      <text>
        <t>Manual input: not supplied by SQL. Historical Schedule X(a)!I47 cached value: None. Do not assume it remains appropriate.</t>
      </text>
    </comment>
    <comment ref="J54" authorId="0" shapeId="0">
      <text>
        <t>Manual input: not supplied by SQL. Historical Schedule X(a)!J47 cached value: None. Do not assume it remains appropriate.</t>
      </text>
    </comment>
    <comment ref="K54" authorId="0" shapeId="0">
      <text>
        <t>Manual input: not supplied by SQL. Historical Schedule X(a)!K47 cached value: None. Do not assume it remains appropriate.</t>
      </text>
    </comment>
    <comment ref="I55" authorId="0" shapeId="0">
      <text>
        <t>Manual input: not supplied by SQL. Historical Schedule X(a)!I48 cached value: None. Do not assume it remains appropriate.</t>
      </text>
    </comment>
    <comment ref="J55" authorId="0" shapeId="0">
      <text>
        <t>Manual input: not supplied by SQL. Historical Schedule X(a)!J48 cached value: None. Do not assume it remains appropriate.</t>
      </text>
    </comment>
    <comment ref="K55" authorId="0" shapeId="0">
      <text>
        <t>Manual input: not supplied by SQL. Historical Schedule X(a)!K48 cached value: None. Do not assume it remains appropriate.</t>
      </text>
    </comment>
    <comment ref="E56" authorId="0" shapeId="0">
      <text>
        <t>Manual input: not supplied by SQL. Historical Schedule X(a)!E49 cached value: None. Do not assume it remains appropriate.</t>
      </text>
    </comment>
    <comment ref="I56" authorId="0" shapeId="0">
      <text>
        <t>Manual input: not supplied by SQL. Historical Schedule X(a)!I49 cached value: None. Do not assume it remains appropriate.</t>
      </text>
    </comment>
    <comment ref="E57" authorId="0" shapeId="0">
      <text>
        <t>Manual input: not supplied by SQL. Historical Schedule X(a)!E50 cached value: None. Do not assume it remains appropriate.</t>
      </text>
    </comment>
    <comment ref="I57" authorId="0" shapeId="0">
      <text>
        <t>Manual input: not supplied by SQL. Historical Schedule X(a)!I50 cached value: None. Do not assume it remains appropriate.</t>
      </text>
    </comment>
    <comment ref="E58" authorId="0" shapeId="0">
      <text>
        <t>Manual input: not supplied by SQL. Historical Schedule X(a)!E51 cached value: None. Do not assume it remains appropriate.</t>
      </text>
    </comment>
    <comment ref="I58" authorId="0" shapeId="0">
      <text>
        <t>Manual input: not supplied by SQL. Historical Schedule X(a)!I51 cached value: None. Do not assume it remains appropriate.</t>
      </text>
    </comment>
    <comment ref="E59" authorId="0" shapeId="0">
      <text>
        <t>Manual input: not supplied by SQL. Historical Schedule X(a)!E52 cached value: None. Do not assume it remains appropriate.</t>
      </text>
    </comment>
    <comment ref="I59" authorId="0" shapeId="0">
      <text>
        <t>Manual input: not supplied by SQL. Historical Schedule X(a)!I52 cached value: None. Do not assume it remains appropriate.</t>
      </text>
    </comment>
    <comment ref="E60" authorId="0" shapeId="0">
      <text>
        <t>Manual input: not supplied by SQL. Historical Schedule X(a)!E53 cached value: None. Do not assume it remains appropriate.</t>
      </text>
    </comment>
    <comment ref="I60" authorId="0" shapeId="0">
      <text>
        <t>Manual input: not supplied by SQL. Historical Schedule X(a)!I53 cached value: None. Do not assume it remains appropriate.</t>
      </text>
    </comment>
    <comment ref="I61" authorId="0" shapeId="0">
      <text>
        <t>Manual input: not supplied by SQL. Historical Schedule X(a)!I54 cached value: None. Do not assume it remains appropriate.</t>
      </text>
    </comment>
    <comment ref="J61" authorId="0" shapeId="0">
      <text>
        <t>Manual input: not supplied by SQL. Historical Schedule X(a)!J54 cached value: None. Do not assume it remains appropriate.</t>
      </text>
    </comment>
    <comment ref="K61" authorId="0" shapeId="0">
      <text>
        <t>Manual input: not supplied by SQL. Historical Schedule X(a)!K54 cached value: None. Do not assume it remains appropriate.</t>
      </text>
    </comment>
    <comment ref="I62" authorId="0" shapeId="0">
      <text>
        <t>Manual input: not supplied by SQL. Historical Schedule X(a)!I55 cached value: None. Do not assume it remains appropriate.</t>
      </text>
    </comment>
    <comment ref="J62" authorId="0" shapeId="0">
      <text>
        <t>Manual input: not supplied by SQL. Historical Schedule X(a)!J55 cached value: None. Do not assume it remains appropriate.</t>
      </text>
    </comment>
    <comment ref="K62" authorId="0" shapeId="0">
      <text>
        <t>Manual input: not supplied by SQL. Historical Schedule X(a)!K55 cached value: None. Do not assume it remains appropriate.</t>
      </text>
    </comment>
    <comment ref="E63" authorId="0" shapeId="0">
      <text>
        <t>Manual input: not supplied by SQL. Historical Schedule X(a)!E56 cached value: None. Do not assume it remains appropriate.</t>
      </text>
    </comment>
    <comment ref="I63" authorId="0" shapeId="0">
      <text>
        <t>Manual input: not supplied by SQL. Historical Schedule X(a)!I56 cached value: None. Do not assume it remains appropriate.</t>
      </text>
    </comment>
    <comment ref="E64" authorId="0" shapeId="0">
      <text>
        <t>Manual input: not supplied by SQL. Historical Schedule X(a)!E57 cached value: None. Do not assume it remains appropriate.</t>
      </text>
    </comment>
    <comment ref="I64" authorId="0" shapeId="0">
      <text>
        <t>Manual input: not supplied by SQL. Historical Schedule X(a)!I57 cached value: None. Do not assume it remains appropriate.</t>
      </text>
    </comment>
    <comment ref="I65" authorId="0" shapeId="0">
      <text>
        <t>Manual input: not supplied by SQL. Historical Schedule X(a)!I58 cached value: None. Do not assume it remains appropriate.</t>
      </text>
    </comment>
    <comment ref="J65" authorId="0" shapeId="0">
      <text>
        <t>Manual input: not supplied by SQL. Historical Schedule X(a)!J58 cached value: None. Do not assume it remains appropriate.</t>
      </text>
    </comment>
    <comment ref="K65" authorId="0" shapeId="0">
      <text>
        <t>Manual input: not supplied by SQL. Historical Schedule X(a)!K58 cached value: None. Do not assume it remains appropriate.</t>
      </text>
    </comment>
    <comment ref="I66" authorId="0" shapeId="0">
      <text>
        <t>Manual input: not supplied by SQL. Historical Schedule X(a)!I59 cached value: None. Do not assume it remains appropriate.</t>
      </text>
    </comment>
    <comment ref="J66" authorId="0" shapeId="0">
      <text>
        <t>Manual input: not supplied by SQL. Historical Schedule X(a)!J59 cached value: None. Do not assume it remains appropriate.</t>
      </text>
    </comment>
    <comment ref="K66" authorId="0" shapeId="0">
      <text>
        <t>Manual input: not supplied by SQL. Historical Schedule X(a)!K59 cached value: None. Do not assume it remains appropriate.</t>
      </text>
    </comment>
    <comment ref="E67" authorId="0" shapeId="0">
      <text>
        <t>Manual input: not supplied by SQL. Historical Schedule X(a)!E60 cached value: None. Do not assume it remains appropriate.</t>
      </text>
    </comment>
    <comment ref="I67" authorId="0" shapeId="0">
      <text>
        <t>Manual input: not supplied by SQL. Historical Schedule X(a)!I60 cached value: None. Do not assume it remains appropriate.</t>
      </text>
    </comment>
    <comment ref="E68" authorId="0" shapeId="0">
      <text>
        <t>Manual input: not supplied by SQL. Historical Schedule X(a)!E61 cached value: None. Do not assume it remains appropriate.</t>
      </text>
    </comment>
    <comment ref="I68" authorId="0" shapeId="0">
      <text>
        <t>Manual input: not supplied by SQL. Historical Schedule X(a)!I61 cached value: None. Do not assume it remains appropriate.</t>
      </text>
    </comment>
    <comment ref="E69" authorId="0" shapeId="0">
      <text>
        <t>Manual input: not supplied by SQL. Historical Schedule X(a)!E62 cached value: None. Do not assume it remains appropriate.</t>
      </text>
    </comment>
    <comment ref="I69" authorId="0" shapeId="0">
      <text>
        <t>Manual input: not supplied by SQL. Historical Schedule X(a)!I62 cached value: None. Do not assume it remains appropriate.</t>
      </text>
    </comment>
    <comment ref="E70" authorId="0" shapeId="0">
      <text>
        <t>Manual input: not supplied by SQL. Historical Schedule X(a)!E63 cached value: None. Do not assume it remains appropriate.</t>
      </text>
    </comment>
    <comment ref="I70" authorId="0" shapeId="0">
      <text>
        <t>Manual input: not supplied by SQL. Historical Schedule X(a)!I63 cached value: None. Do not assume it remains appropriate.</t>
      </text>
    </comment>
    <comment ref="E71" authorId="0" shapeId="0">
      <text>
        <t>Manual input: not supplied by SQL. Historical Schedule X(a)!E64 cached value: None. Do not assume it remains appropriate.</t>
      </text>
    </comment>
    <comment ref="I71" authorId="0" shapeId="0">
      <text>
        <t>Manual input: not supplied by SQL. Historical Schedule X(a)!I64 cached value: None. Do not assume it remains appropriate.</t>
      </text>
    </comment>
    <comment ref="E72" authorId="0" shapeId="0">
      <text>
        <t>Manual input: not supplied by SQL. Historical Schedule X(a)!E65 cached value: None. Do not assume it remains appropriate.</t>
      </text>
    </comment>
    <comment ref="I72" authorId="0" shapeId="0">
      <text>
        <t>Manual input: not supplied by SQL. Historical Schedule X(a)!I65 cached value: None. Do not assume it remains appropriate.</t>
      </text>
    </comment>
    <comment ref="I73" authorId="0" shapeId="0">
      <text>
        <t>Manual input: not supplied by SQL. Historical Schedule X(a)!I66 cached value: None. Do not assume it remains appropriate.</t>
      </text>
    </comment>
    <comment ref="J73" authorId="0" shapeId="0">
      <text>
        <t>Manual input: not supplied by SQL. Historical Schedule X(a)!J66 cached value: None. Do not assume it remains appropriate.</t>
      </text>
    </comment>
    <comment ref="K73" authorId="0" shapeId="0">
      <text>
        <t>Manual input: not supplied by SQL. Historical Schedule X(a)!K66 cached value: None. Do not assume it remains appropriate.</t>
      </text>
    </comment>
    <comment ref="I74" authorId="0" shapeId="0">
      <text>
        <t>Manual input: not supplied by SQL. Historical Schedule X(a)!I67 cached value: None. Do not assume it remains appropriate.</t>
      </text>
    </comment>
    <comment ref="J74" authorId="0" shapeId="0">
      <text>
        <t>Manual input: not supplied by SQL. Historical Schedule X(a)!J67 cached value: None. Do not assume it remains appropriate.</t>
      </text>
    </comment>
    <comment ref="K74" authorId="0" shapeId="0">
      <text>
        <t>Manual input: not supplied by SQL. Historical Schedule X(a)!K67 cached value: None. Do not assume it remains appropriate.</t>
      </text>
    </comment>
    <comment ref="E75" authorId="0" shapeId="0">
      <text>
        <t>Manual input: not supplied by SQL. Historical Schedule X(a)!E68 cached value: None. Do not assume it remains appropriate.</t>
      </text>
    </comment>
    <comment ref="I75" authorId="0" shapeId="0">
      <text>
        <t>Manual input: not supplied by SQL. Historical Schedule X(a)!I68 cached value: None. Do not assume it remains appropriate.</t>
      </text>
    </comment>
    <comment ref="E76" authorId="0" shapeId="0">
      <text>
        <t>Manual input: not supplied by SQL. Historical Schedule X(a)!E69 cached value: None. Do not assume it remains appropriate.</t>
      </text>
    </comment>
    <comment ref="I76" authorId="0" shapeId="0">
      <text>
        <t>Manual input: not supplied by SQL. Historical Schedule X(a)!I69 cached value: None. Do not assume it remains appropriate.</t>
      </text>
    </comment>
    <comment ref="E77" authorId="0" shapeId="0">
      <text>
        <t>Manual input: not supplied by SQL. Historical Schedule X(a)!E70 cached value: None. Do not assume it remains appropriate.</t>
      </text>
    </comment>
    <comment ref="I77" authorId="0" shapeId="0">
      <text>
        <t>Manual input: not supplied by SQL. Historical Schedule X(a)!I70 cached value: None. Do not assume it remains appropriate.</t>
      </text>
    </comment>
    <comment ref="E78" authorId="0" shapeId="0">
      <text>
        <t>Manual input: not supplied by SQL. Historical Schedule X(a)!E71 cached value: None. Do not assume it remains appropriate.</t>
      </text>
    </comment>
    <comment ref="I78" authorId="0" shapeId="0">
      <text>
        <t>Manual input: not supplied by SQL. Historical Schedule X(a)!I71 cached value: None. Do not assume it remains appropriate.</t>
      </text>
    </comment>
    <comment ref="E79" authorId="0" shapeId="0">
      <text>
        <t>Manual input: not supplied by SQL. Historical Schedule X(a)!E72 cached value: None. Do not assume it remains appropriate.</t>
      </text>
    </comment>
    <comment ref="I79" authorId="0" shapeId="0">
      <text>
        <t>Manual input: not supplied by SQL. Historical Schedule X(a)!I72 cached value: None. Do not assume it remains appropriate.</t>
      </text>
    </comment>
    <comment ref="E80" authorId="0" shapeId="0">
      <text>
        <t>Manual input: not supplied by SQL. Historical Schedule X(a)!E73 cached value: None. Do not assume it remains appropriate.</t>
      </text>
    </comment>
    <comment ref="I80" authorId="0" shapeId="0">
      <text>
        <t>Manual input: not supplied by SQL. Historical Schedule X(a)!I73 cached value: None. Do not assume it remains appropriate.</t>
      </text>
    </comment>
    <comment ref="E81" authorId="0" shapeId="0">
      <text>
        <t>Manual input: not supplied by SQL. Historical Schedule X(a)!E74 cached value: None. Do not assume it remains appropriate.</t>
      </text>
    </comment>
    <comment ref="I81" authorId="0" shapeId="0">
      <text>
        <t>Manual input: not supplied by SQL. Historical Schedule X(a)!I74 cached value: None. Do not assume it remains appropriate.</t>
      </text>
    </comment>
    <comment ref="E82" authorId="0" shapeId="0">
      <text>
        <t>Manual input: not supplied by SQL. Historical Schedule X(a)!E75 cached value: None. Do not assume it remains appropriate.</t>
      </text>
    </comment>
    <comment ref="I82" authorId="0" shapeId="0">
      <text>
        <t>Manual input: not supplied by SQL. Historical Schedule X(a)!I75 cached value: None. Do not assume it remains appropriate.</t>
      </text>
    </comment>
    <comment ref="I83" authorId="0" shapeId="0">
      <text>
        <t>Manual input: not supplied by SQL. Historical Schedule X(a)!I76 cached value: None. Do not assume it remains appropriate.</t>
      </text>
    </comment>
    <comment ref="J83" authorId="0" shapeId="0">
      <text>
        <t>Manual input: not supplied by SQL. Historical Schedule X(a)!J76 cached value: None. Do not assume it remains appropriate.</t>
      </text>
    </comment>
    <comment ref="K83" authorId="0" shapeId="0">
      <text>
        <t>Manual input: not supplied by SQL. Historical Schedule X(a)!K76 cached value: None. Do not assume it remains appropriate.</t>
      </text>
    </comment>
    <comment ref="G84" authorId="0" shapeId="0">
      <text>
        <t>Manual input: not supplied by SQL. Historical Schedule X(a)!G77 cached value: None. Do not assume it remains appropriate.</t>
      </text>
    </comment>
    <comment ref="I84" authorId="0" shapeId="0">
      <text>
        <t>Manual input: not supplied by SQL. Historical Schedule X(a)!I77 cached value: None. Do not assume it remains appropriate.</t>
      </text>
    </comment>
    <comment ref="J84" authorId="0" shapeId="0">
      <text>
        <t>Manual input: not supplied by SQL. Historical Schedule X(a)!J77 cached value: None. Do not assume it remains appropriate.</t>
      </text>
    </comment>
    <comment ref="K84" authorId="0" shapeId="0">
      <text>
        <t>Manual input: not supplied by SQL. Historical Schedule X(a)!K77 cached value: None. Do not assume it remains appropriate.</t>
      </text>
    </comment>
    <comment ref="G85" authorId="0" shapeId="0">
      <text>
        <t>Manual input: not supplied by SQL. Historical Schedule X(a)!G78 cached value: None. Do not assume it remains appropriate.</t>
      </text>
    </comment>
    <comment ref="I85" authorId="0" shapeId="0">
      <text>
        <t>Manual input: not supplied by SQL. Historical Schedule X(a)!I78 cached value: None. Do not assume it remains appropriate.</t>
      </text>
    </comment>
    <comment ref="J85" authorId="0" shapeId="0">
      <text>
        <t>Manual input: not supplied by SQL. Historical Schedule X(a)!J78 cached value: None. Do not assume it remains appropriate.</t>
      </text>
    </comment>
    <comment ref="K85" authorId="0" shapeId="0">
      <text>
        <t>Manual input: not supplied by SQL. Historical Schedule X(a)!K78 cached value: None. Do not assume it remains appropriate.</t>
      </text>
    </comment>
    <comment ref="I86" authorId="0" shapeId="0">
      <text>
        <t>Manual input: not supplied by SQL. Historical Schedule X(a)!I79 cached value: None. Do not assume it remains appropriate.</t>
      </text>
    </comment>
    <comment ref="J86" authorId="0" shapeId="0">
      <text>
        <t>Manual input: not supplied by SQL. Historical Schedule X(a)!J79 cached value: None. Do not assume it remains appropriate.</t>
      </text>
    </comment>
    <comment ref="K86" authorId="0" shapeId="0">
      <text>
        <t>Manual input: not supplied by SQL. Historical Schedule X(a)!K79 cached value: None. Do not assume it remains appropriate.</t>
      </text>
    </comment>
    <comment ref="G87" authorId="0" shapeId="0">
      <text>
        <t>Manual input: not supplied by SQL. Historical Schedule X(a)!G80 cached value: None. Do not assume it remains appropriate.</t>
      </text>
    </comment>
    <comment ref="I87" authorId="0" shapeId="0">
      <text>
        <t>Manual input: not supplied by SQL. Historical Schedule X(a)!I80 cached value: None. Do not assume it remains appropriate.</t>
      </text>
    </comment>
    <comment ref="J87" authorId="0" shapeId="0">
      <text>
        <t>Manual input: not supplied by SQL. Historical Schedule X(a)!J80 cached value: None. Do not assume it remains appropriate.</t>
      </text>
    </comment>
    <comment ref="K87" authorId="0" shapeId="0">
      <text>
        <t>Manual input: not supplied by SQL. Historical Schedule X(a)!K80 cached value: None. Do not assume it remains appropriate.</t>
      </text>
    </comment>
    <comment ref="G88" authorId="0" shapeId="0">
      <text>
        <t>Manual input: not supplied by SQL. Historical Schedule X(a)!G81 cached value: None. Do not assume it remains appropriate.</t>
      </text>
    </comment>
    <comment ref="E108" authorId="0" shapeId="0">
      <text>
        <t>Manual input: not supplied by SQL. Historical Schedule X(b)!E11 cached value: HICM. Do not assume it remains appropriate.</t>
      </text>
    </comment>
    <comment ref="F108" authorId="0" shapeId="0">
      <text>
        <t>Manual input: not supplied by SQL. Historical Schedule X(b)!F11 cached value: HICM. Do not assume it remains appropriate.</t>
      </text>
    </comment>
    <comment ref="G108" authorId="0" shapeId="0">
      <text>
        <t>Manual input: not supplied by SQL. Historical Schedule X(b)!G11 cached value: HICM. Do not assume it remains appropriate.</t>
      </text>
    </comment>
    <comment ref="H108" authorId="0" shapeId="0">
      <text>
        <t>Manual input: not supplied by SQL. Historical Schedule X(b)!H11 cached value: HICM. Do not assume it remains appropriate.</t>
      </text>
    </comment>
    <comment ref="E109" authorId="0" shapeId="0">
      <text>
        <t>Manual input: not supplied by SQL. Historical Schedule X(b)!E12 cached value: HICM. Do not assume it remains appropriate.</t>
      </text>
    </comment>
    <comment ref="F109" authorId="0" shapeId="0">
      <text>
        <t>Manual input: not supplied by SQL. Historical Schedule X(b)!F12 cached value: HICM. Do not assume it remains appropriate.</t>
      </text>
    </comment>
    <comment ref="G109" authorId="0" shapeId="0">
      <text>
        <t>Manual input: not supplied by SQL. Historical Schedule X(b)!G12 cached value: HICM. Do not assume it remains appropriate.</t>
      </text>
    </comment>
    <comment ref="H109" authorId="0" shapeId="0">
      <text>
        <t>Manual input: not supplied by SQL. Historical Schedule X(b)!H12 cached value: HICM. Do not assume it remains appropriate.</t>
      </text>
    </comment>
    <comment ref="E110" authorId="0" shapeId="0">
      <text>
        <t>Manual input: not supplied by SQL. Historical Schedule X(b)!E13 cached value: HICM. Do not assume it remains appropriate.</t>
      </text>
    </comment>
    <comment ref="F110" authorId="0" shapeId="0">
      <text>
        <t>Manual input: not supplied by SQL. Historical Schedule X(b)!F13 cached value: HICM. Do not assume it remains appropriate.</t>
      </text>
    </comment>
    <comment ref="G110" authorId="0" shapeId="0">
      <text>
        <t>Manual input: not supplied by SQL. Historical Schedule X(b)!G13 cached value: HICM. Do not assume it remains appropriate.</t>
      </text>
    </comment>
    <comment ref="H110" authorId="0" shapeId="0">
      <text>
        <t>Manual input: not supplied by SQL. Historical Schedule X(b)!H13 cached value: HICM. Do not assume it remains appropriate.</t>
      </text>
    </comment>
    <comment ref="E111" authorId="0" shapeId="0">
      <text>
        <t>Manual input: not supplied by SQL. Historical Schedule X(b)!E14 cached value: HICM. Do not assume it remains appropriate.</t>
      </text>
    </comment>
    <comment ref="F111" authorId="0" shapeId="0">
      <text>
        <t>Manual input: not supplied by SQL. Historical Schedule X(b)!F14 cached value: HICM. Do not assume it remains appropriate.</t>
      </text>
    </comment>
    <comment ref="G111" authorId="0" shapeId="0">
      <text>
        <t>Manual input: not supplied by SQL. Historical Schedule X(b)!G14 cached value: HICM. Do not assume it remains appropriate.</t>
      </text>
    </comment>
    <comment ref="H111" authorId="0" shapeId="0">
      <text>
        <t>Manual input: not supplied by SQL. Historical Schedule X(b)!H14 cached value: HICM. Do not assume it remains appropriate.</t>
      </text>
    </comment>
    <comment ref="E112" authorId="0" shapeId="0">
      <text>
        <t>Manual input: not supplied by SQL. Historical Schedule X(b)!E15 cached value: HICM. Do not assume it remains appropriate.</t>
      </text>
    </comment>
    <comment ref="F112" authorId="0" shapeId="0">
      <text>
        <t>Manual input: not supplied by SQL. Historical Schedule X(b)!F15 cached value: HICM. Do not assume it remains appropriate.</t>
      </text>
    </comment>
    <comment ref="G112" authorId="0" shapeId="0">
      <text>
        <t>Manual input: not supplied by SQL. Historical Schedule X(b)!G15 cached value: HICM. Do not assume it remains appropriate.</t>
      </text>
    </comment>
    <comment ref="H112" authorId="0" shapeId="0">
      <text>
        <t>Manual input: not supplied by SQL. Historical Schedule X(b)!H15 cached value: HICM. Do not assume it remains appropriate.</t>
      </text>
    </comment>
    <comment ref="E115" authorId="0" shapeId="0">
      <text>
        <t>Manual input: not supplied by SQL. Historical Schedule X(b)!E18 cached value: HICM. Do not assume it remains appropriate.</t>
      </text>
    </comment>
    <comment ref="J115" authorId="0" shapeId="0">
      <text>
        <t>Manual input: not supplied by SQL. Historical Schedule X(b)!J18 cached value: HICM. Do not assume it remains appropriate.</t>
      </text>
    </comment>
    <comment ref="J116" authorId="0" shapeId="0">
      <text>
        <t>Manual input: not supplied by SQL. Historical Schedule X(b)!J19 cached value: HICM. Do not assume it remains appropriate.</t>
      </text>
    </comment>
    <comment ref="E117" authorId="0" shapeId="0">
      <text>
        <t>Manual input: not supplied by SQL. Historical Schedule X(b)!E20 cached value: HICM. Do not assume it remains appropriate.</t>
      </text>
    </comment>
    <comment ref="J117" authorId="0" shapeId="0">
      <text>
        <t>Manual input: not supplied by SQL. Historical Schedule X(b)!J20 cached value: HICM. Do not assume it remains appropriate.</t>
      </text>
    </comment>
    <comment ref="E119" authorId="0" shapeId="0">
      <text>
        <t>Manual input: not supplied by SQL. Historical Schedule X(b)!E22 cached value: 0. Do not assume it remains appropriate.</t>
      </text>
    </comment>
    <comment ref="J119" authorId="0" shapeId="0">
      <text>
        <t>Manual input: not supplied by SQL. Historical Schedule X(b)!J22 cached value: 0. Do not assume it remains appropriate.</t>
      </text>
    </comment>
    <comment ref="E120" authorId="0" shapeId="0">
      <text>
        <t>Manual input: not supplied by SQL. Historical Schedule X(b)!E23 cached value: 491.27. Do not assume it remains appropriate.</t>
      </text>
    </comment>
    <comment ref="J120" authorId="0" shapeId="0">
      <text>
        <t>Manual input: not supplied by SQL. Historical Schedule X(b)!J23 cached value: 491.27. Do not assume it remains appropriate.</t>
      </text>
    </comment>
    <comment ref="E122" authorId="0" shapeId="0">
      <text>
        <t>Manual input: not supplied by SQL. Historical Schedule X(b)!E25 cached value: None. Do not assume it remains appropriate.</t>
      </text>
    </comment>
    <comment ref="J122" authorId="0" shapeId="0">
      <text>
        <t>Manual input: not supplied by SQL. Historical Schedule X(b)!J25 cached value: None. Do not assume it remains appropriate.</t>
      </text>
    </comment>
    <comment ref="E123" authorId="0" shapeId="0">
      <text>
        <t>Manual input: not supplied by SQL. Historical Schedule X(b)!E26 cached value: None. Do not assume it remains appropriate.</t>
      </text>
    </comment>
    <comment ref="J123" authorId="0" shapeId="0">
      <text>
        <t>Manual input: not supplied by SQL. Historical Schedule X(b)!J26 cached value: None. Do not assume it remains appropriate.</t>
      </text>
    </comment>
    <comment ref="E124" authorId="1" shapeId="0">
      <text>
        <t>Automatic from SQL input. Money is already USD: divide by 1,000,000 only. Counts are unscaled.</t>
      </text>
    </comment>
    <comment ref="J124" authorId="1" shapeId="0">
      <text>
        <t>Automatic from SQL input. Money is already USD: divide by 1,000,000 only. Counts are unscaled.</t>
      </text>
    </comment>
    <comment ref="E125" authorId="1" shapeId="0">
      <text>
        <t>Automatic from SQL input. Money is already USD: divide by 1,000,000 only. Counts are unscaled.</t>
      </text>
    </comment>
    <comment ref="J125" authorId="1" shapeId="0">
      <text>
        <t>Automatic from SQL input. Money is already USD: divide by 1,000,000 only. Counts are unscaled.</t>
      </text>
    </comment>
    <comment ref="E126" authorId="0" shapeId="0">
      <text>
        <t>Manual input: not supplied by SQL. Historical Schedule X(b)!E29 cached value: 0. Do not assume it remains appropriate.</t>
      </text>
    </comment>
    <comment ref="J126" authorId="0" shapeId="0">
      <text>
        <t>Manual input: not supplied by SQL. Historical Schedule X(b)!J29 cached value: 0. Do not assume it remains appropriate.</t>
      </text>
    </comment>
    <comment ref="E127" authorId="0" shapeId="0">
      <text>
        <t>Manual input: not supplied by SQL. Historical Schedule X(b)!E30 cached value: 0. Do not assume it remains appropriate.</t>
      </text>
    </comment>
    <comment ref="J127" authorId="0" shapeId="0">
      <text>
        <t>Manual input: not supplied by SQL. Historical Schedule X(b)!J30 cached value: 0. Do not assume it remains appropriate.</t>
      </text>
    </comment>
    <comment ref="I129" authorId="0" shapeId="0">
      <text>
        <t>Manual input: not supplied by SQL. Historical Schedule X(b)!I32 cached value: None. Do not assume it remains appropriate.</t>
      </text>
    </comment>
    <comment ref="J129" authorId="0" shapeId="0">
      <text>
        <t>Manual input: not supplied by SQL. Historical Schedule X(b)!J32 cached value: None. Do not assume it remains appropriate.</t>
      </text>
    </comment>
    <comment ref="K129" authorId="0" shapeId="0">
      <text>
        <t>Manual input: not supplied by SQL. Historical Schedule X(b)!K32 cached value: None. Do not assume it remains appropriate.</t>
      </text>
    </comment>
    <comment ref="E130" authorId="0" shapeId="0">
      <text>
        <t>Manual input: not supplied by SQL. Historical Schedule X(b)!E33 cached value: None. Do not assume it remains appropriate.</t>
      </text>
    </comment>
    <comment ref="I130" authorId="0" shapeId="0">
      <text>
        <t>Manual input: not supplied by SQL. Historical Schedule X(b)!I33 cached value: #REF!. Do not assume it remains appropriate.</t>
      </text>
    </comment>
    <comment ref="E131" authorId="0" shapeId="0">
      <text>
        <t>Manual input: not supplied by SQL. Historical Schedule X(b)!E34 cached value: None. Do not assume it remains appropriate.</t>
      </text>
    </comment>
    <comment ref="I131" authorId="0" shapeId="0">
      <text>
        <t>Manual input: not supplied by SQL. Historical Schedule X(b)!I34 cached value: #REF!. Do not assume it remains appropriate.</t>
      </text>
    </comment>
    <comment ref="E132" authorId="0" shapeId="0">
      <text>
        <t>Manual input: not supplied by SQL. Historical Schedule X(b)!E35 cached value: None. Do not assume it remains appropriate.</t>
      </text>
    </comment>
    <comment ref="I132" authorId="0" shapeId="0">
      <text>
        <t>Manual input: not supplied by SQL. Historical Schedule X(b)!I35 cached value: #REF!. Do not assume it remains appropriate.</t>
      </text>
    </comment>
    <comment ref="E133" authorId="0" shapeId="0">
      <text>
        <t>Manual input: not supplied by SQL. Historical Schedule X(b)!E36 cached value: None. Do not assume it remains appropriate.</t>
      </text>
    </comment>
    <comment ref="I133" authorId="0" shapeId="0">
      <text>
        <t>Manual input: not supplied by SQL. Historical Schedule X(b)!I36 cached value: #REF!. Do not assume it remains appropriate.</t>
      </text>
    </comment>
    <comment ref="E134" authorId="0" shapeId="0">
      <text>
        <t>Manual input: not supplied by SQL. Historical Schedule X(b)!E37 cached value: None. Do not assume it remains appropriate.</t>
      </text>
    </comment>
    <comment ref="I134" authorId="0" shapeId="0">
      <text>
        <t>Manual input: not supplied by SQL. Historical Schedule X(b)!I37 cached value: #REF!. Do not assume it remains appropriate.</t>
      </text>
    </comment>
    <comment ref="E135" authorId="0" shapeId="0">
      <text>
        <t>Manual input: not supplied by SQL. Historical Schedule X(b)!E38 cached value: None. Do not assume it remains appropriate.</t>
      </text>
    </comment>
    <comment ref="I135" authorId="0" shapeId="0">
      <text>
        <t>Manual input: not supplied by SQL. Historical Schedule X(b)!I38 cached value: #REF!. Do not assume it remains appropriate.</t>
      </text>
    </comment>
    <comment ref="E136" authorId="0" shapeId="0">
      <text>
        <t>Manual input: not supplied by SQL. Historical Schedule X(b)!E39 cached value: None. Do not assume it remains appropriate.</t>
      </text>
    </comment>
    <comment ref="I136" authorId="0" shapeId="0">
      <text>
        <t>Manual input: not supplied by SQL. Historical Schedule X(b)!I39 cached value: #REF!. Do not assume it remains appropriate.</t>
      </text>
    </comment>
    <comment ref="E137" authorId="0" shapeId="0">
      <text>
        <t>Manual input: not supplied by SQL. Historical Schedule X(b)!E40 cached value: None. Do not assume it remains appropriate.</t>
      </text>
    </comment>
    <comment ref="I137" authorId="0" shapeId="0">
      <text>
        <t>Manual input: not supplied by SQL. Historical Schedule X(b)!I40 cached value: #REF!. Do not assume it remains appropriate.</t>
      </text>
    </comment>
    <comment ref="E138" authorId="0" shapeId="0">
      <text>
        <t>Manual input: not supplied by SQL. Historical Schedule X(b)!E41 cached value: None. Do not assume it remains appropriate.</t>
      </text>
    </comment>
    <comment ref="I138" authorId="0" shapeId="0">
      <text>
        <t>Manual input: not supplied by SQL. Historical Schedule X(b)!I41 cached value: #REF!. Do not assume it remains appropriate.</t>
      </text>
    </comment>
    <comment ref="E139" authorId="0" shapeId="0">
      <text>
        <t>Manual input: not supplied by SQL. Historical Schedule X(b)!E42 cached value: None. Do not assume it remains appropriate.</t>
      </text>
    </comment>
    <comment ref="I139" authorId="0" shapeId="0">
      <text>
        <t>Manual input: not supplied by SQL. Historical Schedule X(b)!I42 cached value: #REF!. Do not assume it remains appropriate.</t>
      </text>
    </comment>
    <comment ref="E140" authorId="0" shapeId="0">
      <text>
        <t>Manual input: not supplied by SQL. Historical Schedule X(b)!E43 cached value: None. Do not assume it remains appropriate.</t>
      </text>
    </comment>
    <comment ref="I140" authorId="0" shapeId="0">
      <text>
        <t>Manual input: not supplied by SQL. Historical Schedule X(b)!I43 cached value: #REF!. Do not assume it remains appropriate.</t>
      </text>
    </comment>
    <comment ref="E141" authorId="0" shapeId="0">
      <text>
        <t>Manual input: not supplied by SQL. Historical Schedule X(b)!E44 cached value: None. Do not assume it remains appropriate.</t>
      </text>
    </comment>
    <comment ref="I141" authorId="0" shapeId="0">
      <text>
        <t>Manual input: not supplied by SQL. Historical Schedule X(b)!I44 cached value: #REF!. Do not assume it remains appropriate.</t>
      </text>
    </comment>
    <comment ref="E142" authorId="0" shapeId="0">
      <text>
        <t>Manual input: not supplied by SQL. Historical Schedule X(b)!E45 cached value: None. Do not assume it remains appropriate.</t>
      </text>
    </comment>
    <comment ref="I142" authorId="0" shapeId="0">
      <text>
        <t>Manual input: not supplied by SQL. Historical Schedule X(b)!I45 cached value: #REF!. Do not assume it remains appropriate.</t>
      </text>
    </comment>
    <comment ref="E143" authorId="0" shapeId="0">
      <text>
        <t>Manual input: not supplied by SQL. Historical Schedule X(b)!E46 cached value: None. Do not assume it remains appropriate.</t>
      </text>
    </comment>
    <comment ref="I143" authorId="0" shapeId="0">
      <text>
        <t>Manual input: not supplied by SQL. Historical Schedule X(b)!I46 cached value: #REF!. Do not assume it remains appropriate.</t>
      </text>
    </comment>
    <comment ref="E144" authorId="0" shapeId="0">
      <text>
        <t>Manual input: not supplied by SQL. Historical Schedule X(b)!E47 cached value: None. Do not assume it remains appropriate.</t>
      </text>
    </comment>
    <comment ref="I144" authorId="0" shapeId="0">
      <text>
        <t>Manual input: not supplied by SQL. Historical Schedule X(b)!I47 cached value: #REF!. Do not assume it remains appropriate.</t>
      </text>
    </comment>
    <comment ref="E145" authorId="0" shapeId="0">
      <text>
        <t>Manual input: not supplied by SQL. Historical Schedule X(b)!E48 cached value: None. Do not assume it remains appropriate.</t>
      </text>
    </comment>
    <comment ref="I145" authorId="0" shapeId="0">
      <text>
        <t>Manual input: not supplied by SQL. Historical Schedule X(b)!I48 cached value: #REF!. Do not assume it remains appropriate.</t>
      </text>
    </comment>
    <comment ref="I146" authorId="0" shapeId="0">
      <text>
        <t>Manual input: not supplied by SQL. Historical Schedule X(b)!I49 cached value: None. Do not assume it remains appropriate.</t>
      </text>
    </comment>
    <comment ref="J146" authorId="0" shapeId="0">
      <text>
        <t>Manual input: not supplied by SQL. Historical Schedule X(b)!J49 cached value: None. Do not assume it remains appropriate.</t>
      </text>
    </comment>
    <comment ref="K146" authorId="0" shapeId="0">
      <text>
        <t>Manual input: not supplied by SQL. Historical Schedule X(b)!K49 cached value: None. Do not assume it remains appropriate.</t>
      </text>
    </comment>
    <comment ref="I147" authorId="0" shapeId="0">
      <text>
        <t>Manual input: not supplied by SQL. Historical Schedule X(b)!I50 cached value: None. Do not assume it remains appropriate.</t>
      </text>
    </comment>
    <comment ref="J147" authorId="0" shapeId="0">
      <text>
        <t>Manual input: not supplied by SQL. Historical Schedule X(b)!J50 cached value: None. Do not assume it remains appropriate.</t>
      </text>
    </comment>
    <comment ref="K147" authorId="0" shapeId="0">
      <text>
        <t>Manual input: not supplied by SQL. Historical Schedule X(b)!K50 cached value: None. Do not assume it remains appropriate.</t>
      </text>
    </comment>
    <comment ref="E148" authorId="0" shapeId="0">
      <text>
        <t>Manual input: not supplied by SQL. Historical Schedule X(b)!E51 cached value: None. Do not assume it remains appropriate.</t>
      </text>
    </comment>
    <comment ref="I148" authorId="0" shapeId="0">
      <text>
        <t>Manual input: not supplied by SQL. Historical Schedule X(b)!I51 cached value: #REF!. Do not assume it remains appropriate.</t>
      </text>
    </comment>
    <comment ref="E149" authorId="0" shapeId="0">
      <text>
        <t>Manual input: not supplied by SQL. Historical Schedule X(b)!E52 cached value: None. Do not assume it remains appropriate.</t>
      </text>
    </comment>
    <comment ref="I149" authorId="0" shapeId="0">
      <text>
        <t>Manual input: not supplied by SQL. Historical Schedule X(b)!I52 cached value: #REF!. Do not assume it remains appropriate.</t>
      </text>
    </comment>
    <comment ref="E150" authorId="0" shapeId="0">
      <text>
        <t>Manual input: not supplied by SQL. Historical Schedule X(b)!E53 cached value: None. Do not assume it remains appropriate.</t>
      </text>
    </comment>
    <comment ref="I150" authorId="0" shapeId="0">
      <text>
        <t>Manual input: not supplied by SQL. Historical Schedule X(b)!I53 cached value: #REF!. Do not assume it remains appropriate.</t>
      </text>
    </comment>
    <comment ref="E151" authorId="0" shapeId="0">
      <text>
        <t>Manual input: not supplied by SQL. Historical Schedule X(b)!E54 cached value: None. Do not assume it remains appropriate.</t>
      </text>
    </comment>
    <comment ref="I151" authorId="0" shapeId="0">
      <text>
        <t>Manual input: not supplied by SQL. Historical Schedule X(b)!I54 cached value: #REF!. Do not assume it remains appropriate.</t>
      </text>
    </comment>
    <comment ref="E152" authorId="0" shapeId="0">
      <text>
        <t>Manual input: not supplied by SQL. Historical Schedule X(b)!E55 cached value: None. Do not assume it remains appropriate.</t>
      </text>
    </comment>
    <comment ref="I152" authorId="0" shapeId="0">
      <text>
        <t>Manual input: not supplied by SQL. Historical Schedule X(b)!I55 cached value: #REF!. Do not assume it remains appropriate.</t>
      </text>
    </comment>
    <comment ref="I153" authorId="0" shapeId="0">
      <text>
        <t>Manual input: not supplied by SQL. Historical Schedule X(b)!I56 cached value: None. Do not assume it remains appropriate.</t>
      </text>
    </comment>
    <comment ref="J153" authorId="0" shapeId="0">
      <text>
        <t>Manual input: not supplied by SQL. Historical Schedule X(b)!J56 cached value: None. Do not assume it remains appropriate.</t>
      </text>
    </comment>
    <comment ref="K153" authorId="0" shapeId="0">
      <text>
        <t>Manual input: not supplied by SQL. Historical Schedule X(b)!K56 cached value: None. Do not assume it remains appropriate.</t>
      </text>
    </comment>
    <comment ref="I154" authorId="0" shapeId="0">
      <text>
        <t>Manual input: not supplied by SQL. Historical Schedule X(b)!I57 cached value: None. Do not assume it remains appropriate.</t>
      </text>
    </comment>
    <comment ref="J154" authorId="0" shapeId="0">
      <text>
        <t>Manual input: not supplied by SQL. Historical Schedule X(b)!J57 cached value: None. Do not assume it remains appropriate.</t>
      </text>
    </comment>
    <comment ref="K154" authorId="0" shapeId="0">
      <text>
        <t>Manual input: not supplied by SQL. Historical Schedule X(b)!K57 cached value: None. Do not assume it remains appropriate.</t>
      </text>
    </comment>
    <comment ref="E155" authorId="0" shapeId="0">
      <text>
        <t>Manual input: not supplied by SQL. Historical Schedule X(b)!E58 cached value: None. Do not assume it remains appropriate.</t>
      </text>
    </comment>
    <comment ref="I155" authorId="0" shapeId="0">
      <text>
        <t>Manual input: not supplied by SQL. Historical Schedule X(b)!I58 cached value: #REF!. Do not assume it remains appropriate.</t>
      </text>
    </comment>
    <comment ref="E156" authorId="0" shapeId="0">
      <text>
        <t>Manual input: not supplied by SQL. Historical Schedule X(b)!E59 cached value: None. Do not assume it remains appropriate.</t>
      </text>
    </comment>
    <comment ref="I156" authorId="0" shapeId="0">
      <text>
        <t>Manual input: not supplied by SQL. Historical Schedule X(b)!I59 cached value: #REF!. Do not assume it remains appropriate.</t>
      </text>
    </comment>
    <comment ref="I157" authorId="0" shapeId="0">
      <text>
        <t>Manual input: not supplied by SQL. Historical Schedule X(b)!I60 cached value: None. Do not assume it remains appropriate.</t>
      </text>
    </comment>
    <comment ref="J157" authorId="0" shapeId="0">
      <text>
        <t>Manual input: not supplied by SQL. Historical Schedule X(b)!J60 cached value: None. Do not assume it remains appropriate.</t>
      </text>
    </comment>
    <comment ref="K157" authorId="0" shapeId="0">
      <text>
        <t>Manual input: not supplied by SQL. Historical Schedule X(b)!K60 cached value: None. Do not assume it remains appropriate.</t>
      </text>
    </comment>
    <comment ref="I158" authorId="0" shapeId="0">
      <text>
        <t>Manual input: not supplied by SQL. Historical Schedule X(b)!I61 cached value: None. Do not assume it remains appropriate.</t>
      </text>
    </comment>
    <comment ref="J158" authorId="0" shapeId="0">
      <text>
        <t>Manual input: not supplied by SQL. Historical Schedule X(b)!J61 cached value: None. Do not assume it remains appropriate.</t>
      </text>
    </comment>
    <comment ref="K158" authorId="0" shapeId="0">
      <text>
        <t>Manual input: not supplied by SQL. Historical Schedule X(b)!K61 cached value: None. Do not assume it remains appropriate.</t>
      </text>
    </comment>
    <comment ref="E159" authorId="0" shapeId="0">
      <text>
        <t>Manual input: not supplied by SQL. Historical Schedule X(b)!E62 cached value: None. Do not assume it remains appropriate.</t>
      </text>
    </comment>
    <comment ref="I159" authorId="0" shapeId="0">
      <text>
        <t>Manual input: not supplied by SQL. Historical Schedule X(b)!I62 cached value: #REF!. Do not assume it remains appropriate.</t>
      </text>
    </comment>
    <comment ref="E160" authorId="0" shapeId="0">
      <text>
        <t>Manual input: not supplied by SQL. Historical Schedule X(b)!E63 cached value: None. Do not assume it remains appropriate.</t>
      </text>
    </comment>
    <comment ref="I160" authorId="0" shapeId="0">
      <text>
        <t>Manual input: not supplied by SQL. Historical Schedule X(b)!I63 cached value: #REF!. Do not assume it remains appropriate.</t>
      </text>
    </comment>
    <comment ref="E161" authorId="0" shapeId="0">
      <text>
        <t>Manual input: not supplied by SQL. Historical Schedule X(b)!E64 cached value: None. Do not assume it remains appropriate.</t>
      </text>
    </comment>
    <comment ref="I161" authorId="0" shapeId="0">
      <text>
        <t>Manual input: not supplied by SQL. Historical Schedule X(b)!I64 cached value: #REF!. Do not assume it remains appropriate.</t>
      </text>
    </comment>
    <comment ref="E162" authorId="0" shapeId="0">
      <text>
        <t>Manual input: not supplied by SQL. Historical Schedule X(b)!E65 cached value: None. Do not assume it remains appropriate.</t>
      </text>
    </comment>
    <comment ref="I162" authorId="0" shapeId="0">
      <text>
        <t>Manual input: not supplied by SQL. Historical Schedule X(b)!I65 cached value: #REF!. Do not assume it remains appropriate.</t>
      </text>
    </comment>
    <comment ref="E163" authorId="0" shapeId="0">
      <text>
        <t>Manual input: not supplied by SQL. Historical Schedule X(b)!E66 cached value: None. Do not assume it remains appropriate.</t>
      </text>
    </comment>
    <comment ref="I163" authorId="0" shapeId="0">
      <text>
        <t>Manual input: not supplied by SQL. Historical Schedule X(b)!I66 cached value: #REF!. Do not assume it remains appropriate.</t>
      </text>
    </comment>
    <comment ref="E164" authorId="0" shapeId="0">
      <text>
        <t>Manual input: not supplied by SQL. Historical Schedule X(b)!E67 cached value: None. Do not assume it remains appropriate.</t>
      </text>
    </comment>
    <comment ref="I164" authorId="0" shapeId="0">
      <text>
        <t>Manual input: not supplied by SQL. Historical Schedule X(b)!I67 cached value: #REF!. Do not assume it remains appropriate.</t>
      </text>
    </comment>
    <comment ref="I165" authorId="0" shapeId="0">
      <text>
        <t>Manual input: not supplied by SQL. Historical Schedule X(b)!I68 cached value: None. Do not assume it remains appropriate.</t>
      </text>
    </comment>
    <comment ref="J165" authorId="0" shapeId="0">
      <text>
        <t>Manual input: not supplied by SQL. Historical Schedule X(b)!J68 cached value: None. Do not assume it remains appropriate.</t>
      </text>
    </comment>
    <comment ref="K165" authorId="0" shapeId="0">
      <text>
        <t>Manual input: not supplied by SQL. Historical Schedule X(b)!K68 cached value: None. Do not assume it remains appropriate.</t>
      </text>
    </comment>
    <comment ref="I166" authorId="0" shapeId="0">
      <text>
        <t>Manual input: not supplied by SQL. Historical Schedule X(b)!I69 cached value: None. Do not assume it remains appropriate.</t>
      </text>
    </comment>
    <comment ref="J166" authorId="0" shapeId="0">
      <text>
        <t>Manual input: not supplied by SQL. Historical Schedule X(b)!J69 cached value: None. Do not assume it remains appropriate.</t>
      </text>
    </comment>
    <comment ref="K166" authorId="0" shapeId="0">
      <text>
        <t>Manual input: not supplied by SQL. Historical Schedule X(b)!K69 cached value: None. Do not assume it remains appropriate.</t>
      </text>
    </comment>
    <comment ref="E167" authorId="0" shapeId="0">
      <text>
        <t>Manual input: not supplied by SQL. Historical Schedule X(b)!E70 cached value: None. Do not assume it remains appropriate.</t>
      </text>
    </comment>
    <comment ref="I167" authorId="0" shapeId="0">
      <text>
        <t>Manual input: not supplied by SQL. Historical Schedule X(b)!I70 cached value: #REF!. Do not assume it remains appropriate.</t>
      </text>
    </comment>
    <comment ref="E168" authorId="0" shapeId="0">
      <text>
        <t>Manual input: not supplied by SQL. Historical Schedule X(b)!E71 cached value: None. Do not assume it remains appropriate.</t>
      </text>
    </comment>
    <comment ref="I168" authorId="0" shapeId="0">
      <text>
        <t>Manual input: not supplied by SQL. Historical Schedule X(b)!I71 cached value: #REF!. Do not assume it remains appropriate.</t>
      </text>
    </comment>
    <comment ref="E169" authorId="0" shapeId="0">
      <text>
        <t>Manual input: not supplied by SQL. Historical Schedule X(b)!E72 cached value: None. Do not assume it remains appropriate.</t>
      </text>
    </comment>
    <comment ref="I169" authorId="0" shapeId="0">
      <text>
        <t>Manual input: not supplied by SQL. Historical Schedule X(b)!I72 cached value: #REF!. Do not assume it remains appropriate.</t>
      </text>
    </comment>
    <comment ref="E170" authorId="0" shapeId="0">
      <text>
        <t>Manual input: not supplied by SQL. Historical Schedule X(b)!E73 cached value: None. Do not assume it remains appropriate.</t>
      </text>
    </comment>
    <comment ref="I170" authorId="0" shapeId="0">
      <text>
        <t>Manual input: not supplied by SQL. Historical Schedule X(b)!I73 cached value: #REF!. Do not assume it remains appropriate.</t>
      </text>
    </comment>
    <comment ref="E171" authorId="0" shapeId="0">
      <text>
        <t>Manual input: not supplied by SQL. Historical Schedule X(b)!E74 cached value: None. Do not assume it remains appropriate.</t>
      </text>
    </comment>
    <comment ref="I171" authorId="0" shapeId="0">
      <text>
        <t>Manual input: not supplied by SQL. Historical Schedule X(b)!I74 cached value: #REF!. Do not assume it remains appropriate.</t>
      </text>
    </comment>
    <comment ref="E172" authorId="0" shapeId="0">
      <text>
        <t>Manual input: not supplied by SQL. Historical Schedule X(b)!E75 cached value: None. Do not assume it remains appropriate.</t>
      </text>
    </comment>
    <comment ref="I172" authorId="0" shapeId="0">
      <text>
        <t>Manual input: not supplied by SQL. Historical Schedule X(b)!I75 cached value: #REF!. Do not assume it remains appropriate.</t>
      </text>
    </comment>
    <comment ref="E173" authorId="0" shapeId="0">
      <text>
        <t>Manual input: not supplied by SQL. Historical Schedule X(b)!E76 cached value: None. Do not assume it remains appropriate.</t>
      </text>
    </comment>
    <comment ref="I173" authorId="0" shapeId="0">
      <text>
        <t>Manual input: not supplied by SQL. Historical Schedule X(b)!I76 cached value: #REF!. Do not assume it remains appropriate.</t>
      </text>
    </comment>
    <comment ref="E174" authorId="0" shapeId="0">
      <text>
        <t>Manual input: not supplied by SQL. Historical Schedule X(b)!E77 cached value: None. Do not assume it remains appropriate.</t>
      </text>
    </comment>
    <comment ref="I174" authorId="0" shapeId="0">
      <text>
        <t>Manual input: not supplied by SQL. Historical Schedule X(b)!I77 cached value: #REF!. Do not assume it remains appropriate.</t>
      </text>
    </comment>
    <comment ref="I175" authorId="0" shapeId="0">
      <text>
        <t>Manual input: not supplied by SQL. Historical Schedule X(b)!I78 cached value: None. Do not assume it remains appropriate.</t>
      </text>
    </comment>
    <comment ref="J175" authorId="0" shapeId="0">
      <text>
        <t>Manual input: not supplied by SQL. Historical Schedule X(b)!J78 cached value: None. Do not assume it remains appropriate.</t>
      </text>
    </comment>
    <comment ref="K175" authorId="0" shapeId="0">
      <text>
        <t>Manual input: not supplied by SQL. Historical Schedule X(b)!K78 cached value: None. Do not assume it remains appropriate.</t>
      </text>
    </comment>
    <comment ref="G176" authorId="0" shapeId="0">
      <text>
        <t>Manual input: not supplied by SQL. Historical Schedule X(b)!G79 cached value: None. Do not assume it remains appropriate.</t>
      </text>
    </comment>
    <comment ref="I176" authorId="0" shapeId="0">
      <text>
        <t>Manual input: not supplied by SQL. Historical Schedule X(b)!I79 cached value: None. Do not assume it remains appropriate.</t>
      </text>
    </comment>
    <comment ref="J176" authorId="0" shapeId="0">
      <text>
        <t>Manual input: not supplied by SQL. Historical Schedule X(b)!J79 cached value: None. Do not assume it remains appropriate.</t>
      </text>
    </comment>
    <comment ref="K176" authorId="0" shapeId="0">
      <text>
        <t>Manual input: not supplied by SQL. Historical Schedule X(b)!K79 cached value: None. Do not assume it remains appropriate.</t>
      </text>
    </comment>
    <comment ref="G177" authorId="0" shapeId="0">
      <text>
        <t>Manual input: not supplied by SQL. Historical Schedule X(b)!G80 cached value: None. Do not assume it remains appropriate.</t>
      </text>
    </comment>
    <comment ref="I177" authorId="0" shapeId="0">
      <text>
        <t>Manual input: not supplied by SQL. Historical Schedule X(b)!I80 cached value: None. Do not assume it remains appropriate.</t>
      </text>
    </comment>
    <comment ref="J177" authorId="0" shapeId="0">
      <text>
        <t>Manual input: not supplied by SQL. Historical Schedule X(b)!J80 cached value: None. Do not assume it remains appropriate.</t>
      </text>
    </comment>
    <comment ref="K177" authorId="0" shapeId="0">
      <text>
        <t>Manual input: not supplied by SQL. Historical Schedule X(b)!K80 cached value: None. Do not assume it remains appropriate.</t>
      </text>
    </comment>
    <comment ref="I178" authorId="0" shapeId="0">
      <text>
        <t>Manual input: not supplied by SQL. Historical Schedule X(b)!I81 cached value: None. Do not assume it remains appropriate.</t>
      </text>
    </comment>
    <comment ref="J178" authorId="0" shapeId="0">
      <text>
        <t>Manual input: not supplied by SQL. Historical Schedule X(b)!J81 cached value: None. Do not assume it remains appropriate.</t>
      </text>
    </comment>
    <comment ref="K178" authorId="0" shapeId="0">
      <text>
        <t>Manual input: not supplied by SQL. Historical Schedule X(b)!K81 cached value: None. Do not assume it remains appropriate.</t>
      </text>
    </comment>
    <comment ref="G179" authorId="0" shapeId="0">
      <text>
        <t>Manual input: not supplied by SQL. Historical Schedule X(b)!G82 cached value: None. Do not assume it remains appropriate.</t>
      </text>
    </comment>
    <comment ref="I179" authorId="0" shapeId="0">
      <text>
        <t>Manual input: not supplied by SQL. Historical Schedule X(b)!I82 cached value: None. Do not assume it remains appropriate.</t>
      </text>
    </comment>
    <comment ref="J179" authorId="0" shapeId="0">
      <text>
        <t>Manual input: not supplied by SQL. Historical Schedule X(b)!J82 cached value: None. Do not assume it remains appropriate.</t>
      </text>
    </comment>
    <comment ref="K179" authorId="0" shapeId="0">
      <text>
        <t>Manual input: not supplied by SQL. Historical Schedule X(b)!K82 cached value: None. Do not assume it remains appropriate.</t>
      </text>
    </comment>
    <comment ref="G180" authorId="0" shapeId="0">
      <text>
        <t>Manual input: not supplied by SQL. Historical Schedule X(b)!G83 cached value: None. Do not assume it remains appropriate.</t>
      </text>
    </comment>
    <comment ref="F196" authorId="0" shapeId="0">
      <text>
        <t>Manual input: not supplied by SQL. Historical Schedule X(c)!F9 cached value: AIR and RMS. Do not assume it remains appropriate.</t>
      </text>
    </comment>
    <comment ref="F197" authorId="0" shapeId="0">
      <text>
        <t>Manual input: not supplied by SQL. Historical Schedule X(c)!F10 cached value: AIR vXX RMS vXX. Do not assume it remains appropriate.</t>
      </text>
    </comment>
    <comment ref="D203" authorId="0" shapeId="0">
      <text>
        <t>Manual input: not supplied by SQL. Historical Schedule X(c)!D16 cached value: HICM. Do not assume it remains appropriate.</t>
      </text>
    </comment>
    <comment ref="E203" authorId="0" shapeId="0">
      <text>
        <t>Manual input: not supplied by SQL. Historical Schedule X(c)!E16 cached value: HICM. Do not assume it remains appropriate.</t>
      </text>
    </comment>
    <comment ref="F203" authorId="0" shapeId="0">
      <text>
        <t>Manual input: not supplied by SQL. Historical Schedule X(c)!F16 cached value: HICM. Do not assume it remains appropriate.</t>
      </text>
    </comment>
    <comment ref="G203" authorId="0" shapeId="0">
      <text>
        <t>Manual input: not supplied by SQL. Historical Schedule X(c)!G16 cached value: HICM. Do not assume it remains appropriate.</t>
      </text>
    </comment>
    <comment ref="D204" authorId="0" shapeId="0">
      <text>
        <t>Manual input: not supplied by SQL. Historical Schedule X(c)!D17 cached value: HICM. Do not assume it remains appropriate.</t>
      </text>
    </comment>
    <comment ref="E204" authorId="0" shapeId="0">
      <text>
        <t>Manual input: not supplied by SQL. Historical Schedule X(c)!E17 cached value: HICM. Do not assume it remains appropriate.</t>
      </text>
    </comment>
    <comment ref="F204" authorId="0" shapeId="0">
      <text>
        <t>Manual input: not supplied by SQL. Historical Schedule X(c)!F17 cached value: HICM. Do not assume it remains appropriate.</t>
      </text>
    </comment>
    <comment ref="G204" authorId="0" shapeId="0">
      <text>
        <t>Manual input: not supplied by SQL. Historical Schedule X(c)!G17 cached value: HICM. Do not assume it remains appropriate.</t>
      </text>
    </comment>
    <comment ref="D205" authorId="0" shapeId="0">
      <text>
        <t>Manual input: not supplied by SQL. Historical Schedule X(c)!D18 cached value: HICM. Do not assume it remains appropriate.</t>
      </text>
    </comment>
    <comment ref="E205" authorId="0" shapeId="0">
      <text>
        <t>Manual input: not supplied by SQL. Historical Schedule X(c)!E18 cached value: HICM. Do not assume it remains appropriate.</t>
      </text>
    </comment>
    <comment ref="F205" authorId="0" shapeId="0">
      <text>
        <t>Manual input: not supplied by SQL. Historical Schedule X(c)!F18 cached value: HICM. Do not assume it remains appropriate.</t>
      </text>
    </comment>
    <comment ref="G205" authorId="0" shapeId="0">
      <text>
        <t>Manual input: not supplied by SQL. Historical Schedule X(c)!G18 cached value: HICM. Do not assume it remains appropriate.</t>
      </text>
    </comment>
    <comment ref="D206" authorId="0" shapeId="0">
      <text>
        <t>Manual input: not supplied by SQL. Historical Schedule X(c)!D19 cached value: HICM. Do not assume it remains appropriate.</t>
      </text>
    </comment>
    <comment ref="E206" authorId="0" shapeId="0">
      <text>
        <t>Manual input: not supplied by SQL. Historical Schedule X(c)!E19 cached value: HICM. Do not assume it remains appropriate.</t>
      </text>
    </comment>
    <comment ref="F206" authorId="0" shapeId="0">
      <text>
        <t>Manual input: not supplied by SQL. Historical Schedule X(c)!F19 cached value: HICM. Do not assume it remains appropriate.</t>
      </text>
    </comment>
    <comment ref="G206" authorId="0" shapeId="0">
      <text>
        <t>Manual input: not supplied by SQL. Historical Schedule X(c)!G19 cached value: HICM. Do not assume it remains appropriate.</t>
      </text>
    </comment>
    <comment ref="D207" authorId="0" shapeId="0">
      <text>
        <t>Manual input: not supplied by SQL. Historical Schedule X(c)!D20 cached value: HICM. Do not assume it remains appropriate.</t>
      </text>
    </comment>
    <comment ref="E207" authorId="0" shapeId="0">
      <text>
        <t>Manual input: not supplied by SQL. Historical Schedule X(c)!E20 cached value: HICM. Do not assume it remains appropriate.</t>
      </text>
    </comment>
    <comment ref="F207" authorId="0" shapeId="0">
      <text>
        <t>Manual input: not supplied by SQL. Historical Schedule X(c)!F20 cached value: HICM. Do not assume it remains appropriate.</t>
      </text>
    </comment>
    <comment ref="G207" authorId="0" shapeId="0">
      <text>
        <t>Manual input: not supplied by SQL. Historical Schedule X(c)!G20 cached value: HICM. Do not assume it remains appropriate.</t>
      </text>
    </comment>
    <comment ref="E211" authorId="0" shapeId="0">
      <text>
        <t>Manual input: not supplied by SQL. Historical Schedule X(c)!E24 cached value: None. Do not assume it remains appropriate.</t>
      </text>
    </comment>
    <comment ref="F211" authorId="0" shapeId="0">
      <text>
        <t>Manual input: not supplied by SQL. Historical Schedule X(c)!F24 cached value: None. Do not assume it remains appropriate.</t>
      </text>
    </comment>
    <comment ref="E212" authorId="0" shapeId="0">
      <text>
        <t>Manual input: not supplied by SQL. Historical Schedule X(c)!E25 cached value: 0.09. Do not assume it remains appropriate.</t>
      </text>
    </comment>
    <comment ref="F212" authorId="0" shapeId="0">
      <text>
        <t>Manual input: not supplied by SQL. Historical Schedule X(c)!F25 cached value: 0.09. Do not assume it remains appropriate.</t>
      </text>
    </comment>
    <comment ref="E213" authorId="0" shapeId="0">
      <text>
        <t>Manual input: not supplied by SQL. Historical Schedule X(c)!E26 cached value: None. Do not assume it remains appropriate.</t>
      </text>
    </comment>
    <comment ref="F213" authorId="0" shapeId="0">
      <text>
        <t>Manual input: not supplied by SQL. Historical Schedule X(c)!F26 cached value: None. Do not assume it remains appropriate.</t>
      </text>
    </comment>
    <comment ref="E214" authorId="1" shapeId="0">
      <text>
        <t>Automatic from SQL input. Money is already USD: divide by 1,000,000 only. Counts are unscaled.</t>
      </text>
    </comment>
    <comment ref="F214" authorId="1" shapeId="0">
      <text>
        <t>Automatic from SQL input. Money is already USD: divide by 1,000,000 only. Counts are unscaled.</t>
      </text>
    </comment>
    <comment ref="F218" authorId="0" shapeId="0">
      <text>
        <t>Manual input: not supplied by SQL. Historical Schedule X(c)!F31 cached value: AIR and RMS. Do not assume it remains appropriate.</t>
      </text>
    </comment>
    <comment ref="F219" authorId="0" shapeId="0">
      <text>
        <t>Manual input: not supplied by SQL. Historical Schedule X(c)!F32 cached value: AIR vXX RMS vXX. Do not assume it remains appropriate.</t>
      </text>
    </comment>
    <comment ref="D225" authorId="0" shapeId="0">
      <text>
        <t>Manual input: not supplied by SQL. Historical Schedule X(c)!D38 cached value: HICM. Do not assume it remains appropriate.</t>
      </text>
    </comment>
    <comment ref="E225" authorId="0" shapeId="0">
      <text>
        <t>Manual input: not supplied by SQL. Historical Schedule X(c)!E38 cached value: HICM. Do not assume it remains appropriate.</t>
      </text>
    </comment>
    <comment ref="F225" authorId="0" shapeId="0">
      <text>
        <t>Manual input: not supplied by SQL. Historical Schedule X(c)!F38 cached value: HICM. Do not assume it remains appropriate.</t>
      </text>
    </comment>
    <comment ref="G225" authorId="0" shapeId="0">
      <text>
        <t>Manual input: not supplied by SQL. Historical Schedule X(c)!G38 cached value: HICM. Do not assume it remains appropriate.</t>
      </text>
    </comment>
    <comment ref="D226" authorId="0" shapeId="0">
      <text>
        <t>Manual input: not supplied by SQL. Historical Schedule X(c)!D39 cached value: HICM. Do not assume it remains appropriate.</t>
      </text>
    </comment>
    <comment ref="E226" authorId="0" shapeId="0">
      <text>
        <t>Manual input: not supplied by SQL. Historical Schedule X(c)!E39 cached value: HICM. Do not assume it remains appropriate.</t>
      </text>
    </comment>
    <comment ref="F226" authorId="0" shapeId="0">
      <text>
        <t>Manual input: not supplied by SQL. Historical Schedule X(c)!F39 cached value: HICM. Do not assume it remains appropriate.</t>
      </text>
    </comment>
    <comment ref="G226" authorId="0" shapeId="0">
      <text>
        <t>Manual input: not supplied by SQL. Historical Schedule X(c)!G39 cached value: HICM. Do not assume it remains appropriate.</t>
      </text>
    </comment>
    <comment ref="D227" authorId="0" shapeId="0">
      <text>
        <t>Manual input: not supplied by SQL. Historical Schedule X(c)!D40 cached value: HICM. Do not assume it remains appropriate.</t>
      </text>
    </comment>
    <comment ref="E227" authorId="0" shapeId="0">
      <text>
        <t>Manual input: not supplied by SQL. Historical Schedule X(c)!E40 cached value: HICM. Do not assume it remains appropriate.</t>
      </text>
    </comment>
    <comment ref="F227" authorId="0" shapeId="0">
      <text>
        <t>Manual input: not supplied by SQL. Historical Schedule X(c)!F40 cached value: HICM. Do not assume it remains appropriate.</t>
      </text>
    </comment>
    <comment ref="G227" authorId="0" shapeId="0">
      <text>
        <t>Manual input: not supplied by SQL. Historical Schedule X(c)!G40 cached value: HICM. Do not assume it remains appropriate.</t>
      </text>
    </comment>
    <comment ref="D228" authorId="0" shapeId="0">
      <text>
        <t>Manual input: not supplied by SQL. Historical Schedule X(c)!D41 cached value: HICM. Do not assume it remains appropriate.</t>
      </text>
    </comment>
    <comment ref="E228" authorId="0" shapeId="0">
      <text>
        <t>Manual input: not supplied by SQL. Historical Schedule X(c)!E41 cached value: HICM. Do not assume it remains appropriate.</t>
      </text>
    </comment>
    <comment ref="F228" authorId="0" shapeId="0">
      <text>
        <t>Manual input: not supplied by SQL. Historical Schedule X(c)!F41 cached value: HICM. Do not assume it remains appropriate.</t>
      </text>
    </comment>
    <comment ref="G228" authorId="0" shapeId="0">
      <text>
        <t>Manual input: not supplied by SQL. Historical Schedule X(c)!G41 cached value: HICM. Do not assume it remains appropriate.</t>
      </text>
    </comment>
    <comment ref="D229" authorId="0" shapeId="0">
      <text>
        <t>Manual input: not supplied by SQL. Historical Schedule X(c)!D42 cached value: HICM. Do not assume it remains appropriate.</t>
      </text>
    </comment>
    <comment ref="E229" authorId="0" shapeId="0">
      <text>
        <t>Manual input: not supplied by SQL. Historical Schedule X(c)!E42 cached value: HICM. Do not assume it remains appropriate.</t>
      </text>
    </comment>
    <comment ref="F229" authorId="0" shapeId="0">
      <text>
        <t>Manual input: not supplied by SQL. Historical Schedule X(c)!F42 cached value: HICM. Do not assume it remains appropriate.</t>
      </text>
    </comment>
    <comment ref="G229" authorId="0" shapeId="0">
      <text>
        <t>Manual input: not supplied by SQL. Historical Schedule X(c)!G42 cached value: HICM. Do not assume it remains appropriate.</t>
      </text>
    </comment>
    <comment ref="E233" authorId="0" shapeId="0">
      <text>
        <t>Manual input: not supplied by SQL. Historical Schedule X(c)!E46 cached value: None. Do not assume it remains appropriate.</t>
      </text>
    </comment>
    <comment ref="F233" authorId="0" shapeId="0">
      <text>
        <t>Manual input: not supplied by SQL. Historical Schedule X(c)!F46 cached value: None. Do not assume it remains appropriate.</t>
      </text>
    </comment>
    <comment ref="E234" authorId="0" shapeId="0">
      <text>
        <t>Manual input: not supplied by SQL. Historical Schedule X(c)!E47 cached value: 0.09. Do not assume it remains appropriate.</t>
      </text>
    </comment>
    <comment ref="F234" authorId="0" shapeId="0">
      <text>
        <t>Manual input: not supplied by SQL. Historical Schedule X(c)!F47 cached value: 0.09. Do not assume it remains appropriate.</t>
      </text>
    </comment>
    <comment ref="E235" authorId="0" shapeId="0">
      <text>
        <t>Manual input: not supplied by SQL. Historical Schedule X(c)!E48 cached value: None. Do not assume it remains appropriate.</t>
      </text>
    </comment>
    <comment ref="F235" authorId="0" shapeId="0">
      <text>
        <t>Manual input: not supplied by SQL. Historical Schedule X(c)!F48 cached value: None. Do not assume it remains appropriate.</t>
      </text>
    </comment>
    <comment ref="E236" authorId="1" shapeId="0">
      <text>
        <t>Automatic from SQL input. Money is already USD: divide by 1,000,000 only. Counts are unscaled.</t>
      </text>
    </comment>
    <comment ref="F236" authorId="1" shapeId="0">
      <text>
        <t>Automatic from SQL input. Money is already USD: divide by 1,000,000 only. Counts are unscaled.</t>
      </text>
    </comment>
    <comment ref="F240" authorId="0" shapeId="0">
      <text>
        <t>Manual input: not supplied by SQL. Historical Schedule X(c)!F53 cached value: AIR and RMS. Do not assume it remains appropriate.</t>
      </text>
    </comment>
    <comment ref="F241" authorId="0" shapeId="0">
      <text>
        <t>Manual input: not supplied by SQL. Historical Schedule X(c)!F54 cached value: AIR vXX RMS vXX. Do not assume it remains appropriate.</t>
      </text>
    </comment>
    <comment ref="D247" authorId="0" shapeId="0">
      <text>
        <t>Manual input: not supplied by SQL. Historical Schedule X(c)!D60 cached value: HICM. Do not assume it remains appropriate.</t>
      </text>
    </comment>
    <comment ref="E247" authorId="0" shapeId="0">
      <text>
        <t>Manual input: not supplied by SQL. Historical Schedule X(c)!E60 cached value: HICM. Do not assume it remains appropriate.</t>
      </text>
    </comment>
    <comment ref="F247" authorId="0" shapeId="0">
      <text>
        <t>Manual input: not supplied by SQL. Historical Schedule X(c)!F60 cached value: HICM. Do not assume it remains appropriate.</t>
      </text>
    </comment>
    <comment ref="G247" authorId="0" shapeId="0">
      <text>
        <t>Manual input: not supplied by SQL. Historical Schedule X(c)!G60 cached value: HICM. Do not assume it remains appropriate.</t>
      </text>
    </comment>
    <comment ref="D248" authorId="0" shapeId="0">
      <text>
        <t>Manual input: not supplied by SQL. Historical Schedule X(c)!D61 cached value: HICM. Do not assume it remains appropriate.</t>
      </text>
    </comment>
    <comment ref="E248" authorId="0" shapeId="0">
      <text>
        <t>Manual input: not supplied by SQL. Historical Schedule X(c)!E61 cached value: HICM. Do not assume it remains appropriate.</t>
      </text>
    </comment>
    <comment ref="F248" authorId="0" shapeId="0">
      <text>
        <t>Manual input: not supplied by SQL. Historical Schedule X(c)!F61 cached value: HICM. Do not assume it remains appropriate.</t>
      </text>
    </comment>
    <comment ref="G248" authorId="0" shapeId="0">
      <text>
        <t>Manual input: not supplied by SQL. Historical Schedule X(c)!G61 cached value: HICM. Do not assume it remains appropriate.</t>
      </text>
    </comment>
    <comment ref="D249" authorId="0" shapeId="0">
      <text>
        <t>Manual input: not supplied by SQL. Historical Schedule X(c)!D62 cached value: HICM. Do not assume it remains appropriate.</t>
      </text>
    </comment>
    <comment ref="E249" authorId="0" shapeId="0">
      <text>
        <t>Manual input: not supplied by SQL. Historical Schedule X(c)!E62 cached value: HICM. Do not assume it remains appropriate.</t>
      </text>
    </comment>
    <comment ref="F249" authorId="0" shapeId="0">
      <text>
        <t>Manual input: not supplied by SQL. Historical Schedule X(c)!F62 cached value: HICM. Do not assume it remains appropriate.</t>
      </text>
    </comment>
    <comment ref="G249" authorId="0" shapeId="0">
      <text>
        <t>Manual input: not supplied by SQL. Historical Schedule X(c)!G62 cached value: HICM. Do not assume it remains appropriate.</t>
      </text>
    </comment>
    <comment ref="D250" authorId="0" shapeId="0">
      <text>
        <t>Manual input: not supplied by SQL. Historical Schedule X(c)!D63 cached value: HICM. Do not assume it remains appropriate.</t>
      </text>
    </comment>
    <comment ref="E250" authorId="0" shapeId="0">
      <text>
        <t>Manual input: not supplied by SQL. Historical Schedule X(c)!E63 cached value: HICM. Do not assume it remains appropriate.</t>
      </text>
    </comment>
    <comment ref="F250" authorId="0" shapeId="0">
      <text>
        <t>Manual input: not supplied by SQL. Historical Schedule X(c)!F63 cached value: HICM. Do not assume it remains appropriate.</t>
      </text>
    </comment>
    <comment ref="G250" authorId="0" shapeId="0">
      <text>
        <t>Manual input: not supplied by SQL. Historical Schedule X(c)!G63 cached value: HICM. Do not assume it remains appropriate.</t>
      </text>
    </comment>
    <comment ref="D251" authorId="0" shapeId="0">
      <text>
        <t>Manual input: not supplied by SQL. Historical Schedule X(c)!D64 cached value: HICM. Do not assume it remains appropriate.</t>
      </text>
    </comment>
    <comment ref="E251" authorId="0" shapeId="0">
      <text>
        <t>Manual input: not supplied by SQL. Historical Schedule X(c)!E64 cached value: HICM. Do not assume it remains appropriate.</t>
      </text>
    </comment>
    <comment ref="F251" authorId="0" shapeId="0">
      <text>
        <t>Manual input: not supplied by SQL. Historical Schedule X(c)!F64 cached value: HICM. Do not assume it remains appropriate.</t>
      </text>
    </comment>
    <comment ref="G251" authorId="0" shapeId="0">
      <text>
        <t>Manual input: not supplied by SQL. Historical Schedule X(c)!G64 cached value: HICM. Do not assume it remains appropriate.</t>
      </text>
    </comment>
    <comment ref="E255" authorId="0" shapeId="0">
      <text>
        <t>Manual input: not supplied by SQL. Historical Schedule X(c)!E68 cached value: None. Do not assume it remains appropriate.</t>
      </text>
    </comment>
    <comment ref="F255" authorId="0" shapeId="0">
      <text>
        <t>Manual input: not supplied by SQL. Historical Schedule X(c)!F68 cached value: None. Do not assume it remains appropriate.</t>
      </text>
    </comment>
    <comment ref="E256" authorId="0" shapeId="0">
      <text>
        <t>Manual input: not supplied by SQL. Historical Schedule X(c)!E69 cached value: 489.46. Do not assume it remains appropriate.</t>
      </text>
    </comment>
    <comment ref="F256" authorId="0" shapeId="0">
      <text>
        <t>Manual input: not supplied by SQL. Historical Schedule X(c)!F69 cached value: 489.46. Do not assume it remains appropriate.</t>
      </text>
    </comment>
    <comment ref="E257" authorId="0" shapeId="0">
      <text>
        <t>Manual input: not supplied by SQL. Historical Schedule X(c)!E70 cached value: None. Do not assume it remains appropriate.</t>
      </text>
    </comment>
    <comment ref="F257" authorId="0" shapeId="0">
      <text>
        <t>Manual input: not supplied by SQL. Historical Schedule X(c)!F70 cached value: None. Do not assume it remains appropriate.</t>
      </text>
    </comment>
    <comment ref="E258" authorId="1" shapeId="0">
      <text>
        <t>Automatic from SQL input. Money is already USD: divide by 1,000,000 only. Counts are unscaled.</t>
      </text>
    </comment>
    <comment ref="F258" authorId="1" shapeId="0">
      <text>
        <t>Automatic from SQL input. Money is already USD: divide by 1,000,000 only. Counts are unscaled.</t>
      </text>
    </comment>
    <comment ref="F262" authorId="0" shapeId="0">
      <text>
        <t>Manual input: not supplied by SQL. Historical Schedule X(c)!F75 cached value: AIR and RMS. Do not assume it remains appropriate.</t>
      </text>
    </comment>
    <comment ref="F263" authorId="0" shapeId="0">
      <text>
        <t>Manual input: not supplied by SQL. Historical Schedule X(c)!F76 cached value: AIR vXX RMS vXX. Do not assume it remains appropriate.</t>
      </text>
    </comment>
    <comment ref="D269" authorId="0" shapeId="0">
      <text>
        <t>Manual input: not supplied by SQL. Historical Schedule X(c)!D82 cached value: HICM. Do not assume it remains appropriate.</t>
      </text>
    </comment>
    <comment ref="E269" authorId="0" shapeId="0">
      <text>
        <t>Manual input: not supplied by SQL. Historical Schedule X(c)!E82 cached value: HICM. Do not assume it remains appropriate.</t>
      </text>
    </comment>
    <comment ref="F269" authorId="0" shapeId="0">
      <text>
        <t>Manual input: not supplied by SQL. Historical Schedule X(c)!F82 cached value: HICM. Do not assume it remains appropriate.</t>
      </text>
    </comment>
    <comment ref="G269" authorId="0" shapeId="0">
      <text>
        <t>Manual input: not supplied by SQL. Historical Schedule X(c)!G82 cached value: HICM. Do not assume it remains appropriate.</t>
      </text>
    </comment>
    <comment ref="D270" authorId="0" shapeId="0">
      <text>
        <t>Manual input: not supplied by SQL. Historical Schedule X(c)!D83 cached value: HICM. Do not assume it remains appropriate.</t>
      </text>
    </comment>
    <comment ref="E270" authorId="0" shapeId="0">
      <text>
        <t>Manual input: not supplied by SQL. Historical Schedule X(c)!E83 cached value: HICM. Do not assume it remains appropriate.</t>
      </text>
    </comment>
    <comment ref="F270" authorId="0" shapeId="0">
      <text>
        <t>Manual input: not supplied by SQL. Historical Schedule X(c)!F83 cached value: HICM. Do not assume it remains appropriate.</t>
      </text>
    </comment>
    <comment ref="G270" authorId="0" shapeId="0">
      <text>
        <t>Manual input: not supplied by SQL. Historical Schedule X(c)!G83 cached value: HICM. Do not assume it remains appropriate.</t>
      </text>
    </comment>
    <comment ref="D271" authorId="0" shapeId="0">
      <text>
        <t>Manual input: not supplied by SQL. Historical Schedule X(c)!D84 cached value: HICM. Do not assume it remains appropriate.</t>
      </text>
    </comment>
    <comment ref="E271" authorId="0" shapeId="0">
      <text>
        <t>Manual input: not supplied by SQL. Historical Schedule X(c)!E84 cached value: HICM. Do not assume it remains appropriate.</t>
      </text>
    </comment>
    <comment ref="F271" authorId="0" shapeId="0">
      <text>
        <t>Manual input: not supplied by SQL. Historical Schedule X(c)!F84 cached value: HICM. Do not assume it remains appropriate.</t>
      </text>
    </comment>
    <comment ref="G271" authorId="0" shapeId="0">
      <text>
        <t>Manual input: not supplied by SQL. Historical Schedule X(c)!G84 cached value: HICM. Do not assume it remains appropriate.</t>
      </text>
    </comment>
    <comment ref="D272" authorId="0" shapeId="0">
      <text>
        <t>Manual input: not supplied by SQL. Historical Schedule X(c)!D85 cached value: HICM. Do not assume it remains appropriate.</t>
      </text>
    </comment>
    <comment ref="E272" authorId="0" shapeId="0">
      <text>
        <t>Manual input: not supplied by SQL. Historical Schedule X(c)!E85 cached value: HICM. Do not assume it remains appropriate.</t>
      </text>
    </comment>
    <comment ref="F272" authorId="0" shapeId="0">
      <text>
        <t>Manual input: not supplied by SQL. Historical Schedule X(c)!F85 cached value: HICM. Do not assume it remains appropriate.</t>
      </text>
    </comment>
    <comment ref="G272" authorId="0" shapeId="0">
      <text>
        <t>Manual input: not supplied by SQL. Historical Schedule X(c)!G85 cached value: HICM. Do not assume it remains appropriate.</t>
      </text>
    </comment>
    <comment ref="D273" authorId="0" shapeId="0">
      <text>
        <t>Manual input: not supplied by SQL. Historical Schedule X(c)!D86 cached value: HICM. Do not assume it remains appropriate.</t>
      </text>
    </comment>
    <comment ref="E273" authorId="0" shapeId="0">
      <text>
        <t>Manual input: not supplied by SQL. Historical Schedule X(c)!E86 cached value: HICM. Do not assume it remains appropriate.</t>
      </text>
    </comment>
    <comment ref="F273" authorId="0" shapeId="0">
      <text>
        <t>Manual input: not supplied by SQL. Historical Schedule X(c)!F86 cached value: HICM. Do not assume it remains appropriate.</t>
      </text>
    </comment>
    <comment ref="G273" authorId="0" shapeId="0">
      <text>
        <t>Manual input: not supplied by SQL. Historical Schedule X(c)!G86 cached value: HICM. Do not assume it remains appropriate.</t>
      </text>
    </comment>
    <comment ref="E277" authorId="0" shapeId="0">
      <text>
        <t>Manual input: not supplied by SQL. Historical Schedule X(c)!E90 cached value: None. Do not assume it remains appropriate.</t>
      </text>
    </comment>
    <comment ref="F277" authorId="0" shapeId="0">
      <text>
        <t>Manual input: not supplied by SQL. Historical Schedule X(c)!F90 cached value: None. Do not assume it remains appropriate.</t>
      </text>
    </comment>
    <comment ref="E278" authorId="0" shapeId="0">
      <text>
        <t>Manual input: not supplied by SQL. Historical Schedule X(c)!E91 cached value: 0. Do not assume it remains appropriate.</t>
      </text>
    </comment>
    <comment ref="F278" authorId="0" shapeId="0">
      <text>
        <t>Manual input: not supplied by SQL. Historical Schedule X(c)!F91 cached value: 0. Do not assume it remains appropriate.</t>
      </text>
    </comment>
    <comment ref="E279" authorId="0" shapeId="0">
      <text>
        <t>Manual input: not supplied by SQL. Historical Schedule X(c)!E92 cached value: None. Do not assume it remains appropriate.</t>
      </text>
    </comment>
    <comment ref="F279" authorId="0" shapeId="0">
      <text>
        <t>Manual input: not supplied by SQL. Historical Schedule X(c)!F92 cached value: None. Do not assume it remains appropriate.</t>
      </text>
    </comment>
    <comment ref="E280" authorId="1" shapeId="0">
      <text>
        <t>Automatic from SQL input. Money is already USD: divide by 1,000,000 only. Counts are unscaled.</t>
      </text>
    </comment>
    <comment ref="F280" authorId="1" shapeId="0">
      <text>
        <t>Automatic from SQL input. Money is already USD: divide by 1,000,000 only. Counts are unscaled.</t>
      </text>
    </comment>
    <comment ref="F284" authorId="0" shapeId="0">
      <text>
        <t>Manual input: not supplied by SQL. Historical Schedule X(c)!F97 cached value: AIR and RMS. Do not assume it remains appropriate.</t>
      </text>
    </comment>
    <comment ref="F285" authorId="0" shapeId="0">
      <text>
        <t>Manual input: not supplied by SQL. Historical Schedule X(c)!F98 cached value: AIR vXX RMS vXX. Do not assume it remains appropriate.</t>
      </text>
    </comment>
    <comment ref="D291" authorId="0" shapeId="0">
      <text>
        <t>Manual input: not supplied by SQL. Historical Schedule X(c)!D104 cached value: HICM. Do not assume it remains appropriate.</t>
      </text>
    </comment>
    <comment ref="E291" authorId="0" shapeId="0">
      <text>
        <t>Manual input: not supplied by SQL. Historical Schedule X(c)!E104 cached value: HICM. Do not assume it remains appropriate.</t>
      </text>
    </comment>
    <comment ref="F291" authorId="0" shapeId="0">
      <text>
        <t>Manual input: not supplied by SQL. Historical Schedule X(c)!F104 cached value: HICM. Do not assume it remains appropriate.</t>
      </text>
    </comment>
    <comment ref="G291" authorId="0" shapeId="0">
      <text>
        <t>Manual input: not supplied by SQL. Historical Schedule X(c)!G104 cached value: HICM. Do not assume it remains appropriate.</t>
      </text>
    </comment>
    <comment ref="D292" authorId="0" shapeId="0">
      <text>
        <t>Manual input: not supplied by SQL. Historical Schedule X(c)!D105 cached value: HICM. Do not assume it remains appropriate.</t>
      </text>
    </comment>
    <comment ref="E292" authorId="0" shapeId="0">
      <text>
        <t>Manual input: not supplied by SQL. Historical Schedule X(c)!E105 cached value: HICM. Do not assume it remains appropriate.</t>
      </text>
    </comment>
    <comment ref="F292" authorId="0" shapeId="0">
      <text>
        <t>Manual input: not supplied by SQL. Historical Schedule X(c)!F105 cached value: HICM. Do not assume it remains appropriate.</t>
      </text>
    </comment>
    <comment ref="G292" authorId="0" shapeId="0">
      <text>
        <t>Manual input: not supplied by SQL. Historical Schedule X(c)!G105 cached value: HICM. Do not assume it remains appropriate.</t>
      </text>
    </comment>
    <comment ref="D293" authorId="0" shapeId="0">
      <text>
        <t>Manual input: not supplied by SQL. Historical Schedule X(c)!D106 cached value: HICM. Do not assume it remains appropriate.</t>
      </text>
    </comment>
    <comment ref="E293" authorId="0" shapeId="0">
      <text>
        <t>Manual input: not supplied by SQL. Historical Schedule X(c)!E106 cached value: HICM. Do not assume it remains appropriate.</t>
      </text>
    </comment>
    <comment ref="F293" authorId="0" shapeId="0">
      <text>
        <t>Manual input: not supplied by SQL. Historical Schedule X(c)!F106 cached value: HICM. Do not assume it remains appropriate.</t>
      </text>
    </comment>
    <comment ref="G293" authorId="0" shapeId="0">
      <text>
        <t>Manual input: not supplied by SQL. Historical Schedule X(c)!G106 cached value: HICM. Do not assume it remains appropriate.</t>
      </text>
    </comment>
    <comment ref="D294" authorId="0" shapeId="0">
      <text>
        <t>Manual input: not supplied by SQL. Historical Schedule X(c)!D107 cached value: HICM. Do not assume it remains appropriate.</t>
      </text>
    </comment>
    <comment ref="E294" authorId="0" shapeId="0">
      <text>
        <t>Manual input: not supplied by SQL. Historical Schedule X(c)!E107 cached value: HICM. Do not assume it remains appropriate.</t>
      </text>
    </comment>
    <comment ref="F294" authorId="0" shapeId="0">
      <text>
        <t>Manual input: not supplied by SQL. Historical Schedule X(c)!F107 cached value: HICM. Do not assume it remains appropriate.</t>
      </text>
    </comment>
    <comment ref="G294" authorId="0" shapeId="0">
      <text>
        <t>Manual input: not supplied by SQL. Historical Schedule X(c)!G107 cached value: HICM. Do not assume it remains appropriate.</t>
      </text>
    </comment>
    <comment ref="D295" authorId="0" shapeId="0">
      <text>
        <t>Manual input: not supplied by SQL. Historical Schedule X(c)!D108 cached value: HICM. Do not assume it remains appropriate.</t>
      </text>
    </comment>
    <comment ref="E295" authorId="0" shapeId="0">
      <text>
        <t>Manual input: not supplied by SQL. Historical Schedule X(c)!E108 cached value: HICM. Do not assume it remains appropriate.</t>
      </text>
    </comment>
    <comment ref="F295" authorId="0" shapeId="0">
      <text>
        <t>Manual input: not supplied by SQL. Historical Schedule X(c)!F108 cached value: HICM. Do not assume it remains appropriate.</t>
      </text>
    </comment>
    <comment ref="G295" authorId="0" shapeId="0">
      <text>
        <t>Manual input: not supplied by SQL. Historical Schedule X(c)!G108 cached value: HICM. Do not assume it remains appropriate.</t>
      </text>
    </comment>
    <comment ref="E299" authorId="0" shapeId="0">
      <text>
        <t>Manual input: not supplied by SQL. Historical Schedule X(c)!E112 cached value: None. Do not assume it remains appropriate.</t>
      </text>
    </comment>
    <comment ref="F299" authorId="0" shapeId="0">
      <text>
        <t>Manual input: not supplied by SQL. Historical Schedule X(c)!F112 cached value: None. Do not assume it remains appropriate.</t>
      </text>
    </comment>
    <comment ref="E300" authorId="0" shapeId="0">
      <text>
        <t>Manual input: not supplied by SQL. Historical Schedule X(c)!E113 cached value: 0. Do not assume it remains appropriate.</t>
      </text>
    </comment>
    <comment ref="F300" authorId="0" shapeId="0">
      <text>
        <t>Manual input: not supplied by SQL. Historical Schedule X(c)!F113 cached value: 0. Do not assume it remains appropriate.</t>
      </text>
    </comment>
    <comment ref="E301" authorId="0" shapeId="0">
      <text>
        <t>Manual input: not supplied by SQL. Historical Schedule X(c)!E114 cached value: None. Do not assume it remains appropriate.</t>
      </text>
    </comment>
    <comment ref="F301" authorId="0" shapeId="0">
      <text>
        <t>Manual input: not supplied by SQL. Historical Schedule X(c)!F114 cached value: None. Do not assume it remains appropriate.</t>
      </text>
    </comment>
    <comment ref="E302" authorId="1" shapeId="0">
      <text>
        <t>Automatic from SQL input. Money is already USD: divide by 1,000,000 only. Counts are unscaled.</t>
      </text>
    </comment>
    <comment ref="F302" authorId="1" shapeId="0">
      <text>
        <t>Automatic from SQL input. Money is already USD: divide by 1,000,000 only. Counts are unscaled.</t>
      </text>
    </comment>
    <comment ref="E318" authorId="1" shapeId="0">
      <text>
        <t>Automatic from SQL input. Money is already USD: divide by 1,000,000 only. Counts are unscaled.</t>
      </text>
    </comment>
    <comment ref="F318" authorId="1" shapeId="0">
      <text>
        <t>Automatic from SQL input. Money is already USD: divide by 1,000,000 only. Counts are unscaled.</t>
      </text>
    </comment>
    <comment ref="G318" authorId="1" shapeId="0">
      <text>
        <t>Automatic from SQL input. Money is already USD: divide by 1,000,000 only. Counts are unscaled.</t>
      </text>
    </comment>
    <comment ref="H318" authorId="1" shapeId="0">
      <text>
        <t>Automatic from SQL input. Money is already USD: divide by 1,000,000 only. Counts are unscaled.</t>
      </text>
    </comment>
    <comment ref="I318" authorId="1" shapeId="0">
      <text>
        <t>Automatic from SQL input. Money is already USD: divide by 1,000,000 only. Counts are unscaled.</t>
      </text>
    </comment>
    <comment ref="J318" authorId="1" shapeId="0">
      <text>
        <t>Automatic from SQL input. Money is already USD: divide by 1,000,000 only. Counts are unscaled.</t>
      </text>
    </comment>
    <comment ref="K318" authorId="1" shapeId="0">
      <text>
        <t>Automatic from SQL input. Money is already USD: divide by 1,000,000 only. Counts are unscaled.</t>
      </text>
    </comment>
    <comment ref="L318" authorId="1" shapeId="0">
      <text>
        <t>Automatic from SQL input. Money is already USD: divide by 1,000,000 only. Counts are unscaled.</t>
      </text>
    </comment>
    <comment ref="M318" authorId="1" shapeId="0">
      <text>
        <t>Automatic from SQL input. Money is already USD: divide by 1,000,000 only. Counts are unscaled.</t>
      </text>
    </comment>
    <comment ref="E319" authorId="1" shapeId="0">
      <text>
        <t>Automatic from SQL input. Money is already USD: divide by 1,000,000 only. Counts are unscaled.</t>
      </text>
    </comment>
    <comment ref="F319" authorId="1" shapeId="0">
      <text>
        <t>Automatic from SQL input. Money is already USD: divide by 1,000,000 only. Counts are unscaled.</t>
      </text>
    </comment>
    <comment ref="G319" authorId="1" shapeId="0">
      <text>
        <t>Automatic from SQL input. Money is already USD: divide by 1,000,000 only. Counts are unscaled.</t>
      </text>
    </comment>
    <comment ref="H319" authorId="1" shapeId="0">
      <text>
        <t>Automatic from SQL input. Money is already USD: divide by 1,000,000 only. Counts are unscaled.</t>
      </text>
    </comment>
    <comment ref="I319" authorId="1" shapeId="0">
      <text>
        <t>Automatic from SQL input. Money is already USD: divide by 1,000,000 only. Counts are unscaled.</t>
      </text>
    </comment>
    <comment ref="J319" authorId="1" shapeId="0">
      <text>
        <t>Automatic from SQL input. Money is already USD: divide by 1,000,000 only. Counts are unscaled.</t>
      </text>
    </comment>
    <comment ref="K319" authorId="1" shapeId="0">
      <text>
        <t>Automatic from SQL input. Money is already USD: divide by 1,000,000 only. Counts are unscaled.</t>
      </text>
    </comment>
    <comment ref="L319" authorId="1" shapeId="0">
      <text>
        <t>Automatic from SQL input. Money is already USD: divide by 1,000,000 only. Counts are unscaled.</t>
      </text>
    </comment>
    <comment ref="M319" authorId="1" shapeId="0">
      <text>
        <t>Automatic from SQL input. Money is already USD: divide by 1,000,000 only. Counts are unscaled.</t>
      </text>
    </comment>
    <comment ref="E320" authorId="1" shapeId="0">
      <text>
        <t>Automatic from SQL input. Money is already USD: divide by 1,000,000 only. Counts are unscaled.</t>
      </text>
    </comment>
    <comment ref="F320" authorId="1" shapeId="0">
      <text>
        <t>Automatic from SQL input. Money is already USD: divide by 1,000,000 only. Counts are unscaled.</t>
      </text>
    </comment>
    <comment ref="G320" authorId="1" shapeId="0">
      <text>
        <t>Automatic from SQL input. Money is already USD: divide by 1,000,000 only. Counts are unscaled.</t>
      </text>
    </comment>
    <comment ref="H320" authorId="1" shapeId="0">
      <text>
        <t>Automatic from SQL input. Money is already USD: divide by 1,000,000 only. Counts are unscaled.</t>
      </text>
    </comment>
    <comment ref="I320" authorId="1" shapeId="0">
      <text>
        <t>Automatic from SQL input. Money is already USD: divide by 1,000,000 only. Counts are unscaled.</t>
      </text>
    </comment>
    <comment ref="J320" authorId="1" shapeId="0">
      <text>
        <t>Automatic from SQL input. Money is already USD: divide by 1,000,000 only. Counts are unscaled.</t>
      </text>
    </comment>
    <comment ref="K320" authorId="1" shapeId="0">
      <text>
        <t>Automatic from SQL input. Money is already USD: divide by 1,000,000 only. Counts are unscaled.</t>
      </text>
    </comment>
    <comment ref="L320" authorId="1" shapeId="0">
      <text>
        <t>Automatic from SQL input. Money is already USD: divide by 1,000,000 only. Counts are unscaled.</t>
      </text>
    </comment>
    <comment ref="M320" authorId="1" shapeId="0">
      <text>
        <t>Automatic from SQL input. Money is already USD: divide by 1,000,000 only. Counts are unscaled.</t>
      </text>
    </comment>
    <comment ref="E327" authorId="1" shapeId="0">
      <text>
        <t>Automatic from SQL input. Money is already USD: divide by 1,000,000 only. Counts are unscaled.</t>
      </text>
    </comment>
    <comment ref="F327" authorId="1" shapeId="0">
      <text>
        <t>Automatic from SQL input. Money is already USD: divide by 1,000,000 only. Counts are unscaled.</t>
      </text>
    </comment>
    <comment ref="G327" authorId="1" shapeId="0">
      <text>
        <t>Automatic from SQL input. Money is already USD: divide by 1,000,000 only. Counts are unscaled.</t>
      </text>
    </comment>
    <comment ref="H327" authorId="1" shapeId="0">
      <text>
        <t>Automatic from SQL input. Money is already USD: divide by 1,000,000 only. Counts are unscaled.</t>
      </text>
    </comment>
    <comment ref="I327" authorId="1" shapeId="0">
      <text>
        <t>Automatic from SQL input. Money is already USD: divide by 1,000,000 only. Counts are unscaled.</t>
      </text>
    </comment>
    <comment ref="J327" authorId="1" shapeId="0">
      <text>
        <t>Automatic from SQL input. Money is already USD: divide by 1,000,000 only. Counts are unscaled.</t>
      </text>
    </comment>
    <comment ref="K327" authorId="1" shapeId="0">
      <text>
        <t>Automatic from SQL input. Money is already USD: divide by 1,000,000 only. Counts are unscaled.</t>
      </text>
    </comment>
    <comment ref="L327" authorId="1" shapeId="0">
      <text>
        <t>Automatic from SQL input. Money is already USD: divide by 1,000,000 only. Counts are unscaled.</t>
      </text>
    </comment>
    <comment ref="M327" authorId="1" shapeId="0">
      <text>
        <t>Automatic from SQL input. Money is already USD: divide by 1,000,000 only. Counts are unscaled.</t>
      </text>
    </comment>
    <comment ref="E328" authorId="1" shapeId="0">
      <text>
        <t>Automatic from SQL input. Money is already USD: divide by 1,000,000 only. Counts are unscaled.</t>
      </text>
    </comment>
    <comment ref="F328" authorId="1" shapeId="0">
      <text>
        <t>Automatic from SQL input. Money is already USD: divide by 1,000,000 only. Counts are unscaled.</t>
      </text>
    </comment>
    <comment ref="G328" authorId="1" shapeId="0">
      <text>
        <t>Automatic from SQL input. Money is already USD: divide by 1,000,000 only. Counts are unscaled.</t>
      </text>
    </comment>
    <comment ref="H328" authorId="1" shapeId="0">
      <text>
        <t>Automatic from SQL input. Money is already USD: divide by 1,000,000 only. Counts are unscaled.</t>
      </text>
    </comment>
    <comment ref="I328" authorId="1" shapeId="0">
      <text>
        <t>Automatic from SQL input. Money is already USD: divide by 1,000,000 only. Counts are unscaled.</t>
      </text>
    </comment>
    <comment ref="J328" authorId="1" shapeId="0">
      <text>
        <t>Automatic from SQL input. Money is already USD: divide by 1,000,000 only. Counts are unscaled.</t>
      </text>
    </comment>
    <comment ref="K328" authorId="1" shapeId="0">
      <text>
        <t>Automatic from SQL input. Money is already USD: divide by 1,000,000 only. Counts are unscaled.</t>
      </text>
    </comment>
    <comment ref="L328" authorId="1" shapeId="0">
      <text>
        <t>Automatic from SQL input. Money is already USD: divide by 1,000,000 only. Counts are unscaled.</t>
      </text>
    </comment>
    <comment ref="M328" authorId="1" shapeId="0">
      <text>
        <t>Automatic from SQL input. Money is already USD: divide by 1,000,000 only. Counts are unscaled.</t>
      </text>
    </comment>
    <comment ref="E329" authorId="1" shapeId="0">
      <text>
        <t>Automatic from SQL input. Money is already USD: divide by 1,000,000 only. Counts are unscaled.</t>
      </text>
    </comment>
    <comment ref="F329" authorId="1" shapeId="0">
      <text>
        <t>Automatic from SQL input. Money is already USD: divide by 1,000,000 only. Counts are unscaled.</t>
      </text>
    </comment>
    <comment ref="G329" authorId="1" shapeId="0">
      <text>
        <t>Automatic from SQL input. Money is already USD: divide by 1,000,000 only. Counts are unscaled.</t>
      </text>
    </comment>
    <comment ref="H329" authorId="1" shapeId="0">
      <text>
        <t>Automatic from SQL input. Money is already USD: divide by 1,000,000 only. Counts are unscaled.</t>
      </text>
    </comment>
    <comment ref="I329" authorId="1" shapeId="0">
      <text>
        <t>Automatic from SQL input. Money is already USD: divide by 1,000,000 only. Counts are unscaled.</t>
      </text>
    </comment>
    <comment ref="J329" authorId="1" shapeId="0">
      <text>
        <t>Automatic from SQL input. Money is already USD: divide by 1,000,000 only. Counts are unscaled.</t>
      </text>
    </comment>
    <comment ref="K329" authorId="1" shapeId="0">
      <text>
        <t>Automatic from SQL input. Money is already USD: divide by 1,000,000 only. Counts are unscaled.</t>
      </text>
    </comment>
    <comment ref="L329" authorId="1" shapeId="0">
      <text>
        <t>Automatic from SQL input. Money is already USD: divide by 1,000,000 only. Counts are unscaled.</t>
      </text>
    </comment>
    <comment ref="M329" authorId="1" shapeId="0">
      <text>
        <t>Automatic from SQL input. Money is already USD: divide by 1,000,000 only. Counts are unscaled.</t>
      </text>
    </comment>
    <comment ref="E336" authorId="1" shapeId="0">
      <text>
        <t>Automatic from SQL input. Money is already USD: divide by 1,000,000 only. Counts are unscaled.</t>
      </text>
    </comment>
    <comment ref="F336" authorId="1" shapeId="0">
      <text>
        <t>Automatic from SQL input. Money is already USD: divide by 1,000,000 only. Counts are unscaled.</t>
      </text>
    </comment>
    <comment ref="G336" authorId="1" shapeId="0">
      <text>
        <t>Automatic from SQL input. Money is already USD: divide by 1,000,000 only. Counts are unscaled.</t>
      </text>
    </comment>
    <comment ref="H336" authorId="1" shapeId="0">
      <text>
        <t>Automatic from SQL input. Money is already USD: divide by 1,000,000 only. Counts are unscaled.</t>
      </text>
    </comment>
    <comment ref="I336" authorId="1" shapeId="0">
      <text>
        <t>Automatic from SQL input. Money is already USD: divide by 1,000,000 only. Counts are unscaled.</t>
      </text>
    </comment>
    <comment ref="J336" authorId="1" shapeId="0">
      <text>
        <t>Automatic from SQL input. Money is already USD: divide by 1,000,000 only. Counts are unscaled.</t>
      </text>
    </comment>
    <comment ref="K336" authorId="1" shapeId="0">
      <text>
        <t>Automatic from SQL input. Money is already USD: divide by 1,000,000 only. Counts are unscaled.</t>
      </text>
    </comment>
    <comment ref="L336" authorId="1" shapeId="0">
      <text>
        <t>Automatic from SQL input. Money is already USD: divide by 1,000,000 only. Counts are unscaled.</t>
      </text>
    </comment>
    <comment ref="M336" authorId="1" shapeId="0">
      <text>
        <t>Automatic from SQL input. Money is already USD: divide by 1,000,000 only. Counts are unscaled.</t>
      </text>
    </comment>
    <comment ref="E337" authorId="1" shapeId="0">
      <text>
        <t>Zero under the agreed geocode-proxy allocation; does not classify April manual reallocations.</t>
      </text>
    </comment>
    <comment ref="F337" authorId="1" shapeId="0">
      <text>
        <t>Zero under the agreed geocode-proxy allocation; does not classify April manual reallocations.</t>
      </text>
    </comment>
    <comment ref="G337" authorId="1" shapeId="0">
      <text>
        <t>Zero under the agreed geocode-proxy allocation; does not classify April manual reallocations.</t>
      </text>
    </comment>
    <comment ref="H337" authorId="1" shapeId="0">
      <text>
        <t>Zero under the agreed geocode-proxy allocation; does not classify April manual reallocations.</t>
      </text>
    </comment>
    <comment ref="I337" authorId="1" shapeId="0">
      <text>
        <t>Zero under the agreed geocode-proxy allocation; does not classify April manual reallocations.</t>
      </text>
    </comment>
    <comment ref="J337" authorId="1" shapeId="0">
      <text>
        <t>Zero under the agreed geocode-proxy allocation; does not classify April manual reallocations.</t>
      </text>
    </comment>
    <comment ref="K337" authorId="1" shapeId="0">
      <text>
        <t>Zero under the agreed geocode-proxy allocation; does not classify April manual reallocations.</t>
      </text>
    </comment>
    <comment ref="L337" authorId="1" shapeId="0">
      <text>
        <t>Zero under the agreed geocode-proxy allocation; does not classify April manual reallocations.</t>
      </text>
    </comment>
    <comment ref="M337" authorId="1" shapeId="0">
      <text>
        <t>Zero under the agreed geocode-proxy allocation; does not classify April manual reallocations.</t>
      </text>
    </comment>
    <comment ref="C338" authorId="0" shapeId="0">
      <text>
        <t>Manual input: not supplied by SQL. Historical Schedule X(f)!C30 cached value: A proxy peer insurer is selected and losses are derived from this insurer. Do not assume it remains appropriate.</t>
      </text>
    </comment>
    <comment ref="E338" authorId="1" shapeId="0">
      <text>
        <t>Zero under the agreed geocode-proxy allocation; does not classify April manual reallocations.</t>
      </text>
    </comment>
    <comment ref="F338" authorId="1" shapeId="0">
      <text>
        <t>Zero under the agreed geocode-proxy allocation; does not classify April manual reallocations.</t>
      </text>
    </comment>
    <comment ref="G338" authorId="1" shapeId="0">
      <text>
        <t>Zero under the agreed geocode-proxy allocation; does not classify April manual reallocations.</t>
      </text>
    </comment>
    <comment ref="H338" authorId="1" shapeId="0">
      <text>
        <t>Zero under the agreed geocode-proxy allocation; does not classify April manual reallocations.</t>
      </text>
    </comment>
    <comment ref="I338" authorId="1" shapeId="0">
      <text>
        <t>Zero under the agreed geocode-proxy allocation; does not classify April manual reallocations.</t>
      </text>
    </comment>
    <comment ref="J338" authorId="1" shapeId="0">
      <text>
        <t>Zero under the agreed geocode-proxy allocation; does not classify April manual reallocations.</t>
      </text>
    </comment>
    <comment ref="K338" authorId="1" shapeId="0">
      <text>
        <t>Zero under the agreed geocode-proxy allocation; does not classify April manual reallocations.</t>
      </text>
    </comment>
    <comment ref="L338" authorId="1" shapeId="0">
      <text>
        <t>Zero under the agreed geocode-proxy allocation; does not classify April manual reallocations.</t>
      </text>
    </comment>
    <comment ref="M338" authorId="1" shapeId="0">
      <text>
        <t>Zero under the agreed geocode-proxy allocation; does not classify April manual reallocations.</t>
      </text>
    </comment>
    <comment ref="C339" authorId="0" shapeId="0">
      <text>
        <t>Manual input: not supplied by SQL. Historical Schedule X(f)!C31 cached value: Derived from an industry loss curve utilising market share. Do not assume it remains appropriate.</t>
      </text>
    </comment>
    <comment ref="E339" authorId="1" shapeId="0">
      <text>
        <t>Zero under the agreed geocode-proxy allocation; does not classify April manual reallocations.</t>
      </text>
    </comment>
    <comment ref="F339" authorId="1" shapeId="0">
      <text>
        <t>Zero under the agreed geocode-proxy allocation; does not classify April manual reallocations.</t>
      </text>
    </comment>
    <comment ref="G339" authorId="1" shapeId="0">
      <text>
        <t>Zero under the agreed geocode-proxy allocation; does not classify April manual reallocations.</t>
      </text>
    </comment>
    <comment ref="H339" authorId="1" shapeId="0">
      <text>
        <t>Zero under the agreed geocode-proxy allocation; does not classify April manual reallocations.</t>
      </text>
    </comment>
    <comment ref="I339" authorId="1" shapeId="0">
      <text>
        <t>Zero under the agreed geocode-proxy allocation; does not classify April manual reallocations.</t>
      </text>
    </comment>
    <comment ref="J339" authorId="1" shapeId="0">
      <text>
        <t>Zero under the agreed geocode-proxy allocation; does not classify April manual reallocations.</t>
      </text>
    </comment>
    <comment ref="K339" authorId="1" shapeId="0">
      <text>
        <t>Zero under the agreed geocode-proxy allocation; does not classify April manual reallocations.</t>
      </text>
    </comment>
    <comment ref="L339" authorId="1" shapeId="0">
      <text>
        <t>Zero under the agreed geocode-proxy allocation; does not classify April manual reallocations.</t>
      </text>
    </comment>
    <comment ref="M339" authorId="1" shapeId="0">
      <text>
        <t>Zero under the agreed geocode-proxy allocation; does not classify April manual reallocations.</t>
      </text>
    </comment>
    <comment ref="E340" authorId="1" shapeId="0">
      <text>
        <t>Zero under the agreed geocode-proxy allocation; does not classify April manual reallocations.</t>
      </text>
    </comment>
    <comment ref="F340" authorId="1" shapeId="0">
      <text>
        <t>Zero under the agreed geocode-proxy allocation; does not classify April manual reallocations.</t>
      </text>
    </comment>
    <comment ref="G340" authorId="1" shapeId="0">
      <text>
        <t>Zero under the agreed geocode-proxy allocation; does not classify April manual reallocations.</t>
      </text>
    </comment>
    <comment ref="H340" authorId="1" shapeId="0">
      <text>
        <t>Zero under the agreed geocode-proxy allocation; does not classify April manual reallocations.</t>
      </text>
    </comment>
    <comment ref="I340" authorId="1" shapeId="0">
      <text>
        <t>Zero under the agreed geocode-proxy allocation; does not classify April manual reallocations.</t>
      </text>
    </comment>
    <comment ref="J340" authorId="1" shapeId="0">
      <text>
        <t>Zero under the agreed geocode-proxy allocation; does not classify April manual reallocations.</t>
      </text>
    </comment>
    <comment ref="K340" authorId="1" shapeId="0">
      <text>
        <t>Zero under the agreed geocode-proxy allocation; does not classify April manual reallocations.</t>
      </text>
    </comment>
    <comment ref="L340" authorId="1" shapeId="0">
      <text>
        <t>Zero under the agreed geocode-proxy allocation; does not classify April manual reallocations.</t>
      </text>
    </comment>
    <comment ref="M340" authorId="1" shapeId="0">
      <text>
        <t>Zero under the agreed geocode-proxy allocation; does not classify April manual reallocations.</t>
      </text>
    </comment>
    <comment ref="E341" authorId="1" shapeId="0">
      <text>
        <t>Automatic from SQL input. Money is already USD: divide by 1,000,000 only. Counts are unscaled.</t>
      </text>
    </comment>
    <comment ref="F341" authorId="1" shapeId="0">
      <text>
        <t>Automatic from SQL input. Money is already USD: divide by 1,000,000 only. Counts are unscaled.</t>
      </text>
    </comment>
    <comment ref="G341" authorId="1" shapeId="0">
      <text>
        <t>Automatic from SQL input. Money is already USD: divide by 1,000,000 only. Counts are unscaled.</t>
      </text>
    </comment>
    <comment ref="H341" authorId="1" shapeId="0">
      <text>
        <t>Automatic from SQL input. Money is already USD: divide by 1,000,000 only. Counts are unscaled.</t>
      </text>
    </comment>
    <comment ref="I341" authorId="1" shapeId="0">
      <text>
        <t>Automatic from SQL input. Money is already USD: divide by 1,000,000 only. Counts are unscaled.</t>
      </text>
    </comment>
    <comment ref="J341" authorId="1" shapeId="0">
      <text>
        <t>Automatic from SQL input. Money is already USD: divide by 1,000,000 only. Counts are unscaled.</t>
      </text>
    </comment>
    <comment ref="K341" authorId="1" shapeId="0">
      <text>
        <t>Automatic from SQL input. Money is already USD: divide by 1,000,000 only. Counts are unscaled.</t>
      </text>
    </comment>
    <comment ref="L341" authorId="1" shapeId="0">
      <text>
        <t>Automatic from SQL input. Money is already USD: divide by 1,000,000 only. Counts are unscaled.</t>
      </text>
    </comment>
    <comment ref="M341" authorId="1" shapeId="0">
      <text>
        <t>Automatic from SQL input. Money is already USD: divide by 1,000,000 only. Counts are unscaled.</t>
      </text>
    </comment>
    <comment ref="C344" authorId="0" shapeId="0">
      <text>
        <t>Manual input: not supplied by SQL. Historical Schedule X(f)!C36 cached value: None. Do not assume it remains appropriate.</t>
      </text>
    </comment>
    <comment ref="E351" authorId="1" shapeId="0">
      <text>
        <t>Automatic from SQL input. Money is already USD: divide by 1,000,000 only. Counts are unscaled.</t>
      </text>
    </comment>
    <comment ref="F351" authorId="1" shapeId="0">
      <text>
        <t>Automatic from SQL input. Money is already USD: divide by 1,000,000 only. Counts are unscaled.</t>
      </text>
    </comment>
    <comment ref="G351" authorId="1" shapeId="0">
      <text>
        <t>Automatic from SQL input. Money is already USD: divide by 1,000,000 only. Counts are unscaled.</t>
      </text>
    </comment>
    <comment ref="H351" authorId="1" shapeId="0">
      <text>
        <t>Automatic from SQL input. Money is already USD: divide by 1,000,000 only. Counts are unscaled.</t>
      </text>
    </comment>
    <comment ref="I351" authorId="1" shapeId="0">
      <text>
        <t>Automatic from SQL input. Money is already USD: divide by 1,000,000 only. Counts are unscaled.</t>
      </text>
    </comment>
    <comment ref="J351" authorId="1" shapeId="0">
      <text>
        <t>Automatic from SQL input. Money is already USD: divide by 1,000,000 only. Counts are unscaled.</t>
      </text>
    </comment>
    <comment ref="K351" authorId="1" shapeId="0">
      <text>
        <t>Automatic from SQL input. Money is already USD: divide by 1,000,000 only. Counts are unscaled.</t>
      </text>
    </comment>
    <comment ref="L351" authorId="1" shapeId="0">
      <text>
        <t>Automatic from SQL input. Money is already USD: divide by 1,000,000 only. Counts are unscaled.</t>
      </text>
    </comment>
    <comment ref="M351" authorId="1" shapeId="0">
      <text>
        <t>Automatic from SQL input. Money is already USD: divide by 1,000,000 only. Counts are unscaled.</t>
      </text>
    </comment>
    <comment ref="E352" authorId="1" shapeId="0">
      <text>
        <t>Zero under the agreed geocode-proxy allocation; does not classify April manual reallocations.</t>
      </text>
    </comment>
    <comment ref="F352" authorId="1" shapeId="0">
      <text>
        <t>Zero under the agreed geocode-proxy allocation; does not classify April manual reallocations.</t>
      </text>
    </comment>
    <comment ref="G352" authorId="1" shapeId="0">
      <text>
        <t>Zero under the agreed geocode-proxy allocation; does not classify April manual reallocations.</t>
      </text>
    </comment>
    <comment ref="H352" authorId="1" shapeId="0">
      <text>
        <t>Zero under the agreed geocode-proxy allocation; does not classify April manual reallocations.</t>
      </text>
    </comment>
    <comment ref="I352" authorId="1" shapeId="0">
      <text>
        <t>Zero under the agreed geocode-proxy allocation; does not classify April manual reallocations.</t>
      </text>
    </comment>
    <comment ref="J352" authorId="1" shapeId="0">
      <text>
        <t>Zero under the agreed geocode-proxy allocation; does not classify April manual reallocations.</t>
      </text>
    </comment>
    <comment ref="K352" authorId="1" shapeId="0">
      <text>
        <t>Zero under the agreed geocode-proxy allocation; does not classify April manual reallocations.</t>
      </text>
    </comment>
    <comment ref="L352" authorId="1" shapeId="0">
      <text>
        <t>Zero under the agreed geocode-proxy allocation; does not classify April manual reallocations.</t>
      </text>
    </comment>
    <comment ref="M352" authorId="1" shapeId="0">
      <text>
        <t>Zero under the agreed geocode-proxy allocation; does not classify April manual reallocations.</t>
      </text>
    </comment>
    <comment ref="E353" authorId="1" shapeId="0">
      <text>
        <t>Zero under the agreed geocode-proxy allocation; does not classify April manual reallocations.</t>
      </text>
    </comment>
    <comment ref="F353" authorId="1" shapeId="0">
      <text>
        <t>Zero under the agreed geocode-proxy allocation; does not classify April manual reallocations.</t>
      </text>
    </comment>
    <comment ref="G353" authorId="1" shapeId="0">
      <text>
        <t>Zero under the agreed geocode-proxy allocation; does not classify April manual reallocations.</t>
      </text>
    </comment>
    <comment ref="H353" authorId="1" shapeId="0">
      <text>
        <t>Zero under the agreed geocode-proxy allocation; does not classify April manual reallocations.</t>
      </text>
    </comment>
    <comment ref="I353" authorId="1" shapeId="0">
      <text>
        <t>Zero under the agreed geocode-proxy allocation; does not classify April manual reallocations.</t>
      </text>
    </comment>
    <comment ref="J353" authorId="1" shapeId="0">
      <text>
        <t>Zero under the agreed geocode-proxy allocation; does not classify April manual reallocations.</t>
      </text>
    </comment>
    <comment ref="K353" authorId="1" shapeId="0">
      <text>
        <t>Zero under the agreed geocode-proxy allocation; does not classify April manual reallocations.</t>
      </text>
    </comment>
    <comment ref="L353" authorId="1" shapeId="0">
      <text>
        <t>Zero under the agreed geocode-proxy allocation; does not classify April manual reallocations.</t>
      </text>
    </comment>
    <comment ref="M353" authorId="1" shapeId="0">
      <text>
        <t>Zero under the agreed geocode-proxy allocation; does not classify April manual reallocations.</t>
      </text>
    </comment>
    <comment ref="E354" authorId="1" shapeId="0">
      <text>
        <t>Automatic from SQL input. Money is already USD: divide by 1,000,000 only. Counts are unscaled.</t>
      </text>
    </comment>
    <comment ref="F354" authorId="1" shapeId="0">
      <text>
        <t>Automatic from SQL input. Money is already USD: divide by 1,000,000 only. Counts are unscaled.</t>
      </text>
    </comment>
    <comment ref="G354" authorId="1" shapeId="0">
      <text>
        <t>Automatic from SQL input. Money is already USD: divide by 1,000,000 only. Counts are unscaled.</t>
      </text>
    </comment>
    <comment ref="H354" authorId="1" shapeId="0">
      <text>
        <t>Automatic from SQL input. Money is already USD: divide by 1,000,000 only. Counts are unscaled.</t>
      </text>
    </comment>
    <comment ref="I354" authorId="1" shapeId="0">
      <text>
        <t>Automatic from SQL input. Money is already USD: divide by 1,000,000 only. Counts are unscaled.</t>
      </text>
    </comment>
    <comment ref="J354" authorId="1" shapeId="0">
      <text>
        <t>Automatic from SQL input. Money is already USD: divide by 1,000,000 only. Counts are unscaled.</t>
      </text>
    </comment>
    <comment ref="K354" authorId="1" shapeId="0">
      <text>
        <t>Automatic from SQL input. Money is already USD: divide by 1,000,000 only. Counts are unscaled.</t>
      </text>
    </comment>
    <comment ref="L354" authorId="1" shapeId="0">
      <text>
        <t>Automatic from SQL input. Money is already USD: divide by 1,000,000 only. Counts are unscaled.</t>
      </text>
    </comment>
    <comment ref="M354" authorId="1" shapeId="0">
      <text>
        <t>Automatic from SQL input. Money is already USD: divide by 1,000,000 only. Counts are unscaled.</t>
      </text>
    </comment>
    <comment ref="C357" authorId="0" shapeId="0">
      <text>
        <t>Manual input: not supplied by SQL. Historical Schedule X(f)!C49 cached value: Territories covered individually too small to require modelled assessment of exposure. Do not assume it remains appropriate.</t>
      </text>
    </comment>
    <comment ref="C361" authorId="0" shapeId="0">
      <text>
        <t>Manual input: not supplied by SQL. Historical Schedule X(f)!C53 cached value: None. Do not assume it remains appropriate.</t>
      </text>
    </comment>
    <comment ref="E368" authorId="1" shapeId="0">
      <text>
        <t>Automatic from SQL input. Money is already USD: divide by 1,000,000 only. Counts are unscaled.</t>
      </text>
    </comment>
    <comment ref="F368" authorId="1" shapeId="0">
      <text>
        <t>Automatic from SQL input. Money is already USD: divide by 1,000,000 only. Counts are unscaled.</t>
      </text>
    </comment>
    <comment ref="G368" authorId="1" shapeId="0">
      <text>
        <t>Automatic from SQL input. Money is already USD: divide by 1,000,000 only. Counts are unscaled.</t>
      </text>
    </comment>
    <comment ref="H368" authorId="1" shapeId="0">
      <text>
        <t>Automatic from SQL input. Money is already USD: divide by 1,000,000 only. Counts are unscaled.</t>
      </text>
    </comment>
    <comment ref="I368" authorId="1" shapeId="0">
      <text>
        <t>Automatic from SQL input. Money is already USD: divide by 1,000,000 only. Counts are unscaled.</t>
      </text>
    </comment>
    <comment ref="J368" authorId="1" shapeId="0">
      <text>
        <t>Automatic from SQL input. Money is already USD: divide by 1,000,000 only. Counts are unscaled.</t>
      </text>
    </comment>
    <comment ref="K368" authorId="1" shapeId="0">
      <text>
        <t>Automatic from SQL input. Money is already USD: divide by 1,000,000 only. Counts are unscaled.</t>
      </text>
    </comment>
    <comment ref="L368" authorId="1" shapeId="0">
      <text>
        <t>Automatic from SQL input. Money is already USD: divide by 1,000,000 only. Counts are unscaled.</t>
      </text>
    </comment>
    <comment ref="M368" authorId="1" shapeId="0">
      <text>
        <t>Automatic from SQL input. Money is already USD: divide by 1,000,000 only. Counts are unscaled.</t>
      </text>
    </comment>
    <comment ref="E369" authorId="1" shapeId="0">
      <text>
        <t>Zero under the agreed geocode-proxy allocation; does not classify April manual reallocations.</t>
      </text>
    </comment>
    <comment ref="F369" authorId="1" shapeId="0">
      <text>
        <t>Zero under the agreed geocode-proxy allocation; does not classify April manual reallocations.</t>
      </text>
    </comment>
    <comment ref="G369" authorId="1" shapeId="0">
      <text>
        <t>Zero under the agreed geocode-proxy allocation; does not classify April manual reallocations.</t>
      </text>
    </comment>
    <comment ref="H369" authorId="1" shapeId="0">
      <text>
        <t>Zero under the agreed geocode-proxy allocation; does not classify April manual reallocations.</t>
      </text>
    </comment>
    <comment ref="I369" authorId="1" shapeId="0">
      <text>
        <t>Zero under the agreed geocode-proxy allocation; does not classify April manual reallocations.</t>
      </text>
    </comment>
    <comment ref="J369" authorId="1" shapeId="0">
      <text>
        <t>Zero under the agreed geocode-proxy allocation; does not classify April manual reallocations.</t>
      </text>
    </comment>
    <comment ref="K369" authorId="1" shapeId="0">
      <text>
        <t>Zero under the agreed geocode-proxy allocation; does not classify April manual reallocations.</t>
      </text>
    </comment>
    <comment ref="L369" authorId="1" shapeId="0">
      <text>
        <t>Zero under the agreed geocode-proxy allocation; does not classify April manual reallocations.</t>
      </text>
    </comment>
    <comment ref="M369" authorId="1" shapeId="0">
      <text>
        <t>Zero under the agreed geocode-proxy allocation; does not classify April manual reallocations.</t>
      </text>
    </comment>
    <comment ref="E370" authorId="1" shapeId="0">
      <text>
        <t>Zero under the agreed geocode-proxy allocation; does not classify April manual reallocations.</t>
      </text>
    </comment>
    <comment ref="F370" authorId="1" shapeId="0">
      <text>
        <t>Zero under the agreed geocode-proxy allocation; does not classify April manual reallocations.</t>
      </text>
    </comment>
    <comment ref="G370" authorId="1" shapeId="0">
      <text>
        <t>Zero under the agreed geocode-proxy allocation; does not classify April manual reallocations.</t>
      </text>
    </comment>
    <comment ref="H370" authorId="1" shapeId="0">
      <text>
        <t>Zero under the agreed geocode-proxy allocation; does not classify April manual reallocations.</t>
      </text>
    </comment>
    <comment ref="I370" authorId="1" shapeId="0">
      <text>
        <t>Zero under the agreed geocode-proxy allocation; does not classify April manual reallocations.</t>
      </text>
    </comment>
    <comment ref="J370" authorId="1" shapeId="0">
      <text>
        <t>Zero under the agreed geocode-proxy allocation; does not classify April manual reallocations.</t>
      </text>
    </comment>
    <comment ref="K370" authorId="1" shapeId="0">
      <text>
        <t>Zero under the agreed geocode-proxy allocation; does not classify April manual reallocations.</t>
      </text>
    </comment>
    <comment ref="L370" authorId="1" shapeId="0">
      <text>
        <t>Zero under the agreed geocode-proxy allocation; does not classify April manual reallocations.</t>
      </text>
    </comment>
    <comment ref="M370" authorId="1" shapeId="0">
      <text>
        <t>Zero under the agreed geocode-proxy allocation; does not classify April manual reallocations.</t>
      </text>
    </comment>
    <comment ref="E371" authorId="1" shapeId="0">
      <text>
        <t>Zero under the agreed geocode-proxy allocation; does not classify April manual reallocations.</t>
      </text>
    </comment>
    <comment ref="F371" authorId="1" shapeId="0">
      <text>
        <t>Zero under the agreed geocode-proxy allocation; does not classify April manual reallocations.</t>
      </text>
    </comment>
    <comment ref="G371" authorId="1" shapeId="0">
      <text>
        <t>Zero under the agreed geocode-proxy allocation; does not classify April manual reallocations.</t>
      </text>
    </comment>
    <comment ref="H371" authorId="1" shapeId="0">
      <text>
        <t>Zero under the agreed geocode-proxy allocation; does not classify April manual reallocations.</t>
      </text>
    </comment>
    <comment ref="I371" authorId="1" shapeId="0">
      <text>
        <t>Zero under the agreed geocode-proxy allocation; does not classify April manual reallocations.</t>
      </text>
    </comment>
    <comment ref="J371" authorId="1" shapeId="0">
      <text>
        <t>Zero under the agreed geocode-proxy allocation; does not classify April manual reallocations.</t>
      </text>
    </comment>
    <comment ref="K371" authorId="1" shapeId="0">
      <text>
        <t>Zero under the agreed geocode-proxy allocation; does not classify April manual reallocations.</t>
      </text>
    </comment>
    <comment ref="L371" authorId="1" shapeId="0">
      <text>
        <t>Zero under the agreed geocode-proxy allocation; does not classify April manual reallocations.</t>
      </text>
    </comment>
    <comment ref="M371" authorId="1" shapeId="0">
      <text>
        <t>Zero under the agreed geocode-proxy allocation; does not classify April manual reallocations.</t>
      </text>
    </comment>
    <comment ref="E372" authorId="1" shapeId="0">
      <text>
        <t>Automatic from SQL input. Money is already USD: divide by 1,000,000 only. Counts are unscaled.</t>
      </text>
    </comment>
    <comment ref="F372" authorId="1" shapeId="0">
      <text>
        <t>Automatic from SQL input. Money is already USD: divide by 1,000,000 only. Counts are unscaled.</t>
      </text>
    </comment>
    <comment ref="G372" authorId="1" shapeId="0">
      <text>
        <t>Automatic from SQL input. Money is already USD: divide by 1,000,000 only. Counts are unscaled.</t>
      </text>
    </comment>
    <comment ref="H372" authorId="1" shapeId="0">
      <text>
        <t>Automatic from SQL input. Money is already USD: divide by 1,000,000 only. Counts are unscaled.</t>
      </text>
    </comment>
    <comment ref="I372" authorId="1" shapeId="0">
      <text>
        <t>Automatic from SQL input. Money is already USD: divide by 1,000,000 only. Counts are unscaled.</t>
      </text>
    </comment>
    <comment ref="J372" authorId="1" shapeId="0">
      <text>
        <t>Automatic from SQL input. Money is already USD: divide by 1,000,000 only. Counts are unscaled.</t>
      </text>
    </comment>
    <comment ref="K372" authorId="1" shapeId="0">
      <text>
        <t>Automatic from SQL input. Money is already USD: divide by 1,000,000 only. Counts are unscaled.</t>
      </text>
    </comment>
    <comment ref="L372" authorId="1" shapeId="0">
      <text>
        <t>Automatic from SQL input. Money is already USD: divide by 1,000,000 only. Counts are unscaled.</t>
      </text>
    </comment>
    <comment ref="M372" authorId="1" shapeId="0">
      <text>
        <t>Automatic from SQL input. Money is already USD: divide by 1,000,000 only. Counts are unscaled.</t>
      </text>
    </comment>
    <comment ref="C375" authorId="0" shapeId="0">
      <text>
        <t>Manual input: not supplied by SQL. Historical Schedule X(f)!C67 cached value: None. Do not assume it remains appropriate.</t>
      </text>
    </comment>
    <comment ref="I378" authorId="0" shapeId="0">
      <text>
        <t>Manual input: not supplied by SQL. Historical Schedule X(f)!I70 cached value: None. Do not assume it remains appropriate.</t>
      </text>
    </comment>
    <comment ref="C382" authorId="0" shapeId="0">
      <text>
        <t>Manual input: not supplied by SQL. Historical Schedule X(f)!C74 cached value: None. Do not assume it remains appropriate.</t>
      </text>
    </comment>
    <comment ref="C386" authorId="0" shapeId="0">
      <text>
        <t>Manual input: not supplied by SQL. Historical Schedule X(f)!C78 cached value: None. Do not assume it remains appropriate.</t>
      </text>
    </comment>
  </commentList>
</comments>
</file>

<file path=xl/comments/comment5.xml><?xml version="1.0" encoding="utf-8"?>
<comments xmlns="http://schemas.openxmlformats.org/spreadsheetml/2006/main">
  <authors>
    <author>Manual field</author>
    <author>BSCR mapping</author>
  </authors>
  <commentList>
    <comment ref="E16" authorId="0" shapeId="0">
      <text>
        <t>Manual input: not supplied by SQL. Historical Schedule X(a)!E9 cached value: HICM. Do not assume it remains appropriate.</t>
      </text>
    </comment>
    <comment ref="F16" authorId="0" shapeId="0">
      <text>
        <t>Manual input: not supplied by SQL. Historical Schedule X(a)!F9 cached value: HICM. Do not assume it remains appropriate.</t>
      </text>
    </comment>
    <comment ref="G16" authorId="0" shapeId="0">
      <text>
        <t>Manual input: not supplied by SQL. Historical Schedule X(a)!G9 cached value: HICM. Do not assume it remains appropriate.</t>
      </text>
    </comment>
    <comment ref="H16" authorId="0" shapeId="0">
      <text>
        <t>Manual input: not supplied by SQL. Historical Schedule X(a)!H9 cached value: HICM. Do not assume it remains appropriate.</t>
      </text>
    </comment>
    <comment ref="E17" authorId="0" shapeId="0">
      <text>
        <t>Manual input: not supplied by SQL. Historical Schedule X(a)!E10 cached value: HICM. Do not assume it remains appropriate.</t>
      </text>
    </comment>
    <comment ref="F17" authorId="0" shapeId="0">
      <text>
        <t>Manual input: not supplied by SQL. Historical Schedule X(a)!F10 cached value: HICM. Do not assume it remains appropriate.</t>
      </text>
    </comment>
    <comment ref="G17" authorId="0" shapeId="0">
      <text>
        <t>Manual input: not supplied by SQL. Historical Schedule X(a)!G10 cached value: HICM. Do not assume it remains appropriate.</t>
      </text>
    </comment>
    <comment ref="H17" authorId="0" shapeId="0">
      <text>
        <t>Manual input: not supplied by SQL. Historical Schedule X(a)!H10 cached value: HICM. Do not assume it remains appropriate.</t>
      </text>
    </comment>
    <comment ref="E18" authorId="0" shapeId="0">
      <text>
        <t>Manual input: not supplied by SQL. Historical Schedule X(a)!E11 cached value: HICM. Do not assume it remains appropriate.</t>
      </text>
    </comment>
    <comment ref="F18" authorId="0" shapeId="0">
      <text>
        <t>Manual input: not supplied by SQL. Historical Schedule X(a)!F11 cached value: HICM. Do not assume it remains appropriate.</t>
      </text>
    </comment>
    <comment ref="G18" authorId="0" shapeId="0">
      <text>
        <t>Manual input: not supplied by SQL. Historical Schedule X(a)!G11 cached value: HICM. Do not assume it remains appropriate.</t>
      </text>
    </comment>
    <comment ref="H18" authorId="0" shapeId="0">
      <text>
        <t>Manual input: not supplied by SQL. Historical Schedule X(a)!H11 cached value: HICM. Do not assume it remains appropriate.</t>
      </text>
    </comment>
    <comment ref="E19" authorId="0" shapeId="0">
      <text>
        <t>Manual input: not supplied by SQL. Historical Schedule X(a)!E12 cached value: HICM. Do not assume it remains appropriate.</t>
      </text>
    </comment>
    <comment ref="F19" authorId="0" shapeId="0">
      <text>
        <t>Manual input: not supplied by SQL. Historical Schedule X(a)!F12 cached value: HICM. Do not assume it remains appropriate.</t>
      </text>
    </comment>
    <comment ref="G19" authorId="0" shapeId="0">
      <text>
        <t>Manual input: not supplied by SQL. Historical Schedule X(a)!G12 cached value: HICM. Do not assume it remains appropriate.</t>
      </text>
    </comment>
    <comment ref="H19" authorId="0" shapeId="0">
      <text>
        <t>Manual input: not supplied by SQL. Historical Schedule X(a)!H12 cached value: HICM. Do not assume it remains appropriate.</t>
      </text>
    </comment>
    <comment ref="E20" authorId="0" shapeId="0">
      <text>
        <t>Manual input: not supplied by SQL. Historical Schedule X(a)!E13 cached value: HICM. Do not assume it remains appropriate.</t>
      </text>
    </comment>
    <comment ref="F20" authorId="0" shapeId="0">
      <text>
        <t>Manual input: not supplied by SQL. Historical Schedule X(a)!F13 cached value: HICM. Do not assume it remains appropriate.</t>
      </text>
    </comment>
    <comment ref="G20" authorId="0" shapeId="0">
      <text>
        <t>Manual input: not supplied by SQL. Historical Schedule X(a)!G13 cached value: HICM. Do not assume it remains appropriate.</t>
      </text>
    </comment>
    <comment ref="H20" authorId="0" shapeId="0">
      <text>
        <t>Manual input: not supplied by SQL. Historical Schedule X(a)!H13 cached value: HICM. Do not assume it remains appropriate.</t>
      </text>
    </comment>
    <comment ref="E23" authorId="0" shapeId="0">
      <text>
        <t>Manual input: not supplied by SQL. Historical Schedule X(a)!E16 cached value: HICM. Do not assume it remains appropriate.</t>
      </text>
    </comment>
    <comment ref="J23" authorId="0" shapeId="0">
      <text>
        <t>Manual input: not supplied by SQL. Historical Schedule X(a)!J16 cached value: HICM. Do not assume it remains appropriate.</t>
      </text>
    </comment>
    <comment ref="J24" authorId="0" shapeId="0">
      <text>
        <t>Manual input: not supplied by SQL. Historical Schedule X(a)!J17 cached value: HICM. Do not assume it remains appropriate.</t>
      </text>
    </comment>
    <comment ref="E25" authorId="0" shapeId="0">
      <text>
        <t>Manual input: not supplied by SQL. Historical Schedule X(a)!E18 cached value: HICM. Do not assume it remains appropriate.</t>
      </text>
    </comment>
    <comment ref="J25" authorId="0" shapeId="0">
      <text>
        <t>Manual input: not supplied by SQL. Historical Schedule X(a)!J18 cached value: HICM. Do not assume it remains appropriate.</t>
      </text>
    </comment>
    <comment ref="E27" authorId="0" shapeId="0">
      <text>
        <t>Manual input: not supplied by SQL. Historical Schedule X(a)!E20 cached value: None. Do not assume it remains appropriate.</t>
      </text>
    </comment>
    <comment ref="J27" authorId="0" shapeId="0">
      <text>
        <t>Manual input: not supplied by SQL. Historical Schedule X(a)!J20 cached value: None. Do not assume it remains appropriate.</t>
      </text>
    </comment>
    <comment ref="E28" authorId="0" shapeId="0">
      <text>
        <t>Manual input: not supplied by SQL. Historical Schedule X(a)!E21 cached value: 9.05. Do not assume it remains appropriate.</t>
      </text>
    </comment>
    <comment ref="J28" authorId="0" shapeId="0">
      <text>
        <t>Manual input: not supplied by SQL. Historical Schedule X(a)!J21 cached value: 7.85. Do not assume it remains appropriate.</t>
      </text>
    </comment>
    <comment ref="E30" authorId="0" shapeId="0">
      <text>
        <t>Manual input: not supplied by SQL. Historical Schedule X(a)!E23 cached value: None. Do not assume it remains appropriate.</t>
      </text>
    </comment>
    <comment ref="J30" authorId="0" shapeId="0">
      <text>
        <t>Manual input: not supplied by SQL. Historical Schedule X(a)!J23 cached value: None. Do not assume it remains appropriate.</t>
      </text>
    </comment>
    <comment ref="E31" authorId="0" shapeId="0">
      <text>
        <t>Manual input: not supplied by SQL. Historical Schedule X(a)!E24 cached value: None. Do not assume it remains appropriate.</t>
      </text>
    </comment>
    <comment ref="J31" authorId="0" shapeId="0">
      <text>
        <t>Manual input: not supplied by SQL. Historical Schedule X(a)!J24 cached value: None. Do not assume it remains appropriate.</t>
      </text>
    </comment>
    <comment ref="E32" authorId="1" shapeId="0">
      <text>
        <t>Automatic from SQL input. Money is already USD: divide by 1,000,000 only. Counts are unscaled.</t>
      </text>
    </comment>
    <comment ref="J32" authorId="1" shapeId="0">
      <text>
        <t>Automatic from SQL input. Money is already USD: divide by 1,000,000 only. Counts are unscaled.</t>
      </text>
    </comment>
    <comment ref="E33" authorId="1" shapeId="0">
      <text>
        <t>Automatic from SQL input. Money is already USD: divide by 1,000,000 only. Counts are unscaled.</t>
      </text>
    </comment>
    <comment ref="J33" authorId="1" shapeId="0">
      <text>
        <t>Automatic from SQL input. Money is already USD: divide by 1,000,000 only. Counts are unscaled.</t>
      </text>
    </comment>
    <comment ref="E34" authorId="0" shapeId="0">
      <text>
        <t>Manual input: not supplied by SQL. Historical Schedule X(a)!E27 cached value: None. Do not assume it remains appropriate.</t>
      </text>
    </comment>
    <comment ref="J34" authorId="0" shapeId="0">
      <text>
        <t>Manual input: not supplied by SQL. Historical Schedule X(a)!J27 cached value: None. Do not assume it remains appropriate.</t>
      </text>
    </comment>
    <comment ref="E35" authorId="0" shapeId="0">
      <text>
        <t>Manual input: not supplied by SQL. Historical Schedule X(a)!E28 cached value: None. Do not assume it remains appropriate.</t>
      </text>
    </comment>
    <comment ref="J35" authorId="0" shapeId="0">
      <text>
        <t>Manual input: not supplied by SQL. Historical Schedule X(a)!J28 cached value: None. Do not assume it remains appropriate.</t>
      </text>
    </comment>
    <comment ref="E38" authorId="0" shapeId="0">
      <text>
        <t>Manual input: not supplied by SQL. Historical Schedule X(a)!E31 cached value: None. Do not assume it remains appropriate.</t>
      </text>
    </comment>
    <comment ref="I38" authorId="0" shapeId="0">
      <text>
        <t>Manual input: not supplied by SQL. Historical Schedule X(a)!I31 cached value: None. Do not assume it remains appropriate.</t>
      </text>
    </comment>
    <comment ref="E39" authorId="0" shapeId="0">
      <text>
        <t>Manual input: not supplied by SQL. Historical Schedule X(a)!E32 cached value: None. Do not assume it remains appropriate.</t>
      </text>
    </comment>
    <comment ref="I39" authorId="0" shapeId="0">
      <text>
        <t>Manual input: not supplied by SQL. Historical Schedule X(a)!I32 cached value: None. Do not assume it remains appropriate.</t>
      </text>
    </comment>
    <comment ref="E40" authorId="0" shapeId="0">
      <text>
        <t>Manual input: not supplied by SQL. Historical Schedule X(a)!E33 cached value: None. Do not assume it remains appropriate.</t>
      </text>
    </comment>
    <comment ref="I40" authorId="0" shapeId="0">
      <text>
        <t>Manual input: not supplied by SQL. Historical Schedule X(a)!I33 cached value: None. Do not assume it remains appropriate.</t>
      </text>
    </comment>
    <comment ref="E41" authorId="0" shapeId="0">
      <text>
        <t>Manual input: not supplied by SQL. Historical Schedule X(a)!E34 cached value: None. Do not assume it remains appropriate.</t>
      </text>
    </comment>
    <comment ref="I41" authorId="0" shapeId="0">
      <text>
        <t>Manual input: not supplied by SQL. Historical Schedule X(a)!I34 cached value: None. Do not assume it remains appropriate.</t>
      </text>
    </comment>
    <comment ref="E42" authorId="0" shapeId="0">
      <text>
        <t>Manual input: not supplied by SQL. Historical Schedule X(a)!E35 cached value: None. Do not assume it remains appropriate.</t>
      </text>
    </comment>
    <comment ref="I42" authorId="0" shapeId="0">
      <text>
        <t>Manual input: not supplied by SQL. Historical Schedule X(a)!I35 cached value: None. Do not assume it remains appropriate.</t>
      </text>
    </comment>
    <comment ref="E43" authorId="0" shapeId="0">
      <text>
        <t>Manual input: not supplied by SQL. Historical Schedule X(a)!E36 cached value: None. Do not assume it remains appropriate.</t>
      </text>
    </comment>
    <comment ref="I43" authorId="0" shapeId="0">
      <text>
        <t>Manual input: not supplied by SQL. Historical Schedule X(a)!I36 cached value: None. Do not assume it remains appropriate.</t>
      </text>
    </comment>
    <comment ref="E44" authorId="0" shapeId="0">
      <text>
        <t>Manual input: not supplied by SQL. Historical Schedule X(a)!E37 cached value: None. Do not assume it remains appropriate.</t>
      </text>
    </comment>
    <comment ref="I44" authorId="0" shapeId="0">
      <text>
        <t>Manual input: not supplied by SQL. Historical Schedule X(a)!I37 cached value: None. Do not assume it remains appropriate.</t>
      </text>
    </comment>
    <comment ref="E45" authorId="0" shapeId="0">
      <text>
        <t>Manual input: not supplied by SQL. Historical Schedule X(a)!E38 cached value: None. Do not assume it remains appropriate.</t>
      </text>
    </comment>
    <comment ref="I45" authorId="0" shapeId="0">
      <text>
        <t>Manual input: not supplied by SQL. Historical Schedule X(a)!I38 cached value: None. Do not assume it remains appropriate.</t>
      </text>
    </comment>
    <comment ref="E46" authorId="0" shapeId="0">
      <text>
        <t>Manual input: not supplied by SQL. Historical Schedule X(a)!E39 cached value: None. Do not assume it remains appropriate.</t>
      </text>
    </comment>
    <comment ref="I46" authorId="0" shapeId="0">
      <text>
        <t>Manual input: not supplied by SQL. Historical Schedule X(a)!I39 cached value: None. Do not assume it remains appropriate.</t>
      </text>
    </comment>
    <comment ref="E47" authorId="0" shapeId="0">
      <text>
        <t>Manual input: not supplied by SQL. Historical Schedule X(a)!E40 cached value: None. Do not assume it remains appropriate.</t>
      </text>
    </comment>
    <comment ref="I47" authorId="0" shapeId="0">
      <text>
        <t>Manual input: not supplied by SQL. Historical Schedule X(a)!I40 cached value: None. Do not assume it remains appropriate.</t>
      </text>
    </comment>
    <comment ref="E48" authorId="0" shapeId="0">
      <text>
        <t>Manual input: not supplied by SQL. Historical Schedule X(a)!E41 cached value: None. Do not assume it remains appropriate.</t>
      </text>
    </comment>
    <comment ref="I48" authorId="0" shapeId="0">
      <text>
        <t>Manual input: not supplied by SQL. Historical Schedule X(a)!I41 cached value: None. Do not assume it remains appropriate.</t>
      </text>
    </comment>
    <comment ref="E49" authorId="0" shapeId="0">
      <text>
        <t>Manual input: not supplied by SQL. Historical Schedule X(a)!E42 cached value: None. Do not assume it remains appropriate.</t>
      </text>
    </comment>
    <comment ref="I49" authorId="0" shapeId="0">
      <text>
        <t>Manual input: not supplied by SQL. Historical Schedule X(a)!I42 cached value: None. Do not assume it remains appropriate.</t>
      </text>
    </comment>
    <comment ref="E50" authorId="0" shapeId="0">
      <text>
        <t>Manual input: not supplied by SQL. Historical Schedule X(a)!E43 cached value: None. Do not assume it remains appropriate.</t>
      </text>
    </comment>
    <comment ref="I50" authorId="0" shapeId="0">
      <text>
        <t>Manual input: not supplied by SQL. Historical Schedule X(a)!I43 cached value: None. Do not assume it remains appropriate.</t>
      </text>
    </comment>
    <comment ref="E51" authorId="0" shapeId="0">
      <text>
        <t>Manual input: not supplied by SQL. Historical Schedule X(a)!E44 cached value: None. Do not assume it remains appropriate.</t>
      </text>
    </comment>
    <comment ref="I51" authorId="0" shapeId="0">
      <text>
        <t>Manual input: not supplied by SQL. Historical Schedule X(a)!I44 cached value: None. Do not assume it remains appropriate.</t>
      </text>
    </comment>
    <comment ref="E52" authorId="0" shapeId="0">
      <text>
        <t>Manual input: not supplied by SQL. Historical Schedule X(a)!E45 cached value: None. Do not assume it remains appropriate.</t>
      </text>
    </comment>
    <comment ref="I52" authorId="0" shapeId="0">
      <text>
        <t>Manual input: not supplied by SQL. Historical Schedule X(a)!I45 cached value: None. Do not assume it remains appropriate.</t>
      </text>
    </comment>
    <comment ref="E53" authorId="0" shapeId="0">
      <text>
        <t>Manual input: not supplied by SQL. Historical Schedule X(a)!E46 cached value: None. Do not assume it remains appropriate.</t>
      </text>
    </comment>
    <comment ref="I53" authorId="0" shapeId="0">
      <text>
        <t>Manual input: not supplied by SQL. Historical Schedule X(a)!I46 cached value: None. Do not assume it remains appropriate.</t>
      </text>
    </comment>
    <comment ref="I54" authorId="0" shapeId="0">
      <text>
        <t>Manual input: not supplied by SQL. Historical Schedule X(a)!I47 cached value: None. Do not assume it remains appropriate.</t>
      </text>
    </comment>
    <comment ref="J54" authorId="0" shapeId="0">
      <text>
        <t>Manual input: not supplied by SQL. Historical Schedule X(a)!J47 cached value: None. Do not assume it remains appropriate.</t>
      </text>
    </comment>
    <comment ref="K54" authorId="0" shapeId="0">
      <text>
        <t>Manual input: not supplied by SQL. Historical Schedule X(a)!K47 cached value: None. Do not assume it remains appropriate.</t>
      </text>
    </comment>
    <comment ref="I55" authorId="0" shapeId="0">
      <text>
        <t>Manual input: not supplied by SQL. Historical Schedule X(a)!I48 cached value: None. Do not assume it remains appropriate.</t>
      </text>
    </comment>
    <comment ref="J55" authorId="0" shapeId="0">
      <text>
        <t>Manual input: not supplied by SQL. Historical Schedule X(a)!J48 cached value: None. Do not assume it remains appropriate.</t>
      </text>
    </comment>
    <comment ref="K55" authorId="0" shapeId="0">
      <text>
        <t>Manual input: not supplied by SQL. Historical Schedule X(a)!K48 cached value: None. Do not assume it remains appropriate.</t>
      </text>
    </comment>
    <comment ref="E56" authorId="0" shapeId="0">
      <text>
        <t>Manual input: not supplied by SQL. Historical Schedule X(a)!E49 cached value: None. Do not assume it remains appropriate.</t>
      </text>
    </comment>
    <comment ref="I56" authorId="0" shapeId="0">
      <text>
        <t>Manual input: not supplied by SQL. Historical Schedule X(a)!I49 cached value: None. Do not assume it remains appropriate.</t>
      </text>
    </comment>
    <comment ref="E57" authorId="0" shapeId="0">
      <text>
        <t>Manual input: not supplied by SQL. Historical Schedule X(a)!E50 cached value: None. Do not assume it remains appropriate.</t>
      </text>
    </comment>
    <comment ref="I57" authorId="0" shapeId="0">
      <text>
        <t>Manual input: not supplied by SQL. Historical Schedule X(a)!I50 cached value: None. Do not assume it remains appropriate.</t>
      </text>
    </comment>
    <comment ref="E58" authorId="0" shapeId="0">
      <text>
        <t>Manual input: not supplied by SQL. Historical Schedule X(a)!E51 cached value: None. Do not assume it remains appropriate.</t>
      </text>
    </comment>
    <comment ref="I58" authorId="0" shapeId="0">
      <text>
        <t>Manual input: not supplied by SQL. Historical Schedule X(a)!I51 cached value: None. Do not assume it remains appropriate.</t>
      </text>
    </comment>
    <comment ref="E59" authorId="0" shapeId="0">
      <text>
        <t>Manual input: not supplied by SQL. Historical Schedule X(a)!E52 cached value: None. Do not assume it remains appropriate.</t>
      </text>
    </comment>
    <comment ref="I59" authorId="0" shapeId="0">
      <text>
        <t>Manual input: not supplied by SQL. Historical Schedule X(a)!I52 cached value: None. Do not assume it remains appropriate.</t>
      </text>
    </comment>
    <comment ref="E60" authorId="0" shapeId="0">
      <text>
        <t>Manual input: not supplied by SQL. Historical Schedule X(a)!E53 cached value: None. Do not assume it remains appropriate.</t>
      </text>
    </comment>
    <comment ref="I60" authorId="0" shapeId="0">
      <text>
        <t>Manual input: not supplied by SQL. Historical Schedule X(a)!I53 cached value: None. Do not assume it remains appropriate.</t>
      </text>
    </comment>
    <comment ref="I61" authorId="0" shapeId="0">
      <text>
        <t>Manual input: not supplied by SQL. Historical Schedule X(a)!I54 cached value: None. Do not assume it remains appropriate.</t>
      </text>
    </comment>
    <comment ref="J61" authorId="0" shapeId="0">
      <text>
        <t>Manual input: not supplied by SQL. Historical Schedule X(a)!J54 cached value: None. Do not assume it remains appropriate.</t>
      </text>
    </comment>
    <comment ref="K61" authorId="0" shapeId="0">
      <text>
        <t>Manual input: not supplied by SQL. Historical Schedule X(a)!K54 cached value: None. Do not assume it remains appropriate.</t>
      </text>
    </comment>
    <comment ref="I62" authorId="0" shapeId="0">
      <text>
        <t>Manual input: not supplied by SQL. Historical Schedule X(a)!I55 cached value: None. Do not assume it remains appropriate.</t>
      </text>
    </comment>
    <comment ref="J62" authorId="0" shapeId="0">
      <text>
        <t>Manual input: not supplied by SQL. Historical Schedule X(a)!J55 cached value: None. Do not assume it remains appropriate.</t>
      </text>
    </comment>
    <comment ref="K62" authorId="0" shapeId="0">
      <text>
        <t>Manual input: not supplied by SQL. Historical Schedule X(a)!K55 cached value: None. Do not assume it remains appropriate.</t>
      </text>
    </comment>
    <comment ref="E63" authorId="0" shapeId="0">
      <text>
        <t>Manual input: not supplied by SQL. Historical Schedule X(a)!E56 cached value: None. Do not assume it remains appropriate.</t>
      </text>
    </comment>
    <comment ref="I63" authorId="0" shapeId="0">
      <text>
        <t>Manual input: not supplied by SQL. Historical Schedule X(a)!I56 cached value: None. Do not assume it remains appropriate.</t>
      </text>
    </comment>
    <comment ref="E64" authorId="0" shapeId="0">
      <text>
        <t>Manual input: not supplied by SQL. Historical Schedule X(a)!E57 cached value: None. Do not assume it remains appropriate.</t>
      </text>
    </comment>
    <comment ref="I64" authorId="0" shapeId="0">
      <text>
        <t>Manual input: not supplied by SQL. Historical Schedule X(a)!I57 cached value: None. Do not assume it remains appropriate.</t>
      </text>
    </comment>
    <comment ref="I65" authorId="0" shapeId="0">
      <text>
        <t>Manual input: not supplied by SQL. Historical Schedule X(a)!I58 cached value: None. Do not assume it remains appropriate.</t>
      </text>
    </comment>
    <comment ref="J65" authorId="0" shapeId="0">
      <text>
        <t>Manual input: not supplied by SQL. Historical Schedule X(a)!J58 cached value: None. Do not assume it remains appropriate.</t>
      </text>
    </comment>
    <comment ref="K65" authorId="0" shapeId="0">
      <text>
        <t>Manual input: not supplied by SQL. Historical Schedule X(a)!K58 cached value: None. Do not assume it remains appropriate.</t>
      </text>
    </comment>
    <comment ref="I66" authorId="0" shapeId="0">
      <text>
        <t>Manual input: not supplied by SQL. Historical Schedule X(a)!I59 cached value: None. Do not assume it remains appropriate.</t>
      </text>
    </comment>
    <comment ref="J66" authorId="0" shapeId="0">
      <text>
        <t>Manual input: not supplied by SQL. Historical Schedule X(a)!J59 cached value: None. Do not assume it remains appropriate.</t>
      </text>
    </comment>
    <comment ref="K66" authorId="0" shapeId="0">
      <text>
        <t>Manual input: not supplied by SQL. Historical Schedule X(a)!K59 cached value: None. Do not assume it remains appropriate.</t>
      </text>
    </comment>
    <comment ref="E67" authorId="0" shapeId="0">
      <text>
        <t>Manual input: not supplied by SQL. Historical Schedule X(a)!E60 cached value: None. Do not assume it remains appropriate.</t>
      </text>
    </comment>
    <comment ref="I67" authorId="0" shapeId="0">
      <text>
        <t>Manual input: not supplied by SQL. Historical Schedule X(a)!I60 cached value: None. Do not assume it remains appropriate.</t>
      </text>
    </comment>
    <comment ref="E68" authorId="0" shapeId="0">
      <text>
        <t>Manual input: not supplied by SQL. Historical Schedule X(a)!E61 cached value: None. Do not assume it remains appropriate.</t>
      </text>
    </comment>
    <comment ref="I68" authorId="0" shapeId="0">
      <text>
        <t>Manual input: not supplied by SQL. Historical Schedule X(a)!I61 cached value: None. Do not assume it remains appropriate.</t>
      </text>
    </comment>
    <comment ref="E69" authorId="0" shapeId="0">
      <text>
        <t>Manual input: not supplied by SQL. Historical Schedule X(a)!E62 cached value: None. Do not assume it remains appropriate.</t>
      </text>
    </comment>
    <comment ref="I69" authorId="0" shapeId="0">
      <text>
        <t>Manual input: not supplied by SQL. Historical Schedule X(a)!I62 cached value: None. Do not assume it remains appropriate.</t>
      </text>
    </comment>
    <comment ref="E70" authorId="0" shapeId="0">
      <text>
        <t>Manual input: not supplied by SQL. Historical Schedule X(a)!E63 cached value: None. Do not assume it remains appropriate.</t>
      </text>
    </comment>
    <comment ref="I70" authorId="0" shapeId="0">
      <text>
        <t>Manual input: not supplied by SQL. Historical Schedule X(a)!I63 cached value: None. Do not assume it remains appropriate.</t>
      </text>
    </comment>
    <comment ref="E71" authorId="0" shapeId="0">
      <text>
        <t>Manual input: not supplied by SQL. Historical Schedule X(a)!E64 cached value: None. Do not assume it remains appropriate.</t>
      </text>
    </comment>
    <comment ref="I71" authorId="0" shapeId="0">
      <text>
        <t>Manual input: not supplied by SQL. Historical Schedule X(a)!I64 cached value: None. Do not assume it remains appropriate.</t>
      </text>
    </comment>
    <comment ref="E72" authorId="0" shapeId="0">
      <text>
        <t>Manual input: not supplied by SQL. Historical Schedule X(a)!E65 cached value: None. Do not assume it remains appropriate.</t>
      </text>
    </comment>
    <comment ref="I72" authorId="0" shapeId="0">
      <text>
        <t>Manual input: not supplied by SQL. Historical Schedule X(a)!I65 cached value: None. Do not assume it remains appropriate.</t>
      </text>
    </comment>
    <comment ref="I73" authorId="0" shapeId="0">
      <text>
        <t>Manual input: not supplied by SQL. Historical Schedule X(a)!I66 cached value: None. Do not assume it remains appropriate.</t>
      </text>
    </comment>
    <comment ref="J73" authorId="0" shapeId="0">
      <text>
        <t>Manual input: not supplied by SQL. Historical Schedule X(a)!J66 cached value: None. Do not assume it remains appropriate.</t>
      </text>
    </comment>
    <comment ref="K73" authorId="0" shapeId="0">
      <text>
        <t>Manual input: not supplied by SQL. Historical Schedule X(a)!K66 cached value: None. Do not assume it remains appropriate.</t>
      </text>
    </comment>
    <comment ref="I74" authorId="0" shapeId="0">
      <text>
        <t>Manual input: not supplied by SQL. Historical Schedule X(a)!I67 cached value: None. Do not assume it remains appropriate.</t>
      </text>
    </comment>
    <comment ref="J74" authorId="0" shapeId="0">
      <text>
        <t>Manual input: not supplied by SQL. Historical Schedule X(a)!J67 cached value: None. Do not assume it remains appropriate.</t>
      </text>
    </comment>
    <comment ref="K74" authorId="0" shapeId="0">
      <text>
        <t>Manual input: not supplied by SQL. Historical Schedule X(a)!K67 cached value: None. Do not assume it remains appropriate.</t>
      </text>
    </comment>
    <comment ref="E75" authorId="0" shapeId="0">
      <text>
        <t>Manual input: not supplied by SQL. Historical Schedule X(a)!E68 cached value: None. Do not assume it remains appropriate.</t>
      </text>
    </comment>
    <comment ref="I75" authorId="0" shapeId="0">
      <text>
        <t>Manual input: not supplied by SQL. Historical Schedule X(a)!I68 cached value: None. Do not assume it remains appropriate.</t>
      </text>
    </comment>
    <comment ref="E76" authorId="0" shapeId="0">
      <text>
        <t>Manual input: not supplied by SQL. Historical Schedule X(a)!E69 cached value: None. Do not assume it remains appropriate.</t>
      </text>
    </comment>
    <comment ref="I76" authorId="0" shapeId="0">
      <text>
        <t>Manual input: not supplied by SQL. Historical Schedule X(a)!I69 cached value: None. Do not assume it remains appropriate.</t>
      </text>
    </comment>
    <comment ref="E77" authorId="0" shapeId="0">
      <text>
        <t>Manual input: not supplied by SQL. Historical Schedule X(a)!E70 cached value: None. Do not assume it remains appropriate.</t>
      </text>
    </comment>
    <comment ref="I77" authorId="0" shapeId="0">
      <text>
        <t>Manual input: not supplied by SQL. Historical Schedule X(a)!I70 cached value: None. Do not assume it remains appropriate.</t>
      </text>
    </comment>
    <comment ref="E78" authorId="0" shapeId="0">
      <text>
        <t>Manual input: not supplied by SQL. Historical Schedule X(a)!E71 cached value: None. Do not assume it remains appropriate.</t>
      </text>
    </comment>
    <comment ref="I78" authorId="0" shapeId="0">
      <text>
        <t>Manual input: not supplied by SQL. Historical Schedule X(a)!I71 cached value: None. Do not assume it remains appropriate.</t>
      </text>
    </comment>
    <comment ref="E79" authorId="0" shapeId="0">
      <text>
        <t>Manual input: not supplied by SQL. Historical Schedule X(a)!E72 cached value: None. Do not assume it remains appropriate.</t>
      </text>
    </comment>
    <comment ref="I79" authorId="0" shapeId="0">
      <text>
        <t>Manual input: not supplied by SQL. Historical Schedule X(a)!I72 cached value: None. Do not assume it remains appropriate.</t>
      </text>
    </comment>
    <comment ref="E80" authorId="0" shapeId="0">
      <text>
        <t>Manual input: not supplied by SQL. Historical Schedule X(a)!E73 cached value: None. Do not assume it remains appropriate.</t>
      </text>
    </comment>
    <comment ref="I80" authorId="0" shapeId="0">
      <text>
        <t>Manual input: not supplied by SQL. Historical Schedule X(a)!I73 cached value: None. Do not assume it remains appropriate.</t>
      </text>
    </comment>
    <comment ref="E81" authorId="0" shapeId="0">
      <text>
        <t>Manual input: not supplied by SQL. Historical Schedule X(a)!E74 cached value: None. Do not assume it remains appropriate.</t>
      </text>
    </comment>
    <comment ref="I81" authorId="0" shapeId="0">
      <text>
        <t>Manual input: not supplied by SQL. Historical Schedule X(a)!I74 cached value: None. Do not assume it remains appropriate.</t>
      </text>
    </comment>
    <comment ref="E82" authorId="0" shapeId="0">
      <text>
        <t>Manual input: not supplied by SQL. Historical Schedule X(a)!E75 cached value: None. Do not assume it remains appropriate.</t>
      </text>
    </comment>
    <comment ref="I82" authorId="0" shapeId="0">
      <text>
        <t>Manual input: not supplied by SQL. Historical Schedule X(a)!I75 cached value: None. Do not assume it remains appropriate.</t>
      </text>
    </comment>
    <comment ref="I83" authorId="0" shapeId="0">
      <text>
        <t>Manual input: not supplied by SQL. Historical Schedule X(a)!I76 cached value: None. Do not assume it remains appropriate.</t>
      </text>
    </comment>
    <comment ref="J83" authorId="0" shapeId="0">
      <text>
        <t>Manual input: not supplied by SQL. Historical Schedule X(a)!J76 cached value: None. Do not assume it remains appropriate.</t>
      </text>
    </comment>
    <comment ref="K83" authorId="0" shapeId="0">
      <text>
        <t>Manual input: not supplied by SQL. Historical Schedule X(a)!K76 cached value: None. Do not assume it remains appropriate.</t>
      </text>
    </comment>
    <comment ref="G84" authorId="0" shapeId="0">
      <text>
        <t>Manual input: not supplied by SQL. Historical Schedule X(a)!G77 cached value: None. Do not assume it remains appropriate.</t>
      </text>
    </comment>
    <comment ref="I84" authorId="0" shapeId="0">
      <text>
        <t>Manual input: not supplied by SQL. Historical Schedule X(a)!I77 cached value: None. Do not assume it remains appropriate.</t>
      </text>
    </comment>
    <comment ref="J84" authorId="0" shapeId="0">
      <text>
        <t>Manual input: not supplied by SQL. Historical Schedule X(a)!J77 cached value: None. Do not assume it remains appropriate.</t>
      </text>
    </comment>
    <comment ref="K84" authorId="0" shapeId="0">
      <text>
        <t>Manual input: not supplied by SQL. Historical Schedule X(a)!K77 cached value: None. Do not assume it remains appropriate.</t>
      </text>
    </comment>
    <comment ref="G85" authorId="0" shapeId="0">
      <text>
        <t>Manual input: not supplied by SQL. Historical Schedule X(a)!G78 cached value: None. Do not assume it remains appropriate.</t>
      </text>
    </comment>
    <comment ref="I85" authorId="0" shapeId="0">
      <text>
        <t>Manual input: not supplied by SQL. Historical Schedule X(a)!I78 cached value: None. Do not assume it remains appropriate.</t>
      </text>
    </comment>
    <comment ref="J85" authorId="0" shapeId="0">
      <text>
        <t>Manual input: not supplied by SQL. Historical Schedule X(a)!J78 cached value: None. Do not assume it remains appropriate.</t>
      </text>
    </comment>
    <comment ref="K85" authorId="0" shapeId="0">
      <text>
        <t>Manual input: not supplied by SQL. Historical Schedule X(a)!K78 cached value: None. Do not assume it remains appropriate.</t>
      </text>
    </comment>
    <comment ref="I86" authorId="0" shapeId="0">
      <text>
        <t>Manual input: not supplied by SQL. Historical Schedule X(a)!I79 cached value: None. Do not assume it remains appropriate.</t>
      </text>
    </comment>
    <comment ref="J86" authorId="0" shapeId="0">
      <text>
        <t>Manual input: not supplied by SQL. Historical Schedule X(a)!J79 cached value: None. Do not assume it remains appropriate.</t>
      </text>
    </comment>
    <comment ref="K86" authorId="0" shapeId="0">
      <text>
        <t>Manual input: not supplied by SQL. Historical Schedule X(a)!K79 cached value: None. Do not assume it remains appropriate.</t>
      </text>
    </comment>
    <comment ref="G87" authorId="0" shapeId="0">
      <text>
        <t>Manual input: not supplied by SQL. Historical Schedule X(a)!G80 cached value: None. Do not assume it remains appropriate.</t>
      </text>
    </comment>
    <comment ref="I87" authorId="0" shapeId="0">
      <text>
        <t>Manual input: not supplied by SQL. Historical Schedule X(a)!I80 cached value: None. Do not assume it remains appropriate.</t>
      </text>
    </comment>
    <comment ref="J87" authorId="0" shapeId="0">
      <text>
        <t>Manual input: not supplied by SQL. Historical Schedule X(a)!J80 cached value: None. Do not assume it remains appropriate.</t>
      </text>
    </comment>
    <comment ref="K87" authorId="0" shapeId="0">
      <text>
        <t>Manual input: not supplied by SQL. Historical Schedule X(a)!K80 cached value: None. Do not assume it remains appropriate.</t>
      </text>
    </comment>
    <comment ref="G88" authorId="0" shapeId="0">
      <text>
        <t>Manual input: not supplied by SQL. Historical Schedule X(a)!G81 cached value: None. Do not assume it remains appropriate.</t>
      </text>
    </comment>
    <comment ref="E108" authorId="0" shapeId="0">
      <text>
        <t>Manual input: not supplied by SQL. Historical Schedule X(b)!E11 cached value: HICM. Do not assume it remains appropriate.</t>
      </text>
    </comment>
    <comment ref="F108" authorId="0" shapeId="0">
      <text>
        <t>Manual input: not supplied by SQL. Historical Schedule X(b)!F11 cached value: HICM. Do not assume it remains appropriate.</t>
      </text>
    </comment>
    <comment ref="G108" authorId="0" shapeId="0">
      <text>
        <t>Manual input: not supplied by SQL. Historical Schedule X(b)!G11 cached value: HICM. Do not assume it remains appropriate.</t>
      </text>
    </comment>
    <comment ref="H108" authorId="0" shapeId="0">
      <text>
        <t>Manual input: not supplied by SQL. Historical Schedule X(b)!H11 cached value: HICM. Do not assume it remains appropriate.</t>
      </text>
    </comment>
    <comment ref="E109" authorId="0" shapeId="0">
      <text>
        <t>Manual input: not supplied by SQL. Historical Schedule X(b)!E12 cached value: HICM. Do not assume it remains appropriate.</t>
      </text>
    </comment>
    <comment ref="F109" authorId="0" shapeId="0">
      <text>
        <t>Manual input: not supplied by SQL. Historical Schedule X(b)!F12 cached value: HICM. Do not assume it remains appropriate.</t>
      </text>
    </comment>
    <comment ref="G109" authorId="0" shapeId="0">
      <text>
        <t>Manual input: not supplied by SQL. Historical Schedule X(b)!G12 cached value: HICM. Do not assume it remains appropriate.</t>
      </text>
    </comment>
    <comment ref="H109" authorId="0" shapeId="0">
      <text>
        <t>Manual input: not supplied by SQL. Historical Schedule X(b)!H12 cached value: HICM. Do not assume it remains appropriate.</t>
      </text>
    </comment>
    <comment ref="E110" authorId="0" shapeId="0">
      <text>
        <t>Manual input: not supplied by SQL. Historical Schedule X(b)!E13 cached value: HICM. Do not assume it remains appropriate.</t>
      </text>
    </comment>
    <comment ref="F110" authorId="0" shapeId="0">
      <text>
        <t>Manual input: not supplied by SQL. Historical Schedule X(b)!F13 cached value: HICM. Do not assume it remains appropriate.</t>
      </text>
    </comment>
    <comment ref="G110" authorId="0" shapeId="0">
      <text>
        <t>Manual input: not supplied by SQL. Historical Schedule X(b)!G13 cached value: HICM. Do not assume it remains appropriate.</t>
      </text>
    </comment>
    <comment ref="H110" authorId="0" shapeId="0">
      <text>
        <t>Manual input: not supplied by SQL. Historical Schedule X(b)!H13 cached value: HICM. Do not assume it remains appropriate.</t>
      </text>
    </comment>
    <comment ref="E111" authorId="0" shapeId="0">
      <text>
        <t>Manual input: not supplied by SQL. Historical Schedule X(b)!E14 cached value: HICM. Do not assume it remains appropriate.</t>
      </text>
    </comment>
    <comment ref="F111" authorId="0" shapeId="0">
      <text>
        <t>Manual input: not supplied by SQL. Historical Schedule X(b)!F14 cached value: HICM. Do not assume it remains appropriate.</t>
      </text>
    </comment>
    <comment ref="G111" authorId="0" shapeId="0">
      <text>
        <t>Manual input: not supplied by SQL. Historical Schedule X(b)!G14 cached value: HICM. Do not assume it remains appropriate.</t>
      </text>
    </comment>
    <comment ref="H111" authorId="0" shapeId="0">
      <text>
        <t>Manual input: not supplied by SQL. Historical Schedule X(b)!H14 cached value: HICM. Do not assume it remains appropriate.</t>
      </text>
    </comment>
    <comment ref="E112" authorId="0" shapeId="0">
      <text>
        <t>Manual input: not supplied by SQL. Historical Schedule X(b)!E15 cached value: HICM. Do not assume it remains appropriate.</t>
      </text>
    </comment>
    <comment ref="F112" authorId="0" shapeId="0">
      <text>
        <t>Manual input: not supplied by SQL. Historical Schedule X(b)!F15 cached value: HICM. Do not assume it remains appropriate.</t>
      </text>
    </comment>
    <comment ref="G112" authorId="0" shapeId="0">
      <text>
        <t>Manual input: not supplied by SQL. Historical Schedule X(b)!G15 cached value: HICM. Do not assume it remains appropriate.</t>
      </text>
    </comment>
    <comment ref="H112" authorId="0" shapeId="0">
      <text>
        <t>Manual input: not supplied by SQL. Historical Schedule X(b)!H15 cached value: HICM. Do not assume it remains appropriate.</t>
      </text>
    </comment>
    <comment ref="E115" authorId="0" shapeId="0">
      <text>
        <t>Manual input: not supplied by SQL. Historical Schedule X(b)!E18 cached value: HICM. Do not assume it remains appropriate.</t>
      </text>
    </comment>
    <comment ref="J115" authorId="0" shapeId="0">
      <text>
        <t>Manual input: not supplied by SQL. Historical Schedule X(b)!J18 cached value: HICM. Do not assume it remains appropriate.</t>
      </text>
    </comment>
    <comment ref="J116" authorId="0" shapeId="0">
      <text>
        <t>Manual input: not supplied by SQL. Historical Schedule X(b)!J19 cached value: HICM. Do not assume it remains appropriate.</t>
      </text>
    </comment>
    <comment ref="E117" authorId="0" shapeId="0">
      <text>
        <t>Manual input: not supplied by SQL. Historical Schedule X(b)!E20 cached value: HICM. Do not assume it remains appropriate.</t>
      </text>
    </comment>
    <comment ref="J117" authorId="0" shapeId="0">
      <text>
        <t>Manual input: not supplied by SQL. Historical Schedule X(b)!J20 cached value: HICM. Do not assume it remains appropriate.</t>
      </text>
    </comment>
    <comment ref="E119" authorId="0" shapeId="0">
      <text>
        <t>Manual input: not supplied by SQL. Historical Schedule X(b)!E22 cached value: 0. Do not assume it remains appropriate.</t>
      </text>
    </comment>
    <comment ref="J119" authorId="0" shapeId="0">
      <text>
        <t>Manual input: not supplied by SQL. Historical Schedule X(b)!J22 cached value: 0. Do not assume it remains appropriate.</t>
      </text>
    </comment>
    <comment ref="E120" authorId="0" shapeId="0">
      <text>
        <t>Manual input: not supplied by SQL. Historical Schedule X(b)!E23 cached value: 9.05. Do not assume it remains appropriate.</t>
      </text>
    </comment>
    <comment ref="J120" authorId="0" shapeId="0">
      <text>
        <t>Manual input: not supplied by SQL. Historical Schedule X(b)!J23 cached value: 7.85. Do not assume it remains appropriate.</t>
      </text>
    </comment>
    <comment ref="E122" authorId="0" shapeId="0">
      <text>
        <t>Manual input: not supplied by SQL. Historical Schedule X(b)!E25 cached value: 0. Do not assume it remains appropriate.</t>
      </text>
    </comment>
    <comment ref="J122" authorId="0" shapeId="0">
      <text>
        <t>Manual input: not supplied by SQL. Historical Schedule X(b)!J25 cached value: 0. Do not assume it remains appropriate.</t>
      </text>
    </comment>
    <comment ref="E123" authorId="0" shapeId="0">
      <text>
        <t>Manual input: not supplied by SQL. Historical Schedule X(b)!E26 cached value: 0. Do not assume it remains appropriate.</t>
      </text>
    </comment>
    <comment ref="J123" authorId="0" shapeId="0">
      <text>
        <t>Manual input: not supplied by SQL. Historical Schedule X(b)!J26 cached value: 0. Do not assume it remains appropriate.</t>
      </text>
    </comment>
    <comment ref="E124" authorId="1" shapeId="0">
      <text>
        <t>Automatic from SQL input. Money is already USD: divide by 1,000,000 only. Counts are unscaled.</t>
      </text>
    </comment>
    <comment ref="J124" authorId="1" shapeId="0">
      <text>
        <t>Automatic from SQL input. Money is already USD: divide by 1,000,000 only. Counts are unscaled.</t>
      </text>
    </comment>
    <comment ref="E125" authorId="1" shapeId="0">
      <text>
        <t>Automatic from SQL input. Money is already USD: divide by 1,000,000 only. Counts are unscaled.</t>
      </text>
    </comment>
    <comment ref="J125" authorId="1" shapeId="0">
      <text>
        <t>Automatic from SQL input. Money is already USD: divide by 1,000,000 only. Counts are unscaled.</t>
      </text>
    </comment>
    <comment ref="E126" authorId="0" shapeId="0">
      <text>
        <t>Manual input: not supplied by SQL. Historical Schedule X(b)!E29 cached value: 0. Do not assume it remains appropriate.</t>
      </text>
    </comment>
    <comment ref="J126" authorId="0" shapeId="0">
      <text>
        <t>Manual input: not supplied by SQL. Historical Schedule X(b)!J29 cached value: 0. Do not assume it remains appropriate.</t>
      </text>
    </comment>
    <comment ref="E127" authorId="0" shapeId="0">
      <text>
        <t>Manual input: not supplied by SQL. Historical Schedule X(b)!E30 cached value: 0. Do not assume it remains appropriate.</t>
      </text>
    </comment>
    <comment ref="J127" authorId="0" shapeId="0">
      <text>
        <t>Manual input: not supplied by SQL. Historical Schedule X(b)!J30 cached value: 0. Do not assume it remains appropriate.</t>
      </text>
    </comment>
    <comment ref="I129" authorId="0" shapeId="0">
      <text>
        <t>Manual input: not supplied by SQL. Historical Schedule X(b)!I32 cached value: None. Do not assume it remains appropriate.</t>
      </text>
    </comment>
    <comment ref="J129" authorId="0" shapeId="0">
      <text>
        <t>Manual input: not supplied by SQL. Historical Schedule X(b)!J32 cached value: None. Do not assume it remains appropriate.</t>
      </text>
    </comment>
    <comment ref="K129" authorId="0" shapeId="0">
      <text>
        <t>Manual input: not supplied by SQL. Historical Schedule X(b)!K32 cached value: None. Do not assume it remains appropriate.</t>
      </text>
    </comment>
    <comment ref="E130" authorId="0" shapeId="0">
      <text>
        <t>Manual input: not supplied by SQL. Historical Schedule X(b)!E33 cached value: None. Do not assume it remains appropriate.</t>
      </text>
    </comment>
    <comment ref="I130" authorId="0" shapeId="0">
      <text>
        <t>Manual input: not supplied by SQL. Historical Schedule X(b)!I33 cached value: #REF!. Do not assume it remains appropriate.</t>
      </text>
    </comment>
    <comment ref="E131" authorId="0" shapeId="0">
      <text>
        <t>Manual input: not supplied by SQL. Historical Schedule X(b)!E34 cached value: None. Do not assume it remains appropriate.</t>
      </text>
    </comment>
    <comment ref="I131" authorId="0" shapeId="0">
      <text>
        <t>Manual input: not supplied by SQL. Historical Schedule X(b)!I34 cached value: #REF!. Do not assume it remains appropriate.</t>
      </text>
    </comment>
    <comment ref="E132" authorId="0" shapeId="0">
      <text>
        <t>Manual input: not supplied by SQL. Historical Schedule X(b)!E35 cached value: None. Do not assume it remains appropriate.</t>
      </text>
    </comment>
    <comment ref="I132" authorId="0" shapeId="0">
      <text>
        <t>Manual input: not supplied by SQL. Historical Schedule X(b)!I35 cached value: #REF!. Do not assume it remains appropriate.</t>
      </text>
    </comment>
    <comment ref="E133" authorId="0" shapeId="0">
      <text>
        <t>Manual input: not supplied by SQL. Historical Schedule X(b)!E36 cached value: None. Do not assume it remains appropriate.</t>
      </text>
    </comment>
    <comment ref="I133" authorId="0" shapeId="0">
      <text>
        <t>Manual input: not supplied by SQL. Historical Schedule X(b)!I36 cached value: #REF!. Do not assume it remains appropriate.</t>
      </text>
    </comment>
    <comment ref="E134" authorId="0" shapeId="0">
      <text>
        <t>Manual input: not supplied by SQL. Historical Schedule X(b)!E37 cached value: None. Do not assume it remains appropriate.</t>
      </text>
    </comment>
    <comment ref="I134" authorId="0" shapeId="0">
      <text>
        <t>Manual input: not supplied by SQL. Historical Schedule X(b)!I37 cached value: #REF!. Do not assume it remains appropriate.</t>
      </text>
    </comment>
    <comment ref="E135" authorId="0" shapeId="0">
      <text>
        <t>Manual input: not supplied by SQL. Historical Schedule X(b)!E38 cached value: None. Do not assume it remains appropriate.</t>
      </text>
    </comment>
    <comment ref="I135" authorId="0" shapeId="0">
      <text>
        <t>Manual input: not supplied by SQL. Historical Schedule X(b)!I38 cached value: #REF!. Do not assume it remains appropriate.</t>
      </text>
    </comment>
    <comment ref="E136" authorId="0" shapeId="0">
      <text>
        <t>Manual input: not supplied by SQL. Historical Schedule X(b)!E39 cached value: None. Do not assume it remains appropriate.</t>
      </text>
    </comment>
    <comment ref="I136" authorId="0" shapeId="0">
      <text>
        <t>Manual input: not supplied by SQL. Historical Schedule X(b)!I39 cached value: #REF!. Do not assume it remains appropriate.</t>
      </text>
    </comment>
    <comment ref="E137" authorId="0" shapeId="0">
      <text>
        <t>Manual input: not supplied by SQL. Historical Schedule X(b)!E40 cached value: None. Do not assume it remains appropriate.</t>
      </text>
    </comment>
    <comment ref="I137" authorId="0" shapeId="0">
      <text>
        <t>Manual input: not supplied by SQL. Historical Schedule X(b)!I40 cached value: #REF!. Do not assume it remains appropriate.</t>
      </text>
    </comment>
    <comment ref="E138" authorId="0" shapeId="0">
      <text>
        <t>Manual input: not supplied by SQL. Historical Schedule X(b)!E41 cached value: None. Do not assume it remains appropriate.</t>
      </text>
    </comment>
    <comment ref="I138" authorId="0" shapeId="0">
      <text>
        <t>Manual input: not supplied by SQL. Historical Schedule X(b)!I41 cached value: #REF!. Do not assume it remains appropriate.</t>
      </text>
    </comment>
    <comment ref="E139" authorId="0" shapeId="0">
      <text>
        <t>Manual input: not supplied by SQL. Historical Schedule X(b)!E42 cached value: None. Do not assume it remains appropriate.</t>
      </text>
    </comment>
    <comment ref="I139" authorId="0" shapeId="0">
      <text>
        <t>Manual input: not supplied by SQL. Historical Schedule X(b)!I42 cached value: #REF!. Do not assume it remains appropriate.</t>
      </text>
    </comment>
    <comment ref="E140" authorId="0" shapeId="0">
      <text>
        <t>Manual input: not supplied by SQL. Historical Schedule X(b)!E43 cached value: None. Do not assume it remains appropriate.</t>
      </text>
    </comment>
    <comment ref="I140" authorId="0" shapeId="0">
      <text>
        <t>Manual input: not supplied by SQL. Historical Schedule X(b)!I43 cached value: #REF!. Do not assume it remains appropriate.</t>
      </text>
    </comment>
    <comment ref="E141" authorId="0" shapeId="0">
      <text>
        <t>Manual input: not supplied by SQL. Historical Schedule X(b)!E44 cached value: None. Do not assume it remains appropriate.</t>
      </text>
    </comment>
    <comment ref="I141" authorId="0" shapeId="0">
      <text>
        <t>Manual input: not supplied by SQL. Historical Schedule X(b)!I44 cached value: #REF!. Do not assume it remains appropriate.</t>
      </text>
    </comment>
    <comment ref="E142" authorId="0" shapeId="0">
      <text>
        <t>Manual input: not supplied by SQL. Historical Schedule X(b)!E45 cached value: None. Do not assume it remains appropriate.</t>
      </text>
    </comment>
    <comment ref="I142" authorId="0" shapeId="0">
      <text>
        <t>Manual input: not supplied by SQL. Historical Schedule X(b)!I45 cached value: #REF!. Do not assume it remains appropriate.</t>
      </text>
    </comment>
    <comment ref="E143" authorId="0" shapeId="0">
      <text>
        <t>Manual input: not supplied by SQL. Historical Schedule X(b)!E46 cached value: None. Do not assume it remains appropriate.</t>
      </text>
    </comment>
    <comment ref="I143" authorId="0" shapeId="0">
      <text>
        <t>Manual input: not supplied by SQL. Historical Schedule X(b)!I46 cached value: #REF!. Do not assume it remains appropriate.</t>
      </text>
    </comment>
    <comment ref="E144" authorId="0" shapeId="0">
      <text>
        <t>Manual input: not supplied by SQL. Historical Schedule X(b)!E47 cached value: None. Do not assume it remains appropriate.</t>
      </text>
    </comment>
    <comment ref="I144" authorId="0" shapeId="0">
      <text>
        <t>Manual input: not supplied by SQL. Historical Schedule X(b)!I47 cached value: #REF!. Do not assume it remains appropriate.</t>
      </text>
    </comment>
    <comment ref="E145" authorId="0" shapeId="0">
      <text>
        <t>Manual input: not supplied by SQL. Historical Schedule X(b)!E48 cached value: None. Do not assume it remains appropriate.</t>
      </text>
    </comment>
    <comment ref="I145" authorId="0" shapeId="0">
      <text>
        <t>Manual input: not supplied by SQL. Historical Schedule X(b)!I48 cached value: #REF!. Do not assume it remains appropriate.</t>
      </text>
    </comment>
    <comment ref="I146" authorId="0" shapeId="0">
      <text>
        <t>Manual input: not supplied by SQL. Historical Schedule X(b)!I49 cached value: None. Do not assume it remains appropriate.</t>
      </text>
    </comment>
    <comment ref="J146" authorId="0" shapeId="0">
      <text>
        <t>Manual input: not supplied by SQL. Historical Schedule X(b)!J49 cached value: None. Do not assume it remains appropriate.</t>
      </text>
    </comment>
    <comment ref="K146" authorId="0" shapeId="0">
      <text>
        <t>Manual input: not supplied by SQL. Historical Schedule X(b)!K49 cached value: None. Do not assume it remains appropriate.</t>
      </text>
    </comment>
    <comment ref="I147" authorId="0" shapeId="0">
      <text>
        <t>Manual input: not supplied by SQL. Historical Schedule X(b)!I50 cached value: None. Do not assume it remains appropriate.</t>
      </text>
    </comment>
    <comment ref="J147" authorId="0" shapeId="0">
      <text>
        <t>Manual input: not supplied by SQL. Historical Schedule X(b)!J50 cached value: None. Do not assume it remains appropriate.</t>
      </text>
    </comment>
    <comment ref="K147" authorId="0" shapeId="0">
      <text>
        <t>Manual input: not supplied by SQL. Historical Schedule X(b)!K50 cached value: None. Do not assume it remains appropriate.</t>
      </text>
    </comment>
    <comment ref="E148" authorId="0" shapeId="0">
      <text>
        <t>Manual input: not supplied by SQL. Historical Schedule X(b)!E51 cached value: None. Do not assume it remains appropriate.</t>
      </text>
    </comment>
    <comment ref="I148" authorId="0" shapeId="0">
      <text>
        <t>Manual input: not supplied by SQL. Historical Schedule X(b)!I51 cached value: #REF!. Do not assume it remains appropriate.</t>
      </text>
    </comment>
    <comment ref="E149" authorId="0" shapeId="0">
      <text>
        <t>Manual input: not supplied by SQL. Historical Schedule X(b)!E52 cached value: None. Do not assume it remains appropriate.</t>
      </text>
    </comment>
    <comment ref="I149" authorId="0" shapeId="0">
      <text>
        <t>Manual input: not supplied by SQL. Historical Schedule X(b)!I52 cached value: #REF!. Do not assume it remains appropriate.</t>
      </text>
    </comment>
    <comment ref="E150" authorId="0" shapeId="0">
      <text>
        <t>Manual input: not supplied by SQL. Historical Schedule X(b)!E53 cached value: None. Do not assume it remains appropriate.</t>
      </text>
    </comment>
    <comment ref="I150" authorId="0" shapeId="0">
      <text>
        <t>Manual input: not supplied by SQL. Historical Schedule X(b)!I53 cached value: #REF!. Do not assume it remains appropriate.</t>
      </text>
    </comment>
    <comment ref="E151" authorId="0" shapeId="0">
      <text>
        <t>Manual input: not supplied by SQL. Historical Schedule X(b)!E54 cached value: None. Do not assume it remains appropriate.</t>
      </text>
    </comment>
    <comment ref="I151" authorId="0" shapeId="0">
      <text>
        <t>Manual input: not supplied by SQL. Historical Schedule X(b)!I54 cached value: #REF!. Do not assume it remains appropriate.</t>
      </text>
    </comment>
    <comment ref="E152" authorId="0" shapeId="0">
      <text>
        <t>Manual input: not supplied by SQL. Historical Schedule X(b)!E55 cached value: None. Do not assume it remains appropriate.</t>
      </text>
    </comment>
    <comment ref="I152" authorId="0" shapeId="0">
      <text>
        <t>Manual input: not supplied by SQL. Historical Schedule X(b)!I55 cached value: #REF!. Do not assume it remains appropriate.</t>
      </text>
    </comment>
    <comment ref="I153" authorId="0" shapeId="0">
      <text>
        <t>Manual input: not supplied by SQL. Historical Schedule X(b)!I56 cached value: None. Do not assume it remains appropriate.</t>
      </text>
    </comment>
    <comment ref="J153" authorId="0" shapeId="0">
      <text>
        <t>Manual input: not supplied by SQL. Historical Schedule X(b)!J56 cached value: None. Do not assume it remains appropriate.</t>
      </text>
    </comment>
    <comment ref="K153" authorId="0" shapeId="0">
      <text>
        <t>Manual input: not supplied by SQL. Historical Schedule X(b)!K56 cached value: None. Do not assume it remains appropriate.</t>
      </text>
    </comment>
    <comment ref="I154" authorId="0" shapeId="0">
      <text>
        <t>Manual input: not supplied by SQL. Historical Schedule X(b)!I57 cached value: None. Do not assume it remains appropriate.</t>
      </text>
    </comment>
    <comment ref="J154" authorId="0" shapeId="0">
      <text>
        <t>Manual input: not supplied by SQL. Historical Schedule X(b)!J57 cached value: None. Do not assume it remains appropriate.</t>
      </text>
    </comment>
    <comment ref="K154" authorId="0" shapeId="0">
      <text>
        <t>Manual input: not supplied by SQL. Historical Schedule X(b)!K57 cached value: None. Do not assume it remains appropriate.</t>
      </text>
    </comment>
    <comment ref="E155" authorId="0" shapeId="0">
      <text>
        <t>Manual input: not supplied by SQL. Historical Schedule X(b)!E58 cached value: None. Do not assume it remains appropriate.</t>
      </text>
    </comment>
    <comment ref="I155" authorId="0" shapeId="0">
      <text>
        <t>Manual input: not supplied by SQL. Historical Schedule X(b)!I58 cached value: #REF!. Do not assume it remains appropriate.</t>
      </text>
    </comment>
    <comment ref="E156" authorId="0" shapeId="0">
      <text>
        <t>Manual input: not supplied by SQL. Historical Schedule X(b)!E59 cached value: None. Do not assume it remains appropriate.</t>
      </text>
    </comment>
    <comment ref="I156" authorId="0" shapeId="0">
      <text>
        <t>Manual input: not supplied by SQL. Historical Schedule X(b)!I59 cached value: #REF!. Do not assume it remains appropriate.</t>
      </text>
    </comment>
    <comment ref="I157" authorId="0" shapeId="0">
      <text>
        <t>Manual input: not supplied by SQL. Historical Schedule X(b)!I60 cached value: None. Do not assume it remains appropriate.</t>
      </text>
    </comment>
    <comment ref="J157" authorId="0" shapeId="0">
      <text>
        <t>Manual input: not supplied by SQL. Historical Schedule X(b)!J60 cached value: None. Do not assume it remains appropriate.</t>
      </text>
    </comment>
    <comment ref="K157" authorId="0" shapeId="0">
      <text>
        <t>Manual input: not supplied by SQL. Historical Schedule X(b)!K60 cached value: None. Do not assume it remains appropriate.</t>
      </text>
    </comment>
    <comment ref="I158" authorId="0" shapeId="0">
      <text>
        <t>Manual input: not supplied by SQL. Historical Schedule X(b)!I61 cached value: None. Do not assume it remains appropriate.</t>
      </text>
    </comment>
    <comment ref="J158" authorId="0" shapeId="0">
      <text>
        <t>Manual input: not supplied by SQL. Historical Schedule X(b)!J61 cached value: None. Do not assume it remains appropriate.</t>
      </text>
    </comment>
    <comment ref="K158" authorId="0" shapeId="0">
      <text>
        <t>Manual input: not supplied by SQL. Historical Schedule X(b)!K61 cached value: None. Do not assume it remains appropriate.</t>
      </text>
    </comment>
    <comment ref="E159" authorId="0" shapeId="0">
      <text>
        <t>Manual input: not supplied by SQL. Historical Schedule X(b)!E62 cached value: None. Do not assume it remains appropriate.</t>
      </text>
    </comment>
    <comment ref="I159" authorId="0" shapeId="0">
      <text>
        <t>Manual input: not supplied by SQL. Historical Schedule X(b)!I62 cached value: #REF!. Do not assume it remains appropriate.</t>
      </text>
    </comment>
    <comment ref="E160" authorId="0" shapeId="0">
      <text>
        <t>Manual input: not supplied by SQL. Historical Schedule X(b)!E63 cached value: None. Do not assume it remains appropriate.</t>
      </text>
    </comment>
    <comment ref="I160" authorId="0" shapeId="0">
      <text>
        <t>Manual input: not supplied by SQL. Historical Schedule X(b)!I63 cached value: #REF!. Do not assume it remains appropriate.</t>
      </text>
    </comment>
    <comment ref="E161" authorId="0" shapeId="0">
      <text>
        <t>Manual input: not supplied by SQL. Historical Schedule X(b)!E64 cached value: None. Do not assume it remains appropriate.</t>
      </text>
    </comment>
    <comment ref="I161" authorId="0" shapeId="0">
      <text>
        <t>Manual input: not supplied by SQL. Historical Schedule X(b)!I64 cached value: #REF!. Do not assume it remains appropriate.</t>
      </text>
    </comment>
    <comment ref="E162" authorId="0" shapeId="0">
      <text>
        <t>Manual input: not supplied by SQL. Historical Schedule X(b)!E65 cached value: None. Do not assume it remains appropriate.</t>
      </text>
    </comment>
    <comment ref="I162" authorId="0" shapeId="0">
      <text>
        <t>Manual input: not supplied by SQL. Historical Schedule X(b)!I65 cached value: #REF!. Do not assume it remains appropriate.</t>
      </text>
    </comment>
    <comment ref="E163" authorId="0" shapeId="0">
      <text>
        <t>Manual input: not supplied by SQL. Historical Schedule X(b)!E66 cached value: None. Do not assume it remains appropriate.</t>
      </text>
    </comment>
    <comment ref="I163" authorId="0" shapeId="0">
      <text>
        <t>Manual input: not supplied by SQL. Historical Schedule X(b)!I66 cached value: #REF!. Do not assume it remains appropriate.</t>
      </text>
    </comment>
    <comment ref="E164" authorId="0" shapeId="0">
      <text>
        <t>Manual input: not supplied by SQL. Historical Schedule X(b)!E67 cached value: None. Do not assume it remains appropriate.</t>
      </text>
    </comment>
    <comment ref="I164" authorId="0" shapeId="0">
      <text>
        <t>Manual input: not supplied by SQL. Historical Schedule X(b)!I67 cached value: #REF!. Do not assume it remains appropriate.</t>
      </text>
    </comment>
    <comment ref="I165" authorId="0" shapeId="0">
      <text>
        <t>Manual input: not supplied by SQL. Historical Schedule X(b)!I68 cached value: None. Do not assume it remains appropriate.</t>
      </text>
    </comment>
    <comment ref="J165" authorId="0" shapeId="0">
      <text>
        <t>Manual input: not supplied by SQL. Historical Schedule X(b)!J68 cached value: None. Do not assume it remains appropriate.</t>
      </text>
    </comment>
    <comment ref="K165" authorId="0" shapeId="0">
      <text>
        <t>Manual input: not supplied by SQL. Historical Schedule X(b)!K68 cached value: None. Do not assume it remains appropriate.</t>
      </text>
    </comment>
    <comment ref="I166" authorId="0" shapeId="0">
      <text>
        <t>Manual input: not supplied by SQL. Historical Schedule X(b)!I69 cached value: None. Do not assume it remains appropriate.</t>
      </text>
    </comment>
    <comment ref="J166" authorId="0" shapeId="0">
      <text>
        <t>Manual input: not supplied by SQL. Historical Schedule X(b)!J69 cached value: None. Do not assume it remains appropriate.</t>
      </text>
    </comment>
    <comment ref="K166" authorId="0" shapeId="0">
      <text>
        <t>Manual input: not supplied by SQL. Historical Schedule X(b)!K69 cached value: None. Do not assume it remains appropriate.</t>
      </text>
    </comment>
    <comment ref="E167" authorId="0" shapeId="0">
      <text>
        <t>Manual input: not supplied by SQL. Historical Schedule X(b)!E70 cached value: None. Do not assume it remains appropriate.</t>
      </text>
    </comment>
    <comment ref="I167" authorId="0" shapeId="0">
      <text>
        <t>Manual input: not supplied by SQL. Historical Schedule X(b)!I70 cached value: #REF!. Do not assume it remains appropriate.</t>
      </text>
    </comment>
    <comment ref="E168" authorId="0" shapeId="0">
      <text>
        <t>Manual input: not supplied by SQL. Historical Schedule X(b)!E71 cached value: None. Do not assume it remains appropriate.</t>
      </text>
    </comment>
    <comment ref="I168" authorId="0" shapeId="0">
      <text>
        <t>Manual input: not supplied by SQL. Historical Schedule X(b)!I71 cached value: #REF!. Do not assume it remains appropriate.</t>
      </text>
    </comment>
    <comment ref="E169" authorId="0" shapeId="0">
      <text>
        <t>Manual input: not supplied by SQL. Historical Schedule X(b)!E72 cached value: None. Do not assume it remains appropriate.</t>
      </text>
    </comment>
    <comment ref="I169" authorId="0" shapeId="0">
      <text>
        <t>Manual input: not supplied by SQL. Historical Schedule X(b)!I72 cached value: #REF!. Do not assume it remains appropriate.</t>
      </text>
    </comment>
    <comment ref="E170" authorId="0" shapeId="0">
      <text>
        <t>Manual input: not supplied by SQL. Historical Schedule X(b)!E73 cached value: None. Do not assume it remains appropriate.</t>
      </text>
    </comment>
    <comment ref="I170" authorId="0" shapeId="0">
      <text>
        <t>Manual input: not supplied by SQL. Historical Schedule X(b)!I73 cached value: #REF!. Do not assume it remains appropriate.</t>
      </text>
    </comment>
    <comment ref="E171" authorId="0" shapeId="0">
      <text>
        <t>Manual input: not supplied by SQL. Historical Schedule X(b)!E74 cached value: None. Do not assume it remains appropriate.</t>
      </text>
    </comment>
    <comment ref="I171" authorId="0" shapeId="0">
      <text>
        <t>Manual input: not supplied by SQL. Historical Schedule X(b)!I74 cached value: #REF!. Do not assume it remains appropriate.</t>
      </text>
    </comment>
    <comment ref="E172" authorId="0" shapeId="0">
      <text>
        <t>Manual input: not supplied by SQL. Historical Schedule X(b)!E75 cached value: None. Do not assume it remains appropriate.</t>
      </text>
    </comment>
    <comment ref="I172" authorId="0" shapeId="0">
      <text>
        <t>Manual input: not supplied by SQL. Historical Schedule X(b)!I75 cached value: #REF!. Do not assume it remains appropriate.</t>
      </text>
    </comment>
    <comment ref="E173" authorId="0" shapeId="0">
      <text>
        <t>Manual input: not supplied by SQL. Historical Schedule X(b)!E76 cached value: None. Do not assume it remains appropriate.</t>
      </text>
    </comment>
    <comment ref="I173" authorId="0" shapeId="0">
      <text>
        <t>Manual input: not supplied by SQL. Historical Schedule X(b)!I76 cached value: #REF!. Do not assume it remains appropriate.</t>
      </text>
    </comment>
    <comment ref="E174" authorId="0" shapeId="0">
      <text>
        <t>Manual input: not supplied by SQL. Historical Schedule X(b)!E77 cached value: None. Do not assume it remains appropriate.</t>
      </text>
    </comment>
    <comment ref="I174" authorId="0" shapeId="0">
      <text>
        <t>Manual input: not supplied by SQL. Historical Schedule X(b)!I77 cached value: #REF!. Do not assume it remains appropriate.</t>
      </text>
    </comment>
    <comment ref="I175" authorId="0" shapeId="0">
      <text>
        <t>Manual input: not supplied by SQL. Historical Schedule X(b)!I78 cached value: None. Do not assume it remains appropriate.</t>
      </text>
    </comment>
    <comment ref="J175" authorId="0" shapeId="0">
      <text>
        <t>Manual input: not supplied by SQL. Historical Schedule X(b)!J78 cached value: None. Do not assume it remains appropriate.</t>
      </text>
    </comment>
    <comment ref="K175" authorId="0" shapeId="0">
      <text>
        <t>Manual input: not supplied by SQL. Historical Schedule X(b)!K78 cached value: None. Do not assume it remains appropriate.</t>
      </text>
    </comment>
    <comment ref="G176" authorId="0" shapeId="0">
      <text>
        <t>Manual input: not supplied by SQL. Historical Schedule X(b)!G79 cached value: None. Do not assume it remains appropriate.</t>
      </text>
    </comment>
    <comment ref="I176" authorId="0" shapeId="0">
      <text>
        <t>Manual input: not supplied by SQL. Historical Schedule X(b)!I79 cached value: None. Do not assume it remains appropriate.</t>
      </text>
    </comment>
    <comment ref="J176" authorId="0" shapeId="0">
      <text>
        <t>Manual input: not supplied by SQL. Historical Schedule X(b)!J79 cached value: None. Do not assume it remains appropriate.</t>
      </text>
    </comment>
    <comment ref="K176" authorId="0" shapeId="0">
      <text>
        <t>Manual input: not supplied by SQL. Historical Schedule X(b)!K79 cached value: None. Do not assume it remains appropriate.</t>
      </text>
    </comment>
    <comment ref="G177" authorId="0" shapeId="0">
      <text>
        <t>Manual input: not supplied by SQL. Historical Schedule X(b)!G80 cached value: None. Do not assume it remains appropriate.</t>
      </text>
    </comment>
    <comment ref="I177" authorId="0" shapeId="0">
      <text>
        <t>Manual input: not supplied by SQL. Historical Schedule X(b)!I80 cached value: None. Do not assume it remains appropriate.</t>
      </text>
    </comment>
    <comment ref="J177" authorId="0" shapeId="0">
      <text>
        <t>Manual input: not supplied by SQL. Historical Schedule X(b)!J80 cached value: None. Do not assume it remains appropriate.</t>
      </text>
    </comment>
    <comment ref="K177" authorId="0" shapeId="0">
      <text>
        <t>Manual input: not supplied by SQL. Historical Schedule X(b)!K80 cached value: None. Do not assume it remains appropriate.</t>
      </text>
    </comment>
    <comment ref="I178" authorId="0" shapeId="0">
      <text>
        <t>Manual input: not supplied by SQL. Historical Schedule X(b)!I81 cached value: None. Do not assume it remains appropriate.</t>
      </text>
    </comment>
    <comment ref="J178" authorId="0" shapeId="0">
      <text>
        <t>Manual input: not supplied by SQL. Historical Schedule X(b)!J81 cached value: None. Do not assume it remains appropriate.</t>
      </text>
    </comment>
    <comment ref="K178" authorId="0" shapeId="0">
      <text>
        <t>Manual input: not supplied by SQL. Historical Schedule X(b)!K81 cached value: None. Do not assume it remains appropriate.</t>
      </text>
    </comment>
    <comment ref="G179" authorId="0" shapeId="0">
      <text>
        <t>Manual input: not supplied by SQL. Historical Schedule X(b)!G82 cached value: None. Do not assume it remains appropriate.</t>
      </text>
    </comment>
    <comment ref="I179" authorId="0" shapeId="0">
      <text>
        <t>Manual input: not supplied by SQL. Historical Schedule X(b)!I82 cached value: None. Do not assume it remains appropriate.</t>
      </text>
    </comment>
    <comment ref="J179" authorId="0" shapeId="0">
      <text>
        <t>Manual input: not supplied by SQL. Historical Schedule X(b)!J82 cached value: None. Do not assume it remains appropriate.</t>
      </text>
    </comment>
    <comment ref="K179" authorId="0" shapeId="0">
      <text>
        <t>Manual input: not supplied by SQL. Historical Schedule X(b)!K82 cached value: None. Do not assume it remains appropriate.</t>
      </text>
    </comment>
    <comment ref="G180" authorId="0" shapeId="0">
      <text>
        <t>Manual input: not supplied by SQL. Historical Schedule X(b)!G83 cached value: None. Do not assume it remains appropriate.</t>
      </text>
    </comment>
    <comment ref="F196" authorId="0" shapeId="0">
      <text>
        <t>Manual input: not supplied by SQL. Historical Schedule X(c)!F9 cached value: AIR and RMS. Do not assume it remains appropriate.</t>
      </text>
    </comment>
    <comment ref="F197" authorId="0" shapeId="0">
      <text>
        <t>Manual input: not supplied by SQL. Historical Schedule X(c)!F10 cached value: AIR vXX RMS vXX. Do not assume it remains appropriate.</t>
      </text>
    </comment>
    <comment ref="D203" authorId="0" shapeId="0">
      <text>
        <t>Manual input: not supplied by SQL. Historical Schedule X(c)!D16 cached value: HICM. Do not assume it remains appropriate.</t>
      </text>
    </comment>
    <comment ref="E203" authorId="0" shapeId="0">
      <text>
        <t>Manual input: not supplied by SQL. Historical Schedule X(c)!E16 cached value: HICM. Do not assume it remains appropriate.</t>
      </text>
    </comment>
    <comment ref="F203" authorId="0" shapeId="0">
      <text>
        <t>Manual input: not supplied by SQL. Historical Schedule X(c)!F16 cached value: HICM. Do not assume it remains appropriate.</t>
      </text>
    </comment>
    <comment ref="G203" authorId="0" shapeId="0">
      <text>
        <t>Manual input: not supplied by SQL. Historical Schedule X(c)!G16 cached value: HICM. Do not assume it remains appropriate.</t>
      </text>
    </comment>
    <comment ref="D204" authorId="0" shapeId="0">
      <text>
        <t>Manual input: not supplied by SQL. Historical Schedule X(c)!D17 cached value: HICM. Do not assume it remains appropriate.</t>
      </text>
    </comment>
    <comment ref="E204" authorId="0" shapeId="0">
      <text>
        <t>Manual input: not supplied by SQL. Historical Schedule X(c)!E17 cached value: HICM. Do not assume it remains appropriate.</t>
      </text>
    </comment>
    <comment ref="F204" authorId="0" shapeId="0">
      <text>
        <t>Manual input: not supplied by SQL. Historical Schedule X(c)!F17 cached value: HICM. Do not assume it remains appropriate.</t>
      </text>
    </comment>
    <comment ref="G204" authorId="0" shapeId="0">
      <text>
        <t>Manual input: not supplied by SQL. Historical Schedule X(c)!G17 cached value: HICM. Do not assume it remains appropriate.</t>
      </text>
    </comment>
    <comment ref="D205" authorId="0" shapeId="0">
      <text>
        <t>Manual input: not supplied by SQL. Historical Schedule X(c)!D18 cached value: HICM. Do not assume it remains appropriate.</t>
      </text>
    </comment>
    <comment ref="E205" authorId="0" shapeId="0">
      <text>
        <t>Manual input: not supplied by SQL. Historical Schedule X(c)!E18 cached value: HICM. Do not assume it remains appropriate.</t>
      </text>
    </comment>
    <comment ref="F205" authorId="0" shapeId="0">
      <text>
        <t>Manual input: not supplied by SQL. Historical Schedule X(c)!F18 cached value: HICM. Do not assume it remains appropriate.</t>
      </text>
    </comment>
    <comment ref="G205" authorId="0" shapeId="0">
      <text>
        <t>Manual input: not supplied by SQL. Historical Schedule X(c)!G18 cached value: HICM. Do not assume it remains appropriate.</t>
      </text>
    </comment>
    <comment ref="D206" authorId="0" shapeId="0">
      <text>
        <t>Manual input: not supplied by SQL. Historical Schedule X(c)!D19 cached value: HICM. Do not assume it remains appropriate.</t>
      </text>
    </comment>
    <comment ref="E206" authorId="0" shapeId="0">
      <text>
        <t>Manual input: not supplied by SQL. Historical Schedule X(c)!E19 cached value: HICM. Do not assume it remains appropriate.</t>
      </text>
    </comment>
    <comment ref="F206" authorId="0" shapeId="0">
      <text>
        <t>Manual input: not supplied by SQL. Historical Schedule X(c)!F19 cached value: HICM. Do not assume it remains appropriate.</t>
      </text>
    </comment>
    <comment ref="G206" authorId="0" shapeId="0">
      <text>
        <t>Manual input: not supplied by SQL. Historical Schedule X(c)!G19 cached value: HICM. Do not assume it remains appropriate.</t>
      </text>
    </comment>
    <comment ref="D207" authorId="0" shapeId="0">
      <text>
        <t>Manual input: not supplied by SQL. Historical Schedule X(c)!D20 cached value: HICM. Do not assume it remains appropriate.</t>
      </text>
    </comment>
    <comment ref="E207" authorId="0" shapeId="0">
      <text>
        <t>Manual input: not supplied by SQL. Historical Schedule X(c)!E20 cached value: HICM. Do not assume it remains appropriate.</t>
      </text>
    </comment>
    <comment ref="F207" authorId="0" shapeId="0">
      <text>
        <t>Manual input: not supplied by SQL. Historical Schedule X(c)!F20 cached value: HICM. Do not assume it remains appropriate.</t>
      </text>
    </comment>
    <comment ref="G207" authorId="0" shapeId="0">
      <text>
        <t>Manual input: not supplied by SQL. Historical Schedule X(c)!G20 cached value: HICM. Do not assume it remains appropriate.</t>
      </text>
    </comment>
    <comment ref="E211" authorId="0" shapeId="0">
      <text>
        <t>Manual input: not supplied by SQL. Historical Schedule X(c)!E24 cached value: None. Do not assume it remains appropriate.</t>
      </text>
    </comment>
    <comment ref="F211" authorId="0" shapeId="0">
      <text>
        <t>Manual input: not supplied by SQL. Historical Schedule X(c)!F24 cached value: None. Do not assume it remains appropriate.</t>
      </text>
    </comment>
    <comment ref="E212" authorId="0" shapeId="0">
      <text>
        <t>Manual input: not supplied by SQL. Historical Schedule X(c)!E25 cached value: 1.22. Do not assume it remains appropriate.</t>
      </text>
    </comment>
    <comment ref="F212" authorId="0" shapeId="0">
      <text>
        <t>Manual input: not supplied by SQL. Historical Schedule X(c)!F25 cached value: 0.95. Do not assume it remains appropriate.</t>
      </text>
    </comment>
    <comment ref="E213" authorId="0" shapeId="0">
      <text>
        <t>Manual input: not supplied by SQL. Historical Schedule X(c)!E26 cached value: None. Do not assume it remains appropriate.</t>
      </text>
    </comment>
    <comment ref="F213" authorId="0" shapeId="0">
      <text>
        <t>Manual input: not supplied by SQL. Historical Schedule X(c)!F26 cached value: None. Do not assume it remains appropriate.</t>
      </text>
    </comment>
    <comment ref="E214" authorId="1" shapeId="0">
      <text>
        <t>Automatic from SQL input. Money is already USD: divide by 1,000,000 only. Counts are unscaled.</t>
      </text>
    </comment>
    <comment ref="F214" authorId="1" shapeId="0">
      <text>
        <t>Automatic from SQL input. Money is already USD: divide by 1,000,000 only. Counts are unscaled.</t>
      </text>
    </comment>
    <comment ref="F218" authorId="0" shapeId="0">
      <text>
        <t>Manual input: not supplied by SQL. Historical Schedule X(c)!F31 cached value: AIR and RMS. Do not assume it remains appropriate.</t>
      </text>
    </comment>
    <comment ref="F219" authorId="0" shapeId="0">
      <text>
        <t>Manual input: not supplied by SQL. Historical Schedule X(c)!F32 cached value: AIR vXX RMS vXX. Do not assume it remains appropriate.</t>
      </text>
    </comment>
    <comment ref="D225" authorId="0" shapeId="0">
      <text>
        <t>Manual input: not supplied by SQL. Historical Schedule X(c)!D38 cached value: HICM. Do not assume it remains appropriate.</t>
      </text>
    </comment>
    <comment ref="E225" authorId="0" shapeId="0">
      <text>
        <t>Manual input: not supplied by SQL. Historical Schedule X(c)!E38 cached value: HICM. Do not assume it remains appropriate.</t>
      </text>
    </comment>
    <comment ref="F225" authorId="0" shapeId="0">
      <text>
        <t>Manual input: not supplied by SQL. Historical Schedule X(c)!F38 cached value: HICM. Do not assume it remains appropriate.</t>
      </text>
    </comment>
    <comment ref="G225" authorId="0" shapeId="0">
      <text>
        <t>Manual input: not supplied by SQL. Historical Schedule X(c)!G38 cached value: HICM. Do not assume it remains appropriate.</t>
      </text>
    </comment>
    <comment ref="D226" authorId="0" shapeId="0">
      <text>
        <t>Manual input: not supplied by SQL. Historical Schedule X(c)!D39 cached value: HICM. Do not assume it remains appropriate.</t>
      </text>
    </comment>
    <comment ref="E226" authorId="0" shapeId="0">
      <text>
        <t>Manual input: not supplied by SQL. Historical Schedule X(c)!E39 cached value: HICM. Do not assume it remains appropriate.</t>
      </text>
    </comment>
    <comment ref="F226" authorId="0" shapeId="0">
      <text>
        <t>Manual input: not supplied by SQL. Historical Schedule X(c)!F39 cached value: HICM. Do not assume it remains appropriate.</t>
      </text>
    </comment>
    <comment ref="G226" authorId="0" shapeId="0">
      <text>
        <t>Manual input: not supplied by SQL. Historical Schedule X(c)!G39 cached value: HICM. Do not assume it remains appropriate.</t>
      </text>
    </comment>
    <comment ref="D227" authorId="0" shapeId="0">
      <text>
        <t>Manual input: not supplied by SQL. Historical Schedule X(c)!D40 cached value: HICM. Do not assume it remains appropriate.</t>
      </text>
    </comment>
    <comment ref="E227" authorId="0" shapeId="0">
      <text>
        <t>Manual input: not supplied by SQL. Historical Schedule X(c)!E40 cached value: HICM. Do not assume it remains appropriate.</t>
      </text>
    </comment>
    <comment ref="F227" authorId="0" shapeId="0">
      <text>
        <t>Manual input: not supplied by SQL. Historical Schedule X(c)!F40 cached value: HICM. Do not assume it remains appropriate.</t>
      </text>
    </comment>
    <comment ref="G227" authorId="0" shapeId="0">
      <text>
        <t>Manual input: not supplied by SQL. Historical Schedule X(c)!G40 cached value: HICM. Do not assume it remains appropriate.</t>
      </text>
    </comment>
    <comment ref="D228" authorId="0" shapeId="0">
      <text>
        <t>Manual input: not supplied by SQL. Historical Schedule X(c)!D41 cached value: HICM. Do not assume it remains appropriate.</t>
      </text>
    </comment>
    <comment ref="E228" authorId="0" shapeId="0">
      <text>
        <t>Manual input: not supplied by SQL. Historical Schedule X(c)!E41 cached value: HICM. Do not assume it remains appropriate.</t>
      </text>
    </comment>
    <comment ref="F228" authorId="0" shapeId="0">
      <text>
        <t>Manual input: not supplied by SQL. Historical Schedule X(c)!F41 cached value: HICM. Do not assume it remains appropriate.</t>
      </text>
    </comment>
    <comment ref="G228" authorId="0" shapeId="0">
      <text>
        <t>Manual input: not supplied by SQL. Historical Schedule X(c)!G41 cached value: HICM. Do not assume it remains appropriate.</t>
      </text>
    </comment>
    <comment ref="D229" authorId="0" shapeId="0">
      <text>
        <t>Manual input: not supplied by SQL. Historical Schedule X(c)!D42 cached value: HICM. Do not assume it remains appropriate.</t>
      </text>
    </comment>
    <comment ref="E229" authorId="0" shapeId="0">
      <text>
        <t>Manual input: not supplied by SQL. Historical Schedule X(c)!E42 cached value: HICM. Do not assume it remains appropriate.</t>
      </text>
    </comment>
    <comment ref="F229" authorId="0" shapeId="0">
      <text>
        <t>Manual input: not supplied by SQL. Historical Schedule X(c)!F42 cached value: HICM. Do not assume it remains appropriate.</t>
      </text>
    </comment>
    <comment ref="G229" authorId="0" shapeId="0">
      <text>
        <t>Manual input: not supplied by SQL. Historical Schedule X(c)!G42 cached value: HICM. Do not assume it remains appropriate.</t>
      </text>
    </comment>
    <comment ref="E233" authorId="0" shapeId="0">
      <text>
        <t>Manual input: not supplied by SQL. Historical Schedule X(c)!E46 cached value: None. Do not assume it remains appropriate.</t>
      </text>
    </comment>
    <comment ref="F233" authorId="0" shapeId="0">
      <text>
        <t>Manual input: not supplied by SQL. Historical Schedule X(c)!F46 cached value: None. Do not assume it remains appropriate.</t>
      </text>
    </comment>
    <comment ref="E234" authorId="0" shapeId="0">
      <text>
        <t>Manual input: not supplied by SQL. Historical Schedule X(c)!E47 cached value: 1.23. Do not assume it remains appropriate.</t>
      </text>
    </comment>
    <comment ref="F234" authorId="0" shapeId="0">
      <text>
        <t>Manual input: not supplied by SQL. Historical Schedule X(c)!F47 cached value: 0.96. Do not assume it remains appropriate.</t>
      </text>
    </comment>
    <comment ref="E235" authorId="0" shapeId="0">
      <text>
        <t>Manual input: not supplied by SQL. Historical Schedule X(c)!E48 cached value: None. Do not assume it remains appropriate.</t>
      </text>
    </comment>
    <comment ref="F235" authorId="0" shapeId="0">
      <text>
        <t>Manual input: not supplied by SQL. Historical Schedule X(c)!F48 cached value: None. Do not assume it remains appropriate.</t>
      </text>
    </comment>
    <comment ref="E236" authorId="1" shapeId="0">
      <text>
        <t>Automatic from SQL input. Money is already USD: divide by 1,000,000 only. Counts are unscaled.</t>
      </text>
    </comment>
    <comment ref="F236" authorId="1" shapeId="0">
      <text>
        <t>Automatic from SQL input. Money is already USD: divide by 1,000,000 only. Counts are unscaled.</t>
      </text>
    </comment>
    <comment ref="F240" authorId="0" shapeId="0">
      <text>
        <t>Manual input: not supplied by SQL. Historical Schedule X(c)!F53 cached value: AIR and RMS. Do not assume it remains appropriate.</t>
      </text>
    </comment>
    <comment ref="F241" authorId="0" shapeId="0">
      <text>
        <t>Manual input: not supplied by SQL. Historical Schedule X(c)!F54 cached value: AIR vXX RMS vXX. Do not assume it remains appropriate.</t>
      </text>
    </comment>
    <comment ref="D247" authorId="0" shapeId="0">
      <text>
        <t>Manual input: not supplied by SQL. Historical Schedule X(c)!D60 cached value: HICM. Do not assume it remains appropriate.</t>
      </text>
    </comment>
    <comment ref="E247" authorId="0" shapeId="0">
      <text>
        <t>Manual input: not supplied by SQL. Historical Schedule X(c)!E60 cached value: HICM. Do not assume it remains appropriate.</t>
      </text>
    </comment>
    <comment ref="F247" authorId="0" shapeId="0">
      <text>
        <t>Manual input: not supplied by SQL. Historical Schedule X(c)!F60 cached value: HICM. Do not assume it remains appropriate.</t>
      </text>
    </comment>
    <comment ref="G247" authorId="0" shapeId="0">
      <text>
        <t>Manual input: not supplied by SQL. Historical Schedule X(c)!G60 cached value: HICM. Do not assume it remains appropriate.</t>
      </text>
    </comment>
    <comment ref="D248" authorId="0" shapeId="0">
      <text>
        <t>Manual input: not supplied by SQL. Historical Schedule X(c)!D61 cached value: HICM. Do not assume it remains appropriate.</t>
      </text>
    </comment>
    <comment ref="E248" authorId="0" shapeId="0">
      <text>
        <t>Manual input: not supplied by SQL. Historical Schedule X(c)!E61 cached value: HICM. Do not assume it remains appropriate.</t>
      </text>
    </comment>
    <comment ref="F248" authorId="0" shapeId="0">
      <text>
        <t>Manual input: not supplied by SQL. Historical Schedule X(c)!F61 cached value: HICM. Do not assume it remains appropriate.</t>
      </text>
    </comment>
    <comment ref="G248" authorId="0" shapeId="0">
      <text>
        <t>Manual input: not supplied by SQL. Historical Schedule X(c)!G61 cached value: HICM. Do not assume it remains appropriate.</t>
      </text>
    </comment>
    <comment ref="D249" authorId="0" shapeId="0">
      <text>
        <t>Manual input: not supplied by SQL. Historical Schedule X(c)!D62 cached value: HICM. Do not assume it remains appropriate.</t>
      </text>
    </comment>
    <comment ref="E249" authorId="0" shapeId="0">
      <text>
        <t>Manual input: not supplied by SQL. Historical Schedule X(c)!E62 cached value: HICM. Do not assume it remains appropriate.</t>
      </text>
    </comment>
    <comment ref="F249" authorId="0" shapeId="0">
      <text>
        <t>Manual input: not supplied by SQL. Historical Schedule X(c)!F62 cached value: HICM. Do not assume it remains appropriate.</t>
      </text>
    </comment>
    <comment ref="G249" authorId="0" shapeId="0">
      <text>
        <t>Manual input: not supplied by SQL. Historical Schedule X(c)!G62 cached value: HICM. Do not assume it remains appropriate.</t>
      </text>
    </comment>
    <comment ref="D250" authorId="0" shapeId="0">
      <text>
        <t>Manual input: not supplied by SQL. Historical Schedule X(c)!D63 cached value: HICM. Do not assume it remains appropriate.</t>
      </text>
    </comment>
    <comment ref="E250" authorId="0" shapeId="0">
      <text>
        <t>Manual input: not supplied by SQL. Historical Schedule X(c)!E63 cached value: HICM. Do not assume it remains appropriate.</t>
      </text>
    </comment>
    <comment ref="F250" authorId="0" shapeId="0">
      <text>
        <t>Manual input: not supplied by SQL. Historical Schedule X(c)!F63 cached value: HICM. Do not assume it remains appropriate.</t>
      </text>
    </comment>
    <comment ref="G250" authorId="0" shapeId="0">
      <text>
        <t>Manual input: not supplied by SQL. Historical Schedule X(c)!G63 cached value: HICM. Do not assume it remains appropriate.</t>
      </text>
    </comment>
    <comment ref="D251" authorId="0" shapeId="0">
      <text>
        <t>Manual input: not supplied by SQL. Historical Schedule X(c)!D64 cached value: HICM. Do not assume it remains appropriate.</t>
      </text>
    </comment>
    <comment ref="E251" authorId="0" shapeId="0">
      <text>
        <t>Manual input: not supplied by SQL. Historical Schedule X(c)!E64 cached value: HICM. Do not assume it remains appropriate.</t>
      </text>
    </comment>
    <comment ref="F251" authorId="0" shapeId="0">
      <text>
        <t>Manual input: not supplied by SQL. Historical Schedule X(c)!F64 cached value: HICM. Do not assume it remains appropriate.</t>
      </text>
    </comment>
    <comment ref="G251" authorId="0" shapeId="0">
      <text>
        <t>Manual input: not supplied by SQL. Historical Schedule X(c)!G64 cached value: HICM. Do not assume it remains appropriate.</t>
      </text>
    </comment>
    <comment ref="E255" authorId="0" shapeId="0">
      <text>
        <t>Manual input: not supplied by SQL. Historical Schedule X(c)!E68 cached value: None. Do not assume it remains appropriate.</t>
      </text>
    </comment>
    <comment ref="F255" authorId="0" shapeId="0">
      <text>
        <t>Manual input: not supplied by SQL. Historical Schedule X(c)!F68 cached value: None. Do not assume it remains appropriate.</t>
      </text>
    </comment>
    <comment ref="E256" authorId="0" shapeId="0">
      <text>
        <t>Manual input: not supplied by SQL. Historical Schedule X(c)!E69 cached value: 3.45. Do not assume it remains appropriate.</t>
      </text>
    </comment>
    <comment ref="F256" authorId="0" shapeId="0">
      <text>
        <t>Manual input: not supplied by SQL. Historical Schedule X(c)!F69 cached value: 2.9. Do not assume it remains appropriate.</t>
      </text>
    </comment>
    <comment ref="E257" authorId="0" shapeId="0">
      <text>
        <t>Manual input: not supplied by SQL. Historical Schedule X(c)!E70 cached value: None. Do not assume it remains appropriate.</t>
      </text>
    </comment>
    <comment ref="F257" authorId="0" shapeId="0">
      <text>
        <t>Manual input: not supplied by SQL. Historical Schedule X(c)!F70 cached value: None. Do not assume it remains appropriate.</t>
      </text>
    </comment>
    <comment ref="E258" authorId="1" shapeId="0">
      <text>
        <t>Automatic from SQL input. Money is already USD: divide by 1,000,000 only. Counts are unscaled.</t>
      </text>
    </comment>
    <comment ref="F258" authorId="1" shapeId="0">
      <text>
        <t>Automatic from SQL input. Money is already USD: divide by 1,000,000 only. Counts are unscaled.</t>
      </text>
    </comment>
    <comment ref="F262" authorId="0" shapeId="0">
      <text>
        <t>Manual input: not supplied by SQL. Historical Schedule X(c)!F75 cached value: AIR and RMS. Do not assume it remains appropriate.</t>
      </text>
    </comment>
    <comment ref="F263" authorId="0" shapeId="0">
      <text>
        <t>Manual input: not supplied by SQL. Historical Schedule X(c)!F76 cached value: AIR vXX RMS vXX. Do not assume it remains appropriate.</t>
      </text>
    </comment>
    <comment ref="D269" authorId="0" shapeId="0">
      <text>
        <t>Manual input: not supplied by SQL. Historical Schedule X(c)!D82 cached value: HICM. Do not assume it remains appropriate.</t>
      </text>
    </comment>
    <comment ref="E269" authorId="0" shapeId="0">
      <text>
        <t>Manual input: not supplied by SQL. Historical Schedule X(c)!E82 cached value: HICM. Do not assume it remains appropriate.</t>
      </text>
    </comment>
    <comment ref="F269" authorId="0" shapeId="0">
      <text>
        <t>Manual input: not supplied by SQL. Historical Schedule X(c)!F82 cached value: HICM. Do not assume it remains appropriate.</t>
      </text>
    </comment>
    <comment ref="G269" authorId="0" shapeId="0">
      <text>
        <t>Manual input: not supplied by SQL. Historical Schedule X(c)!G82 cached value: HICM. Do not assume it remains appropriate.</t>
      </text>
    </comment>
    <comment ref="D270" authorId="0" shapeId="0">
      <text>
        <t>Manual input: not supplied by SQL. Historical Schedule X(c)!D83 cached value: HICM. Do not assume it remains appropriate.</t>
      </text>
    </comment>
    <comment ref="E270" authorId="0" shapeId="0">
      <text>
        <t>Manual input: not supplied by SQL. Historical Schedule X(c)!E83 cached value: HICM. Do not assume it remains appropriate.</t>
      </text>
    </comment>
    <comment ref="F270" authorId="0" shapeId="0">
      <text>
        <t>Manual input: not supplied by SQL. Historical Schedule X(c)!F83 cached value: HICM. Do not assume it remains appropriate.</t>
      </text>
    </comment>
    <comment ref="G270" authorId="0" shapeId="0">
      <text>
        <t>Manual input: not supplied by SQL. Historical Schedule X(c)!G83 cached value: HICM. Do not assume it remains appropriate.</t>
      </text>
    </comment>
    <comment ref="D271" authorId="0" shapeId="0">
      <text>
        <t>Manual input: not supplied by SQL. Historical Schedule X(c)!D84 cached value: HICM. Do not assume it remains appropriate.</t>
      </text>
    </comment>
    <comment ref="E271" authorId="0" shapeId="0">
      <text>
        <t>Manual input: not supplied by SQL. Historical Schedule X(c)!E84 cached value: HICM. Do not assume it remains appropriate.</t>
      </text>
    </comment>
    <comment ref="F271" authorId="0" shapeId="0">
      <text>
        <t>Manual input: not supplied by SQL. Historical Schedule X(c)!F84 cached value: HICM. Do not assume it remains appropriate.</t>
      </text>
    </comment>
    <comment ref="G271" authorId="0" shapeId="0">
      <text>
        <t>Manual input: not supplied by SQL. Historical Schedule X(c)!G84 cached value: HICM. Do not assume it remains appropriate.</t>
      </text>
    </comment>
    <comment ref="D272" authorId="0" shapeId="0">
      <text>
        <t>Manual input: not supplied by SQL. Historical Schedule X(c)!D85 cached value: HICM. Do not assume it remains appropriate.</t>
      </text>
    </comment>
    <comment ref="E272" authorId="0" shapeId="0">
      <text>
        <t>Manual input: not supplied by SQL. Historical Schedule X(c)!E85 cached value: HICM. Do not assume it remains appropriate.</t>
      </text>
    </comment>
    <comment ref="F272" authorId="0" shapeId="0">
      <text>
        <t>Manual input: not supplied by SQL. Historical Schedule X(c)!F85 cached value: HICM. Do not assume it remains appropriate.</t>
      </text>
    </comment>
    <comment ref="G272" authorId="0" shapeId="0">
      <text>
        <t>Manual input: not supplied by SQL. Historical Schedule X(c)!G85 cached value: HICM. Do not assume it remains appropriate.</t>
      </text>
    </comment>
    <comment ref="D273" authorId="0" shapeId="0">
      <text>
        <t>Manual input: not supplied by SQL. Historical Schedule X(c)!D86 cached value: HICM. Do not assume it remains appropriate.</t>
      </text>
    </comment>
    <comment ref="E273" authorId="0" shapeId="0">
      <text>
        <t>Manual input: not supplied by SQL. Historical Schedule X(c)!E86 cached value: HICM. Do not assume it remains appropriate.</t>
      </text>
    </comment>
    <comment ref="F273" authorId="0" shapeId="0">
      <text>
        <t>Manual input: not supplied by SQL. Historical Schedule X(c)!F86 cached value: HICM. Do not assume it remains appropriate.</t>
      </text>
    </comment>
    <comment ref="G273" authorId="0" shapeId="0">
      <text>
        <t>Manual input: not supplied by SQL. Historical Schedule X(c)!G86 cached value: HICM. Do not assume it remains appropriate.</t>
      </text>
    </comment>
    <comment ref="E277" authorId="0" shapeId="0">
      <text>
        <t>Manual input: not supplied by SQL. Historical Schedule X(c)!E90 cached value: None. Do not assume it remains appropriate.</t>
      </text>
    </comment>
    <comment ref="F277" authorId="0" shapeId="0">
      <text>
        <t>Manual input: not supplied by SQL. Historical Schedule X(c)!F90 cached value: None. Do not assume it remains appropriate.</t>
      </text>
    </comment>
    <comment ref="E278" authorId="0" shapeId="0">
      <text>
        <t>Manual input: not supplied by SQL. Historical Schedule X(c)!E91 cached value: 0.21. Do not assume it remains appropriate.</t>
      </text>
    </comment>
    <comment ref="F278" authorId="0" shapeId="0">
      <text>
        <t>Manual input: not supplied by SQL. Historical Schedule X(c)!F91 cached value: 0.13. Do not assume it remains appropriate.</t>
      </text>
    </comment>
    <comment ref="E279" authorId="0" shapeId="0">
      <text>
        <t>Manual input: not supplied by SQL. Historical Schedule X(c)!E92 cached value: None. Do not assume it remains appropriate.</t>
      </text>
    </comment>
    <comment ref="F279" authorId="0" shapeId="0">
      <text>
        <t>Manual input: not supplied by SQL. Historical Schedule X(c)!F92 cached value: None. Do not assume it remains appropriate.</t>
      </text>
    </comment>
    <comment ref="E280" authorId="1" shapeId="0">
      <text>
        <t>Automatic from SQL input. Money is already USD: divide by 1,000,000 only. Counts are unscaled.</t>
      </text>
    </comment>
    <comment ref="F280" authorId="1" shapeId="0">
      <text>
        <t>Automatic from SQL input. Money is already USD: divide by 1,000,000 only. Counts are unscaled.</t>
      </text>
    </comment>
    <comment ref="F284" authorId="0" shapeId="0">
      <text>
        <t>Manual input: not supplied by SQL. Historical Schedule X(c)!F97 cached value: AIR and RMS. Do not assume it remains appropriate.</t>
      </text>
    </comment>
    <comment ref="F285" authorId="0" shapeId="0">
      <text>
        <t>Manual input: not supplied by SQL. Historical Schedule X(c)!F98 cached value: AIR vXX RMS vXX. Do not assume it remains appropriate.</t>
      </text>
    </comment>
    <comment ref="D291" authorId="0" shapeId="0">
      <text>
        <t>Manual input: not supplied by SQL. Historical Schedule X(c)!D104 cached value: HICM. Do not assume it remains appropriate.</t>
      </text>
    </comment>
    <comment ref="E291" authorId="0" shapeId="0">
      <text>
        <t>Manual input: not supplied by SQL. Historical Schedule X(c)!E104 cached value: HICM. Do not assume it remains appropriate.</t>
      </text>
    </comment>
    <comment ref="F291" authorId="0" shapeId="0">
      <text>
        <t>Manual input: not supplied by SQL. Historical Schedule X(c)!F104 cached value: HICM. Do not assume it remains appropriate.</t>
      </text>
    </comment>
    <comment ref="G291" authorId="0" shapeId="0">
      <text>
        <t>Manual input: not supplied by SQL. Historical Schedule X(c)!G104 cached value: HICM. Do not assume it remains appropriate.</t>
      </text>
    </comment>
    <comment ref="D292" authorId="0" shapeId="0">
      <text>
        <t>Manual input: not supplied by SQL. Historical Schedule X(c)!D105 cached value: HICM. Do not assume it remains appropriate.</t>
      </text>
    </comment>
    <comment ref="E292" authorId="0" shapeId="0">
      <text>
        <t>Manual input: not supplied by SQL. Historical Schedule X(c)!E105 cached value: HICM. Do not assume it remains appropriate.</t>
      </text>
    </comment>
    <comment ref="F292" authorId="0" shapeId="0">
      <text>
        <t>Manual input: not supplied by SQL. Historical Schedule X(c)!F105 cached value: HICM. Do not assume it remains appropriate.</t>
      </text>
    </comment>
    <comment ref="G292" authorId="0" shapeId="0">
      <text>
        <t>Manual input: not supplied by SQL. Historical Schedule X(c)!G105 cached value: HICM. Do not assume it remains appropriate.</t>
      </text>
    </comment>
    <comment ref="D293" authorId="0" shapeId="0">
      <text>
        <t>Manual input: not supplied by SQL. Historical Schedule X(c)!D106 cached value: HICM. Do not assume it remains appropriate.</t>
      </text>
    </comment>
    <comment ref="E293" authorId="0" shapeId="0">
      <text>
        <t>Manual input: not supplied by SQL. Historical Schedule X(c)!E106 cached value: HICM. Do not assume it remains appropriate.</t>
      </text>
    </comment>
    <comment ref="F293" authorId="0" shapeId="0">
      <text>
        <t>Manual input: not supplied by SQL. Historical Schedule X(c)!F106 cached value: HICM. Do not assume it remains appropriate.</t>
      </text>
    </comment>
    <comment ref="G293" authorId="0" shapeId="0">
      <text>
        <t>Manual input: not supplied by SQL. Historical Schedule X(c)!G106 cached value: HICM. Do not assume it remains appropriate.</t>
      </text>
    </comment>
    <comment ref="D294" authorId="0" shapeId="0">
      <text>
        <t>Manual input: not supplied by SQL. Historical Schedule X(c)!D107 cached value: HICM. Do not assume it remains appropriate.</t>
      </text>
    </comment>
    <comment ref="E294" authorId="0" shapeId="0">
      <text>
        <t>Manual input: not supplied by SQL. Historical Schedule X(c)!E107 cached value: HICM. Do not assume it remains appropriate.</t>
      </text>
    </comment>
    <comment ref="F294" authorId="0" shapeId="0">
      <text>
        <t>Manual input: not supplied by SQL. Historical Schedule X(c)!F107 cached value: HICM. Do not assume it remains appropriate.</t>
      </text>
    </comment>
    <comment ref="G294" authorId="0" shapeId="0">
      <text>
        <t>Manual input: not supplied by SQL. Historical Schedule X(c)!G107 cached value: HICM. Do not assume it remains appropriate.</t>
      </text>
    </comment>
    <comment ref="D295" authorId="0" shapeId="0">
      <text>
        <t>Manual input: not supplied by SQL. Historical Schedule X(c)!D108 cached value: HICM. Do not assume it remains appropriate.</t>
      </text>
    </comment>
    <comment ref="E295" authorId="0" shapeId="0">
      <text>
        <t>Manual input: not supplied by SQL. Historical Schedule X(c)!E108 cached value: HICM. Do not assume it remains appropriate.</t>
      </text>
    </comment>
    <comment ref="F295" authorId="0" shapeId="0">
      <text>
        <t>Manual input: not supplied by SQL. Historical Schedule X(c)!F108 cached value: HICM. Do not assume it remains appropriate.</t>
      </text>
    </comment>
    <comment ref="G295" authorId="0" shapeId="0">
      <text>
        <t>Manual input: not supplied by SQL. Historical Schedule X(c)!G108 cached value: HICM. Do not assume it remains appropriate.</t>
      </text>
    </comment>
    <comment ref="E299" authorId="0" shapeId="0">
      <text>
        <t>Manual input: not supplied by SQL. Historical Schedule X(c)!E112 cached value: None. Do not assume it remains appropriate.</t>
      </text>
    </comment>
    <comment ref="F299" authorId="0" shapeId="0">
      <text>
        <t>Manual input: not supplied by SQL. Historical Schedule X(c)!F112 cached value: None. Do not assume it remains appropriate.</t>
      </text>
    </comment>
    <comment ref="E300" authorId="0" shapeId="0">
      <text>
        <t>Manual input: not supplied by SQL. Historical Schedule X(c)!E113 cached value: 0.21. Do not assume it remains appropriate.</t>
      </text>
    </comment>
    <comment ref="F300" authorId="0" shapeId="0">
      <text>
        <t>Manual input: not supplied by SQL. Historical Schedule X(c)!F113 cached value: 0.13. Do not assume it remains appropriate.</t>
      </text>
    </comment>
    <comment ref="E301" authorId="0" shapeId="0">
      <text>
        <t>Manual input: not supplied by SQL. Historical Schedule X(c)!E114 cached value: None. Do not assume it remains appropriate.</t>
      </text>
    </comment>
    <comment ref="F301" authorId="0" shapeId="0">
      <text>
        <t>Manual input: not supplied by SQL. Historical Schedule X(c)!F114 cached value: None. Do not assume it remains appropriate.</t>
      </text>
    </comment>
    <comment ref="E302" authorId="1" shapeId="0">
      <text>
        <t>Automatic from SQL input. Money is already USD: divide by 1,000,000 only. Counts are unscaled.</t>
      </text>
    </comment>
    <comment ref="F302" authorId="1" shapeId="0">
      <text>
        <t>Automatic from SQL input. Money is already USD: divide by 1,000,000 only. Counts are unscaled.</t>
      </text>
    </comment>
    <comment ref="E318" authorId="1" shapeId="0">
      <text>
        <t>Automatic from SQL input. Money is already USD: divide by 1,000,000 only. Counts are unscaled.</t>
      </text>
    </comment>
    <comment ref="F318" authorId="1" shapeId="0">
      <text>
        <t>Automatic from SQL input. Money is already USD: divide by 1,000,000 only. Counts are unscaled.</t>
      </text>
    </comment>
    <comment ref="G318" authorId="1" shapeId="0">
      <text>
        <t>Automatic from SQL input. Money is already USD: divide by 1,000,000 only. Counts are unscaled.</t>
      </text>
    </comment>
    <comment ref="H318" authorId="1" shapeId="0">
      <text>
        <t>Automatic from SQL input. Money is already USD: divide by 1,000,000 only. Counts are unscaled.</t>
      </text>
    </comment>
    <comment ref="I318" authorId="1" shapeId="0">
      <text>
        <t>Automatic from SQL input. Money is already USD: divide by 1,000,000 only. Counts are unscaled.</t>
      </text>
    </comment>
    <comment ref="J318" authorId="1" shapeId="0">
      <text>
        <t>Automatic from SQL input. Money is already USD: divide by 1,000,000 only. Counts are unscaled.</t>
      </text>
    </comment>
    <comment ref="K318" authorId="1" shapeId="0">
      <text>
        <t>Automatic from SQL input. Money is already USD: divide by 1,000,000 only. Counts are unscaled.</t>
      </text>
    </comment>
    <comment ref="L318" authorId="1" shapeId="0">
      <text>
        <t>Automatic from SQL input. Money is already USD: divide by 1,000,000 only. Counts are unscaled.</t>
      </text>
    </comment>
    <comment ref="M318" authorId="1" shapeId="0">
      <text>
        <t>Automatic from SQL input. Money is already USD: divide by 1,000,000 only. Counts are unscaled.</t>
      </text>
    </comment>
    <comment ref="E319" authorId="1" shapeId="0">
      <text>
        <t>Automatic from SQL input. Money is already USD: divide by 1,000,000 only. Counts are unscaled.</t>
      </text>
    </comment>
    <comment ref="F319" authorId="1" shapeId="0">
      <text>
        <t>Automatic from SQL input. Money is already USD: divide by 1,000,000 only. Counts are unscaled.</t>
      </text>
    </comment>
    <comment ref="G319" authorId="1" shapeId="0">
      <text>
        <t>Automatic from SQL input. Money is already USD: divide by 1,000,000 only. Counts are unscaled.</t>
      </text>
    </comment>
    <comment ref="H319" authorId="1" shapeId="0">
      <text>
        <t>Automatic from SQL input. Money is already USD: divide by 1,000,000 only. Counts are unscaled.</t>
      </text>
    </comment>
    <comment ref="I319" authorId="1" shapeId="0">
      <text>
        <t>Automatic from SQL input. Money is already USD: divide by 1,000,000 only. Counts are unscaled.</t>
      </text>
    </comment>
    <comment ref="J319" authorId="1" shapeId="0">
      <text>
        <t>Automatic from SQL input. Money is already USD: divide by 1,000,000 only. Counts are unscaled.</t>
      </text>
    </comment>
    <comment ref="K319" authorId="1" shapeId="0">
      <text>
        <t>Automatic from SQL input. Money is already USD: divide by 1,000,000 only. Counts are unscaled.</t>
      </text>
    </comment>
    <comment ref="L319" authorId="1" shapeId="0">
      <text>
        <t>Automatic from SQL input. Money is already USD: divide by 1,000,000 only. Counts are unscaled.</t>
      </text>
    </comment>
    <comment ref="M319" authorId="1" shapeId="0">
      <text>
        <t>Automatic from SQL input. Money is already USD: divide by 1,000,000 only. Counts are unscaled.</t>
      </text>
    </comment>
    <comment ref="E320" authorId="1" shapeId="0">
      <text>
        <t>Automatic from SQL input. Money is already USD: divide by 1,000,000 only. Counts are unscaled.</t>
      </text>
    </comment>
    <comment ref="F320" authorId="1" shapeId="0">
      <text>
        <t>Automatic from SQL input. Money is already USD: divide by 1,000,000 only. Counts are unscaled.</t>
      </text>
    </comment>
    <comment ref="G320" authorId="1" shapeId="0">
      <text>
        <t>Automatic from SQL input. Money is already USD: divide by 1,000,000 only. Counts are unscaled.</t>
      </text>
    </comment>
    <comment ref="H320" authorId="1" shapeId="0">
      <text>
        <t>Automatic from SQL input. Money is already USD: divide by 1,000,000 only. Counts are unscaled.</t>
      </text>
    </comment>
    <comment ref="I320" authorId="1" shapeId="0">
      <text>
        <t>Automatic from SQL input. Money is already USD: divide by 1,000,000 only. Counts are unscaled.</t>
      </text>
    </comment>
    <comment ref="J320" authorId="1" shapeId="0">
      <text>
        <t>Automatic from SQL input. Money is already USD: divide by 1,000,000 only. Counts are unscaled.</t>
      </text>
    </comment>
    <comment ref="K320" authorId="1" shapeId="0">
      <text>
        <t>Automatic from SQL input. Money is already USD: divide by 1,000,000 only. Counts are unscaled.</t>
      </text>
    </comment>
    <comment ref="L320" authorId="1" shapeId="0">
      <text>
        <t>Automatic from SQL input. Money is already USD: divide by 1,000,000 only. Counts are unscaled.</t>
      </text>
    </comment>
    <comment ref="M320" authorId="1" shapeId="0">
      <text>
        <t>Automatic from SQL input. Money is already USD: divide by 1,000,000 only. Counts are unscaled.</t>
      </text>
    </comment>
    <comment ref="E327" authorId="1" shapeId="0">
      <text>
        <t>Automatic from SQL input. Money is already USD: divide by 1,000,000 only. Counts are unscaled.</t>
      </text>
    </comment>
    <comment ref="F327" authorId="1" shapeId="0">
      <text>
        <t>Automatic from SQL input. Money is already USD: divide by 1,000,000 only. Counts are unscaled.</t>
      </text>
    </comment>
    <comment ref="G327" authorId="1" shapeId="0">
      <text>
        <t>Automatic from SQL input. Money is already USD: divide by 1,000,000 only. Counts are unscaled.</t>
      </text>
    </comment>
    <comment ref="H327" authorId="1" shapeId="0">
      <text>
        <t>Automatic from SQL input. Money is already USD: divide by 1,000,000 only. Counts are unscaled.</t>
      </text>
    </comment>
    <comment ref="I327" authorId="1" shapeId="0">
      <text>
        <t>Automatic from SQL input. Money is already USD: divide by 1,000,000 only. Counts are unscaled.</t>
      </text>
    </comment>
    <comment ref="J327" authorId="1" shapeId="0">
      <text>
        <t>Automatic from SQL input. Money is already USD: divide by 1,000,000 only. Counts are unscaled.</t>
      </text>
    </comment>
    <comment ref="K327" authorId="1" shapeId="0">
      <text>
        <t>Automatic from SQL input. Money is already USD: divide by 1,000,000 only. Counts are unscaled.</t>
      </text>
    </comment>
    <comment ref="L327" authorId="1" shapeId="0">
      <text>
        <t>Automatic from SQL input. Money is already USD: divide by 1,000,000 only. Counts are unscaled.</t>
      </text>
    </comment>
    <comment ref="M327" authorId="1" shapeId="0">
      <text>
        <t>Automatic from SQL input. Money is already USD: divide by 1,000,000 only. Counts are unscaled.</t>
      </text>
    </comment>
    <comment ref="E328" authorId="1" shapeId="0">
      <text>
        <t>Automatic from SQL input. Money is already USD: divide by 1,000,000 only. Counts are unscaled.</t>
      </text>
    </comment>
    <comment ref="F328" authorId="1" shapeId="0">
      <text>
        <t>Automatic from SQL input. Money is already USD: divide by 1,000,000 only. Counts are unscaled.</t>
      </text>
    </comment>
    <comment ref="G328" authorId="1" shapeId="0">
      <text>
        <t>Automatic from SQL input. Money is already USD: divide by 1,000,000 only. Counts are unscaled.</t>
      </text>
    </comment>
    <comment ref="H328" authorId="1" shapeId="0">
      <text>
        <t>Automatic from SQL input. Money is already USD: divide by 1,000,000 only. Counts are unscaled.</t>
      </text>
    </comment>
    <comment ref="I328" authorId="1" shapeId="0">
      <text>
        <t>Automatic from SQL input. Money is already USD: divide by 1,000,000 only. Counts are unscaled.</t>
      </text>
    </comment>
    <comment ref="J328" authorId="1" shapeId="0">
      <text>
        <t>Automatic from SQL input. Money is already USD: divide by 1,000,000 only. Counts are unscaled.</t>
      </text>
    </comment>
    <comment ref="K328" authorId="1" shapeId="0">
      <text>
        <t>Automatic from SQL input. Money is already USD: divide by 1,000,000 only. Counts are unscaled.</t>
      </text>
    </comment>
    <comment ref="L328" authorId="1" shapeId="0">
      <text>
        <t>Automatic from SQL input. Money is already USD: divide by 1,000,000 only. Counts are unscaled.</t>
      </text>
    </comment>
    <comment ref="M328" authorId="1" shapeId="0">
      <text>
        <t>Automatic from SQL input. Money is already USD: divide by 1,000,000 only. Counts are unscaled.</t>
      </text>
    </comment>
    <comment ref="E329" authorId="1" shapeId="0">
      <text>
        <t>Automatic from SQL input. Money is already USD: divide by 1,000,000 only. Counts are unscaled.</t>
      </text>
    </comment>
    <comment ref="F329" authorId="1" shapeId="0">
      <text>
        <t>Automatic from SQL input. Money is already USD: divide by 1,000,000 only. Counts are unscaled.</t>
      </text>
    </comment>
    <comment ref="G329" authorId="1" shapeId="0">
      <text>
        <t>Automatic from SQL input. Money is already USD: divide by 1,000,000 only. Counts are unscaled.</t>
      </text>
    </comment>
    <comment ref="H329" authorId="1" shapeId="0">
      <text>
        <t>Automatic from SQL input. Money is already USD: divide by 1,000,000 only. Counts are unscaled.</t>
      </text>
    </comment>
    <comment ref="I329" authorId="1" shapeId="0">
      <text>
        <t>Automatic from SQL input. Money is already USD: divide by 1,000,000 only. Counts are unscaled.</t>
      </text>
    </comment>
    <comment ref="J329" authorId="1" shapeId="0">
      <text>
        <t>Automatic from SQL input. Money is already USD: divide by 1,000,000 only. Counts are unscaled.</t>
      </text>
    </comment>
    <comment ref="K329" authorId="1" shapeId="0">
      <text>
        <t>Automatic from SQL input. Money is already USD: divide by 1,000,000 only. Counts are unscaled.</t>
      </text>
    </comment>
    <comment ref="L329" authorId="1" shapeId="0">
      <text>
        <t>Automatic from SQL input. Money is already USD: divide by 1,000,000 only. Counts are unscaled.</t>
      </text>
    </comment>
    <comment ref="M329" authorId="1" shapeId="0">
      <text>
        <t>Automatic from SQL input. Money is already USD: divide by 1,000,000 only. Counts are unscaled.</t>
      </text>
    </comment>
    <comment ref="E336" authorId="1" shapeId="0">
      <text>
        <t>Automatic from SQL input. Money is already USD: divide by 1,000,000 only. Counts are unscaled.</t>
      </text>
    </comment>
    <comment ref="F336" authorId="1" shapeId="0">
      <text>
        <t>Automatic from SQL input. Money is already USD: divide by 1,000,000 only. Counts are unscaled.</t>
      </text>
    </comment>
    <comment ref="G336" authorId="1" shapeId="0">
      <text>
        <t>Automatic from SQL input. Money is already USD: divide by 1,000,000 only. Counts are unscaled.</t>
      </text>
    </comment>
    <comment ref="H336" authorId="1" shapeId="0">
      <text>
        <t>Automatic from SQL input. Money is already USD: divide by 1,000,000 only. Counts are unscaled.</t>
      </text>
    </comment>
    <comment ref="I336" authorId="1" shapeId="0">
      <text>
        <t>Automatic from SQL input. Money is already USD: divide by 1,000,000 only. Counts are unscaled.</t>
      </text>
    </comment>
    <comment ref="J336" authorId="1" shapeId="0">
      <text>
        <t>Automatic from SQL input. Money is already USD: divide by 1,000,000 only. Counts are unscaled.</t>
      </text>
    </comment>
    <comment ref="K336" authorId="1" shapeId="0">
      <text>
        <t>Automatic from SQL input. Money is already USD: divide by 1,000,000 only. Counts are unscaled.</t>
      </text>
    </comment>
    <comment ref="L336" authorId="1" shapeId="0">
      <text>
        <t>Automatic from SQL input. Money is already USD: divide by 1,000,000 only. Counts are unscaled.</t>
      </text>
    </comment>
    <comment ref="M336" authorId="1" shapeId="0">
      <text>
        <t>Automatic from SQL input. Money is already USD: divide by 1,000,000 only. Counts are unscaled.</t>
      </text>
    </comment>
    <comment ref="E337" authorId="1" shapeId="0">
      <text>
        <t>Zero under the agreed geocode-proxy allocation; does not classify April manual reallocations.</t>
      </text>
    </comment>
    <comment ref="F337" authorId="1" shapeId="0">
      <text>
        <t>Zero under the agreed geocode-proxy allocation; does not classify April manual reallocations.</t>
      </text>
    </comment>
    <comment ref="G337" authorId="1" shapeId="0">
      <text>
        <t>Zero under the agreed geocode-proxy allocation; does not classify April manual reallocations.</t>
      </text>
    </comment>
    <comment ref="H337" authorId="1" shapeId="0">
      <text>
        <t>Zero under the agreed geocode-proxy allocation; does not classify April manual reallocations.</t>
      </text>
    </comment>
    <comment ref="I337" authorId="1" shapeId="0">
      <text>
        <t>Zero under the agreed geocode-proxy allocation; does not classify April manual reallocations.</t>
      </text>
    </comment>
    <comment ref="J337" authorId="1" shapeId="0">
      <text>
        <t>Zero under the agreed geocode-proxy allocation; does not classify April manual reallocations.</t>
      </text>
    </comment>
    <comment ref="K337" authorId="1" shapeId="0">
      <text>
        <t>Zero under the agreed geocode-proxy allocation; does not classify April manual reallocations.</t>
      </text>
    </comment>
    <comment ref="L337" authorId="1" shapeId="0">
      <text>
        <t>Zero under the agreed geocode-proxy allocation; does not classify April manual reallocations.</t>
      </text>
    </comment>
    <comment ref="M337" authorId="1" shapeId="0">
      <text>
        <t>Zero under the agreed geocode-proxy allocation; does not classify April manual reallocations.</t>
      </text>
    </comment>
    <comment ref="C338" authorId="0" shapeId="0">
      <text>
        <t>Manual input: not supplied by SQL. Historical Schedule X(f)!C30 cached value: A proxy peer insurer is selected and losses are derived from this insurer. Do not assume it remains appropriate.</t>
      </text>
    </comment>
    <comment ref="E338" authorId="1" shapeId="0">
      <text>
        <t>Zero under the agreed geocode-proxy allocation; does not classify April manual reallocations.</t>
      </text>
    </comment>
    <comment ref="F338" authorId="1" shapeId="0">
      <text>
        <t>Zero under the agreed geocode-proxy allocation; does not classify April manual reallocations.</t>
      </text>
    </comment>
    <comment ref="G338" authorId="1" shapeId="0">
      <text>
        <t>Zero under the agreed geocode-proxy allocation; does not classify April manual reallocations.</t>
      </text>
    </comment>
    <comment ref="H338" authorId="1" shapeId="0">
      <text>
        <t>Zero under the agreed geocode-proxy allocation; does not classify April manual reallocations.</t>
      </text>
    </comment>
    <comment ref="I338" authorId="1" shapeId="0">
      <text>
        <t>Zero under the agreed geocode-proxy allocation; does not classify April manual reallocations.</t>
      </text>
    </comment>
    <comment ref="J338" authorId="1" shapeId="0">
      <text>
        <t>Zero under the agreed geocode-proxy allocation; does not classify April manual reallocations.</t>
      </text>
    </comment>
    <comment ref="K338" authorId="1" shapeId="0">
      <text>
        <t>Zero under the agreed geocode-proxy allocation; does not classify April manual reallocations.</t>
      </text>
    </comment>
    <comment ref="L338" authorId="1" shapeId="0">
      <text>
        <t>Zero under the agreed geocode-proxy allocation; does not classify April manual reallocations.</t>
      </text>
    </comment>
    <comment ref="M338" authorId="1" shapeId="0">
      <text>
        <t>Zero under the agreed geocode-proxy allocation; does not classify April manual reallocations.</t>
      </text>
    </comment>
    <comment ref="C339" authorId="0" shapeId="0">
      <text>
        <t>Manual input: not supplied by SQL. Historical Schedule X(f)!C31 cached value: Derived from an industry loss curve utilising market share. Do not assume it remains appropriate.</t>
      </text>
    </comment>
    <comment ref="E339" authorId="1" shapeId="0">
      <text>
        <t>Zero under the agreed geocode-proxy allocation; does not classify April manual reallocations.</t>
      </text>
    </comment>
    <comment ref="F339" authorId="1" shapeId="0">
      <text>
        <t>Zero under the agreed geocode-proxy allocation; does not classify April manual reallocations.</t>
      </text>
    </comment>
    <comment ref="G339" authorId="1" shapeId="0">
      <text>
        <t>Zero under the agreed geocode-proxy allocation; does not classify April manual reallocations.</t>
      </text>
    </comment>
    <comment ref="H339" authorId="1" shapeId="0">
      <text>
        <t>Zero under the agreed geocode-proxy allocation; does not classify April manual reallocations.</t>
      </text>
    </comment>
    <comment ref="I339" authorId="1" shapeId="0">
      <text>
        <t>Zero under the agreed geocode-proxy allocation; does not classify April manual reallocations.</t>
      </text>
    </comment>
    <comment ref="J339" authorId="1" shapeId="0">
      <text>
        <t>Zero under the agreed geocode-proxy allocation; does not classify April manual reallocations.</t>
      </text>
    </comment>
    <comment ref="K339" authorId="1" shapeId="0">
      <text>
        <t>Zero under the agreed geocode-proxy allocation; does not classify April manual reallocations.</t>
      </text>
    </comment>
    <comment ref="L339" authorId="1" shapeId="0">
      <text>
        <t>Zero under the agreed geocode-proxy allocation; does not classify April manual reallocations.</t>
      </text>
    </comment>
    <comment ref="M339" authorId="1" shapeId="0">
      <text>
        <t>Zero under the agreed geocode-proxy allocation; does not classify April manual reallocations.</t>
      </text>
    </comment>
    <comment ref="E340" authorId="1" shapeId="0">
      <text>
        <t>Zero under the agreed geocode-proxy allocation; does not classify April manual reallocations.</t>
      </text>
    </comment>
    <comment ref="F340" authorId="1" shapeId="0">
      <text>
        <t>Zero under the agreed geocode-proxy allocation; does not classify April manual reallocations.</t>
      </text>
    </comment>
    <comment ref="G340" authorId="1" shapeId="0">
      <text>
        <t>Zero under the agreed geocode-proxy allocation; does not classify April manual reallocations.</t>
      </text>
    </comment>
    <comment ref="H340" authorId="1" shapeId="0">
      <text>
        <t>Zero under the agreed geocode-proxy allocation; does not classify April manual reallocations.</t>
      </text>
    </comment>
    <comment ref="I340" authorId="1" shapeId="0">
      <text>
        <t>Zero under the agreed geocode-proxy allocation; does not classify April manual reallocations.</t>
      </text>
    </comment>
    <comment ref="J340" authorId="1" shapeId="0">
      <text>
        <t>Zero under the agreed geocode-proxy allocation; does not classify April manual reallocations.</t>
      </text>
    </comment>
    <comment ref="K340" authorId="1" shapeId="0">
      <text>
        <t>Zero under the agreed geocode-proxy allocation; does not classify April manual reallocations.</t>
      </text>
    </comment>
    <comment ref="L340" authorId="1" shapeId="0">
      <text>
        <t>Zero under the agreed geocode-proxy allocation; does not classify April manual reallocations.</t>
      </text>
    </comment>
    <comment ref="M340" authorId="1" shapeId="0">
      <text>
        <t>Zero under the agreed geocode-proxy allocation; does not classify April manual reallocations.</t>
      </text>
    </comment>
    <comment ref="E341" authorId="1" shapeId="0">
      <text>
        <t>Automatic from SQL input. Money is already USD: divide by 1,000,000 only. Counts are unscaled.</t>
      </text>
    </comment>
    <comment ref="F341" authorId="1" shapeId="0">
      <text>
        <t>Automatic from SQL input. Money is already USD: divide by 1,000,000 only. Counts are unscaled.</t>
      </text>
    </comment>
    <comment ref="G341" authorId="1" shapeId="0">
      <text>
        <t>Automatic from SQL input. Money is already USD: divide by 1,000,000 only. Counts are unscaled.</t>
      </text>
    </comment>
    <comment ref="H341" authorId="1" shapeId="0">
      <text>
        <t>Automatic from SQL input. Money is already USD: divide by 1,000,000 only. Counts are unscaled.</t>
      </text>
    </comment>
    <comment ref="I341" authorId="1" shapeId="0">
      <text>
        <t>Automatic from SQL input. Money is already USD: divide by 1,000,000 only. Counts are unscaled.</t>
      </text>
    </comment>
    <comment ref="J341" authorId="1" shapeId="0">
      <text>
        <t>Automatic from SQL input. Money is already USD: divide by 1,000,000 only. Counts are unscaled.</t>
      </text>
    </comment>
    <comment ref="K341" authorId="1" shapeId="0">
      <text>
        <t>Automatic from SQL input. Money is already USD: divide by 1,000,000 only. Counts are unscaled.</t>
      </text>
    </comment>
    <comment ref="L341" authorId="1" shapeId="0">
      <text>
        <t>Automatic from SQL input. Money is already USD: divide by 1,000,000 only. Counts are unscaled.</t>
      </text>
    </comment>
    <comment ref="M341" authorId="1" shapeId="0">
      <text>
        <t>Automatic from SQL input. Money is already USD: divide by 1,000,000 only. Counts are unscaled.</t>
      </text>
    </comment>
    <comment ref="C344" authorId="0" shapeId="0">
      <text>
        <t>Manual input: not supplied by SQL. Historical Schedule X(f)!C36 cached value: None. Do not assume it remains appropriate.</t>
      </text>
    </comment>
    <comment ref="E351" authorId="1" shapeId="0">
      <text>
        <t>Automatic from SQL input. Money is already USD: divide by 1,000,000 only. Counts are unscaled.</t>
      </text>
    </comment>
    <comment ref="F351" authorId="1" shapeId="0">
      <text>
        <t>Automatic from SQL input. Money is already USD: divide by 1,000,000 only. Counts are unscaled.</t>
      </text>
    </comment>
    <comment ref="G351" authorId="1" shapeId="0">
      <text>
        <t>Automatic from SQL input. Money is already USD: divide by 1,000,000 only. Counts are unscaled.</t>
      </text>
    </comment>
    <comment ref="H351" authorId="1" shapeId="0">
      <text>
        <t>Automatic from SQL input. Money is already USD: divide by 1,000,000 only. Counts are unscaled.</t>
      </text>
    </comment>
    <comment ref="I351" authorId="1" shapeId="0">
      <text>
        <t>Automatic from SQL input. Money is already USD: divide by 1,000,000 only. Counts are unscaled.</t>
      </text>
    </comment>
    <comment ref="J351" authorId="1" shapeId="0">
      <text>
        <t>Automatic from SQL input. Money is already USD: divide by 1,000,000 only. Counts are unscaled.</t>
      </text>
    </comment>
    <comment ref="K351" authorId="1" shapeId="0">
      <text>
        <t>Automatic from SQL input. Money is already USD: divide by 1,000,000 only. Counts are unscaled.</t>
      </text>
    </comment>
    <comment ref="L351" authorId="1" shapeId="0">
      <text>
        <t>Automatic from SQL input. Money is already USD: divide by 1,000,000 only. Counts are unscaled.</t>
      </text>
    </comment>
    <comment ref="M351" authorId="1" shapeId="0">
      <text>
        <t>Automatic from SQL input. Money is already USD: divide by 1,000,000 only. Counts are unscaled.</t>
      </text>
    </comment>
    <comment ref="E352" authorId="1" shapeId="0">
      <text>
        <t>Zero under the agreed geocode-proxy allocation; does not classify April manual reallocations.</t>
      </text>
    </comment>
    <comment ref="F352" authorId="1" shapeId="0">
      <text>
        <t>Zero under the agreed geocode-proxy allocation; does not classify April manual reallocations.</t>
      </text>
    </comment>
    <comment ref="G352" authorId="1" shapeId="0">
      <text>
        <t>Zero under the agreed geocode-proxy allocation; does not classify April manual reallocations.</t>
      </text>
    </comment>
    <comment ref="H352" authorId="1" shapeId="0">
      <text>
        <t>Zero under the agreed geocode-proxy allocation; does not classify April manual reallocations.</t>
      </text>
    </comment>
    <comment ref="I352" authorId="1" shapeId="0">
      <text>
        <t>Zero under the agreed geocode-proxy allocation; does not classify April manual reallocations.</t>
      </text>
    </comment>
    <comment ref="J352" authorId="1" shapeId="0">
      <text>
        <t>Zero under the agreed geocode-proxy allocation; does not classify April manual reallocations.</t>
      </text>
    </comment>
    <comment ref="K352" authorId="1" shapeId="0">
      <text>
        <t>Zero under the agreed geocode-proxy allocation; does not classify April manual reallocations.</t>
      </text>
    </comment>
    <comment ref="L352" authorId="1" shapeId="0">
      <text>
        <t>Zero under the agreed geocode-proxy allocation; does not classify April manual reallocations.</t>
      </text>
    </comment>
    <comment ref="M352" authorId="1" shapeId="0">
      <text>
        <t>Zero under the agreed geocode-proxy allocation; does not classify April manual reallocations.</t>
      </text>
    </comment>
    <comment ref="E353" authorId="1" shapeId="0">
      <text>
        <t>Zero under the agreed geocode-proxy allocation; does not classify April manual reallocations.</t>
      </text>
    </comment>
    <comment ref="F353" authorId="1" shapeId="0">
      <text>
        <t>Zero under the agreed geocode-proxy allocation; does not classify April manual reallocations.</t>
      </text>
    </comment>
    <comment ref="G353" authorId="1" shapeId="0">
      <text>
        <t>Zero under the agreed geocode-proxy allocation; does not classify April manual reallocations.</t>
      </text>
    </comment>
    <comment ref="H353" authorId="1" shapeId="0">
      <text>
        <t>Zero under the agreed geocode-proxy allocation; does not classify April manual reallocations.</t>
      </text>
    </comment>
    <comment ref="I353" authorId="1" shapeId="0">
      <text>
        <t>Zero under the agreed geocode-proxy allocation; does not classify April manual reallocations.</t>
      </text>
    </comment>
    <comment ref="J353" authorId="1" shapeId="0">
      <text>
        <t>Zero under the agreed geocode-proxy allocation; does not classify April manual reallocations.</t>
      </text>
    </comment>
    <comment ref="K353" authorId="1" shapeId="0">
      <text>
        <t>Zero under the agreed geocode-proxy allocation; does not classify April manual reallocations.</t>
      </text>
    </comment>
    <comment ref="L353" authorId="1" shapeId="0">
      <text>
        <t>Zero under the agreed geocode-proxy allocation; does not classify April manual reallocations.</t>
      </text>
    </comment>
    <comment ref="M353" authorId="1" shapeId="0">
      <text>
        <t>Zero under the agreed geocode-proxy allocation; does not classify April manual reallocations.</t>
      </text>
    </comment>
    <comment ref="E354" authorId="1" shapeId="0">
      <text>
        <t>Automatic from SQL input. Money is already USD: divide by 1,000,000 only. Counts are unscaled.</t>
      </text>
    </comment>
    <comment ref="F354" authorId="1" shapeId="0">
      <text>
        <t>Automatic from SQL input. Money is already USD: divide by 1,000,000 only. Counts are unscaled.</t>
      </text>
    </comment>
    <comment ref="G354" authorId="1" shapeId="0">
      <text>
        <t>Automatic from SQL input. Money is already USD: divide by 1,000,000 only. Counts are unscaled.</t>
      </text>
    </comment>
    <comment ref="H354" authorId="1" shapeId="0">
      <text>
        <t>Automatic from SQL input. Money is already USD: divide by 1,000,000 only. Counts are unscaled.</t>
      </text>
    </comment>
    <comment ref="I354" authorId="1" shapeId="0">
      <text>
        <t>Automatic from SQL input. Money is already USD: divide by 1,000,000 only. Counts are unscaled.</t>
      </text>
    </comment>
    <comment ref="J354" authorId="1" shapeId="0">
      <text>
        <t>Automatic from SQL input. Money is already USD: divide by 1,000,000 only. Counts are unscaled.</t>
      </text>
    </comment>
    <comment ref="K354" authorId="1" shapeId="0">
      <text>
        <t>Automatic from SQL input. Money is already USD: divide by 1,000,000 only. Counts are unscaled.</t>
      </text>
    </comment>
    <comment ref="L354" authorId="1" shapeId="0">
      <text>
        <t>Automatic from SQL input. Money is already USD: divide by 1,000,000 only. Counts are unscaled.</t>
      </text>
    </comment>
    <comment ref="M354" authorId="1" shapeId="0">
      <text>
        <t>Automatic from SQL input. Money is already USD: divide by 1,000,000 only. Counts are unscaled.</t>
      </text>
    </comment>
    <comment ref="C357" authorId="0" shapeId="0">
      <text>
        <t>Manual input: not supplied by SQL. Historical Schedule X(f)!C49 cached value: Territories covered individually too small to require modelled assessment of exposure. Do not assume it remains appropriate.</t>
      </text>
    </comment>
    <comment ref="C361" authorId="0" shapeId="0">
      <text>
        <t>Manual input: not supplied by SQL. Historical Schedule X(f)!C53 cached value: None. Do not assume it remains appropriate.</t>
      </text>
    </comment>
    <comment ref="E368" authorId="1" shapeId="0">
      <text>
        <t>Automatic from SQL input. Money is already USD: divide by 1,000,000 only. Counts are unscaled.</t>
      </text>
    </comment>
    <comment ref="F368" authorId="1" shapeId="0">
      <text>
        <t>Automatic from SQL input. Money is already USD: divide by 1,000,000 only. Counts are unscaled.</t>
      </text>
    </comment>
    <comment ref="G368" authorId="1" shapeId="0">
      <text>
        <t>Automatic from SQL input. Money is already USD: divide by 1,000,000 only. Counts are unscaled.</t>
      </text>
    </comment>
    <comment ref="H368" authorId="1" shapeId="0">
      <text>
        <t>Automatic from SQL input. Money is already USD: divide by 1,000,000 only. Counts are unscaled.</t>
      </text>
    </comment>
    <comment ref="I368" authorId="1" shapeId="0">
      <text>
        <t>Automatic from SQL input. Money is already USD: divide by 1,000,000 only. Counts are unscaled.</t>
      </text>
    </comment>
    <comment ref="J368" authorId="1" shapeId="0">
      <text>
        <t>Automatic from SQL input. Money is already USD: divide by 1,000,000 only. Counts are unscaled.</t>
      </text>
    </comment>
    <comment ref="K368" authorId="1" shapeId="0">
      <text>
        <t>Automatic from SQL input. Money is already USD: divide by 1,000,000 only. Counts are unscaled.</t>
      </text>
    </comment>
    <comment ref="L368" authorId="1" shapeId="0">
      <text>
        <t>Automatic from SQL input. Money is already USD: divide by 1,000,000 only. Counts are unscaled.</t>
      </text>
    </comment>
    <comment ref="M368" authorId="1" shapeId="0">
      <text>
        <t>Automatic from SQL input. Money is already USD: divide by 1,000,000 only. Counts are unscaled.</t>
      </text>
    </comment>
    <comment ref="E369" authorId="1" shapeId="0">
      <text>
        <t>Zero under the agreed geocode-proxy allocation; does not classify April manual reallocations.</t>
      </text>
    </comment>
    <comment ref="F369" authorId="1" shapeId="0">
      <text>
        <t>Zero under the agreed geocode-proxy allocation; does not classify April manual reallocations.</t>
      </text>
    </comment>
    <comment ref="G369" authorId="1" shapeId="0">
      <text>
        <t>Zero under the agreed geocode-proxy allocation; does not classify April manual reallocations.</t>
      </text>
    </comment>
    <comment ref="H369" authorId="1" shapeId="0">
      <text>
        <t>Zero under the agreed geocode-proxy allocation; does not classify April manual reallocations.</t>
      </text>
    </comment>
    <comment ref="I369" authorId="1" shapeId="0">
      <text>
        <t>Zero under the agreed geocode-proxy allocation; does not classify April manual reallocations.</t>
      </text>
    </comment>
    <comment ref="J369" authorId="1" shapeId="0">
      <text>
        <t>Zero under the agreed geocode-proxy allocation; does not classify April manual reallocations.</t>
      </text>
    </comment>
    <comment ref="K369" authorId="1" shapeId="0">
      <text>
        <t>Zero under the agreed geocode-proxy allocation; does not classify April manual reallocations.</t>
      </text>
    </comment>
    <comment ref="L369" authorId="1" shapeId="0">
      <text>
        <t>Zero under the agreed geocode-proxy allocation; does not classify April manual reallocations.</t>
      </text>
    </comment>
    <comment ref="M369" authorId="1" shapeId="0">
      <text>
        <t>Zero under the agreed geocode-proxy allocation; does not classify April manual reallocations.</t>
      </text>
    </comment>
    <comment ref="E370" authorId="1" shapeId="0">
      <text>
        <t>Zero under the agreed geocode-proxy allocation; does not classify April manual reallocations.</t>
      </text>
    </comment>
    <comment ref="F370" authorId="1" shapeId="0">
      <text>
        <t>Zero under the agreed geocode-proxy allocation; does not classify April manual reallocations.</t>
      </text>
    </comment>
    <comment ref="G370" authorId="1" shapeId="0">
      <text>
        <t>Zero under the agreed geocode-proxy allocation; does not classify April manual reallocations.</t>
      </text>
    </comment>
    <comment ref="H370" authorId="1" shapeId="0">
      <text>
        <t>Zero under the agreed geocode-proxy allocation; does not classify April manual reallocations.</t>
      </text>
    </comment>
    <comment ref="I370" authorId="1" shapeId="0">
      <text>
        <t>Zero under the agreed geocode-proxy allocation; does not classify April manual reallocations.</t>
      </text>
    </comment>
    <comment ref="J370" authorId="1" shapeId="0">
      <text>
        <t>Zero under the agreed geocode-proxy allocation; does not classify April manual reallocations.</t>
      </text>
    </comment>
    <comment ref="K370" authorId="1" shapeId="0">
      <text>
        <t>Zero under the agreed geocode-proxy allocation; does not classify April manual reallocations.</t>
      </text>
    </comment>
    <comment ref="L370" authorId="1" shapeId="0">
      <text>
        <t>Zero under the agreed geocode-proxy allocation; does not classify April manual reallocations.</t>
      </text>
    </comment>
    <comment ref="M370" authorId="1" shapeId="0">
      <text>
        <t>Zero under the agreed geocode-proxy allocation; does not classify April manual reallocations.</t>
      </text>
    </comment>
    <comment ref="E371" authorId="1" shapeId="0">
      <text>
        <t>Zero under the agreed geocode-proxy allocation; does not classify April manual reallocations.</t>
      </text>
    </comment>
    <comment ref="F371" authorId="1" shapeId="0">
      <text>
        <t>Zero under the agreed geocode-proxy allocation; does not classify April manual reallocations.</t>
      </text>
    </comment>
    <comment ref="G371" authorId="1" shapeId="0">
      <text>
        <t>Zero under the agreed geocode-proxy allocation; does not classify April manual reallocations.</t>
      </text>
    </comment>
    <comment ref="H371" authorId="1" shapeId="0">
      <text>
        <t>Zero under the agreed geocode-proxy allocation; does not classify April manual reallocations.</t>
      </text>
    </comment>
    <comment ref="I371" authorId="1" shapeId="0">
      <text>
        <t>Zero under the agreed geocode-proxy allocation; does not classify April manual reallocations.</t>
      </text>
    </comment>
    <comment ref="J371" authorId="1" shapeId="0">
      <text>
        <t>Zero under the agreed geocode-proxy allocation; does not classify April manual reallocations.</t>
      </text>
    </comment>
    <comment ref="K371" authorId="1" shapeId="0">
      <text>
        <t>Zero under the agreed geocode-proxy allocation; does not classify April manual reallocations.</t>
      </text>
    </comment>
    <comment ref="L371" authorId="1" shapeId="0">
      <text>
        <t>Zero under the agreed geocode-proxy allocation; does not classify April manual reallocations.</t>
      </text>
    </comment>
    <comment ref="M371" authorId="1" shapeId="0">
      <text>
        <t>Zero under the agreed geocode-proxy allocation; does not classify April manual reallocations.</t>
      </text>
    </comment>
    <comment ref="E372" authorId="1" shapeId="0">
      <text>
        <t>Automatic from SQL input. Money is already USD: divide by 1,000,000 only. Counts are unscaled.</t>
      </text>
    </comment>
    <comment ref="F372" authorId="1" shapeId="0">
      <text>
        <t>Automatic from SQL input. Money is already USD: divide by 1,000,000 only. Counts are unscaled.</t>
      </text>
    </comment>
    <comment ref="G372" authorId="1" shapeId="0">
      <text>
        <t>Automatic from SQL input. Money is already USD: divide by 1,000,000 only. Counts are unscaled.</t>
      </text>
    </comment>
    <comment ref="H372" authorId="1" shapeId="0">
      <text>
        <t>Automatic from SQL input. Money is already USD: divide by 1,000,000 only. Counts are unscaled.</t>
      </text>
    </comment>
    <comment ref="I372" authorId="1" shapeId="0">
      <text>
        <t>Automatic from SQL input. Money is already USD: divide by 1,000,000 only. Counts are unscaled.</t>
      </text>
    </comment>
    <comment ref="J372" authorId="1" shapeId="0">
      <text>
        <t>Automatic from SQL input. Money is already USD: divide by 1,000,000 only. Counts are unscaled.</t>
      </text>
    </comment>
    <comment ref="K372" authorId="1" shapeId="0">
      <text>
        <t>Automatic from SQL input. Money is already USD: divide by 1,000,000 only. Counts are unscaled.</t>
      </text>
    </comment>
    <comment ref="L372" authorId="1" shapeId="0">
      <text>
        <t>Automatic from SQL input. Money is already USD: divide by 1,000,000 only. Counts are unscaled.</t>
      </text>
    </comment>
    <comment ref="M372" authorId="1" shapeId="0">
      <text>
        <t>Automatic from SQL input. Money is already USD: divide by 1,000,000 only. Counts are unscaled.</t>
      </text>
    </comment>
    <comment ref="C375" authorId="0" shapeId="0">
      <text>
        <t>Manual input: not supplied by SQL. Historical Schedule X(f)!C67 cached value: None. Do not assume it remains appropriate.</t>
      </text>
    </comment>
    <comment ref="I378" authorId="0" shapeId="0">
      <text>
        <t>Manual input: not supplied by SQL. Historical Schedule X(f)!I70 cached value: None. Do not assume it remains appropriate.</t>
      </text>
    </comment>
    <comment ref="C382" authorId="0" shapeId="0">
      <text>
        <t>Manual input: not supplied by SQL. Historical Schedule X(f)!C74 cached value: None. Do not assume it remains appropriate.</t>
      </text>
    </comment>
    <comment ref="C386" authorId="0" shapeId="0">
      <text>
        <t>Manual input: not supplied by SQL. Historical Schedule X(f)!C78 cached value: None. Do not assume it remains appropriate.</t>
      </text>
    </comment>
  </commentList>
</comments>
</file>

<file path=xl/comments/comment6.xml><?xml version="1.0" encoding="utf-8"?>
<comments xmlns="http://schemas.openxmlformats.org/spreadsheetml/2006/main">
  <authors>
    <author>Manual field</author>
    <author>BSCR mapping</author>
  </authors>
  <commentList>
    <comment ref="E16" authorId="0" shapeId="0">
      <text>
        <t>Manual input: not supplied by SQL. Historical Schedule X(a)!E9 cached value: HICM. Do not assume it remains appropriate.</t>
      </text>
    </comment>
    <comment ref="F16" authorId="0" shapeId="0">
      <text>
        <t>Manual input: not supplied by SQL. Historical Schedule X(a)!F9 cached value: HICM. Do not assume it remains appropriate.</t>
      </text>
    </comment>
    <comment ref="G16" authorId="0" shapeId="0">
      <text>
        <t>Manual input: not supplied by SQL. Historical Schedule X(a)!G9 cached value: HICM. Do not assume it remains appropriate.</t>
      </text>
    </comment>
    <comment ref="H16" authorId="0" shapeId="0">
      <text>
        <t>Manual input: not supplied by SQL. Historical Schedule X(a)!H9 cached value: HICM. Do not assume it remains appropriate.</t>
      </text>
    </comment>
    <comment ref="E17" authorId="0" shapeId="0">
      <text>
        <t>Manual input: not supplied by SQL. Historical Schedule X(a)!E10 cached value: HICM. Do not assume it remains appropriate.</t>
      </text>
    </comment>
    <comment ref="F17" authorId="0" shapeId="0">
      <text>
        <t>Manual input: not supplied by SQL. Historical Schedule X(a)!F10 cached value: HICM. Do not assume it remains appropriate.</t>
      </text>
    </comment>
    <comment ref="G17" authorId="0" shapeId="0">
      <text>
        <t>Manual input: not supplied by SQL. Historical Schedule X(a)!G10 cached value: HICM. Do not assume it remains appropriate.</t>
      </text>
    </comment>
    <comment ref="H17" authorId="0" shapeId="0">
      <text>
        <t>Manual input: not supplied by SQL. Historical Schedule X(a)!H10 cached value: HICM. Do not assume it remains appropriate.</t>
      </text>
    </comment>
    <comment ref="E18" authorId="0" shapeId="0">
      <text>
        <t>Manual input: not supplied by SQL. Historical Schedule X(a)!E11 cached value: HICM. Do not assume it remains appropriate.</t>
      </text>
    </comment>
    <comment ref="F18" authorId="0" shapeId="0">
      <text>
        <t>Manual input: not supplied by SQL. Historical Schedule X(a)!F11 cached value: HICM. Do not assume it remains appropriate.</t>
      </text>
    </comment>
    <comment ref="G18" authorId="0" shapeId="0">
      <text>
        <t>Manual input: not supplied by SQL. Historical Schedule X(a)!G11 cached value: HICM. Do not assume it remains appropriate.</t>
      </text>
    </comment>
    <comment ref="H18" authorId="0" shapeId="0">
      <text>
        <t>Manual input: not supplied by SQL. Historical Schedule X(a)!H11 cached value: HICM. Do not assume it remains appropriate.</t>
      </text>
    </comment>
    <comment ref="E19" authorId="0" shapeId="0">
      <text>
        <t>Manual input: not supplied by SQL. Historical Schedule X(a)!E12 cached value: HICM. Do not assume it remains appropriate.</t>
      </text>
    </comment>
    <comment ref="F19" authorId="0" shapeId="0">
      <text>
        <t>Manual input: not supplied by SQL. Historical Schedule X(a)!F12 cached value: HICM. Do not assume it remains appropriate.</t>
      </text>
    </comment>
    <comment ref="G19" authorId="0" shapeId="0">
      <text>
        <t>Manual input: not supplied by SQL. Historical Schedule X(a)!G12 cached value: HICM. Do not assume it remains appropriate.</t>
      </text>
    </comment>
    <comment ref="H19" authorId="0" shapeId="0">
      <text>
        <t>Manual input: not supplied by SQL. Historical Schedule X(a)!H12 cached value: HICM. Do not assume it remains appropriate.</t>
      </text>
    </comment>
    <comment ref="E20" authorId="0" shapeId="0">
      <text>
        <t>Manual input: not supplied by SQL. Historical Schedule X(a)!E13 cached value: HICM. Do not assume it remains appropriate.</t>
      </text>
    </comment>
    <comment ref="F20" authorId="0" shapeId="0">
      <text>
        <t>Manual input: not supplied by SQL. Historical Schedule X(a)!F13 cached value: HICM. Do not assume it remains appropriate.</t>
      </text>
    </comment>
    <comment ref="G20" authorId="0" shapeId="0">
      <text>
        <t>Manual input: not supplied by SQL. Historical Schedule X(a)!G13 cached value: HICM. Do not assume it remains appropriate.</t>
      </text>
    </comment>
    <comment ref="H20" authorId="0" shapeId="0">
      <text>
        <t>Manual input: not supplied by SQL. Historical Schedule X(a)!H13 cached value: HICM. Do not assume it remains appropriate.</t>
      </text>
    </comment>
    <comment ref="E23" authorId="0" shapeId="0">
      <text>
        <t>Manual input: not supplied by SQL. Historical Schedule X(a)!E16 cached value: HICM. Do not assume it remains appropriate.</t>
      </text>
    </comment>
    <comment ref="J23" authorId="0" shapeId="0">
      <text>
        <t>Manual input: not supplied by SQL. Historical Schedule X(a)!J16 cached value: HICM. Do not assume it remains appropriate.</t>
      </text>
    </comment>
    <comment ref="J24" authorId="0" shapeId="0">
      <text>
        <t>Manual input: not supplied by SQL. Historical Schedule X(a)!J17 cached value: HICM. Do not assume it remains appropriate.</t>
      </text>
    </comment>
    <comment ref="E25" authorId="0" shapeId="0">
      <text>
        <t>Manual input: not supplied by SQL. Historical Schedule X(a)!E18 cached value: HICM. Do not assume it remains appropriate.</t>
      </text>
    </comment>
    <comment ref="J25" authorId="0" shapeId="0">
      <text>
        <t>Manual input: not supplied by SQL. Historical Schedule X(a)!J18 cached value: HICM. Do not assume it remains appropriate.</t>
      </text>
    </comment>
    <comment ref="E27" authorId="0" shapeId="0">
      <text>
        <t>Manual input: not supplied by SQL. Historical Schedule X(a)!E20 cached value: None. Do not assume it remains appropriate.</t>
      </text>
    </comment>
    <comment ref="J27" authorId="0" shapeId="0">
      <text>
        <t>Manual input: not supplied by SQL. Historical Schedule X(a)!J20 cached value: None. Do not assume it remains appropriate.</t>
      </text>
    </comment>
    <comment ref="E28" authorId="0" shapeId="0">
      <text>
        <t>Manual input: not supplied by SQL. Historical Schedule X(a)!E21 cached value: 276.77. Do not assume it remains appropriate.</t>
      </text>
    </comment>
    <comment ref="J28" authorId="0" shapeId="0">
      <text>
        <t>Manual input: not supplied by SQL. Historical Schedule X(a)!J21 cached value: 274.49. Do not assume it remains appropriate.</t>
      </text>
    </comment>
    <comment ref="E30" authorId="0" shapeId="0">
      <text>
        <t>Manual input: not supplied by SQL. Historical Schedule X(a)!E23 cached value: None. Do not assume it remains appropriate.</t>
      </text>
    </comment>
    <comment ref="J30" authorId="0" shapeId="0">
      <text>
        <t>Manual input: not supplied by SQL. Historical Schedule X(a)!J23 cached value: None. Do not assume it remains appropriate.</t>
      </text>
    </comment>
    <comment ref="E31" authorId="0" shapeId="0">
      <text>
        <t>Manual input: not supplied by SQL. Historical Schedule X(a)!E24 cached value: None. Do not assume it remains appropriate.</t>
      </text>
    </comment>
    <comment ref="J31" authorId="0" shapeId="0">
      <text>
        <t>Manual input: not supplied by SQL. Historical Schedule X(a)!J24 cached value: None. Do not assume it remains appropriate.</t>
      </text>
    </comment>
    <comment ref="E32" authorId="1" shapeId="0">
      <text>
        <t>Automatic from SQL input. Money is already USD: divide by 1,000,000 only. Counts are unscaled.</t>
      </text>
    </comment>
    <comment ref="J32" authorId="1" shapeId="0">
      <text>
        <t>Automatic from SQL input. Money is already USD: divide by 1,000,000 only. Counts are unscaled.</t>
      </text>
    </comment>
    <comment ref="E33" authorId="1" shapeId="0">
      <text>
        <t>Automatic from SQL input. Money is already USD: divide by 1,000,000 only. Counts are unscaled.</t>
      </text>
    </comment>
    <comment ref="J33" authorId="1" shapeId="0">
      <text>
        <t>Automatic from SQL input. Money is already USD: divide by 1,000,000 only. Counts are unscaled.</t>
      </text>
    </comment>
    <comment ref="E34" authorId="0" shapeId="0">
      <text>
        <t>Manual input: not supplied by SQL. Historical Schedule X(a)!E27 cached value: None. Do not assume it remains appropriate.</t>
      </text>
    </comment>
    <comment ref="J34" authorId="0" shapeId="0">
      <text>
        <t>Manual input: not supplied by SQL. Historical Schedule X(a)!J27 cached value: None. Do not assume it remains appropriate.</t>
      </text>
    </comment>
    <comment ref="E35" authorId="0" shapeId="0">
      <text>
        <t>Manual input: not supplied by SQL. Historical Schedule X(a)!E28 cached value: None. Do not assume it remains appropriate.</t>
      </text>
    </comment>
    <comment ref="J35" authorId="0" shapeId="0">
      <text>
        <t>Manual input: not supplied by SQL. Historical Schedule X(a)!J28 cached value: None. Do not assume it remains appropriate.</t>
      </text>
    </comment>
    <comment ref="E38" authorId="0" shapeId="0">
      <text>
        <t>Manual input: not supplied by SQL. Historical Schedule X(a)!E31 cached value: None. Do not assume it remains appropriate.</t>
      </text>
    </comment>
    <comment ref="I38" authorId="0" shapeId="0">
      <text>
        <t>Manual input: not supplied by SQL. Historical Schedule X(a)!I31 cached value: None. Do not assume it remains appropriate.</t>
      </text>
    </comment>
    <comment ref="E39" authorId="0" shapeId="0">
      <text>
        <t>Manual input: not supplied by SQL. Historical Schedule X(a)!E32 cached value: None. Do not assume it remains appropriate.</t>
      </text>
    </comment>
    <comment ref="I39" authorId="0" shapeId="0">
      <text>
        <t>Manual input: not supplied by SQL. Historical Schedule X(a)!I32 cached value: None. Do not assume it remains appropriate.</t>
      </text>
    </comment>
    <comment ref="E40" authorId="0" shapeId="0">
      <text>
        <t>Manual input: not supplied by SQL. Historical Schedule X(a)!E33 cached value: None. Do not assume it remains appropriate.</t>
      </text>
    </comment>
    <comment ref="I40" authorId="0" shapeId="0">
      <text>
        <t>Manual input: not supplied by SQL. Historical Schedule X(a)!I33 cached value: None. Do not assume it remains appropriate.</t>
      </text>
    </comment>
    <comment ref="E41" authorId="0" shapeId="0">
      <text>
        <t>Manual input: not supplied by SQL. Historical Schedule X(a)!E34 cached value: None. Do not assume it remains appropriate.</t>
      </text>
    </comment>
    <comment ref="I41" authorId="0" shapeId="0">
      <text>
        <t>Manual input: not supplied by SQL. Historical Schedule X(a)!I34 cached value: None. Do not assume it remains appropriate.</t>
      </text>
    </comment>
    <comment ref="E42" authorId="0" shapeId="0">
      <text>
        <t>Manual input: not supplied by SQL. Historical Schedule X(a)!E35 cached value: None. Do not assume it remains appropriate.</t>
      </text>
    </comment>
    <comment ref="I42" authorId="0" shapeId="0">
      <text>
        <t>Manual input: not supplied by SQL. Historical Schedule X(a)!I35 cached value: None. Do not assume it remains appropriate.</t>
      </text>
    </comment>
    <comment ref="E43" authorId="0" shapeId="0">
      <text>
        <t>Manual input: not supplied by SQL. Historical Schedule X(a)!E36 cached value: None. Do not assume it remains appropriate.</t>
      </text>
    </comment>
    <comment ref="I43" authorId="0" shapeId="0">
      <text>
        <t>Manual input: not supplied by SQL. Historical Schedule X(a)!I36 cached value: None. Do not assume it remains appropriate.</t>
      </text>
    </comment>
    <comment ref="E44" authorId="0" shapeId="0">
      <text>
        <t>Manual input: not supplied by SQL. Historical Schedule X(a)!E37 cached value: None. Do not assume it remains appropriate.</t>
      </text>
    </comment>
    <comment ref="I44" authorId="0" shapeId="0">
      <text>
        <t>Manual input: not supplied by SQL. Historical Schedule X(a)!I37 cached value: None. Do not assume it remains appropriate.</t>
      </text>
    </comment>
    <comment ref="E45" authorId="0" shapeId="0">
      <text>
        <t>Manual input: not supplied by SQL. Historical Schedule X(a)!E38 cached value: None. Do not assume it remains appropriate.</t>
      </text>
    </comment>
    <comment ref="I45" authorId="0" shapeId="0">
      <text>
        <t>Manual input: not supplied by SQL. Historical Schedule X(a)!I38 cached value: None. Do not assume it remains appropriate.</t>
      </text>
    </comment>
    <comment ref="E46" authorId="0" shapeId="0">
      <text>
        <t>Manual input: not supplied by SQL. Historical Schedule X(a)!E39 cached value: None. Do not assume it remains appropriate.</t>
      </text>
    </comment>
    <comment ref="I46" authorId="0" shapeId="0">
      <text>
        <t>Manual input: not supplied by SQL. Historical Schedule X(a)!I39 cached value: None. Do not assume it remains appropriate.</t>
      </text>
    </comment>
    <comment ref="E47" authorId="0" shapeId="0">
      <text>
        <t>Manual input: not supplied by SQL. Historical Schedule X(a)!E40 cached value: None. Do not assume it remains appropriate.</t>
      </text>
    </comment>
    <comment ref="I47" authorId="0" shapeId="0">
      <text>
        <t>Manual input: not supplied by SQL. Historical Schedule X(a)!I40 cached value: None. Do not assume it remains appropriate.</t>
      </text>
    </comment>
    <comment ref="E48" authorId="0" shapeId="0">
      <text>
        <t>Manual input: not supplied by SQL. Historical Schedule X(a)!E41 cached value: None. Do not assume it remains appropriate.</t>
      </text>
    </comment>
    <comment ref="I48" authorId="0" shapeId="0">
      <text>
        <t>Manual input: not supplied by SQL. Historical Schedule X(a)!I41 cached value: None. Do not assume it remains appropriate.</t>
      </text>
    </comment>
    <comment ref="E49" authorId="0" shapeId="0">
      <text>
        <t>Manual input: not supplied by SQL. Historical Schedule X(a)!E42 cached value: None. Do not assume it remains appropriate.</t>
      </text>
    </comment>
    <comment ref="I49" authorId="0" shapeId="0">
      <text>
        <t>Manual input: not supplied by SQL. Historical Schedule X(a)!I42 cached value: None. Do not assume it remains appropriate.</t>
      </text>
    </comment>
    <comment ref="E50" authorId="0" shapeId="0">
      <text>
        <t>Manual input: not supplied by SQL. Historical Schedule X(a)!E43 cached value: None. Do not assume it remains appropriate.</t>
      </text>
    </comment>
    <comment ref="I50" authorId="0" shapeId="0">
      <text>
        <t>Manual input: not supplied by SQL. Historical Schedule X(a)!I43 cached value: None. Do not assume it remains appropriate.</t>
      </text>
    </comment>
    <comment ref="E51" authorId="0" shapeId="0">
      <text>
        <t>Manual input: not supplied by SQL. Historical Schedule X(a)!E44 cached value: None. Do not assume it remains appropriate.</t>
      </text>
    </comment>
    <comment ref="I51" authorId="0" shapeId="0">
      <text>
        <t>Manual input: not supplied by SQL. Historical Schedule X(a)!I44 cached value: None. Do not assume it remains appropriate.</t>
      </text>
    </comment>
    <comment ref="E52" authorId="0" shapeId="0">
      <text>
        <t>Manual input: not supplied by SQL. Historical Schedule X(a)!E45 cached value: None. Do not assume it remains appropriate.</t>
      </text>
    </comment>
    <comment ref="I52" authorId="0" shapeId="0">
      <text>
        <t>Manual input: not supplied by SQL. Historical Schedule X(a)!I45 cached value: None. Do not assume it remains appropriate.</t>
      </text>
    </comment>
    <comment ref="E53" authorId="0" shapeId="0">
      <text>
        <t>Manual input: not supplied by SQL. Historical Schedule X(a)!E46 cached value: None. Do not assume it remains appropriate.</t>
      </text>
    </comment>
    <comment ref="I53" authorId="0" shapeId="0">
      <text>
        <t>Manual input: not supplied by SQL. Historical Schedule X(a)!I46 cached value: None. Do not assume it remains appropriate.</t>
      </text>
    </comment>
    <comment ref="I54" authorId="0" shapeId="0">
      <text>
        <t>Manual input: not supplied by SQL. Historical Schedule X(a)!I47 cached value: None. Do not assume it remains appropriate.</t>
      </text>
    </comment>
    <comment ref="J54" authorId="0" shapeId="0">
      <text>
        <t>Manual input: not supplied by SQL. Historical Schedule X(a)!J47 cached value: None. Do not assume it remains appropriate.</t>
      </text>
    </comment>
    <comment ref="K54" authorId="0" shapeId="0">
      <text>
        <t>Manual input: not supplied by SQL. Historical Schedule X(a)!K47 cached value: None. Do not assume it remains appropriate.</t>
      </text>
    </comment>
    <comment ref="I55" authorId="0" shapeId="0">
      <text>
        <t>Manual input: not supplied by SQL. Historical Schedule X(a)!I48 cached value: None. Do not assume it remains appropriate.</t>
      </text>
    </comment>
    <comment ref="J55" authorId="0" shapeId="0">
      <text>
        <t>Manual input: not supplied by SQL. Historical Schedule X(a)!J48 cached value: None. Do not assume it remains appropriate.</t>
      </text>
    </comment>
    <comment ref="K55" authorId="0" shapeId="0">
      <text>
        <t>Manual input: not supplied by SQL. Historical Schedule X(a)!K48 cached value: None. Do not assume it remains appropriate.</t>
      </text>
    </comment>
    <comment ref="E56" authorId="0" shapeId="0">
      <text>
        <t>Manual input: not supplied by SQL. Historical Schedule X(a)!E49 cached value: None. Do not assume it remains appropriate.</t>
      </text>
    </comment>
    <comment ref="I56" authorId="0" shapeId="0">
      <text>
        <t>Manual input: not supplied by SQL. Historical Schedule X(a)!I49 cached value: None. Do not assume it remains appropriate.</t>
      </text>
    </comment>
    <comment ref="E57" authorId="0" shapeId="0">
      <text>
        <t>Manual input: not supplied by SQL. Historical Schedule X(a)!E50 cached value: None. Do not assume it remains appropriate.</t>
      </text>
    </comment>
    <comment ref="I57" authorId="0" shapeId="0">
      <text>
        <t>Manual input: not supplied by SQL. Historical Schedule X(a)!I50 cached value: None. Do not assume it remains appropriate.</t>
      </text>
    </comment>
    <comment ref="E58" authorId="0" shapeId="0">
      <text>
        <t>Manual input: not supplied by SQL. Historical Schedule X(a)!E51 cached value: None. Do not assume it remains appropriate.</t>
      </text>
    </comment>
    <comment ref="I58" authorId="0" shapeId="0">
      <text>
        <t>Manual input: not supplied by SQL. Historical Schedule X(a)!I51 cached value: None. Do not assume it remains appropriate.</t>
      </text>
    </comment>
    <comment ref="E59" authorId="0" shapeId="0">
      <text>
        <t>Manual input: not supplied by SQL. Historical Schedule X(a)!E52 cached value: None. Do not assume it remains appropriate.</t>
      </text>
    </comment>
    <comment ref="I59" authorId="0" shapeId="0">
      <text>
        <t>Manual input: not supplied by SQL. Historical Schedule X(a)!I52 cached value: None. Do not assume it remains appropriate.</t>
      </text>
    </comment>
    <comment ref="E60" authorId="0" shapeId="0">
      <text>
        <t>Manual input: not supplied by SQL. Historical Schedule X(a)!E53 cached value: None. Do not assume it remains appropriate.</t>
      </text>
    </comment>
    <comment ref="I60" authorId="0" shapeId="0">
      <text>
        <t>Manual input: not supplied by SQL. Historical Schedule X(a)!I53 cached value: None. Do not assume it remains appropriate.</t>
      </text>
    </comment>
    <comment ref="I61" authorId="0" shapeId="0">
      <text>
        <t>Manual input: not supplied by SQL. Historical Schedule X(a)!I54 cached value: None. Do not assume it remains appropriate.</t>
      </text>
    </comment>
    <comment ref="J61" authorId="0" shapeId="0">
      <text>
        <t>Manual input: not supplied by SQL. Historical Schedule X(a)!J54 cached value: None. Do not assume it remains appropriate.</t>
      </text>
    </comment>
    <comment ref="K61" authorId="0" shapeId="0">
      <text>
        <t>Manual input: not supplied by SQL. Historical Schedule X(a)!K54 cached value: None. Do not assume it remains appropriate.</t>
      </text>
    </comment>
    <comment ref="I62" authorId="0" shapeId="0">
      <text>
        <t>Manual input: not supplied by SQL. Historical Schedule X(a)!I55 cached value: None. Do not assume it remains appropriate.</t>
      </text>
    </comment>
    <comment ref="J62" authorId="0" shapeId="0">
      <text>
        <t>Manual input: not supplied by SQL. Historical Schedule X(a)!J55 cached value: None. Do not assume it remains appropriate.</t>
      </text>
    </comment>
    <comment ref="K62" authorId="0" shapeId="0">
      <text>
        <t>Manual input: not supplied by SQL. Historical Schedule X(a)!K55 cached value: None. Do not assume it remains appropriate.</t>
      </text>
    </comment>
    <comment ref="E63" authorId="0" shapeId="0">
      <text>
        <t>Manual input: not supplied by SQL. Historical Schedule X(a)!E56 cached value: None. Do not assume it remains appropriate.</t>
      </text>
    </comment>
    <comment ref="I63" authorId="0" shapeId="0">
      <text>
        <t>Manual input: not supplied by SQL. Historical Schedule X(a)!I56 cached value: None. Do not assume it remains appropriate.</t>
      </text>
    </comment>
    <comment ref="E64" authorId="0" shapeId="0">
      <text>
        <t>Manual input: not supplied by SQL. Historical Schedule X(a)!E57 cached value: None. Do not assume it remains appropriate.</t>
      </text>
    </comment>
    <comment ref="I64" authorId="0" shapeId="0">
      <text>
        <t>Manual input: not supplied by SQL. Historical Schedule X(a)!I57 cached value: None. Do not assume it remains appropriate.</t>
      </text>
    </comment>
    <comment ref="I65" authorId="0" shapeId="0">
      <text>
        <t>Manual input: not supplied by SQL. Historical Schedule X(a)!I58 cached value: None. Do not assume it remains appropriate.</t>
      </text>
    </comment>
    <comment ref="J65" authorId="0" shapeId="0">
      <text>
        <t>Manual input: not supplied by SQL. Historical Schedule X(a)!J58 cached value: None. Do not assume it remains appropriate.</t>
      </text>
    </comment>
    <comment ref="K65" authorId="0" shapeId="0">
      <text>
        <t>Manual input: not supplied by SQL. Historical Schedule X(a)!K58 cached value: None. Do not assume it remains appropriate.</t>
      </text>
    </comment>
    <comment ref="I66" authorId="0" shapeId="0">
      <text>
        <t>Manual input: not supplied by SQL. Historical Schedule X(a)!I59 cached value: None. Do not assume it remains appropriate.</t>
      </text>
    </comment>
    <comment ref="J66" authorId="0" shapeId="0">
      <text>
        <t>Manual input: not supplied by SQL. Historical Schedule X(a)!J59 cached value: None. Do not assume it remains appropriate.</t>
      </text>
    </comment>
    <comment ref="K66" authorId="0" shapeId="0">
      <text>
        <t>Manual input: not supplied by SQL. Historical Schedule X(a)!K59 cached value: None. Do not assume it remains appropriate.</t>
      </text>
    </comment>
    <comment ref="E67" authorId="0" shapeId="0">
      <text>
        <t>Manual input: not supplied by SQL. Historical Schedule X(a)!E60 cached value: None. Do not assume it remains appropriate.</t>
      </text>
    </comment>
    <comment ref="I67" authorId="0" shapeId="0">
      <text>
        <t>Manual input: not supplied by SQL. Historical Schedule X(a)!I60 cached value: None. Do not assume it remains appropriate.</t>
      </text>
    </comment>
    <comment ref="E68" authorId="0" shapeId="0">
      <text>
        <t>Manual input: not supplied by SQL. Historical Schedule X(a)!E61 cached value: None. Do not assume it remains appropriate.</t>
      </text>
    </comment>
    <comment ref="I68" authorId="0" shapeId="0">
      <text>
        <t>Manual input: not supplied by SQL. Historical Schedule X(a)!I61 cached value: None. Do not assume it remains appropriate.</t>
      </text>
    </comment>
    <comment ref="E69" authorId="0" shapeId="0">
      <text>
        <t>Manual input: not supplied by SQL. Historical Schedule X(a)!E62 cached value: None. Do not assume it remains appropriate.</t>
      </text>
    </comment>
    <comment ref="I69" authorId="0" shapeId="0">
      <text>
        <t>Manual input: not supplied by SQL. Historical Schedule X(a)!I62 cached value: None. Do not assume it remains appropriate.</t>
      </text>
    </comment>
    <comment ref="E70" authorId="0" shapeId="0">
      <text>
        <t>Manual input: not supplied by SQL. Historical Schedule X(a)!E63 cached value: None. Do not assume it remains appropriate.</t>
      </text>
    </comment>
    <comment ref="I70" authorId="0" shapeId="0">
      <text>
        <t>Manual input: not supplied by SQL. Historical Schedule X(a)!I63 cached value: None. Do not assume it remains appropriate.</t>
      </text>
    </comment>
    <comment ref="E71" authorId="0" shapeId="0">
      <text>
        <t>Manual input: not supplied by SQL. Historical Schedule X(a)!E64 cached value: None. Do not assume it remains appropriate.</t>
      </text>
    </comment>
    <comment ref="I71" authorId="0" shapeId="0">
      <text>
        <t>Manual input: not supplied by SQL. Historical Schedule X(a)!I64 cached value: None. Do not assume it remains appropriate.</t>
      </text>
    </comment>
    <comment ref="E72" authorId="0" shapeId="0">
      <text>
        <t>Manual input: not supplied by SQL. Historical Schedule X(a)!E65 cached value: None. Do not assume it remains appropriate.</t>
      </text>
    </comment>
    <comment ref="I72" authorId="0" shapeId="0">
      <text>
        <t>Manual input: not supplied by SQL. Historical Schedule X(a)!I65 cached value: None. Do not assume it remains appropriate.</t>
      </text>
    </comment>
    <comment ref="I73" authorId="0" shapeId="0">
      <text>
        <t>Manual input: not supplied by SQL. Historical Schedule X(a)!I66 cached value: None. Do not assume it remains appropriate.</t>
      </text>
    </comment>
    <comment ref="J73" authorId="0" shapeId="0">
      <text>
        <t>Manual input: not supplied by SQL. Historical Schedule X(a)!J66 cached value: None. Do not assume it remains appropriate.</t>
      </text>
    </comment>
    <comment ref="K73" authorId="0" shapeId="0">
      <text>
        <t>Manual input: not supplied by SQL. Historical Schedule X(a)!K66 cached value: None. Do not assume it remains appropriate.</t>
      </text>
    </comment>
    <comment ref="I74" authorId="0" shapeId="0">
      <text>
        <t>Manual input: not supplied by SQL. Historical Schedule X(a)!I67 cached value: None. Do not assume it remains appropriate.</t>
      </text>
    </comment>
    <comment ref="J74" authorId="0" shapeId="0">
      <text>
        <t>Manual input: not supplied by SQL. Historical Schedule X(a)!J67 cached value: None. Do not assume it remains appropriate.</t>
      </text>
    </comment>
    <comment ref="K74" authorId="0" shapeId="0">
      <text>
        <t>Manual input: not supplied by SQL. Historical Schedule X(a)!K67 cached value: None. Do not assume it remains appropriate.</t>
      </text>
    </comment>
    <comment ref="E75" authorId="0" shapeId="0">
      <text>
        <t>Manual input: not supplied by SQL. Historical Schedule X(a)!E68 cached value: None. Do not assume it remains appropriate.</t>
      </text>
    </comment>
    <comment ref="I75" authorId="0" shapeId="0">
      <text>
        <t>Manual input: not supplied by SQL. Historical Schedule X(a)!I68 cached value: None. Do not assume it remains appropriate.</t>
      </text>
    </comment>
    <comment ref="E76" authorId="0" shapeId="0">
      <text>
        <t>Manual input: not supplied by SQL. Historical Schedule X(a)!E69 cached value: None. Do not assume it remains appropriate.</t>
      </text>
    </comment>
    <comment ref="I76" authorId="0" shapeId="0">
      <text>
        <t>Manual input: not supplied by SQL. Historical Schedule X(a)!I69 cached value: None. Do not assume it remains appropriate.</t>
      </text>
    </comment>
    <comment ref="E77" authorId="0" shapeId="0">
      <text>
        <t>Manual input: not supplied by SQL. Historical Schedule X(a)!E70 cached value: None. Do not assume it remains appropriate.</t>
      </text>
    </comment>
    <comment ref="I77" authorId="0" shapeId="0">
      <text>
        <t>Manual input: not supplied by SQL. Historical Schedule X(a)!I70 cached value: None. Do not assume it remains appropriate.</t>
      </text>
    </comment>
    <comment ref="E78" authorId="0" shapeId="0">
      <text>
        <t>Manual input: not supplied by SQL. Historical Schedule X(a)!E71 cached value: None. Do not assume it remains appropriate.</t>
      </text>
    </comment>
    <comment ref="I78" authorId="0" shapeId="0">
      <text>
        <t>Manual input: not supplied by SQL. Historical Schedule X(a)!I71 cached value: None. Do not assume it remains appropriate.</t>
      </text>
    </comment>
    <comment ref="E79" authorId="0" shapeId="0">
      <text>
        <t>Manual input: not supplied by SQL. Historical Schedule X(a)!E72 cached value: None. Do not assume it remains appropriate.</t>
      </text>
    </comment>
    <comment ref="I79" authorId="0" shapeId="0">
      <text>
        <t>Manual input: not supplied by SQL. Historical Schedule X(a)!I72 cached value: None. Do not assume it remains appropriate.</t>
      </text>
    </comment>
    <comment ref="E80" authorId="0" shapeId="0">
      <text>
        <t>Manual input: not supplied by SQL. Historical Schedule X(a)!E73 cached value: None. Do not assume it remains appropriate.</t>
      </text>
    </comment>
    <comment ref="I80" authorId="0" shapeId="0">
      <text>
        <t>Manual input: not supplied by SQL. Historical Schedule X(a)!I73 cached value: None. Do not assume it remains appropriate.</t>
      </text>
    </comment>
    <comment ref="E81" authorId="0" shapeId="0">
      <text>
        <t>Manual input: not supplied by SQL. Historical Schedule X(a)!E74 cached value: None. Do not assume it remains appropriate.</t>
      </text>
    </comment>
    <comment ref="I81" authorId="0" shapeId="0">
      <text>
        <t>Manual input: not supplied by SQL. Historical Schedule X(a)!I74 cached value: None. Do not assume it remains appropriate.</t>
      </text>
    </comment>
    <comment ref="E82" authorId="0" shapeId="0">
      <text>
        <t>Manual input: not supplied by SQL. Historical Schedule X(a)!E75 cached value: None. Do not assume it remains appropriate.</t>
      </text>
    </comment>
    <comment ref="I82" authorId="0" shapeId="0">
      <text>
        <t>Manual input: not supplied by SQL. Historical Schedule X(a)!I75 cached value: None. Do not assume it remains appropriate.</t>
      </text>
    </comment>
    <comment ref="I83" authorId="0" shapeId="0">
      <text>
        <t>Manual input: not supplied by SQL. Historical Schedule X(a)!I76 cached value: None. Do not assume it remains appropriate.</t>
      </text>
    </comment>
    <comment ref="J83" authorId="0" shapeId="0">
      <text>
        <t>Manual input: not supplied by SQL. Historical Schedule X(a)!J76 cached value: None. Do not assume it remains appropriate.</t>
      </text>
    </comment>
    <comment ref="K83" authorId="0" shapeId="0">
      <text>
        <t>Manual input: not supplied by SQL. Historical Schedule X(a)!K76 cached value: None. Do not assume it remains appropriate.</t>
      </text>
    </comment>
    <comment ref="G84" authorId="0" shapeId="0">
      <text>
        <t>Manual input: not supplied by SQL. Historical Schedule X(a)!G77 cached value: None. Do not assume it remains appropriate.</t>
      </text>
    </comment>
    <comment ref="I84" authorId="0" shapeId="0">
      <text>
        <t>Manual input: not supplied by SQL. Historical Schedule X(a)!I77 cached value: None. Do not assume it remains appropriate.</t>
      </text>
    </comment>
    <comment ref="J84" authorId="0" shapeId="0">
      <text>
        <t>Manual input: not supplied by SQL. Historical Schedule X(a)!J77 cached value: None. Do not assume it remains appropriate.</t>
      </text>
    </comment>
    <comment ref="K84" authorId="0" shapeId="0">
      <text>
        <t>Manual input: not supplied by SQL. Historical Schedule X(a)!K77 cached value: None. Do not assume it remains appropriate.</t>
      </text>
    </comment>
    <comment ref="G85" authorId="0" shapeId="0">
      <text>
        <t>Manual input: not supplied by SQL. Historical Schedule X(a)!G78 cached value: None. Do not assume it remains appropriate.</t>
      </text>
    </comment>
    <comment ref="I85" authorId="0" shapeId="0">
      <text>
        <t>Manual input: not supplied by SQL. Historical Schedule X(a)!I78 cached value: None. Do not assume it remains appropriate.</t>
      </text>
    </comment>
    <comment ref="J85" authorId="0" shapeId="0">
      <text>
        <t>Manual input: not supplied by SQL. Historical Schedule X(a)!J78 cached value: None. Do not assume it remains appropriate.</t>
      </text>
    </comment>
    <comment ref="K85" authorId="0" shapeId="0">
      <text>
        <t>Manual input: not supplied by SQL. Historical Schedule X(a)!K78 cached value: None. Do not assume it remains appropriate.</t>
      </text>
    </comment>
    <comment ref="I86" authorId="0" shapeId="0">
      <text>
        <t>Manual input: not supplied by SQL. Historical Schedule X(a)!I79 cached value: None. Do not assume it remains appropriate.</t>
      </text>
    </comment>
    <comment ref="J86" authorId="0" shapeId="0">
      <text>
        <t>Manual input: not supplied by SQL. Historical Schedule X(a)!J79 cached value: None. Do not assume it remains appropriate.</t>
      </text>
    </comment>
    <comment ref="K86" authorId="0" shapeId="0">
      <text>
        <t>Manual input: not supplied by SQL. Historical Schedule X(a)!K79 cached value: None. Do not assume it remains appropriate.</t>
      </text>
    </comment>
    <comment ref="G87" authorId="0" shapeId="0">
      <text>
        <t>Manual input: not supplied by SQL. Historical Schedule X(a)!G80 cached value: None. Do not assume it remains appropriate.</t>
      </text>
    </comment>
    <comment ref="I87" authorId="0" shapeId="0">
      <text>
        <t>Manual input: not supplied by SQL. Historical Schedule X(a)!I80 cached value: None. Do not assume it remains appropriate.</t>
      </text>
    </comment>
    <comment ref="J87" authorId="0" shapeId="0">
      <text>
        <t>Manual input: not supplied by SQL. Historical Schedule X(a)!J80 cached value: None. Do not assume it remains appropriate.</t>
      </text>
    </comment>
    <comment ref="K87" authorId="0" shapeId="0">
      <text>
        <t>Manual input: not supplied by SQL. Historical Schedule X(a)!K80 cached value: None. Do not assume it remains appropriate.</t>
      </text>
    </comment>
    <comment ref="G88" authorId="0" shapeId="0">
      <text>
        <t>Manual input: not supplied by SQL. Historical Schedule X(a)!G81 cached value: None. Do not assume it remains appropriate.</t>
      </text>
    </comment>
    <comment ref="E108" authorId="0" shapeId="0">
      <text>
        <t>Manual input: not supplied by SQL. Historical Schedule X(b)!E11 cached value: HICM. Do not assume it remains appropriate.</t>
      </text>
    </comment>
    <comment ref="F108" authorId="0" shapeId="0">
      <text>
        <t>Manual input: not supplied by SQL. Historical Schedule X(b)!F11 cached value: HICM. Do not assume it remains appropriate.</t>
      </text>
    </comment>
    <comment ref="G108" authorId="0" shapeId="0">
      <text>
        <t>Manual input: not supplied by SQL. Historical Schedule X(b)!G11 cached value: HICM. Do not assume it remains appropriate.</t>
      </text>
    </comment>
    <comment ref="H108" authorId="0" shapeId="0">
      <text>
        <t>Manual input: not supplied by SQL. Historical Schedule X(b)!H11 cached value: HICM. Do not assume it remains appropriate.</t>
      </text>
    </comment>
    <comment ref="E109" authorId="0" shapeId="0">
      <text>
        <t>Manual input: not supplied by SQL. Historical Schedule X(b)!E12 cached value: HICM. Do not assume it remains appropriate.</t>
      </text>
    </comment>
    <comment ref="F109" authorId="0" shapeId="0">
      <text>
        <t>Manual input: not supplied by SQL. Historical Schedule X(b)!F12 cached value: HICM. Do not assume it remains appropriate.</t>
      </text>
    </comment>
    <comment ref="G109" authorId="0" shapeId="0">
      <text>
        <t>Manual input: not supplied by SQL. Historical Schedule X(b)!G12 cached value: HICM. Do not assume it remains appropriate.</t>
      </text>
    </comment>
    <comment ref="H109" authorId="0" shapeId="0">
      <text>
        <t>Manual input: not supplied by SQL. Historical Schedule X(b)!H12 cached value: HICM. Do not assume it remains appropriate.</t>
      </text>
    </comment>
    <comment ref="E110" authorId="0" shapeId="0">
      <text>
        <t>Manual input: not supplied by SQL. Historical Schedule X(b)!E13 cached value: HICM. Do not assume it remains appropriate.</t>
      </text>
    </comment>
    <comment ref="F110" authorId="0" shapeId="0">
      <text>
        <t>Manual input: not supplied by SQL. Historical Schedule X(b)!F13 cached value: HICM. Do not assume it remains appropriate.</t>
      </text>
    </comment>
    <comment ref="G110" authorId="0" shapeId="0">
      <text>
        <t>Manual input: not supplied by SQL. Historical Schedule X(b)!G13 cached value: HICM. Do not assume it remains appropriate.</t>
      </text>
    </comment>
    <comment ref="H110" authorId="0" shapeId="0">
      <text>
        <t>Manual input: not supplied by SQL. Historical Schedule X(b)!H13 cached value: HICM. Do not assume it remains appropriate.</t>
      </text>
    </comment>
    <comment ref="E111" authorId="0" shapeId="0">
      <text>
        <t>Manual input: not supplied by SQL. Historical Schedule X(b)!E14 cached value: HICM. Do not assume it remains appropriate.</t>
      </text>
    </comment>
    <comment ref="F111" authorId="0" shapeId="0">
      <text>
        <t>Manual input: not supplied by SQL. Historical Schedule X(b)!F14 cached value: HICM. Do not assume it remains appropriate.</t>
      </text>
    </comment>
    <comment ref="G111" authorId="0" shapeId="0">
      <text>
        <t>Manual input: not supplied by SQL. Historical Schedule X(b)!G14 cached value: HICM. Do not assume it remains appropriate.</t>
      </text>
    </comment>
    <comment ref="H111" authorId="0" shapeId="0">
      <text>
        <t>Manual input: not supplied by SQL. Historical Schedule X(b)!H14 cached value: HICM. Do not assume it remains appropriate.</t>
      </text>
    </comment>
    <comment ref="E112" authorId="0" shapeId="0">
      <text>
        <t>Manual input: not supplied by SQL. Historical Schedule X(b)!E15 cached value: HICM. Do not assume it remains appropriate.</t>
      </text>
    </comment>
    <comment ref="F112" authorId="0" shapeId="0">
      <text>
        <t>Manual input: not supplied by SQL. Historical Schedule X(b)!F15 cached value: HICM. Do not assume it remains appropriate.</t>
      </text>
    </comment>
    <comment ref="G112" authorId="0" shapeId="0">
      <text>
        <t>Manual input: not supplied by SQL. Historical Schedule X(b)!G15 cached value: HICM. Do not assume it remains appropriate.</t>
      </text>
    </comment>
    <comment ref="H112" authorId="0" shapeId="0">
      <text>
        <t>Manual input: not supplied by SQL. Historical Schedule X(b)!H15 cached value: HICM. Do not assume it remains appropriate.</t>
      </text>
    </comment>
    <comment ref="E115" authorId="0" shapeId="0">
      <text>
        <t>Manual input: not supplied by SQL. Historical Schedule X(b)!E18 cached value: HICM. Do not assume it remains appropriate.</t>
      </text>
    </comment>
    <comment ref="J115" authorId="0" shapeId="0">
      <text>
        <t>Manual input: not supplied by SQL. Historical Schedule X(b)!J18 cached value: HICM. Do not assume it remains appropriate.</t>
      </text>
    </comment>
    <comment ref="J116" authorId="0" shapeId="0">
      <text>
        <t>Manual input: not supplied by SQL. Historical Schedule X(b)!J19 cached value: HICM. Do not assume it remains appropriate.</t>
      </text>
    </comment>
    <comment ref="E117" authorId="0" shapeId="0">
      <text>
        <t>Manual input: not supplied by SQL. Historical Schedule X(b)!E20 cached value: HICM. Do not assume it remains appropriate.</t>
      </text>
    </comment>
    <comment ref="J117" authorId="0" shapeId="0">
      <text>
        <t>Manual input: not supplied by SQL. Historical Schedule X(b)!J20 cached value: HICM. Do not assume it remains appropriate.</t>
      </text>
    </comment>
    <comment ref="E119" authorId="0" shapeId="0">
      <text>
        <t>Manual input: not supplied by SQL. Historical Schedule X(b)!E22 cached value: 0. Do not assume it remains appropriate.</t>
      </text>
    </comment>
    <comment ref="J119" authorId="0" shapeId="0">
      <text>
        <t>Manual input: not supplied by SQL. Historical Schedule X(b)!J22 cached value: 0. Do not assume it remains appropriate.</t>
      </text>
    </comment>
    <comment ref="E120" authorId="0" shapeId="0">
      <text>
        <t>Manual input: not supplied by SQL. Historical Schedule X(b)!E23 cached value: 276.77. Do not assume it remains appropriate.</t>
      </text>
    </comment>
    <comment ref="J120" authorId="0" shapeId="0">
      <text>
        <t>Manual input: not supplied by SQL. Historical Schedule X(b)!J23 cached value: 274.49. Do not assume it remains appropriate.</t>
      </text>
    </comment>
    <comment ref="E122" authorId="0" shapeId="0">
      <text>
        <t>Manual input: not supplied by SQL. Historical Schedule X(b)!E25 cached value: 0. Do not assume it remains appropriate.</t>
      </text>
    </comment>
    <comment ref="J122" authorId="0" shapeId="0">
      <text>
        <t>Manual input: not supplied by SQL. Historical Schedule X(b)!J25 cached value: 0. Do not assume it remains appropriate.</t>
      </text>
    </comment>
    <comment ref="E123" authorId="0" shapeId="0">
      <text>
        <t>Manual input: not supplied by SQL. Historical Schedule X(b)!E26 cached value: 0. Do not assume it remains appropriate.</t>
      </text>
    </comment>
    <comment ref="J123" authorId="0" shapeId="0">
      <text>
        <t>Manual input: not supplied by SQL. Historical Schedule X(b)!J26 cached value: 0. Do not assume it remains appropriate.</t>
      </text>
    </comment>
    <comment ref="E124" authorId="1" shapeId="0">
      <text>
        <t>Automatic from SQL input. Money is already USD: divide by 1,000,000 only. Counts are unscaled.</t>
      </text>
    </comment>
    <comment ref="J124" authorId="1" shapeId="0">
      <text>
        <t>Automatic from SQL input. Money is already USD: divide by 1,000,000 only. Counts are unscaled.</t>
      </text>
    </comment>
    <comment ref="E125" authorId="1" shapeId="0">
      <text>
        <t>Automatic from SQL input. Money is already USD: divide by 1,000,000 only. Counts are unscaled.</t>
      </text>
    </comment>
    <comment ref="J125" authorId="1" shapeId="0">
      <text>
        <t>Automatic from SQL input. Money is already USD: divide by 1,000,000 only. Counts are unscaled.</t>
      </text>
    </comment>
    <comment ref="E126" authorId="0" shapeId="0">
      <text>
        <t>Manual input: not supplied by SQL. Historical Schedule X(b)!E29 cached value: 0. Do not assume it remains appropriate.</t>
      </text>
    </comment>
    <comment ref="J126" authorId="0" shapeId="0">
      <text>
        <t>Manual input: not supplied by SQL. Historical Schedule X(b)!J29 cached value: 0. Do not assume it remains appropriate.</t>
      </text>
    </comment>
    <comment ref="E127" authorId="0" shapeId="0">
      <text>
        <t>Manual input: not supplied by SQL. Historical Schedule X(b)!E30 cached value: 0. Do not assume it remains appropriate.</t>
      </text>
    </comment>
    <comment ref="J127" authorId="0" shapeId="0">
      <text>
        <t>Manual input: not supplied by SQL. Historical Schedule X(b)!J30 cached value: 0. Do not assume it remains appropriate.</t>
      </text>
    </comment>
    <comment ref="I129" authorId="0" shapeId="0">
      <text>
        <t>Manual input: not supplied by SQL. Historical Schedule X(b)!I32 cached value: None. Do not assume it remains appropriate.</t>
      </text>
    </comment>
    <comment ref="J129" authorId="0" shapeId="0">
      <text>
        <t>Manual input: not supplied by SQL. Historical Schedule X(b)!J32 cached value: None. Do not assume it remains appropriate.</t>
      </text>
    </comment>
    <comment ref="K129" authorId="0" shapeId="0">
      <text>
        <t>Manual input: not supplied by SQL. Historical Schedule X(b)!K32 cached value: None. Do not assume it remains appropriate.</t>
      </text>
    </comment>
    <comment ref="E130" authorId="0" shapeId="0">
      <text>
        <t>Manual input: not supplied by SQL. Historical Schedule X(b)!E33 cached value: None. Do not assume it remains appropriate.</t>
      </text>
    </comment>
    <comment ref="I130" authorId="0" shapeId="0">
      <text>
        <t>Manual input: not supplied by SQL. Historical Schedule X(b)!I33 cached value: #REF!. Do not assume it remains appropriate.</t>
      </text>
    </comment>
    <comment ref="E131" authorId="0" shapeId="0">
      <text>
        <t>Manual input: not supplied by SQL. Historical Schedule X(b)!E34 cached value: None. Do not assume it remains appropriate.</t>
      </text>
    </comment>
    <comment ref="I131" authorId="0" shapeId="0">
      <text>
        <t>Manual input: not supplied by SQL. Historical Schedule X(b)!I34 cached value: #REF!. Do not assume it remains appropriate.</t>
      </text>
    </comment>
    <comment ref="E132" authorId="0" shapeId="0">
      <text>
        <t>Manual input: not supplied by SQL. Historical Schedule X(b)!E35 cached value: None. Do not assume it remains appropriate.</t>
      </text>
    </comment>
    <comment ref="I132" authorId="0" shapeId="0">
      <text>
        <t>Manual input: not supplied by SQL. Historical Schedule X(b)!I35 cached value: #REF!. Do not assume it remains appropriate.</t>
      </text>
    </comment>
    <comment ref="E133" authorId="0" shapeId="0">
      <text>
        <t>Manual input: not supplied by SQL. Historical Schedule X(b)!E36 cached value: None. Do not assume it remains appropriate.</t>
      </text>
    </comment>
    <comment ref="I133" authorId="0" shapeId="0">
      <text>
        <t>Manual input: not supplied by SQL. Historical Schedule X(b)!I36 cached value: #REF!. Do not assume it remains appropriate.</t>
      </text>
    </comment>
    <comment ref="E134" authorId="0" shapeId="0">
      <text>
        <t>Manual input: not supplied by SQL. Historical Schedule X(b)!E37 cached value: None. Do not assume it remains appropriate.</t>
      </text>
    </comment>
    <comment ref="I134" authorId="0" shapeId="0">
      <text>
        <t>Manual input: not supplied by SQL. Historical Schedule X(b)!I37 cached value: #REF!. Do not assume it remains appropriate.</t>
      </text>
    </comment>
    <comment ref="E135" authorId="0" shapeId="0">
      <text>
        <t>Manual input: not supplied by SQL. Historical Schedule X(b)!E38 cached value: None. Do not assume it remains appropriate.</t>
      </text>
    </comment>
    <comment ref="I135" authorId="0" shapeId="0">
      <text>
        <t>Manual input: not supplied by SQL. Historical Schedule X(b)!I38 cached value: #REF!. Do not assume it remains appropriate.</t>
      </text>
    </comment>
    <comment ref="E136" authorId="0" shapeId="0">
      <text>
        <t>Manual input: not supplied by SQL. Historical Schedule X(b)!E39 cached value: None. Do not assume it remains appropriate.</t>
      </text>
    </comment>
    <comment ref="I136" authorId="0" shapeId="0">
      <text>
        <t>Manual input: not supplied by SQL. Historical Schedule X(b)!I39 cached value: #REF!. Do not assume it remains appropriate.</t>
      </text>
    </comment>
    <comment ref="E137" authorId="0" shapeId="0">
      <text>
        <t>Manual input: not supplied by SQL. Historical Schedule X(b)!E40 cached value: None. Do not assume it remains appropriate.</t>
      </text>
    </comment>
    <comment ref="I137" authorId="0" shapeId="0">
      <text>
        <t>Manual input: not supplied by SQL. Historical Schedule X(b)!I40 cached value: #REF!. Do not assume it remains appropriate.</t>
      </text>
    </comment>
    <comment ref="E138" authorId="0" shapeId="0">
      <text>
        <t>Manual input: not supplied by SQL. Historical Schedule X(b)!E41 cached value: None. Do not assume it remains appropriate.</t>
      </text>
    </comment>
    <comment ref="I138" authorId="0" shapeId="0">
      <text>
        <t>Manual input: not supplied by SQL. Historical Schedule X(b)!I41 cached value: #REF!. Do not assume it remains appropriate.</t>
      </text>
    </comment>
    <comment ref="E139" authorId="0" shapeId="0">
      <text>
        <t>Manual input: not supplied by SQL. Historical Schedule X(b)!E42 cached value: None. Do not assume it remains appropriate.</t>
      </text>
    </comment>
    <comment ref="I139" authorId="0" shapeId="0">
      <text>
        <t>Manual input: not supplied by SQL. Historical Schedule X(b)!I42 cached value: #REF!. Do not assume it remains appropriate.</t>
      </text>
    </comment>
    <comment ref="E140" authorId="0" shapeId="0">
      <text>
        <t>Manual input: not supplied by SQL. Historical Schedule X(b)!E43 cached value: None. Do not assume it remains appropriate.</t>
      </text>
    </comment>
    <comment ref="I140" authorId="0" shapeId="0">
      <text>
        <t>Manual input: not supplied by SQL. Historical Schedule X(b)!I43 cached value: #REF!. Do not assume it remains appropriate.</t>
      </text>
    </comment>
    <comment ref="E141" authorId="0" shapeId="0">
      <text>
        <t>Manual input: not supplied by SQL. Historical Schedule X(b)!E44 cached value: None. Do not assume it remains appropriate.</t>
      </text>
    </comment>
    <comment ref="I141" authorId="0" shapeId="0">
      <text>
        <t>Manual input: not supplied by SQL. Historical Schedule X(b)!I44 cached value: #REF!. Do not assume it remains appropriate.</t>
      </text>
    </comment>
    <comment ref="E142" authorId="0" shapeId="0">
      <text>
        <t>Manual input: not supplied by SQL. Historical Schedule X(b)!E45 cached value: None. Do not assume it remains appropriate.</t>
      </text>
    </comment>
    <comment ref="I142" authorId="0" shapeId="0">
      <text>
        <t>Manual input: not supplied by SQL. Historical Schedule X(b)!I45 cached value: #REF!. Do not assume it remains appropriate.</t>
      </text>
    </comment>
    <comment ref="E143" authorId="0" shapeId="0">
      <text>
        <t>Manual input: not supplied by SQL. Historical Schedule X(b)!E46 cached value: None. Do not assume it remains appropriate.</t>
      </text>
    </comment>
    <comment ref="I143" authorId="0" shapeId="0">
      <text>
        <t>Manual input: not supplied by SQL. Historical Schedule X(b)!I46 cached value: #REF!. Do not assume it remains appropriate.</t>
      </text>
    </comment>
    <comment ref="E144" authorId="0" shapeId="0">
      <text>
        <t>Manual input: not supplied by SQL. Historical Schedule X(b)!E47 cached value: None. Do not assume it remains appropriate.</t>
      </text>
    </comment>
    <comment ref="I144" authorId="0" shapeId="0">
      <text>
        <t>Manual input: not supplied by SQL. Historical Schedule X(b)!I47 cached value: #REF!. Do not assume it remains appropriate.</t>
      </text>
    </comment>
    <comment ref="E145" authorId="0" shapeId="0">
      <text>
        <t>Manual input: not supplied by SQL. Historical Schedule X(b)!E48 cached value: None. Do not assume it remains appropriate.</t>
      </text>
    </comment>
    <comment ref="I145" authorId="0" shapeId="0">
      <text>
        <t>Manual input: not supplied by SQL. Historical Schedule X(b)!I48 cached value: #REF!. Do not assume it remains appropriate.</t>
      </text>
    </comment>
    <comment ref="I146" authorId="0" shapeId="0">
      <text>
        <t>Manual input: not supplied by SQL. Historical Schedule X(b)!I49 cached value: None. Do not assume it remains appropriate.</t>
      </text>
    </comment>
    <comment ref="J146" authorId="0" shapeId="0">
      <text>
        <t>Manual input: not supplied by SQL. Historical Schedule X(b)!J49 cached value: None. Do not assume it remains appropriate.</t>
      </text>
    </comment>
    <comment ref="K146" authorId="0" shapeId="0">
      <text>
        <t>Manual input: not supplied by SQL. Historical Schedule X(b)!K49 cached value: None. Do not assume it remains appropriate.</t>
      </text>
    </comment>
    <comment ref="I147" authorId="0" shapeId="0">
      <text>
        <t>Manual input: not supplied by SQL. Historical Schedule X(b)!I50 cached value: None. Do not assume it remains appropriate.</t>
      </text>
    </comment>
    <comment ref="J147" authorId="0" shapeId="0">
      <text>
        <t>Manual input: not supplied by SQL. Historical Schedule X(b)!J50 cached value: None. Do not assume it remains appropriate.</t>
      </text>
    </comment>
    <comment ref="K147" authorId="0" shapeId="0">
      <text>
        <t>Manual input: not supplied by SQL. Historical Schedule X(b)!K50 cached value: None. Do not assume it remains appropriate.</t>
      </text>
    </comment>
    <comment ref="E148" authorId="0" shapeId="0">
      <text>
        <t>Manual input: not supplied by SQL. Historical Schedule X(b)!E51 cached value: None. Do not assume it remains appropriate.</t>
      </text>
    </comment>
    <comment ref="I148" authorId="0" shapeId="0">
      <text>
        <t>Manual input: not supplied by SQL. Historical Schedule X(b)!I51 cached value: #REF!. Do not assume it remains appropriate.</t>
      </text>
    </comment>
    <comment ref="E149" authorId="0" shapeId="0">
      <text>
        <t>Manual input: not supplied by SQL. Historical Schedule X(b)!E52 cached value: None. Do not assume it remains appropriate.</t>
      </text>
    </comment>
    <comment ref="I149" authorId="0" shapeId="0">
      <text>
        <t>Manual input: not supplied by SQL. Historical Schedule X(b)!I52 cached value: #REF!. Do not assume it remains appropriate.</t>
      </text>
    </comment>
    <comment ref="E150" authorId="0" shapeId="0">
      <text>
        <t>Manual input: not supplied by SQL. Historical Schedule X(b)!E53 cached value: None. Do not assume it remains appropriate.</t>
      </text>
    </comment>
    <comment ref="I150" authorId="0" shapeId="0">
      <text>
        <t>Manual input: not supplied by SQL. Historical Schedule X(b)!I53 cached value: #REF!. Do not assume it remains appropriate.</t>
      </text>
    </comment>
    <comment ref="E151" authorId="0" shapeId="0">
      <text>
        <t>Manual input: not supplied by SQL. Historical Schedule X(b)!E54 cached value: None. Do not assume it remains appropriate.</t>
      </text>
    </comment>
    <comment ref="I151" authorId="0" shapeId="0">
      <text>
        <t>Manual input: not supplied by SQL. Historical Schedule X(b)!I54 cached value: #REF!. Do not assume it remains appropriate.</t>
      </text>
    </comment>
    <comment ref="E152" authorId="0" shapeId="0">
      <text>
        <t>Manual input: not supplied by SQL. Historical Schedule X(b)!E55 cached value: None. Do not assume it remains appropriate.</t>
      </text>
    </comment>
    <comment ref="I152" authorId="0" shapeId="0">
      <text>
        <t>Manual input: not supplied by SQL. Historical Schedule X(b)!I55 cached value: #REF!. Do not assume it remains appropriate.</t>
      </text>
    </comment>
    <comment ref="I153" authorId="0" shapeId="0">
      <text>
        <t>Manual input: not supplied by SQL. Historical Schedule X(b)!I56 cached value: None. Do not assume it remains appropriate.</t>
      </text>
    </comment>
    <comment ref="J153" authorId="0" shapeId="0">
      <text>
        <t>Manual input: not supplied by SQL. Historical Schedule X(b)!J56 cached value: None. Do not assume it remains appropriate.</t>
      </text>
    </comment>
    <comment ref="K153" authorId="0" shapeId="0">
      <text>
        <t>Manual input: not supplied by SQL. Historical Schedule X(b)!K56 cached value: None. Do not assume it remains appropriate.</t>
      </text>
    </comment>
    <comment ref="I154" authorId="0" shapeId="0">
      <text>
        <t>Manual input: not supplied by SQL. Historical Schedule X(b)!I57 cached value: None. Do not assume it remains appropriate.</t>
      </text>
    </comment>
    <comment ref="J154" authorId="0" shapeId="0">
      <text>
        <t>Manual input: not supplied by SQL. Historical Schedule X(b)!J57 cached value: None. Do not assume it remains appropriate.</t>
      </text>
    </comment>
    <comment ref="K154" authorId="0" shapeId="0">
      <text>
        <t>Manual input: not supplied by SQL. Historical Schedule X(b)!K57 cached value: None. Do not assume it remains appropriate.</t>
      </text>
    </comment>
    <comment ref="E155" authorId="0" shapeId="0">
      <text>
        <t>Manual input: not supplied by SQL. Historical Schedule X(b)!E58 cached value: None. Do not assume it remains appropriate.</t>
      </text>
    </comment>
    <comment ref="I155" authorId="0" shapeId="0">
      <text>
        <t>Manual input: not supplied by SQL. Historical Schedule X(b)!I58 cached value: #REF!. Do not assume it remains appropriate.</t>
      </text>
    </comment>
    <comment ref="E156" authorId="0" shapeId="0">
      <text>
        <t>Manual input: not supplied by SQL. Historical Schedule X(b)!E59 cached value: None. Do not assume it remains appropriate.</t>
      </text>
    </comment>
    <comment ref="I156" authorId="0" shapeId="0">
      <text>
        <t>Manual input: not supplied by SQL. Historical Schedule X(b)!I59 cached value: #REF!. Do not assume it remains appropriate.</t>
      </text>
    </comment>
    <comment ref="I157" authorId="0" shapeId="0">
      <text>
        <t>Manual input: not supplied by SQL. Historical Schedule X(b)!I60 cached value: None. Do not assume it remains appropriate.</t>
      </text>
    </comment>
    <comment ref="J157" authorId="0" shapeId="0">
      <text>
        <t>Manual input: not supplied by SQL. Historical Schedule X(b)!J60 cached value: None. Do not assume it remains appropriate.</t>
      </text>
    </comment>
    <comment ref="K157" authorId="0" shapeId="0">
      <text>
        <t>Manual input: not supplied by SQL. Historical Schedule X(b)!K60 cached value: None. Do not assume it remains appropriate.</t>
      </text>
    </comment>
    <comment ref="I158" authorId="0" shapeId="0">
      <text>
        <t>Manual input: not supplied by SQL. Historical Schedule X(b)!I61 cached value: None. Do not assume it remains appropriate.</t>
      </text>
    </comment>
    <comment ref="J158" authorId="0" shapeId="0">
      <text>
        <t>Manual input: not supplied by SQL. Historical Schedule X(b)!J61 cached value: None. Do not assume it remains appropriate.</t>
      </text>
    </comment>
    <comment ref="K158" authorId="0" shapeId="0">
      <text>
        <t>Manual input: not supplied by SQL. Historical Schedule X(b)!K61 cached value: None. Do not assume it remains appropriate.</t>
      </text>
    </comment>
    <comment ref="E159" authorId="0" shapeId="0">
      <text>
        <t>Manual input: not supplied by SQL. Historical Schedule X(b)!E62 cached value: None. Do not assume it remains appropriate.</t>
      </text>
    </comment>
    <comment ref="I159" authorId="0" shapeId="0">
      <text>
        <t>Manual input: not supplied by SQL. Historical Schedule X(b)!I62 cached value: #REF!. Do not assume it remains appropriate.</t>
      </text>
    </comment>
    <comment ref="E160" authorId="0" shapeId="0">
      <text>
        <t>Manual input: not supplied by SQL. Historical Schedule X(b)!E63 cached value: None. Do not assume it remains appropriate.</t>
      </text>
    </comment>
    <comment ref="I160" authorId="0" shapeId="0">
      <text>
        <t>Manual input: not supplied by SQL. Historical Schedule X(b)!I63 cached value: #REF!. Do not assume it remains appropriate.</t>
      </text>
    </comment>
    <comment ref="E161" authorId="0" shapeId="0">
      <text>
        <t>Manual input: not supplied by SQL. Historical Schedule X(b)!E64 cached value: None. Do not assume it remains appropriate.</t>
      </text>
    </comment>
    <comment ref="I161" authorId="0" shapeId="0">
      <text>
        <t>Manual input: not supplied by SQL. Historical Schedule X(b)!I64 cached value: #REF!. Do not assume it remains appropriate.</t>
      </text>
    </comment>
    <comment ref="E162" authorId="0" shapeId="0">
      <text>
        <t>Manual input: not supplied by SQL. Historical Schedule X(b)!E65 cached value: None. Do not assume it remains appropriate.</t>
      </text>
    </comment>
    <comment ref="I162" authorId="0" shapeId="0">
      <text>
        <t>Manual input: not supplied by SQL. Historical Schedule X(b)!I65 cached value: #REF!. Do not assume it remains appropriate.</t>
      </text>
    </comment>
    <comment ref="E163" authorId="0" shapeId="0">
      <text>
        <t>Manual input: not supplied by SQL. Historical Schedule X(b)!E66 cached value: None. Do not assume it remains appropriate.</t>
      </text>
    </comment>
    <comment ref="I163" authorId="0" shapeId="0">
      <text>
        <t>Manual input: not supplied by SQL. Historical Schedule X(b)!I66 cached value: #REF!. Do not assume it remains appropriate.</t>
      </text>
    </comment>
    <comment ref="E164" authorId="0" shapeId="0">
      <text>
        <t>Manual input: not supplied by SQL. Historical Schedule X(b)!E67 cached value: None. Do not assume it remains appropriate.</t>
      </text>
    </comment>
    <comment ref="I164" authorId="0" shapeId="0">
      <text>
        <t>Manual input: not supplied by SQL. Historical Schedule X(b)!I67 cached value: #REF!. Do not assume it remains appropriate.</t>
      </text>
    </comment>
    <comment ref="I165" authorId="0" shapeId="0">
      <text>
        <t>Manual input: not supplied by SQL. Historical Schedule X(b)!I68 cached value: None. Do not assume it remains appropriate.</t>
      </text>
    </comment>
    <comment ref="J165" authorId="0" shapeId="0">
      <text>
        <t>Manual input: not supplied by SQL. Historical Schedule X(b)!J68 cached value: None. Do not assume it remains appropriate.</t>
      </text>
    </comment>
    <comment ref="K165" authorId="0" shapeId="0">
      <text>
        <t>Manual input: not supplied by SQL. Historical Schedule X(b)!K68 cached value: None. Do not assume it remains appropriate.</t>
      </text>
    </comment>
    <comment ref="I166" authorId="0" shapeId="0">
      <text>
        <t>Manual input: not supplied by SQL. Historical Schedule X(b)!I69 cached value: None. Do not assume it remains appropriate.</t>
      </text>
    </comment>
    <comment ref="J166" authorId="0" shapeId="0">
      <text>
        <t>Manual input: not supplied by SQL. Historical Schedule X(b)!J69 cached value: None. Do not assume it remains appropriate.</t>
      </text>
    </comment>
    <comment ref="K166" authorId="0" shapeId="0">
      <text>
        <t>Manual input: not supplied by SQL. Historical Schedule X(b)!K69 cached value: None. Do not assume it remains appropriate.</t>
      </text>
    </comment>
    <comment ref="E167" authorId="0" shapeId="0">
      <text>
        <t>Manual input: not supplied by SQL. Historical Schedule X(b)!E70 cached value: None. Do not assume it remains appropriate.</t>
      </text>
    </comment>
    <comment ref="I167" authorId="0" shapeId="0">
      <text>
        <t>Manual input: not supplied by SQL. Historical Schedule X(b)!I70 cached value: #REF!. Do not assume it remains appropriate.</t>
      </text>
    </comment>
    <comment ref="E168" authorId="0" shapeId="0">
      <text>
        <t>Manual input: not supplied by SQL. Historical Schedule X(b)!E71 cached value: None. Do not assume it remains appropriate.</t>
      </text>
    </comment>
    <comment ref="I168" authorId="0" shapeId="0">
      <text>
        <t>Manual input: not supplied by SQL. Historical Schedule X(b)!I71 cached value: #REF!. Do not assume it remains appropriate.</t>
      </text>
    </comment>
    <comment ref="E169" authorId="0" shapeId="0">
      <text>
        <t>Manual input: not supplied by SQL. Historical Schedule X(b)!E72 cached value: None. Do not assume it remains appropriate.</t>
      </text>
    </comment>
    <comment ref="I169" authorId="0" shapeId="0">
      <text>
        <t>Manual input: not supplied by SQL. Historical Schedule X(b)!I72 cached value: #REF!. Do not assume it remains appropriate.</t>
      </text>
    </comment>
    <comment ref="E170" authorId="0" shapeId="0">
      <text>
        <t>Manual input: not supplied by SQL. Historical Schedule X(b)!E73 cached value: None. Do not assume it remains appropriate.</t>
      </text>
    </comment>
    <comment ref="I170" authorId="0" shapeId="0">
      <text>
        <t>Manual input: not supplied by SQL. Historical Schedule X(b)!I73 cached value: #REF!. Do not assume it remains appropriate.</t>
      </text>
    </comment>
    <comment ref="E171" authorId="0" shapeId="0">
      <text>
        <t>Manual input: not supplied by SQL. Historical Schedule X(b)!E74 cached value: None. Do not assume it remains appropriate.</t>
      </text>
    </comment>
    <comment ref="I171" authorId="0" shapeId="0">
      <text>
        <t>Manual input: not supplied by SQL. Historical Schedule X(b)!I74 cached value: #REF!. Do not assume it remains appropriate.</t>
      </text>
    </comment>
    <comment ref="E172" authorId="0" shapeId="0">
      <text>
        <t>Manual input: not supplied by SQL. Historical Schedule X(b)!E75 cached value: None. Do not assume it remains appropriate.</t>
      </text>
    </comment>
    <comment ref="I172" authorId="0" shapeId="0">
      <text>
        <t>Manual input: not supplied by SQL. Historical Schedule X(b)!I75 cached value: #REF!. Do not assume it remains appropriate.</t>
      </text>
    </comment>
    <comment ref="E173" authorId="0" shapeId="0">
      <text>
        <t>Manual input: not supplied by SQL. Historical Schedule X(b)!E76 cached value: None. Do not assume it remains appropriate.</t>
      </text>
    </comment>
    <comment ref="I173" authorId="0" shapeId="0">
      <text>
        <t>Manual input: not supplied by SQL. Historical Schedule X(b)!I76 cached value: #REF!. Do not assume it remains appropriate.</t>
      </text>
    </comment>
    <comment ref="E174" authorId="0" shapeId="0">
      <text>
        <t>Manual input: not supplied by SQL. Historical Schedule X(b)!E77 cached value: None. Do not assume it remains appropriate.</t>
      </text>
    </comment>
    <comment ref="I174" authorId="0" shapeId="0">
      <text>
        <t>Manual input: not supplied by SQL. Historical Schedule X(b)!I77 cached value: #REF!. Do not assume it remains appropriate.</t>
      </text>
    </comment>
    <comment ref="I175" authorId="0" shapeId="0">
      <text>
        <t>Manual input: not supplied by SQL. Historical Schedule X(b)!I78 cached value: None. Do not assume it remains appropriate.</t>
      </text>
    </comment>
    <comment ref="J175" authorId="0" shapeId="0">
      <text>
        <t>Manual input: not supplied by SQL. Historical Schedule X(b)!J78 cached value: None. Do not assume it remains appropriate.</t>
      </text>
    </comment>
    <comment ref="K175" authorId="0" shapeId="0">
      <text>
        <t>Manual input: not supplied by SQL. Historical Schedule X(b)!K78 cached value: None. Do not assume it remains appropriate.</t>
      </text>
    </comment>
    <comment ref="G176" authorId="0" shapeId="0">
      <text>
        <t>Manual input: not supplied by SQL. Historical Schedule X(b)!G79 cached value: None. Do not assume it remains appropriate.</t>
      </text>
    </comment>
    <comment ref="I176" authorId="0" shapeId="0">
      <text>
        <t>Manual input: not supplied by SQL. Historical Schedule X(b)!I79 cached value: None. Do not assume it remains appropriate.</t>
      </text>
    </comment>
    <comment ref="J176" authorId="0" shapeId="0">
      <text>
        <t>Manual input: not supplied by SQL. Historical Schedule X(b)!J79 cached value: None. Do not assume it remains appropriate.</t>
      </text>
    </comment>
    <comment ref="K176" authorId="0" shapeId="0">
      <text>
        <t>Manual input: not supplied by SQL. Historical Schedule X(b)!K79 cached value: None. Do not assume it remains appropriate.</t>
      </text>
    </comment>
    <comment ref="G177" authorId="0" shapeId="0">
      <text>
        <t>Manual input: not supplied by SQL. Historical Schedule X(b)!G80 cached value: None. Do not assume it remains appropriate.</t>
      </text>
    </comment>
    <comment ref="I177" authorId="0" shapeId="0">
      <text>
        <t>Manual input: not supplied by SQL. Historical Schedule X(b)!I80 cached value: None. Do not assume it remains appropriate.</t>
      </text>
    </comment>
    <comment ref="J177" authorId="0" shapeId="0">
      <text>
        <t>Manual input: not supplied by SQL. Historical Schedule X(b)!J80 cached value: None. Do not assume it remains appropriate.</t>
      </text>
    </comment>
    <comment ref="K177" authorId="0" shapeId="0">
      <text>
        <t>Manual input: not supplied by SQL. Historical Schedule X(b)!K80 cached value: None. Do not assume it remains appropriate.</t>
      </text>
    </comment>
    <comment ref="I178" authorId="0" shapeId="0">
      <text>
        <t>Manual input: not supplied by SQL. Historical Schedule X(b)!I81 cached value: None. Do not assume it remains appropriate.</t>
      </text>
    </comment>
    <comment ref="J178" authorId="0" shapeId="0">
      <text>
        <t>Manual input: not supplied by SQL. Historical Schedule X(b)!J81 cached value: None. Do not assume it remains appropriate.</t>
      </text>
    </comment>
    <comment ref="K178" authorId="0" shapeId="0">
      <text>
        <t>Manual input: not supplied by SQL. Historical Schedule X(b)!K81 cached value: None. Do not assume it remains appropriate.</t>
      </text>
    </comment>
    <comment ref="G179" authorId="0" shapeId="0">
      <text>
        <t>Manual input: not supplied by SQL. Historical Schedule X(b)!G82 cached value: None. Do not assume it remains appropriate.</t>
      </text>
    </comment>
    <comment ref="I179" authorId="0" shapeId="0">
      <text>
        <t>Manual input: not supplied by SQL. Historical Schedule X(b)!I82 cached value: None. Do not assume it remains appropriate.</t>
      </text>
    </comment>
    <comment ref="J179" authorId="0" shapeId="0">
      <text>
        <t>Manual input: not supplied by SQL. Historical Schedule X(b)!J82 cached value: None. Do not assume it remains appropriate.</t>
      </text>
    </comment>
    <comment ref="K179" authorId="0" shapeId="0">
      <text>
        <t>Manual input: not supplied by SQL. Historical Schedule X(b)!K82 cached value: None. Do not assume it remains appropriate.</t>
      </text>
    </comment>
    <comment ref="G180" authorId="0" shapeId="0">
      <text>
        <t>Manual input: not supplied by SQL. Historical Schedule X(b)!G83 cached value: None. Do not assume it remains appropriate.</t>
      </text>
    </comment>
    <comment ref="F196" authorId="0" shapeId="0">
      <text>
        <t>Manual input: not supplied by SQL. Historical Schedule X(c)!F9 cached value: AIR and RMS. Do not assume it remains appropriate.</t>
      </text>
    </comment>
    <comment ref="F197" authorId="0" shapeId="0">
      <text>
        <t>Manual input: not supplied by SQL. Historical Schedule X(c)!F10 cached value: AIR vXX RMS vXX. Do not assume it remains appropriate.</t>
      </text>
    </comment>
    <comment ref="D203" authorId="0" shapeId="0">
      <text>
        <t>Manual input: not supplied by SQL. Historical Schedule X(c)!D16 cached value: HICM. Do not assume it remains appropriate.</t>
      </text>
    </comment>
    <comment ref="E203" authorId="0" shapeId="0">
      <text>
        <t>Manual input: not supplied by SQL. Historical Schedule X(c)!E16 cached value: HICM. Do not assume it remains appropriate.</t>
      </text>
    </comment>
    <comment ref="F203" authorId="0" shapeId="0">
      <text>
        <t>Manual input: not supplied by SQL. Historical Schedule X(c)!F16 cached value: HICM. Do not assume it remains appropriate.</t>
      </text>
    </comment>
    <comment ref="G203" authorId="0" shapeId="0">
      <text>
        <t>Manual input: not supplied by SQL. Historical Schedule X(c)!G16 cached value: HICM. Do not assume it remains appropriate.</t>
      </text>
    </comment>
    <comment ref="D204" authorId="0" shapeId="0">
      <text>
        <t>Manual input: not supplied by SQL. Historical Schedule X(c)!D17 cached value: HICM. Do not assume it remains appropriate.</t>
      </text>
    </comment>
    <comment ref="E204" authorId="0" shapeId="0">
      <text>
        <t>Manual input: not supplied by SQL. Historical Schedule X(c)!E17 cached value: HICM. Do not assume it remains appropriate.</t>
      </text>
    </comment>
    <comment ref="F204" authorId="0" shapeId="0">
      <text>
        <t>Manual input: not supplied by SQL. Historical Schedule X(c)!F17 cached value: HICM. Do not assume it remains appropriate.</t>
      </text>
    </comment>
    <comment ref="G204" authorId="0" shapeId="0">
      <text>
        <t>Manual input: not supplied by SQL. Historical Schedule X(c)!G17 cached value: HICM. Do not assume it remains appropriate.</t>
      </text>
    </comment>
    <comment ref="D205" authorId="0" shapeId="0">
      <text>
        <t>Manual input: not supplied by SQL. Historical Schedule X(c)!D18 cached value: HICM. Do not assume it remains appropriate.</t>
      </text>
    </comment>
    <comment ref="E205" authorId="0" shapeId="0">
      <text>
        <t>Manual input: not supplied by SQL. Historical Schedule X(c)!E18 cached value: HICM. Do not assume it remains appropriate.</t>
      </text>
    </comment>
    <comment ref="F205" authorId="0" shapeId="0">
      <text>
        <t>Manual input: not supplied by SQL. Historical Schedule X(c)!F18 cached value: HICM. Do not assume it remains appropriate.</t>
      </text>
    </comment>
    <comment ref="G205" authorId="0" shapeId="0">
      <text>
        <t>Manual input: not supplied by SQL. Historical Schedule X(c)!G18 cached value: HICM. Do not assume it remains appropriate.</t>
      </text>
    </comment>
    <comment ref="D206" authorId="0" shapeId="0">
      <text>
        <t>Manual input: not supplied by SQL. Historical Schedule X(c)!D19 cached value: HICM. Do not assume it remains appropriate.</t>
      </text>
    </comment>
    <comment ref="E206" authorId="0" shapeId="0">
      <text>
        <t>Manual input: not supplied by SQL. Historical Schedule X(c)!E19 cached value: HICM. Do not assume it remains appropriate.</t>
      </text>
    </comment>
    <comment ref="F206" authorId="0" shapeId="0">
      <text>
        <t>Manual input: not supplied by SQL. Historical Schedule X(c)!F19 cached value: HICM. Do not assume it remains appropriate.</t>
      </text>
    </comment>
    <comment ref="G206" authorId="0" shapeId="0">
      <text>
        <t>Manual input: not supplied by SQL. Historical Schedule X(c)!G19 cached value: HICM. Do not assume it remains appropriate.</t>
      </text>
    </comment>
    <comment ref="D207" authorId="0" shapeId="0">
      <text>
        <t>Manual input: not supplied by SQL. Historical Schedule X(c)!D20 cached value: HICM. Do not assume it remains appropriate.</t>
      </text>
    </comment>
    <comment ref="E207" authorId="0" shapeId="0">
      <text>
        <t>Manual input: not supplied by SQL. Historical Schedule X(c)!E20 cached value: HICM. Do not assume it remains appropriate.</t>
      </text>
    </comment>
    <comment ref="F207" authorId="0" shapeId="0">
      <text>
        <t>Manual input: not supplied by SQL. Historical Schedule X(c)!F20 cached value: HICM. Do not assume it remains appropriate.</t>
      </text>
    </comment>
    <comment ref="G207" authorId="0" shapeId="0">
      <text>
        <t>Manual input: not supplied by SQL. Historical Schedule X(c)!G20 cached value: HICM. Do not assume it remains appropriate.</t>
      </text>
    </comment>
    <comment ref="E211" authorId="0" shapeId="0">
      <text>
        <t>Manual input: not supplied by SQL. Historical Schedule X(c)!E24 cached value: None. Do not assume it remains appropriate.</t>
      </text>
    </comment>
    <comment ref="F211" authorId="0" shapeId="0">
      <text>
        <t>Manual input: not supplied by SQL. Historical Schedule X(c)!F24 cached value: None. Do not assume it remains appropriate.</t>
      </text>
    </comment>
    <comment ref="E212" authorId="0" shapeId="0">
      <text>
        <t>Manual input: not supplied by SQL. Historical Schedule X(c)!E25 cached value: 0.36. Do not assume it remains appropriate.</t>
      </text>
    </comment>
    <comment ref="F212" authorId="0" shapeId="0">
      <text>
        <t>Manual input: not supplied by SQL. Historical Schedule X(c)!F25 cached value: 0.37. Do not assume it remains appropriate.</t>
      </text>
    </comment>
    <comment ref="E213" authorId="0" shapeId="0">
      <text>
        <t>Manual input: not supplied by SQL. Historical Schedule X(c)!E26 cached value: None. Do not assume it remains appropriate.</t>
      </text>
    </comment>
    <comment ref="F213" authorId="0" shapeId="0">
      <text>
        <t>Manual input: not supplied by SQL. Historical Schedule X(c)!F26 cached value: None. Do not assume it remains appropriate.</t>
      </text>
    </comment>
    <comment ref="E214" authorId="1" shapeId="0">
      <text>
        <t>Automatic from SQL input. Money is already USD: divide by 1,000,000 only. Counts are unscaled.</t>
      </text>
    </comment>
    <comment ref="F214" authorId="1" shapeId="0">
      <text>
        <t>Automatic from SQL input. Money is already USD: divide by 1,000,000 only. Counts are unscaled.</t>
      </text>
    </comment>
    <comment ref="F218" authorId="0" shapeId="0">
      <text>
        <t>Manual input: not supplied by SQL. Historical Schedule X(c)!F31 cached value: AIR and RMS. Do not assume it remains appropriate.</t>
      </text>
    </comment>
    <comment ref="F219" authorId="0" shapeId="0">
      <text>
        <t>Manual input: not supplied by SQL. Historical Schedule X(c)!F32 cached value: AIR vXX RMS vXX. Do not assume it remains appropriate.</t>
      </text>
    </comment>
    <comment ref="D225" authorId="0" shapeId="0">
      <text>
        <t>Manual input: not supplied by SQL. Historical Schedule X(c)!D38 cached value: HICM. Do not assume it remains appropriate.</t>
      </text>
    </comment>
    <comment ref="E225" authorId="0" shapeId="0">
      <text>
        <t>Manual input: not supplied by SQL. Historical Schedule X(c)!E38 cached value: HICM. Do not assume it remains appropriate.</t>
      </text>
    </comment>
    <comment ref="F225" authorId="0" shapeId="0">
      <text>
        <t>Manual input: not supplied by SQL. Historical Schedule X(c)!F38 cached value: HICM. Do not assume it remains appropriate.</t>
      </text>
    </comment>
    <comment ref="G225" authorId="0" shapeId="0">
      <text>
        <t>Manual input: not supplied by SQL. Historical Schedule X(c)!G38 cached value: HICM. Do not assume it remains appropriate.</t>
      </text>
    </comment>
    <comment ref="D226" authorId="0" shapeId="0">
      <text>
        <t>Manual input: not supplied by SQL. Historical Schedule X(c)!D39 cached value: HICM. Do not assume it remains appropriate.</t>
      </text>
    </comment>
    <comment ref="E226" authorId="0" shapeId="0">
      <text>
        <t>Manual input: not supplied by SQL. Historical Schedule X(c)!E39 cached value: HICM. Do not assume it remains appropriate.</t>
      </text>
    </comment>
    <comment ref="F226" authorId="0" shapeId="0">
      <text>
        <t>Manual input: not supplied by SQL. Historical Schedule X(c)!F39 cached value: HICM. Do not assume it remains appropriate.</t>
      </text>
    </comment>
    <comment ref="G226" authorId="0" shapeId="0">
      <text>
        <t>Manual input: not supplied by SQL. Historical Schedule X(c)!G39 cached value: HICM. Do not assume it remains appropriate.</t>
      </text>
    </comment>
    <comment ref="D227" authorId="0" shapeId="0">
      <text>
        <t>Manual input: not supplied by SQL. Historical Schedule X(c)!D40 cached value: HICM. Do not assume it remains appropriate.</t>
      </text>
    </comment>
    <comment ref="E227" authorId="0" shapeId="0">
      <text>
        <t>Manual input: not supplied by SQL. Historical Schedule X(c)!E40 cached value: HICM. Do not assume it remains appropriate.</t>
      </text>
    </comment>
    <comment ref="F227" authorId="0" shapeId="0">
      <text>
        <t>Manual input: not supplied by SQL. Historical Schedule X(c)!F40 cached value: HICM. Do not assume it remains appropriate.</t>
      </text>
    </comment>
    <comment ref="G227" authorId="0" shapeId="0">
      <text>
        <t>Manual input: not supplied by SQL. Historical Schedule X(c)!G40 cached value: HICM. Do not assume it remains appropriate.</t>
      </text>
    </comment>
    <comment ref="D228" authorId="0" shapeId="0">
      <text>
        <t>Manual input: not supplied by SQL. Historical Schedule X(c)!D41 cached value: HICM. Do not assume it remains appropriate.</t>
      </text>
    </comment>
    <comment ref="E228" authorId="0" shapeId="0">
      <text>
        <t>Manual input: not supplied by SQL. Historical Schedule X(c)!E41 cached value: HICM. Do not assume it remains appropriate.</t>
      </text>
    </comment>
    <comment ref="F228" authorId="0" shapeId="0">
      <text>
        <t>Manual input: not supplied by SQL. Historical Schedule X(c)!F41 cached value: HICM. Do not assume it remains appropriate.</t>
      </text>
    </comment>
    <comment ref="G228" authorId="0" shapeId="0">
      <text>
        <t>Manual input: not supplied by SQL. Historical Schedule X(c)!G41 cached value: HICM. Do not assume it remains appropriate.</t>
      </text>
    </comment>
    <comment ref="D229" authorId="0" shapeId="0">
      <text>
        <t>Manual input: not supplied by SQL. Historical Schedule X(c)!D42 cached value: HICM. Do not assume it remains appropriate.</t>
      </text>
    </comment>
    <comment ref="E229" authorId="0" shapeId="0">
      <text>
        <t>Manual input: not supplied by SQL. Historical Schedule X(c)!E42 cached value: HICM. Do not assume it remains appropriate.</t>
      </text>
    </comment>
    <comment ref="F229" authorId="0" shapeId="0">
      <text>
        <t>Manual input: not supplied by SQL. Historical Schedule X(c)!F42 cached value: HICM. Do not assume it remains appropriate.</t>
      </text>
    </comment>
    <comment ref="G229" authorId="0" shapeId="0">
      <text>
        <t>Manual input: not supplied by SQL. Historical Schedule X(c)!G42 cached value: HICM. Do not assume it remains appropriate.</t>
      </text>
    </comment>
    <comment ref="E233" authorId="0" shapeId="0">
      <text>
        <t>Manual input: not supplied by SQL. Historical Schedule X(c)!E46 cached value: None. Do not assume it remains appropriate.</t>
      </text>
    </comment>
    <comment ref="F233" authorId="0" shapeId="0">
      <text>
        <t>Manual input: not supplied by SQL. Historical Schedule X(c)!F46 cached value: None. Do not assume it remains appropriate.</t>
      </text>
    </comment>
    <comment ref="E234" authorId="0" shapeId="0">
      <text>
        <t>Manual input: not supplied by SQL. Historical Schedule X(c)!E47 cached value: 0.37. Do not assume it remains appropriate.</t>
      </text>
    </comment>
    <comment ref="F234" authorId="0" shapeId="0">
      <text>
        <t>Manual input: not supplied by SQL. Historical Schedule X(c)!F47 cached value: 0.37. Do not assume it remains appropriate.</t>
      </text>
    </comment>
    <comment ref="E235" authorId="0" shapeId="0">
      <text>
        <t>Manual input: not supplied by SQL. Historical Schedule X(c)!E48 cached value: None. Do not assume it remains appropriate.</t>
      </text>
    </comment>
    <comment ref="F235" authorId="0" shapeId="0">
      <text>
        <t>Manual input: not supplied by SQL. Historical Schedule X(c)!F48 cached value: None. Do not assume it remains appropriate.</t>
      </text>
    </comment>
    <comment ref="E236" authorId="1" shapeId="0">
      <text>
        <t>Automatic from SQL input. Money is already USD: divide by 1,000,000 only. Counts are unscaled.</t>
      </text>
    </comment>
    <comment ref="F236" authorId="1" shapeId="0">
      <text>
        <t>Automatic from SQL input. Money is already USD: divide by 1,000,000 only. Counts are unscaled.</t>
      </text>
    </comment>
    <comment ref="F240" authorId="0" shapeId="0">
      <text>
        <t>Manual input: not supplied by SQL. Historical Schedule X(c)!F53 cached value: AIR and RMS. Do not assume it remains appropriate.</t>
      </text>
    </comment>
    <comment ref="F241" authorId="0" shapeId="0">
      <text>
        <t>Manual input: not supplied by SQL. Historical Schedule X(c)!F54 cached value: AIR vXX RMS vXX. Do not assume it remains appropriate.</t>
      </text>
    </comment>
    <comment ref="D247" authorId="0" shapeId="0">
      <text>
        <t>Manual input: not supplied by SQL. Historical Schedule X(c)!D60 cached value: HICM. Do not assume it remains appropriate.</t>
      </text>
    </comment>
    <comment ref="E247" authorId="0" shapeId="0">
      <text>
        <t>Manual input: not supplied by SQL. Historical Schedule X(c)!E60 cached value: HICM. Do not assume it remains appropriate.</t>
      </text>
    </comment>
    <comment ref="F247" authorId="0" shapeId="0">
      <text>
        <t>Manual input: not supplied by SQL. Historical Schedule X(c)!F60 cached value: HICM. Do not assume it remains appropriate.</t>
      </text>
    </comment>
    <comment ref="G247" authorId="0" shapeId="0">
      <text>
        <t>Manual input: not supplied by SQL. Historical Schedule X(c)!G60 cached value: HICM. Do not assume it remains appropriate.</t>
      </text>
    </comment>
    <comment ref="D248" authorId="0" shapeId="0">
      <text>
        <t>Manual input: not supplied by SQL. Historical Schedule X(c)!D61 cached value: HICM. Do not assume it remains appropriate.</t>
      </text>
    </comment>
    <comment ref="E248" authorId="0" shapeId="0">
      <text>
        <t>Manual input: not supplied by SQL. Historical Schedule X(c)!E61 cached value: HICM. Do not assume it remains appropriate.</t>
      </text>
    </comment>
    <comment ref="F248" authorId="0" shapeId="0">
      <text>
        <t>Manual input: not supplied by SQL. Historical Schedule X(c)!F61 cached value: HICM. Do not assume it remains appropriate.</t>
      </text>
    </comment>
    <comment ref="G248" authorId="0" shapeId="0">
      <text>
        <t>Manual input: not supplied by SQL. Historical Schedule X(c)!G61 cached value: HICM. Do not assume it remains appropriate.</t>
      </text>
    </comment>
    <comment ref="D249" authorId="0" shapeId="0">
      <text>
        <t>Manual input: not supplied by SQL. Historical Schedule X(c)!D62 cached value: HICM. Do not assume it remains appropriate.</t>
      </text>
    </comment>
    <comment ref="E249" authorId="0" shapeId="0">
      <text>
        <t>Manual input: not supplied by SQL. Historical Schedule X(c)!E62 cached value: HICM. Do not assume it remains appropriate.</t>
      </text>
    </comment>
    <comment ref="F249" authorId="0" shapeId="0">
      <text>
        <t>Manual input: not supplied by SQL. Historical Schedule X(c)!F62 cached value: HICM. Do not assume it remains appropriate.</t>
      </text>
    </comment>
    <comment ref="G249" authorId="0" shapeId="0">
      <text>
        <t>Manual input: not supplied by SQL. Historical Schedule X(c)!G62 cached value: HICM. Do not assume it remains appropriate.</t>
      </text>
    </comment>
    <comment ref="D250" authorId="0" shapeId="0">
      <text>
        <t>Manual input: not supplied by SQL. Historical Schedule X(c)!D63 cached value: HICM. Do not assume it remains appropriate.</t>
      </text>
    </comment>
    <comment ref="E250" authorId="0" shapeId="0">
      <text>
        <t>Manual input: not supplied by SQL. Historical Schedule X(c)!E63 cached value: HICM. Do not assume it remains appropriate.</t>
      </text>
    </comment>
    <comment ref="F250" authorId="0" shapeId="0">
      <text>
        <t>Manual input: not supplied by SQL. Historical Schedule X(c)!F63 cached value: HICM. Do not assume it remains appropriate.</t>
      </text>
    </comment>
    <comment ref="G250" authorId="0" shapeId="0">
      <text>
        <t>Manual input: not supplied by SQL. Historical Schedule X(c)!G63 cached value: HICM. Do not assume it remains appropriate.</t>
      </text>
    </comment>
    <comment ref="D251" authorId="0" shapeId="0">
      <text>
        <t>Manual input: not supplied by SQL. Historical Schedule X(c)!D64 cached value: HICM. Do not assume it remains appropriate.</t>
      </text>
    </comment>
    <comment ref="E251" authorId="0" shapeId="0">
      <text>
        <t>Manual input: not supplied by SQL. Historical Schedule X(c)!E64 cached value: HICM. Do not assume it remains appropriate.</t>
      </text>
    </comment>
    <comment ref="F251" authorId="0" shapeId="0">
      <text>
        <t>Manual input: not supplied by SQL. Historical Schedule X(c)!F64 cached value: HICM. Do not assume it remains appropriate.</t>
      </text>
    </comment>
    <comment ref="G251" authorId="0" shapeId="0">
      <text>
        <t>Manual input: not supplied by SQL. Historical Schedule X(c)!G64 cached value: HICM. Do not assume it remains appropriate.</t>
      </text>
    </comment>
    <comment ref="E255" authorId="0" shapeId="0">
      <text>
        <t>Manual input: not supplied by SQL. Historical Schedule X(c)!E68 cached value: None. Do not assume it remains appropriate.</t>
      </text>
    </comment>
    <comment ref="F255" authorId="0" shapeId="0">
      <text>
        <t>Manual input: not supplied by SQL. Historical Schedule X(c)!F68 cached value: None. Do not assume it remains appropriate.</t>
      </text>
    </comment>
    <comment ref="E256" authorId="0" shapeId="0">
      <text>
        <t>Manual input: not supplied by SQL. Historical Schedule X(c)!E69 cached value: 200.17. Do not assume it remains appropriate.</t>
      </text>
    </comment>
    <comment ref="F256" authorId="0" shapeId="0">
      <text>
        <t>Manual input: not supplied by SQL. Historical Schedule X(c)!F69 cached value: 198.33. Do not assume it remains appropriate.</t>
      </text>
    </comment>
    <comment ref="E257" authorId="0" shapeId="0">
      <text>
        <t>Manual input: not supplied by SQL. Historical Schedule X(c)!E70 cached value: None. Do not assume it remains appropriate.</t>
      </text>
    </comment>
    <comment ref="F257" authorId="0" shapeId="0">
      <text>
        <t>Manual input: not supplied by SQL. Historical Schedule X(c)!F70 cached value: None. Do not assume it remains appropriate.</t>
      </text>
    </comment>
    <comment ref="E258" authorId="1" shapeId="0">
      <text>
        <t>Automatic from SQL input. Money is already USD: divide by 1,000,000 only. Counts are unscaled.</t>
      </text>
    </comment>
    <comment ref="F258" authorId="1" shapeId="0">
      <text>
        <t>Automatic from SQL input. Money is already USD: divide by 1,000,000 only. Counts are unscaled.</t>
      </text>
    </comment>
    <comment ref="F262" authorId="0" shapeId="0">
      <text>
        <t>Manual input: not supplied by SQL. Historical Schedule X(c)!F75 cached value: AIR and RMS. Do not assume it remains appropriate.</t>
      </text>
    </comment>
    <comment ref="F263" authorId="0" shapeId="0">
      <text>
        <t>Manual input: not supplied by SQL. Historical Schedule X(c)!F76 cached value: AIR vXX RMS vXX. Do not assume it remains appropriate.</t>
      </text>
    </comment>
    <comment ref="D269" authorId="0" shapeId="0">
      <text>
        <t>Manual input: not supplied by SQL. Historical Schedule X(c)!D82 cached value: HICM. Do not assume it remains appropriate.</t>
      </text>
    </comment>
    <comment ref="E269" authorId="0" shapeId="0">
      <text>
        <t>Manual input: not supplied by SQL. Historical Schedule X(c)!E82 cached value: HICM. Do not assume it remains appropriate.</t>
      </text>
    </comment>
    <comment ref="F269" authorId="0" shapeId="0">
      <text>
        <t>Manual input: not supplied by SQL. Historical Schedule X(c)!F82 cached value: HICM. Do not assume it remains appropriate.</t>
      </text>
    </comment>
    <comment ref="G269" authorId="0" shapeId="0">
      <text>
        <t>Manual input: not supplied by SQL. Historical Schedule X(c)!G82 cached value: HICM. Do not assume it remains appropriate.</t>
      </text>
    </comment>
    <comment ref="D270" authorId="0" shapeId="0">
      <text>
        <t>Manual input: not supplied by SQL. Historical Schedule X(c)!D83 cached value: HICM. Do not assume it remains appropriate.</t>
      </text>
    </comment>
    <comment ref="E270" authorId="0" shapeId="0">
      <text>
        <t>Manual input: not supplied by SQL. Historical Schedule X(c)!E83 cached value: HICM. Do not assume it remains appropriate.</t>
      </text>
    </comment>
    <comment ref="F270" authorId="0" shapeId="0">
      <text>
        <t>Manual input: not supplied by SQL. Historical Schedule X(c)!F83 cached value: HICM. Do not assume it remains appropriate.</t>
      </text>
    </comment>
    <comment ref="G270" authorId="0" shapeId="0">
      <text>
        <t>Manual input: not supplied by SQL. Historical Schedule X(c)!G83 cached value: HICM. Do not assume it remains appropriate.</t>
      </text>
    </comment>
    <comment ref="D271" authorId="0" shapeId="0">
      <text>
        <t>Manual input: not supplied by SQL. Historical Schedule X(c)!D84 cached value: HICM. Do not assume it remains appropriate.</t>
      </text>
    </comment>
    <comment ref="E271" authorId="0" shapeId="0">
      <text>
        <t>Manual input: not supplied by SQL. Historical Schedule X(c)!E84 cached value: HICM. Do not assume it remains appropriate.</t>
      </text>
    </comment>
    <comment ref="F271" authorId="0" shapeId="0">
      <text>
        <t>Manual input: not supplied by SQL. Historical Schedule X(c)!F84 cached value: HICM. Do not assume it remains appropriate.</t>
      </text>
    </comment>
    <comment ref="G271" authorId="0" shapeId="0">
      <text>
        <t>Manual input: not supplied by SQL. Historical Schedule X(c)!G84 cached value: HICM. Do not assume it remains appropriate.</t>
      </text>
    </comment>
    <comment ref="D272" authorId="0" shapeId="0">
      <text>
        <t>Manual input: not supplied by SQL. Historical Schedule X(c)!D85 cached value: HICM. Do not assume it remains appropriate.</t>
      </text>
    </comment>
    <comment ref="E272" authorId="0" shapeId="0">
      <text>
        <t>Manual input: not supplied by SQL. Historical Schedule X(c)!E85 cached value: HICM. Do not assume it remains appropriate.</t>
      </text>
    </comment>
    <comment ref="F272" authorId="0" shapeId="0">
      <text>
        <t>Manual input: not supplied by SQL. Historical Schedule X(c)!F85 cached value: HICM. Do not assume it remains appropriate.</t>
      </text>
    </comment>
    <comment ref="G272" authorId="0" shapeId="0">
      <text>
        <t>Manual input: not supplied by SQL. Historical Schedule X(c)!G85 cached value: HICM. Do not assume it remains appropriate.</t>
      </text>
    </comment>
    <comment ref="D273" authorId="0" shapeId="0">
      <text>
        <t>Manual input: not supplied by SQL. Historical Schedule X(c)!D86 cached value: HICM. Do not assume it remains appropriate.</t>
      </text>
    </comment>
    <comment ref="E273" authorId="0" shapeId="0">
      <text>
        <t>Manual input: not supplied by SQL. Historical Schedule X(c)!E86 cached value: HICM. Do not assume it remains appropriate.</t>
      </text>
    </comment>
    <comment ref="F273" authorId="0" shapeId="0">
      <text>
        <t>Manual input: not supplied by SQL. Historical Schedule X(c)!F86 cached value: HICM. Do not assume it remains appropriate.</t>
      </text>
    </comment>
    <comment ref="G273" authorId="0" shapeId="0">
      <text>
        <t>Manual input: not supplied by SQL. Historical Schedule X(c)!G86 cached value: HICM. Do not assume it remains appropriate.</t>
      </text>
    </comment>
    <comment ref="E277" authorId="0" shapeId="0">
      <text>
        <t>Manual input: not supplied by SQL. Historical Schedule X(c)!E90 cached value: None. Do not assume it remains appropriate.</t>
      </text>
    </comment>
    <comment ref="F277" authorId="0" shapeId="0">
      <text>
        <t>Manual input: not supplied by SQL. Historical Schedule X(c)!F90 cached value: None. Do not assume it remains appropriate.</t>
      </text>
    </comment>
    <comment ref="E278" authorId="0" shapeId="0">
      <text>
        <t>Manual input: not supplied by SQL. Historical Schedule X(c)!E91 cached value: 0.07. Do not assume it remains appropriate.</t>
      </text>
    </comment>
    <comment ref="F278" authorId="0" shapeId="0">
      <text>
        <t>Manual input: not supplied by SQL. Historical Schedule X(c)!F91 cached value: 0.07. Do not assume it remains appropriate.</t>
      </text>
    </comment>
    <comment ref="E279" authorId="0" shapeId="0">
      <text>
        <t>Manual input: not supplied by SQL. Historical Schedule X(c)!E92 cached value: None. Do not assume it remains appropriate.</t>
      </text>
    </comment>
    <comment ref="F279" authorId="0" shapeId="0">
      <text>
        <t>Manual input: not supplied by SQL. Historical Schedule X(c)!F92 cached value: None. Do not assume it remains appropriate.</t>
      </text>
    </comment>
    <comment ref="E280" authorId="1" shapeId="0">
      <text>
        <t>Automatic from SQL input. Money is already USD: divide by 1,000,000 only. Counts are unscaled.</t>
      </text>
    </comment>
    <comment ref="F280" authorId="1" shapeId="0">
      <text>
        <t>Automatic from SQL input. Money is already USD: divide by 1,000,000 only. Counts are unscaled.</t>
      </text>
    </comment>
    <comment ref="F284" authorId="0" shapeId="0">
      <text>
        <t>Manual input: not supplied by SQL. Historical Schedule X(c)!F97 cached value: AIR and RMS. Do not assume it remains appropriate.</t>
      </text>
    </comment>
    <comment ref="F285" authorId="0" shapeId="0">
      <text>
        <t>Manual input: not supplied by SQL. Historical Schedule X(c)!F98 cached value: AIR vXX RMS vXX. Do not assume it remains appropriate.</t>
      </text>
    </comment>
    <comment ref="D291" authorId="0" shapeId="0">
      <text>
        <t>Manual input: not supplied by SQL. Historical Schedule X(c)!D104 cached value: HICM. Do not assume it remains appropriate.</t>
      </text>
    </comment>
    <comment ref="E291" authorId="0" shapeId="0">
      <text>
        <t>Manual input: not supplied by SQL. Historical Schedule X(c)!E104 cached value: HICM. Do not assume it remains appropriate.</t>
      </text>
    </comment>
    <comment ref="F291" authorId="0" shapeId="0">
      <text>
        <t>Manual input: not supplied by SQL. Historical Schedule X(c)!F104 cached value: HICM. Do not assume it remains appropriate.</t>
      </text>
    </comment>
    <comment ref="G291" authorId="0" shapeId="0">
      <text>
        <t>Manual input: not supplied by SQL. Historical Schedule X(c)!G104 cached value: HICM. Do not assume it remains appropriate.</t>
      </text>
    </comment>
    <comment ref="D292" authorId="0" shapeId="0">
      <text>
        <t>Manual input: not supplied by SQL. Historical Schedule X(c)!D105 cached value: HICM. Do not assume it remains appropriate.</t>
      </text>
    </comment>
    <comment ref="E292" authorId="0" shapeId="0">
      <text>
        <t>Manual input: not supplied by SQL. Historical Schedule X(c)!E105 cached value: HICM. Do not assume it remains appropriate.</t>
      </text>
    </comment>
    <comment ref="F292" authorId="0" shapeId="0">
      <text>
        <t>Manual input: not supplied by SQL. Historical Schedule X(c)!F105 cached value: HICM. Do not assume it remains appropriate.</t>
      </text>
    </comment>
    <comment ref="G292" authorId="0" shapeId="0">
      <text>
        <t>Manual input: not supplied by SQL. Historical Schedule X(c)!G105 cached value: HICM. Do not assume it remains appropriate.</t>
      </text>
    </comment>
    <comment ref="D293" authorId="0" shapeId="0">
      <text>
        <t>Manual input: not supplied by SQL. Historical Schedule X(c)!D106 cached value: HICM. Do not assume it remains appropriate.</t>
      </text>
    </comment>
    <comment ref="E293" authorId="0" shapeId="0">
      <text>
        <t>Manual input: not supplied by SQL. Historical Schedule X(c)!E106 cached value: HICM. Do not assume it remains appropriate.</t>
      </text>
    </comment>
    <comment ref="F293" authorId="0" shapeId="0">
      <text>
        <t>Manual input: not supplied by SQL. Historical Schedule X(c)!F106 cached value: HICM. Do not assume it remains appropriate.</t>
      </text>
    </comment>
    <comment ref="G293" authorId="0" shapeId="0">
      <text>
        <t>Manual input: not supplied by SQL. Historical Schedule X(c)!G106 cached value: HICM. Do not assume it remains appropriate.</t>
      </text>
    </comment>
    <comment ref="D294" authorId="0" shapeId="0">
      <text>
        <t>Manual input: not supplied by SQL. Historical Schedule X(c)!D107 cached value: HICM. Do not assume it remains appropriate.</t>
      </text>
    </comment>
    <comment ref="E294" authorId="0" shapeId="0">
      <text>
        <t>Manual input: not supplied by SQL. Historical Schedule X(c)!E107 cached value: HICM. Do not assume it remains appropriate.</t>
      </text>
    </comment>
    <comment ref="F294" authorId="0" shapeId="0">
      <text>
        <t>Manual input: not supplied by SQL. Historical Schedule X(c)!F107 cached value: HICM. Do not assume it remains appropriate.</t>
      </text>
    </comment>
    <comment ref="G294" authorId="0" shapeId="0">
      <text>
        <t>Manual input: not supplied by SQL. Historical Schedule X(c)!G107 cached value: HICM. Do not assume it remains appropriate.</t>
      </text>
    </comment>
    <comment ref="D295" authorId="0" shapeId="0">
      <text>
        <t>Manual input: not supplied by SQL. Historical Schedule X(c)!D108 cached value: HICM. Do not assume it remains appropriate.</t>
      </text>
    </comment>
    <comment ref="E295" authorId="0" shapeId="0">
      <text>
        <t>Manual input: not supplied by SQL. Historical Schedule X(c)!E108 cached value: HICM. Do not assume it remains appropriate.</t>
      </text>
    </comment>
    <comment ref="F295" authorId="0" shapeId="0">
      <text>
        <t>Manual input: not supplied by SQL. Historical Schedule X(c)!F108 cached value: HICM. Do not assume it remains appropriate.</t>
      </text>
    </comment>
    <comment ref="G295" authorId="0" shapeId="0">
      <text>
        <t>Manual input: not supplied by SQL. Historical Schedule X(c)!G108 cached value: HICM. Do not assume it remains appropriate.</t>
      </text>
    </comment>
    <comment ref="E299" authorId="0" shapeId="0">
      <text>
        <t>Manual input: not supplied by SQL. Historical Schedule X(c)!E112 cached value: None. Do not assume it remains appropriate.</t>
      </text>
    </comment>
    <comment ref="F299" authorId="0" shapeId="0">
      <text>
        <t>Manual input: not supplied by SQL. Historical Schedule X(c)!F112 cached value: None. Do not assume it remains appropriate.</t>
      </text>
    </comment>
    <comment ref="E300" authorId="0" shapeId="0">
      <text>
        <t>Manual input: not supplied by SQL. Historical Schedule X(c)!E113 cached value: 0.07. Do not assume it remains appropriate.</t>
      </text>
    </comment>
    <comment ref="F300" authorId="0" shapeId="0">
      <text>
        <t>Manual input: not supplied by SQL. Historical Schedule X(c)!F113 cached value: 0.07. Do not assume it remains appropriate.</t>
      </text>
    </comment>
    <comment ref="E301" authorId="0" shapeId="0">
      <text>
        <t>Manual input: not supplied by SQL. Historical Schedule X(c)!E114 cached value: None. Do not assume it remains appropriate.</t>
      </text>
    </comment>
    <comment ref="F301" authorId="0" shapeId="0">
      <text>
        <t>Manual input: not supplied by SQL. Historical Schedule X(c)!F114 cached value: None. Do not assume it remains appropriate.</t>
      </text>
    </comment>
    <comment ref="E302" authorId="1" shapeId="0">
      <text>
        <t>Automatic from SQL input. Money is already USD: divide by 1,000,000 only. Counts are unscaled.</t>
      </text>
    </comment>
    <comment ref="F302" authorId="1" shapeId="0">
      <text>
        <t>Automatic from SQL input. Money is already USD: divide by 1,000,000 only. Counts are unscaled.</t>
      </text>
    </comment>
    <comment ref="E318" authorId="1" shapeId="0">
      <text>
        <t>Automatic from SQL input. Money is already USD: divide by 1,000,000 only. Counts are unscaled.</t>
      </text>
    </comment>
    <comment ref="F318" authorId="1" shapeId="0">
      <text>
        <t>Automatic from SQL input. Money is already USD: divide by 1,000,000 only. Counts are unscaled.</t>
      </text>
    </comment>
    <comment ref="G318" authorId="1" shapeId="0">
      <text>
        <t>Automatic from SQL input. Money is already USD: divide by 1,000,000 only. Counts are unscaled.</t>
      </text>
    </comment>
    <comment ref="H318" authorId="1" shapeId="0">
      <text>
        <t>Automatic from SQL input. Money is already USD: divide by 1,000,000 only. Counts are unscaled.</t>
      </text>
    </comment>
    <comment ref="I318" authorId="1" shapeId="0">
      <text>
        <t>Automatic from SQL input. Money is already USD: divide by 1,000,000 only. Counts are unscaled.</t>
      </text>
    </comment>
    <comment ref="J318" authorId="1" shapeId="0">
      <text>
        <t>Automatic from SQL input. Money is already USD: divide by 1,000,000 only. Counts are unscaled.</t>
      </text>
    </comment>
    <comment ref="K318" authorId="1" shapeId="0">
      <text>
        <t>Automatic from SQL input. Money is already USD: divide by 1,000,000 only. Counts are unscaled.</t>
      </text>
    </comment>
    <comment ref="L318" authorId="1" shapeId="0">
      <text>
        <t>Automatic from SQL input. Money is already USD: divide by 1,000,000 only. Counts are unscaled.</t>
      </text>
    </comment>
    <comment ref="M318" authorId="1" shapeId="0">
      <text>
        <t>Automatic from SQL input. Money is already USD: divide by 1,000,000 only. Counts are unscaled.</t>
      </text>
    </comment>
    <comment ref="E319" authorId="1" shapeId="0">
      <text>
        <t>Automatic from SQL input. Money is already USD: divide by 1,000,000 only. Counts are unscaled.</t>
      </text>
    </comment>
    <comment ref="F319" authorId="1" shapeId="0">
      <text>
        <t>Automatic from SQL input. Money is already USD: divide by 1,000,000 only. Counts are unscaled.</t>
      </text>
    </comment>
    <comment ref="G319" authorId="1" shapeId="0">
      <text>
        <t>Automatic from SQL input. Money is already USD: divide by 1,000,000 only. Counts are unscaled.</t>
      </text>
    </comment>
    <comment ref="H319" authorId="1" shapeId="0">
      <text>
        <t>Automatic from SQL input. Money is already USD: divide by 1,000,000 only. Counts are unscaled.</t>
      </text>
    </comment>
    <comment ref="I319" authorId="1" shapeId="0">
      <text>
        <t>Automatic from SQL input. Money is already USD: divide by 1,000,000 only. Counts are unscaled.</t>
      </text>
    </comment>
    <comment ref="J319" authorId="1" shapeId="0">
      <text>
        <t>Automatic from SQL input. Money is already USD: divide by 1,000,000 only. Counts are unscaled.</t>
      </text>
    </comment>
    <comment ref="K319" authorId="1" shapeId="0">
      <text>
        <t>Automatic from SQL input. Money is already USD: divide by 1,000,000 only. Counts are unscaled.</t>
      </text>
    </comment>
    <comment ref="L319" authorId="1" shapeId="0">
      <text>
        <t>Automatic from SQL input. Money is already USD: divide by 1,000,000 only. Counts are unscaled.</t>
      </text>
    </comment>
    <comment ref="M319" authorId="1" shapeId="0">
      <text>
        <t>Automatic from SQL input. Money is already USD: divide by 1,000,000 only. Counts are unscaled.</t>
      </text>
    </comment>
    <comment ref="E320" authorId="1" shapeId="0">
      <text>
        <t>Automatic from SQL input. Money is already USD: divide by 1,000,000 only. Counts are unscaled.</t>
      </text>
    </comment>
    <comment ref="F320" authorId="1" shapeId="0">
      <text>
        <t>Automatic from SQL input. Money is already USD: divide by 1,000,000 only. Counts are unscaled.</t>
      </text>
    </comment>
    <comment ref="G320" authorId="1" shapeId="0">
      <text>
        <t>Automatic from SQL input. Money is already USD: divide by 1,000,000 only. Counts are unscaled.</t>
      </text>
    </comment>
    <comment ref="H320" authorId="1" shapeId="0">
      <text>
        <t>Automatic from SQL input. Money is already USD: divide by 1,000,000 only. Counts are unscaled.</t>
      </text>
    </comment>
    <comment ref="I320" authorId="1" shapeId="0">
      <text>
        <t>Automatic from SQL input. Money is already USD: divide by 1,000,000 only. Counts are unscaled.</t>
      </text>
    </comment>
    <comment ref="J320" authorId="1" shapeId="0">
      <text>
        <t>Automatic from SQL input. Money is already USD: divide by 1,000,000 only. Counts are unscaled.</t>
      </text>
    </comment>
    <comment ref="K320" authorId="1" shapeId="0">
      <text>
        <t>Automatic from SQL input. Money is already USD: divide by 1,000,000 only. Counts are unscaled.</t>
      </text>
    </comment>
    <comment ref="L320" authorId="1" shapeId="0">
      <text>
        <t>Automatic from SQL input. Money is already USD: divide by 1,000,000 only. Counts are unscaled.</t>
      </text>
    </comment>
    <comment ref="M320" authorId="1" shapeId="0">
      <text>
        <t>Automatic from SQL input. Money is already USD: divide by 1,000,000 only. Counts are unscaled.</t>
      </text>
    </comment>
    <comment ref="E327" authorId="1" shapeId="0">
      <text>
        <t>Automatic from SQL input. Money is already USD: divide by 1,000,000 only. Counts are unscaled.</t>
      </text>
    </comment>
    <comment ref="F327" authorId="1" shapeId="0">
      <text>
        <t>Automatic from SQL input. Money is already USD: divide by 1,000,000 only. Counts are unscaled.</t>
      </text>
    </comment>
    <comment ref="G327" authorId="1" shapeId="0">
      <text>
        <t>Automatic from SQL input. Money is already USD: divide by 1,000,000 only. Counts are unscaled.</t>
      </text>
    </comment>
    <comment ref="H327" authorId="1" shapeId="0">
      <text>
        <t>Automatic from SQL input. Money is already USD: divide by 1,000,000 only. Counts are unscaled.</t>
      </text>
    </comment>
    <comment ref="I327" authorId="1" shapeId="0">
      <text>
        <t>Automatic from SQL input. Money is already USD: divide by 1,000,000 only. Counts are unscaled.</t>
      </text>
    </comment>
    <comment ref="J327" authorId="1" shapeId="0">
      <text>
        <t>Automatic from SQL input. Money is already USD: divide by 1,000,000 only. Counts are unscaled.</t>
      </text>
    </comment>
    <comment ref="K327" authorId="1" shapeId="0">
      <text>
        <t>Automatic from SQL input. Money is already USD: divide by 1,000,000 only. Counts are unscaled.</t>
      </text>
    </comment>
    <comment ref="L327" authorId="1" shapeId="0">
      <text>
        <t>Automatic from SQL input. Money is already USD: divide by 1,000,000 only. Counts are unscaled.</t>
      </text>
    </comment>
    <comment ref="M327" authorId="1" shapeId="0">
      <text>
        <t>Automatic from SQL input. Money is already USD: divide by 1,000,000 only. Counts are unscaled.</t>
      </text>
    </comment>
    <comment ref="E328" authorId="1" shapeId="0">
      <text>
        <t>Automatic from SQL input. Money is already USD: divide by 1,000,000 only. Counts are unscaled.</t>
      </text>
    </comment>
    <comment ref="F328" authorId="1" shapeId="0">
      <text>
        <t>Automatic from SQL input. Money is already USD: divide by 1,000,000 only. Counts are unscaled.</t>
      </text>
    </comment>
    <comment ref="G328" authorId="1" shapeId="0">
      <text>
        <t>Automatic from SQL input. Money is already USD: divide by 1,000,000 only. Counts are unscaled.</t>
      </text>
    </comment>
    <comment ref="H328" authorId="1" shapeId="0">
      <text>
        <t>Automatic from SQL input. Money is already USD: divide by 1,000,000 only. Counts are unscaled.</t>
      </text>
    </comment>
    <comment ref="I328" authorId="1" shapeId="0">
      <text>
        <t>Automatic from SQL input. Money is already USD: divide by 1,000,000 only. Counts are unscaled.</t>
      </text>
    </comment>
    <comment ref="J328" authorId="1" shapeId="0">
      <text>
        <t>Automatic from SQL input. Money is already USD: divide by 1,000,000 only. Counts are unscaled.</t>
      </text>
    </comment>
    <comment ref="K328" authorId="1" shapeId="0">
      <text>
        <t>Automatic from SQL input. Money is already USD: divide by 1,000,000 only. Counts are unscaled.</t>
      </text>
    </comment>
    <comment ref="L328" authorId="1" shapeId="0">
      <text>
        <t>Automatic from SQL input. Money is already USD: divide by 1,000,000 only. Counts are unscaled.</t>
      </text>
    </comment>
    <comment ref="M328" authorId="1" shapeId="0">
      <text>
        <t>Automatic from SQL input. Money is already USD: divide by 1,000,000 only. Counts are unscaled.</t>
      </text>
    </comment>
    <comment ref="E329" authorId="1" shapeId="0">
      <text>
        <t>Automatic from SQL input. Money is already USD: divide by 1,000,000 only. Counts are unscaled.</t>
      </text>
    </comment>
    <comment ref="F329" authorId="1" shapeId="0">
      <text>
        <t>Automatic from SQL input. Money is already USD: divide by 1,000,000 only. Counts are unscaled.</t>
      </text>
    </comment>
    <comment ref="G329" authorId="1" shapeId="0">
      <text>
        <t>Automatic from SQL input. Money is already USD: divide by 1,000,000 only. Counts are unscaled.</t>
      </text>
    </comment>
    <comment ref="H329" authorId="1" shapeId="0">
      <text>
        <t>Automatic from SQL input. Money is already USD: divide by 1,000,000 only. Counts are unscaled.</t>
      </text>
    </comment>
    <comment ref="I329" authorId="1" shapeId="0">
      <text>
        <t>Automatic from SQL input. Money is already USD: divide by 1,000,000 only. Counts are unscaled.</t>
      </text>
    </comment>
    <comment ref="J329" authorId="1" shapeId="0">
      <text>
        <t>Automatic from SQL input. Money is already USD: divide by 1,000,000 only. Counts are unscaled.</t>
      </text>
    </comment>
    <comment ref="K329" authorId="1" shapeId="0">
      <text>
        <t>Automatic from SQL input. Money is already USD: divide by 1,000,000 only. Counts are unscaled.</t>
      </text>
    </comment>
    <comment ref="L329" authorId="1" shapeId="0">
      <text>
        <t>Automatic from SQL input. Money is already USD: divide by 1,000,000 only. Counts are unscaled.</t>
      </text>
    </comment>
    <comment ref="M329" authorId="1" shapeId="0">
      <text>
        <t>Automatic from SQL input. Money is already USD: divide by 1,000,000 only. Counts are unscaled.</t>
      </text>
    </comment>
    <comment ref="E336" authorId="1" shapeId="0">
      <text>
        <t>Automatic from SQL input. Money is already USD: divide by 1,000,000 only. Counts are unscaled.</t>
      </text>
    </comment>
    <comment ref="F336" authorId="1" shapeId="0">
      <text>
        <t>Automatic from SQL input. Money is already USD: divide by 1,000,000 only. Counts are unscaled.</t>
      </text>
    </comment>
    <comment ref="G336" authorId="1" shapeId="0">
      <text>
        <t>Automatic from SQL input. Money is already USD: divide by 1,000,000 only. Counts are unscaled.</t>
      </text>
    </comment>
    <comment ref="H336" authorId="1" shapeId="0">
      <text>
        <t>Automatic from SQL input. Money is already USD: divide by 1,000,000 only. Counts are unscaled.</t>
      </text>
    </comment>
    <comment ref="I336" authorId="1" shapeId="0">
      <text>
        <t>Automatic from SQL input. Money is already USD: divide by 1,000,000 only. Counts are unscaled.</t>
      </text>
    </comment>
    <comment ref="J336" authorId="1" shapeId="0">
      <text>
        <t>Automatic from SQL input. Money is already USD: divide by 1,000,000 only. Counts are unscaled.</t>
      </text>
    </comment>
    <comment ref="K336" authorId="1" shapeId="0">
      <text>
        <t>Automatic from SQL input. Money is already USD: divide by 1,000,000 only. Counts are unscaled.</t>
      </text>
    </comment>
    <comment ref="L336" authorId="1" shapeId="0">
      <text>
        <t>Automatic from SQL input. Money is already USD: divide by 1,000,000 only. Counts are unscaled.</t>
      </text>
    </comment>
    <comment ref="M336" authorId="1" shapeId="0">
      <text>
        <t>Automatic from SQL input. Money is already USD: divide by 1,000,000 only. Counts are unscaled.</t>
      </text>
    </comment>
    <comment ref="E337" authorId="1" shapeId="0">
      <text>
        <t>Zero under the agreed geocode-proxy allocation; does not classify April manual reallocations.</t>
      </text>
    </comment>
    <comment ref="F337" authorId="1" shapeId="0">
      <text>
        <t>Zero under the agreed geocode-proxy allocation; does not classify April manual reallocations.</t>
      </text>
    </comment>
    <comment ref="G337" authorId="1" shapeId="0">
      <text>
        <t>Zero under the agreed geocode-proxy allocation; does not classify April manual reallocations.</t>
      </text>
    </comment>
    <comment ref="H337" authorId="1" shapeId="0">
      <text>
        <t>Zero under the agreed geocode-proxy allocation; does not classify April manual reallocations.</t>
      </text>
    </comment>
    <comment ref="I337" authorId="1" shapeId="0">
      <text>
        <t>Zero under the agreed geocode-proxy allocation; does not classify April manual reallocations.</t>
      </text>
    </comment>
    <comment ref="J337" authorId="1" shapeId="0">
      <text>
        <t>Zero under the agreed geocode-proxy allocation; does not classify April manual reallocations.</t>
      </text>
    </comment>
    <comment ref="K337" authorId="1" shapeId="0">
      <text>
        <t>Zero under the agreed geocode-proxy allocation; does not classify April manual reallocations.</t>
      </text>
    </comment>
    <comment ref="L337" authorId="1" shapeId="0">
      <text>
        <t>Zero under the agreed geocode-proxy allocation; does not classify April manual reallocations.</t>
      </text>
    </comment>
    <comment ref="M337" authorId="1" shapeId="0">
      <text>
        <t>Zero under the agreed geocode-proxy allocation; does not classify April manual reallocations.</t>
      </text>
    </comment>
    <comment ref="C338" authorId="0" shapeId="0">
      <text>
        <t>Manual input: not supplied by SQL. Historical Schedule X(f)!C30 cached value: A proxy peer insurer is selected and losses are derived from this insurer. Do not assume it remains appropriate.</t>
      </text>
    </comment>
    <comment ref="E338" authorId="1" shapeId="0">
      <text>
        <t>Zero under the agreed geocode-proxy allocation; does not classify April manual reallocations.</t>
      </text>
    </comment>
    <comment ref="F338" authorId="1" shapeId="0">
      <text>
        <t>Zero under the agreed geocode-proxy allocation; does not classify April manual reallocations.</t>
      </text>
    </comment>
    <comment ref="G338" authorId="1" shapeId="0">
      <text>
        <t>Zero under the agreed geocode-proxy allocation; does not classify April manual reallocations.</t>
      </text>
    </comment>
    <comment ref="H338" authorId="1" shapeId="0">
      <text>
        <t>Zero under the agreed geocode-proxy allocation; does not classify April manual reallocations.</t>
      </text>
    </comment>
    <comment ref="I338" authorId="1" shapeId="0">
      <text>
        <t>Zero under the agreed geocode-proxy allocation; does not classify April manual reallocations.</t>
      </text>
    </comment>
    <comment ref="J338" authorId="1" shapeId="0">
      <text>
        <t>Zero under the agreed geocode-proxy allocation; does not classify April manual reallocations.</t>
      </text>
    </comment>
    <comment ref="K338" authorId="1" shapeId="0">
      <text>
        <t>Zero under the agreed geocode-proxy allocation; does not classify April manual reallocations.</t>
      </text>
    </comment>
    <comment ref="L338" authorId="1" shapeId="0">
      <text>
        <t>Zero under the agreed geocode-proxy allocation; does not classify April manual reallocations.</t>
      </text>
    </comment>
    <comment ref="M338" authorId="1" shapeId="0">
      <text>
        <t>Zero under the agreed geocode-proxy allocation; does not classify April manual reallocations.</t>
      </text>
    </comment>
    <comment ref="C339" authorId="0" shapeId="0">
      <text>
        <t>Manual input: not supplied by SQL. Historical Schedule X(f)!C31 cached value: Derived from an industry loss curve utilising market share. Do not assume it remains appropriate.</t>
      </text>
    </comment>
    <comment ref="E339" authorId="1" shapeId="0">
      <text>
        <t>Zero under the agreed geocode-proxy allocation; does not classify April manual reallocations.</t>
      </text>
    </comment>
    <comment ref="F339" authorId="1" shapeId="0">
      <text>
        <t>Zero under the agreed geocode-proxy allocation; does not classify April manual reallocations.</t>
      </text>
    </comment>
    <comment ref="G339" authorId="1" shapeId="0">
      <text>
        <t>Zero under the agreed geocode-proxy allocation; does not classify April manual reallocations.</t>
      </text>
    </comment>
    <comment ref="H339" authorId="1" shapeId="0">
      <text>
        <t>Zero under the agreed geocode-proxy allocation; does not classify April manual reallocations.</t>
      </text>
    </comment>
    <comment ref="I339" authorId="1" shapeId="0">
      <text>
        <t>Zero under the agreed geocode-proxy allocation; does not classify April manual reallocations.</t>
      </text>
    </comment>
    <comment ref="J339" authorId="1" shapeId="0">
      <text>
        <t>Zero under the agreed geocode-proxy allocation; does not classify April manual reallocations.</t>
      </text>
    </comment>
    <comment ref="K339" authorId="1" shapeId="0">
      <text>
        <t>Zero under the agreed geocode-proxy allocation; does not classify April manual reallocations.</t>
      </text>
    </comment>
    <comment ref="L339" authorId="1" shapeId="0">
      <text>
        <t>Zero under the agreed geocode-proxy allocation; does not classify April manual reallocations.</t>
      </text>
    </comment>
    <comment ref="M339" authorId="1" shapeId="0">
      <text>
        <t>Zero under the agreed geocode-proxy allocation; does not classify April manual reallocations.</t>
      </text>
    </comment>
    <comment ref="E340" authorId="1" shapeId="0">
      <text>
        <t>Zero under the agreed geocode-proxy allocation; does not classify April manual reallocations.</t>
      </text>
    </comment>
    <comment ref="F340" authorId="1" shapeId="0">
      <text>
        <t>Zero under the agreed geocode-proxy allocation; does not classify April manual reallocations.</t>
      </text>
    </comment>
    <comment ref="G340" authorId="1" shapeId="0">
      <text>
        <t>Zero under the agreed geocode-proxy allocation; does not classify April manual reallocations.</t>
      </text>
    </comment>
    <comment ref="H340" authorId="1" shapeId="0">
      <text>
        <t>Zero under the agreed geocode-proxy allocation; does not classify April manual reallocations.</t>
      </text>
    </comment>
    <comment ref="I340" authorId="1" shapeId="0">
      <text>
        <t>Zero under the agreed geocode-proxy allocation; does not classify April manual reallocations.</t>
      </text>
    </comment>
    <comment ref="J340" authorId="1" shapeId="0">
      <text>
        <t>Zero under the agreed geocode-proxy allocation; does not classify April manual reallocations.</t>
      </text>
    </comment>
    <comment ref="K340" authorId="1" shapeId="0">
      <text>
        <t>Zero under the agreed geocode-proxy allocation; does not classify April manual reallocations.</t>
      </text>
    </comment>
    <comment ref="L340" authorId="1" shapeId="0">
      <text>
        <t>Zero under the agreed geocode-proxy allocation; does not classify April manual reallocations.</t>
      </text>
    </comment>
    <comment ref="M340" authorId="1" shapeId="0">
      <text>
        <t>Zero under the agreed geocode-proxy allocation; does not classify April manual reallocations.</t>
      </text>
    </comment>
    <comment ref="E341" authorId="1" shapeId="0">
      <text>
        <t>Automatic from SQL input. Money is already USD: divide by 1,000,000 only. Counts are unscaled.</t>
      </text>
    </comment>
    <comment ref="F341" authorId="1" shapeId="0">
      <text>
        <t>Automatic from SQL input. Money is already USD: divide by 1,000,000 only. Counts are unscaled.</t>
      </text>
    </comment>
    <comment ref="G341" authorId="1" shapeId="0">
      <text>
        <t>Automatic from SQL input. Money is already USD: divide by 1,000,000 only. Counts are unscaled.</t>
      </text>
    </comment>
    <comment ref="H341" authorId="1" shapeId="0">
      <text>
        <t>Automatic from SQL input. Money is already USD: divide by 1,000,000 only. Counts are unscaled.</t>
      </text>
    </comment>
    <comment ref="I341" authorId="1" shapeId="0">
      <text>
        <t>Automatic from SQL input. Money is already USD: divide by 1,000,000 only. Counts are unscaled.</t>
      </text>
    </comment>
    <comment ref="J341" authorId="1" shapeId="0">
      <text>
        <t>Automatic from SQL input. Money is already USD: divide by 1,000,000 only. Counts are unscaled.</t>
      </text>
    </comment>
    <comment ref="K341" authorId="1" shapeId="0">
      <text>
        <t>Automatic from SQL input. Money is already USD: divide by 1,000,000 only. Counts are unscaled.</t>
      </text>
    </comment>
    <comment ref="L341" authorId="1" shapeId="0">
      <text>
        <t>Automatic from SQL input. Money is already USD: divide by 1,000,000 only. Counts are unscaled.</t>
      </text>
    </comment>
    <comment ref="M341" authorId="1" shapeId="0">
      <text>
        <t>Automatic from SQL input. Money is already USD: divide by 1,000,000 only. Counts are unscaled.</t>
      </text>
    </comment>
    <comment ref="C344" authorId="0" shapeId="0">
      <text>
        <t>Manual input: not supplied by SQL. Historical Schedule X(f)!C36 cached value: None. Do not assume it remains appropriate.</t>
      </text>
    </comment>
    <comment ref="E351" authorId="1" shapeId="0">
      <text>
        <t>Automatic from SQL input. Money is already USD: divide by 1,000,000 only. Counts are unscaled.</t>
      </text>
    </comment>
    <comment ref="F351" authorId="1" shapeId="0">
      <text>
        <t>Automatic from SQL input. Money is already USD: divide by 1,000,000 only. Counts are unscaled.</t>
      </text>
    </comment>
    <comment ref="G351" authorId="1" shapeId="0">
      <text>
        <t>Automatic from SQL input. Money is already USD: divide by 1,000,000 only. Counts are unscaled.</t>
      </text>
    </comment>
    <comment ref="H351" authorId="1" shapeId="0">
      <text>
        <t>Automatic from SQL input. Money is already USD: divide by 1,000,000 only. Counts are unscaled.</t>
      </text>
    </comment>
    <comment ref="I351" authorId="1" shapeId="0">
      <text>
        <t>Automatic from SQL input. Money is already USD: divide by 1,000,000 only. Counts are unscaled.</t>
      </text>
    </comment>
    <comment ref="J351" authorId="1" shapeId="0">
      <text>
        <t>Automatic from SQL input. Money is already USD: divide by 1,000,000 only. Counts are unscaled.</t>
      </text>
    </comment>
    <comment ref="K351" authorId="1" shapeId="0">
      <text>
        <t>Automatic from SQL input. Money is already USD: divide by 1,000,000 only. Counts are unscaled.</t>
      </text>
    </comment>
    <comment ref="L351" authorId="1" shapeId="0">
      <text>
        <t>Automatic from SQL input. Money is already USD: divide by 1,000,000 only. Counts are unscaled.</t>
      </text>
    </comment>
    <comment ref="M351" authorId="1" shapeId="0">
      <text>
        <t>Automatic from SQL input. Money is already USD: divide by 1,000,000 only. Counts are unscaled.</t>
      </text>
    </comment>
    <comment ref="E352" authorId="1" shapeId="0">
      <text>
        <t>Zero under the agreed geocode-proxy allocation; does not classify April manual reallocations.</t>
      </text>
    </comment>
    <comment ref="F352" authorId="1" shapeId="0">
      <text>
        <t>Zero under the agreed geocode-proxy allocation; does not classify April manual reallocations.</t>
      </text>
    </comment>
    <comment ref="G352" authorId="1" shapeId="0">
      <text>
        <t>Zero under the agreed geocode-proxy allocation; does not classify April manual reallocations.</t>
      </text>
    </comment>
    <comment ref="H352" authorId="1" shapeId="0">
      <text>
        <t>Zero under the agreed geocode-proxy allocation; does not classify April manual reallocations.</t>
      </text>
    </comment>
    <comment ref="I352" authorId="1" shapeId="0">
      <text>
        <t>Zero under the agreed geocode-proxy allocation; does not classify April manual reallocations.</t>
      </text>
    </comment>
    <comment ref="J352" authorId="1" shapeId="0">
      <text>
        <t>Zero under the agreed geocode-proxy allocation; does not classify April manual reallocations.</t>
      </text>
    </comment>
    <comment ref="K352" authorId="1" shapeId="0">
      <text>
        <t>Zero under the agreed geocode-proxy allocation; does not classify April manual reallocations.</t>
      </text>
    </comment>
    <comment ref="L352" authorId="1" shapeId="0">
      <text>
        <t>Zero under the agreed geocode-proxy allocation; does not classify April manual reallocations.</t>
      </text>
    </comment>
    <comment ref="M352" authorId="1" shapeId="0">
      <text>
        <t>Zero under the agreed geocode-proxy allocation; does not classify April manual reallocations.</t>
      </text>
    </comment>
    <comment ref="E353" authorId="1" shapeId="0">
      <text>
        <t>Zero under the agreed geocode-proxy allocation; does not classify April manual reallocations.</t>
      </text>
    </comment>
    <comment ref="F353" authorId="1" shapeId="0">
      <text>
        <t>Zero under the agreed geocode-proxy allocation; does not classify April manual reallocations.</t>
      </text>
    </comment>
    <comment ref="G353" authorId="1" shapeId="0">
      <text>
        <t>Zero under the agreed geocode-proxy allocation; does not classify April manual reallocations.</t>
      </text>
    </comment>
    <comment ref="H353" authorId="1" shapeId="0">
      <text>
        <t>Zero under the agreed geocode-proxy allocation; does not classify April manual reallocations.</t>
      </text>
    </comment>
    <comment ref="I353" authorId="1" shapeId="0">
      <text>
        <t>Zero under the agreed geocode-proxy allocation; does not classify April manual reallocations.</t>
      </text>
    </comment>
    <comment ref="J353" authorId="1" shapeId="0">
      <text>
        <t>Zero under the agreed geocode-proxy allocation; does not classify April manual reallocations.</t>
      </text>
    </comment>
    <comment ref="K353" authorId="1" shapeId="0">
      <text>
        <t>Zero under the agreed geocode-proxy allocation; does not classify April manual reallocations.</t>
      </text>
    </comment>
    <comment ref="L353" authorId="1" shapeId="0">
      <text>
        <t>Zero under the agreed geocode-proxy allocation; does not classify April manual reallocations.</t>
      </text>
    </comment>
    <comment ref="M353" authorId="1" shapeId="0">
      <text>
        <t>Zero under the agreed geocode-proxy allocation; does not classify April manual reallocations.</t>
      </text>
    </comment>
    <comment ref="E354" authorId="1" shapeId="0">
      <text>
        <t>Automatic from SQL input. Money is already USD: divide by 1,000,000 only. Counts are unscaled.</t>
      </text>
    </comment>
    <comment ref="F354" authorId="1" shapeId="0">
      <text>
        <t>Automatic from SQL input. Money is already USD: divide by 1,000,000 only. Counts are unscaled.</t>
      </text>
    </comment>
    <comment ref="G354" authorId="1" shapeId="0">
      <text>
        <t>Automatic from SQL input. Money is already USD: divide by 1,000,000 only. Counts are unscaled.</t>
      </text>
    </comment>
    <comment ref="H354" authorId="1" shapeId="0">
      <text>
        <t>Automatic from SQL input. Money is already USD: divide by 1,000,000 only. Counts are unscaled.</t>
      </text>
    </comment>
    <comment ref="I354" authorId="1" shapeId="0">
      <text>
        <t>Automatic from SQL input. Money is already USD: divide by 1,000,000 only. Counts are unscaled.</t>
      </text>
    </comment>
    <comment ref="J354" authorId="1" shapeId="0">
      <text>
        <t>Automatic from SQL input. Money is already USD: divide by 1,000,000 only. Counts are unscaled.</t>
      </text>
    </comment>
    <comment ref="K354" authorId="1" shapeId="0">
      <text>
        <t>Automatic from SQL input. Money is already USD: divide by 1,000,000 only. Counts are unscaled.</t>
      </text>
    </comment>
    <comment ref="L354" authorId="1" shapeId="0">
      <text>
        <t>Automatic from SQL input. Money is already USD: divide by 1,000,000 only. Counts are unscaled.</t>
      </text>
    </comment>
    <comment ref="M354" authorId="1" shapeId="0">
      <text>
        <t>Automatic from SQL input. Money is already USD: divide by 1,000,000 only. Counts are unscaled.</t>
      </text>
    </comment>
    <comment ref="C357" authorId="0" shapeId="0">
      <text>
        <t>Manual input: not supplied by SQL. Historical Schedule X(f)!C49 cached value: Territories covered individually too small to require modelled assessment of exposure. Do not assume it remains appropriate.</t>
      </text>
    </comment>
    <comment ref="C361" authorId="0" shapeId="0">
      <text>
        <t>Manual input: not supplied by SQL. Historical Schedule X(f)!C53 cached value: None. Do not assume it remains appropriate.</t>
      </text>
    </comment>
    <comment ref="E368" authorId="1" shapeId="0">
      <text>
        <t>Automatic from SQL input. Money is already USD: divide by 1,000,000 only. Counts are unscaled.</t>
      </text>
    </comment>
    <comment ref="F368" authorId="1" shapeId="0">
      <text>
        <t>Automatic from SQL input. Money is already USD: divide by 1,000,000 only. Counts are unscaled.</t>
      </text>
    </comment>
    <comment ref="G368" authorId="1" shapeId="0">
      <text>
        <t>Automatic from SQL input. Money is already USD: divide by 1,000,000 only. Counts are unscaled.</t>
      </text>
    </comment>
    <comment ref="H368" authorId="1" shapeId="0">
      <text>
        <t>Automatic from SQL input. Money is already USD: divide by 1,000,000 only. Counts are unscaled.</t>
      </text>
    </comment>
    <comment ref="I368" authorId="1" shapeId="0">
      <text>
        <t>Automatic from SQL input. Money is already USD: divide by 1,000,000 only. Counts are unscaled.</t>
      </text>
    </comment>
    <comment ref="J368" authorId="1" shapeId="0">
      <text>
        <t>Automatic from SQL input. Money is already USD: divide by 1,000,000 only. Counts are unscaled.</t>
      </text>
    </comment>
    <comment ref="K368" authorId="1" shapeId="0">
      <text>
        <t>Automatic from SQL input. Money is already USD: divide by 1,000,000 only. Counts are unscaled.</t>
      </text>
    </comment>
    <comment ref="L368" authorId="1" shapeId="0">
      <text>
        <t>Automatic from SQL input. Money is already USD: divide by 1,000,000 only. Counts are unscaled.</t>
      </text>
    </comment>
    <comment ref="M368" authorId="1" shapeId="0">
      <text>
        <t>Automatic from SQL input. Money is already USD: divide by 1,000,000 only. Counts are unscaled.</t>
      </text>
    </comment>
    <comment ref="E369" authorId="1" shapeId="0">
      <text>
        <t>Zero under the agreed geocode-proxy allocation; does not classify April manual reallocations.</t>
      </text>
    </comment>
    <comment ref="F369" authorId="1" shapeId="0">
      <text>
        <t>Zero under the agreed geocode-proxy allocation; does not classify April manual reallocations.</t>
      </text>
    </comment>
    <comment ref="G369" authorId="1" shapeId="0">
      <text>
        <t>Zero under the agreed geocode-proxy allocation; does not classify April manual reallocations.</t>
      </text>
    </comment>
    <comment ref="H369" authorId="1" shapeId="0">
      <text>
        <t>Zero under the agreed geocode-proxy allocation; does not classify April manual reallocations.</t>
      </text>
    </comment>
    <comment ref="I369" authorId="1" shapeId="0">
      <text>
        <t>Zero under the agreed geocode-proxy allocation; does not classify April manual reallocations.</t>
      </text>
    </comment>
    <comment ref="J369" authorId="1" shapeId="0">
      <text>
        <t>Zero under the agreed geocode-proxy allocation; does not classify April manual reallocations.</t>
      </text>
    </comment>
    <comment ref="K369" authorId="1" shapeId="0">
      <text>
        <t>Zero under the agreed geocode-proxy allocation; does not classify April manual reallocations.</t>
      </text>
    </comment>
    <comment ref="L369" authorId="1" shapeId="0">
      <text>
        <t>Zero under the agreed geocode-proxy allocation; does not classify April manual reallocations.</t>
      </text>
    </comment>
    <comment ref="M369" authorId="1" shapeId="0">
      <text>
        <t>Zero under the agreed geocode-proxy allocation; does not classify April manual reallocations.</t>
      </text>
    </comment>
    <comment ref="E370" authorId="1" shapeId="0">
      <text>
        <t>Zero under the agreed geocode-proxy allocation; does not classify April manual reallocations.</t>
      </text>
    </comment>
    <comment ref="F370" authorId="1" shapeId="0">
      <text>
        <t>Zero under the agreed geocode-proxy allocation; does not classify April manual reallocations.</t>
      </text>
    </comment>
    <comment ref="G370" authorId="1" shapeId="0">
      <text>
        <t>Zero under the agreed geocode-proxy allocation; does not classify April manual reallocations.</t>
      </text>
    </comment>
    <comment ref="H370" authorId="1" shapeId="0">
      <text>
        <t>Zero under the agreed geocode-proxy allocation; does not classify April manual reallocations.</t>
      </text>
    </comment>
    <comment ref="I370" authorId="1" shapeId="0">
      <text>
        <t>Zero under the agreed geocode-proxy allocation; does not classify April manual reallocations.</t>
      </text>
    </comment>
    <comment ref="J370" authorId="1" shapeId="0">
      <text>
        <t>Zero under the agreed geocode-proxy allocation; does not classify April manual reallocations.</t>
      </text>
    </comment>
    <comment ref="K370" authorId="1" shapeId="0">
      <text>
        <t>Zero under the agreed geocode-proxy allocation; does not classify April manual reallocations.</t>
      </text>
    </comment>
    <comment ref="L370" authorId="1" shapeId="0">
      <text>
        <t>Zero under the agreed geocode-proxy allocation; does not classify April manual reallocations.</t>
      </text>
    </comment>
    <comment ref="M370" authorId="1" shapeId="0">
      <text>
        <t>Zero under the agreed geocode-proxy allocation; does not classify April manual reallocations.</t>
      </text>
    </comment>
    <comment ref="E371" authorId="1" shapeId="0">
      <text>
        <t>Zero under the agreed geocode-proxy allocation; does not classify April manual reallocations.</t>
      </text>
    </comment>
    <comment ref="F371" authorId="1" shapeId="0">
      <text>
        <t>Zero under the agreed geocode-proxy allocation; does not classify April manual reallocations.</t>
      </text>
    </comment>
    <comment ref="G371" authorId="1" shapeId="0">
      <text>
        <t>Zero under the agreed geocode-proxy allocation; does not classify April manual reallocations.</t>
      </text>
    </comment>
    <comment ref="H371" authorId="1" shapeId="0">
      <text>
        <t>Zero under the agreed geocode-proxy allocation; does not classify April manual reallocations.</t>
      </text>
    </comment>
    <comment ref="I371" authorId="1" shapeId="0">
      <text>
        <t>Zero under the agreed geocode-proxy allocation; does not classify April manual reallocations.</t>
      </text>
    </comment>
    <comment ref="J371" authorId="1" shapeId="0">
      <text>
        <t>Zero under the agreed geocode-proxy allocation; does not classify April manual reallocations.</t>
      </text>
    </comment>
    <comment ref="K371" authorId="1" shapeId="0">
      <text>
        <t>Zero under the agreed geocode-proxy allocation; does not classify April manual reallocations.</t>
      </text>
    </comment>
    <comment ref="L371" authorId="1" shapeId="0">
      <text>
        <t>Zero under the agreed geocode-proxy allocation; does not classify April manual reallocations.</t>
      </text>
    </comment>
    <comment ref="M371" authorId="1" shapeId="0">
      <text>
        <t>Zero under the agreed geocode-proxy allocation; does not classify April manual reallocations.</t>
      </text>
    </comment>
    <comment ref="E372" authorId="1" shapeId="0">
      <text>
        <t>Automatic from SQL input. Money is already USD: divide by 1,000,000 only. Counts are unscaled.</t>
      </text>
    </comment>
    <comment ref="F372" authorId="1" shapeId="0">
      <text>
        <t>Automatic from SQL input. Money is already USD: divide by 1,000,000 only. Counts are unscaled.</t>
      </text>
    </comment>
    <comment ref="G372" authorId="1" shapeId="0">
      <text>
        <t>Automatic from SQL input. Money is already USD: divide by 1,000,000 only. Counts are unscaled.</t>
      </text>
    </comment>
    <comment ref="H372" authorId="1" shapeId="0">
      <text>
        <t>Automatic from SQL input. Money is already USD: divide by 1,000,000 only. Counts are unscaled.</t>
      </text>
    </comment>
    <comment ref="I372" authorId="1" shapeId="0">
      <text>
        <t>Automatic from SQL input. Money is already USD: divide by 1,000,000 only. Counts are unscaled.</t>
      </text>
    </comment>
    <comment ref="J372" authorId="1" shapeId="0">
      <text>
        <t>Automatic from SQL input. Money is already USD: divide by 1,000,000 only. Counts are unscaled.</t>
      </text>
    </comment>
    <comment ref="K372" authorId="1" shapeId="0">
      <text>
        <t>Automatic from SQL input. Money is already USD: divide by 1,000,000 only. Counts are unscaled.</t>
      </text>
    </comment>
    <comment ref="L372" authorId="1" shapeId="0">
      <text>
        <t>Automatic from SQL input. Money is already USD: divide by 1,000,000 only. Counts are unscaled.</t>
      </text>
    </comment>
    <comment ref="M372" authorId="1" shapeId="0">
      <text>
        <t>Automatic from SQL input. Money is already USD: divide by 1,000,000 only. Counts are unscaled.</t>
      </text>
    </comment>
    <comment ref="C375" authorId="0" shapeId="0">
      <text>
        <t>Manual input: not supplied by SQL. Historical Schedule X(f)!C67 cached value: None. Do not assume it remains appropriate.</t>
      </text>
    </comment>
    <comment ref="I378" authorId="0" shapeId="0">
      <text>
        <t>Manual input: not supplied by SQL. Historical Schedule X(f)!I70 cached value: None. Do not assume it remains appropriate.</t>
      </text>
    </comment>
    <comment ref="C382" authorId="0" shapeId="0">
      <text>
        <t>Manual input: not supplied by SQL. Historical Schedule X(f)!C74 cached value: None. Do not assume it remains appropriate.</t>
      </text>
    </comment>
    <comment ref="C386" authorId="0" shapeId="0">
      <text>
        <t>Manual input: not supplied by SQL. Historical Schedule X(f)!C78 cached value: None. Do not assume it remains appropriate.</t>
      </text>
    </comment>
  </commentList>
</comments>
</file>

<file path=xl/tables/table1.xml><?xml version="1.0" encoding="utf-8"?>
<table xmlns="http://schemas.openxmlformats.org/spreadsheetml/2006/main" id="1" name="BSCRInput" displayName="BSCRInput" ref="A1:H738" headerRowCount="1">
  <autoFilter ref="A1:H738"/>
  <tableColumns count="8">
    <tableColumn id="1" name="cntrycode"/>
    <tableColumn id="2" name="bscr_entity"/>
    <tableColumn id="3" name="region"/>
    <tableColumn id="4" name="sum_pml"/>
    <tableColumn id="5" name="sum_net"/>
    <tableColumn id="6" name="count_policies"/>
    <tableColumn id="7" name="is_geocoded"/>
    <tableColumn id="8" name="peril_id"/>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hyperlink" Target="#'33'!A8" TargetMode="External" Id="rId1"/><Relationship Type="http://schemas.openxmlformats.org/officeDocument/2006/relationships/hyperlink" Target="#'33'!A98" TargetMode="External" Id="rId2"/><Relationship Type="http://schemas.openxmlformats.org/officeDocument/2006/relationships/hyperlink" Target="#'33'!A188" TargetMode="External" Id="rId3"/><Relationship Type="http://schemas.openxmlformats.org/officeDocument/2006/relationships/hyperlink" Target="#'33'!A309" TargetMode="External" Id="rId4"/><Relationship Type="http://schemas.openxmlformats.org/officeDocument/2006/relationships/hyperlink" Target="#'Instructions'!A1" TargetMode="External" Id="rId5"/><Relationship Type="http://schemas.openxmlformats.org/officeDocument/2006/relationships/hyperlink" Target="#'Instructions'!A1" TargetMode="External" Id="rId6"/><Relationship Type="http://schemas.openxmlformats.org/officeDocument/2006/relationships/hyperlink" Target="#'Instructions'!A1" TargetMode="External" Id="rId7"/><Relationship Type="http://schemas.openxmlformats.org/officeDocument/2006/relationships/hyperlink" Target="#'Instructions'!A1" TargetMode="External" Id="rId8"/><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3624'!A8" TargetMode="External" Id="rId1"/><Relationship Type="http://schemas.openxmlformats.org/officeDocument/2006/relationships/hyperlink" Target="#'3624'!A98" TargetMode="External" Id="rId2"/><Relationship Type="http://schemas.openxmlformats.org/officeDocument/2006/relationships/hyperlink" Target="#'3624'!A188" TargetMode="External" Id="rId3"/><Relationship Type="http://schemas.openxmlformats.org/officeDocument/2006/relationships/hyperlink" Target="#'3624'!A309" TargetMode="External" Id="rId4"/><Relationship Type="http://schemas.openxmlformats.org/officeDocument/2006/relationships/hyperlink" Target="#'Instructions'!A1" TargetMode="External" Id="rId5"/><Relationship Type="http://schemas.openxmlformats.org/officeDocument/2006/relationships/hyperlink" Target="#'Instructions'!A1" TargetMode="External" Id="rId6"/><Relationship Type="http://schemas.openxmlformats.org/officeDocument/2006/relationships/hyperlink" Target="#'Instructions'!A1" TargetMode="External" Id="rId7"/><Relationship Type="http://schemas.openxmlformats.org/officeDocument/2006/relationships/hyperlink" Target="#'Instructions'!A1" TargetMode="External" Id="rId8"/><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hyperlink" Target="#'HIC'!A8" TargetMode="External" Id="rId1"/><Relationship Type="http://schemas.openxmlformats.org/officeDocument/2006/relationships/hyperlink" Target="#'HIC'!A98" TargetMode="External" Id="rId2"/><Relationship Type="http://schemas.openxmlformats.org/officeDocument/2006/relationships/hyperlink" Target="#'HIC'!A188" TargetMode="External" Id="rId3"/><Relationship Type="http://schemas.openxmlformats.org/officeDocument/2006/relationships/hyperlink" Target="#'HIC'!A309" TargetMode="External" Id="rId4"/><Relationship Type="http://schemas.openxmlformats.org/officeDocument/2006/relationships/hyperlink" Target="#'Instructions'!A1" TargetMode="External" Id="rId5"/><Relationship Type="http://schemas.openxmlformats.org/officeDocument/2006/relationships/hyperlink" Target="#'Instructions'!A1" TargetMode="External" Id="rId6"/><Relationship Type="http://schemas.openxmlformats.org/officeDocument/2006/relationships/hyperlink" Target="#'Instructions'!A1" TargetMode="External" Id="rId7"/><Relationship Type="http://schemas.openxmlformats.org/officeDocument/2006/relationships/hyperlink" Target="#'Instructions'!A1" TargetMode="External" Id="rId8"/><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HIG'!A8" TargetMode="External" Id="rId1"/><Relationship Type="http://schemas.openxmlformats.org/officeDocument/2006/relationships/hyperlink" Target="#'HIG'!A98" TargetMode="External" Id="rId2"/><Relationship Type="http://schemas.openxmlformats.org/officeDocument/2006/relationships/hyperlink" Target="#'HIG'!A188" TargetMode="External" Id="rId3"/><Relationship Type="http://schemas.openxmlformats.org/officeDocument/2006/relationships/hyperlink" Target="#'HIG'!A309" TargetMode="External" Id="rId4"/><Relationship Type="http://schemas.openxmlformats.org/officeDocument/2006/relationships/hyperlink" Target="#'Instructions'!A1" TargetMode="External" Id="rId5"/><Relationship Type="http://schemas.openxmlformats.org/officeDocument/2006/relationships/hyperlink" Target="#'Instructions'!A1" TargetMode="External" Id="rId6"/><Relationship Type="http://schemas.openxmlformats.org/officeDocument/2006/relationships/hyperlink" Target="#'Instructions'!A1" TargetMode="External" Id="rId7"/><Relationship Type="http://schemas.openxmlformats.org/officeDocument/2006/relationships/hyperlink" Target="#'Instructions'!A1" TargetMode="External" Id="rId8"/><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HSA'!A8" TargetMode="External" Id="rId1"/><Relationship Type="http://schemas.openxmlformats.org/officeDocument/2006/relationships/hyperlink" Target="#'HSA'!A98" TargetMode="External" Id="rId2"/><Relationship Type="http://schemas.openxmlformats.org/officeDocument/2006/relationships/hyperlink" Target="#'HSA'!A188" TargetMode="External" Id="rId3"/><Relationship Type="http://schemas.openxmlformats.org/officeDocument/2006/relationships/hyperlink" Target="#'HSA'!A309" TargetMode="External" Id="rId4"/><Relationship Type="http://schemas.openxmlformats.org/officeDocument/2006/relationships/hyperlink" Target="#'Instructions'!A1" TargetMode="External" Id="rId5"/><Relationship Type="http://schemas.openxmlformats.org/officeDocument/2006/relationships/hyperlink" Target="#'Instructions'!A1" TargetMode="External" Id="rId6"/><Relationship Type="http://schemas.openxmlformats.org/officeDocument/2006/relationships/hyperlink" Target="#'Instructions'!A1" TargetMode="External" Id="rId7"/><Relationship Type="http://schemas.openxmlformats.org/officeDocument/2006/relationships/hyperlink" Target="#'Instructions'!A1" TargetMode="External" Id="rId8"/><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H8"/>
  <sheetViews>
    <sheetView showGridLines="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ht="32" customHeight="1">
      <c r="A1" s="1" t="inlineStr">
        <is>
          <t>BSCR — refresh the schedules</t>
        </is>
      </c>
    </row>
    <row r="2"/>
    <row r="3"/>
    <row r="4" ht="36" customHeight="1">
      <c r="A4" s="2" t="inlineStr">
        <is>
          <t>1. Clear the old data on the SQL input tab. Keep the header row and table.</t>
        </is>
      </c>
    </row>
    <row r="5" ht="24" customHeight="1"/>
    <row r="6"/>
    <row r="7" ht="36" customHeight="1">
      <c r="A7" s="2" t="inlineStr">
        <is>
          <t>2. Paste the new eight-column results from bscr-output.sql below the headers. The entity tabs populate automatically.</t>
        </is>
      </c>
    </row>
    <row r="8" ht="24" customHeight="1"/>
  </sheetData>
  <mergeCells count="3">
    <mergeCell ref="A7:H8"/>
    <mergeCell ref="A4:H5"/>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3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3"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cntrycode</t>
        </is>
      </c>
      <c r="B1" t="inlineStr">
        <is>
          <t>bscr_entity</t>
        </is>
      </c>
      <c r="C1" t="inlineStr">
        <is>
          <t>region</t>
        </is>
      </c>
      <c r="D1" t="inlineStr">
        <is>
          <t>sum_pml</t>
        </is>
      </c>
      <c r="E1" t="inlineStr">
        <is>
          <t>sum_net</t>
        </is>
      </c>
      <c r="F1" t="inlineStr">
        <is>
          <t>count_policies</t>
        </is>
      </c>
      <c r="G1" t="inlineStr">
        <is>
          <t>is_geocoded</t>
        </is>
      </c>
      <c r="H1" t="inlineStr">
        <is>
          <t>peril_id</t>
        </is>
      </c>
    </row>
    <row r="2">
      <c r="A2" t="inlineStr">
        <is>
          <t>AE</t>
        </is>
      </c>
      <c r="B2" t="inlineStr">
        <is>
          <t>33</t>
        </is>
      </c>
      <c r="C2" t="inlineStr">
        <is>
          <t>ALL</t>
        </is>
      </c>
      <c r="D2" s="3" t="n">
        <v>210086.6145700144</v>
      </c>
      <c r="E2" s="3" t="n">
        <v>210086.6145700144</v>
      </c>
      <c r="F2" s="4" t="n">
        <v>2</v>
      </c>
      <c r="G2" t="n">
        <v>0</v>
      </c>
      <c r="H2" t="n">
        <v>1</v>
      </c>
    </row>
    <row r="3">
      <c r="A3" t="inlineStr">
        <is>
          <t>AR</t>
        </is>
      </c>
      <c r="B3" t="inlineStr">
        <is>
          <t>33</t>
        </is>
      </c>
      <c r="C3" t="inlineStr">
        <is>
          <t>ALL</t>
        </is>
      </c>
      <c r="D3" s="3" t="n">
        <v>1728139.713292917</v>
      </c>
      <c r="E3" s="3" t="n">
        <v>1728139.713292917</v>
      </c>
      <c r="F3" s="4" t="n">
        <v>2</v>
      </c>
      <c r="G3" t="n">
        <v>0</v>
      </c>
      <c r="H3" t="n">
        <v>1</v>
      </c>
    </row>
    <row r="4">
      <c r="A4" t="inlineStr">
        <is>
          <t>AT</t>
        </is>
      </c>
      <c r="B4" t="inlineStr">
        <is>
          <t>33</t>
        </is>
      </c>
      <c r="C4" t="inlineStr">
        <is>
          <t>ALL</t>
        </is>
      </c>
      <c r="D4" s="3" t="n">
        <v>830464.4826</v>
      </c>
      <c r="E4" s="3" t="n">
        <v>503830.16330058</v>
      </c>
      <c r="F4" s="4" t="n">
        <v>2</v>
      </c>
      <c r="G4" t="n">
        <v>0</v>
      </c>
      <c r="H4" t="n">
        <v>1</v>
      </c>
    </row>
    <row r="5">
      <c r="A5" t="inlineStr">
        <is>
          <t>AU</t>
        </is>
      </c>
      <c r="B5" t="inlineStr">
        <is>
          <t>33</t>
        </is>
      </c>
      <c r="C5" t="inlineStr">
        <is>
          <t>ALL</t>
        </is>
      </c>
      <c r="D5" s="3" t="n">
        <v>18756114.4102309</v>
      </c>
      <c r="E5" s="3" t="n">
        <v>18756114.4102309</v>
      </c>
      <c r="F5" s="4" t="n">
        <v>4</v>
      </c>
      <c r="G5" t="n">
        <v>0</v>
      </c>
      <c r="H5" t="n">
        <v>1</v>
      </c>
    </row>
    <row r="6">
      <c r="A6" t="inlineStr">
        <is>
          <t>BE</t>
        </is>
      </c>
      <c r="B6" t="inlineStr">
        <is>
          <t>33</t>
        </is>
      </c>
      <c r="C6" t="inlineStr">
        <is>
          <t>ALL</t>
        </is>
      </c>
      <c r="D6" s="3" t="n">
        <v>90808.02555768001</v>
      </c>
      <c r="E6" s="3" t="n">
        <v>45404.01277884001</v>
      </c>
      <c r="F6" s="4" t="n">
        <v>1</v>
      </c>
      <c r="G6" t="n">
        <v>0</v>
      </c>
      <c r="H6" t="n">
        <v>1</v>
      </c>
    </row>
    <row r="7">
      <c r="A7" t="inlineStr">
        <is>
          <t>BM</t>
        </is>
      </c>
      <c r="B7" t="inlineStr">
        <is>
          <t>33</t>
        </is>
      </c>
      <c r="C7" t="inlineStr">
        <is>
          <t>ALL</t>
        </is>
      </c>
      <c r="D7" s="3" t="n">
        <v>149007.9938777658</v>
      </c>
      <c r="E7" s="3" t="n">
        <v>149007.9938777658</v>
      </c>
      <c r="F7" s="4" t="n">
        <v>1</v>
      </c>
      <c r="G7" t="n">
        <v>0</v>
      </c>
      <c r="H7" t="n">
        <v>1</v>
      </c>
    </row>
    <row r="8">
      <c r="A8" t="inlineStr">
        <is>
          <t>BR</t>
        </is>
      </c>
      <c r="B8" t="inlineStr">
        <is>
          <t>33</t>
        </is>
      </c>
      <c r="C8" t="inlineStr">
        <is>
          <t>ALL</t>
        </is>
      </c>
      <c r="D8" s="3" t="n">
        <v>55980557.77012295</v>
      </c>
      <c r="E8" s="3" t="n">
        <v>46207734.77338711</v>
      </c>
      <c r="F8" s="4" t="n">
        <v>2</v>
      </c>
      <c r="G8" t="n">
        <v>0</v>
      </c>
      <c r="H8" t="n">
        <v>1</v>
      </c>
    </row>
    <row r="9">
      <c r="A9" t="inlineStr">
        <is>
          <t>BS</t>
        </is>
      </c>
      <c r="B9" t="inlineStr">
        <is>
          <t>33</t>
        </is>
      </c>
      <c r="C9" t="inlineStr">
        <is>
          <t>ALL</t>
        </is>
      </c>
      <c r="D9" s="3" t="n">
        <v>45691.12050421937</v>
      </c>
      <c r="E9" s="3" t="n">
        <v>45691.12050421937</v>
      </c>
      <c r="F9" s="4" t="n">
        <v>1</v>
      </c>
      <c r="G9" t="n">
        <v>0</v>
      </c>
      <c r="H9" t="n">
        <v>1</v>
      </c>
    </row>
    <row r="10">
      <c r="A10" t="inlineStr">
        <is>
          <t>BW</t>
        </is>
      </c>
      <c r="B10" t="inlineStr">
        <is>
          <t>33</t>
        </is>
      </c>
      <c r="C10" t="inlineStr">
        <is>
          <t>ALL</t>
        </is>
      </c>
      <c r="D10" s="3" t="n">
        <v>1105650</v>
      </c>
      <c r="E10" s="3" t="n">
        <v>1105650</v>
      </c>
      <c r="F10" s="4" t="n">
        <v>1</v>
      </c>
      <c r="G10" t="n">
        <v>0</v>
      </c>
      <c r="H10" t="n">
        <v>1</v>
      </c>
    </row>
    <row r="11">
      <c r="A11" t="inlineStr">
        <is>
          <t>CH</t>
        </is>
      </c>
      <c r="B11" t="inlineStr">
        <is>
          <t>33</t>
        </is>
      </c>
      <c r="C11" t="inlineStr">
        <is>
          <t>ALL</t>
        </is>
      </c>
      <c r="D11" s="3" t="n">
        <v>455287752.0066735</v>
      </c>
      <c r="E11" s="3" t="n">
        <v>254653752.845993</v>
      </c>
      <c r="F11" s="4" t="n">
        <v>31</v>
      </c>
      <c r="G11" t="n">
        <v>0</v>
      </c>
      <c r="H11" t="n">
        <v>1</v>
      </c>
    </row>
    <row r="12">
      <c r="A12" t="inlineStr">
        <is>
          <t>CL</t>
        </is>
      </c>
      <c r="B12" t="inlineStr">
        <is>
          <t>33</t>
        </is>
      </c>
      <c r="C12" t="inlineStr">
        <is>
          <t>ALL</t>
        </is>
      </c>
      <c r="D12" s="3" t="n">
        <v>12254179.39554298</v>
      </c>
      <c r="E12" s="3" t="n">
        <v>12254179.39554298</v>
      </c>
      <c r="F12" s="4" t="n">
        <v>11</v>
      </c>
      <c r="G12" t="n">
        <v>0</v>
      </c>
      <c r="H12" t="n">
        <v>1</v>
      </c>
    </row>
    <row r="13">
      <c r="A13" t="inlineStr">
        <is>
          <t>CN</t>
        </is>
      </c>
      <c r="B13" t="inlineStr">
        <is>
          <t>33</t>
        </is>
      </c>
      <c r="C13" t="inlineStr">
        <is>
          <t>ALL</t>
        </is>
      </c>
      <c r="D13" s="3" t="n">
        <v>83336767.11848314</v>
      </c>
      <c r="E13" s="3" t="n">
        <v>60168296.09843293</v>
      </c>
      <c r="F13" s="4" t="n">
        <v>12</v>
      </c>
      <c r="G13" t="n">
        <v>0</v>
      </c>
      <c r="H13" t="n">
        <v>1</v>
      </c>
    </row>
    <row r="14">
      <c r="A14" t="inlineStr">
        <is>
          <t>CO</t>
        </is>
      </c>
      <c r="B14" t="inlineStr">
        <is>
          <t>33</t>
        </is>
      </c>
      <c r="C14" t="inlineStr">
        <is>
          <t>ALL</t>
        </is>
      </c>
      <c r="D14" s="3" t="n">
        <v>10564464.78990166</v>
      </c>
      <c r="E14" s="3" t="n">
        <v>10564464.78990166</v>
      </c>
      <c r="F14" s="4" t="n">
        <v>7</v>
      </c>
      <c r="G14" t="n">
        <v>0</v>
      </c>
      <c r="H14" t="n">
        <v>1</v>
      </c>
    </row>
    <row r="15">
      <c r="A15" t="inlineStr">
        <is>
          <t>CY</t>
        </is>
      </c>
      <c r="B15" t="inlineStr">
        <is>
          <t>33</t>
        </is>
      </c>
      <c r="C15" t="inlineStr">
        <is>
          <t>ALL</t>
        </is>
      </c>
      <c r="D15" s="3" t="n">
        <v>11907629.775</v>
      </c>
      <c r="E15" s="3" t="n">
        <v>11907629.775</v>
      </c>
      <c r="F15" s="4" t="n">
        <v>3</v>
      </c>
      <c r="G15" t="n">
        <v>0</v>
      </c>
      <c r="H15" t="n">
        <v>1</v>
      </c>
    </row>
    <row r="16">
      <c r="A16" t="inlineStr">
        <is>
          <t>CZ</t>
        </is>
      </c>
      <c r="B16" t="inlineStr">
        <is>
          <t>33</t>
        </is>
      </c>
      <c r="C16" t="inlineStr">
        <is>
          <t>ALL</t>
        </is>
      </c>
      <c r="D16" s="3" t="n">
        <v>23160777.4373904</v>
      </c>
      <c r="E16" s="3" t="n">
        <v>23160777.4373904</v>
      </c>
      <c r="F16" s="4" t="n">
        <v>1</v>
      </c>
      <c r="G16" t="n">
        <v>0</v>
      </c>
      <c r="H16" t="n">
        <v>1</v>
      </c>
    </row>
    <row r="17">
      <c r="A17" t="inlineStr">
        <is>
          <t>DO</t>
        </is>
      </c>
      <c r="B17" t="inlineStr">
        <is>
          <t>33</t>
        </is>
      </c>
      <c r="C17" t="inlineStr">
        <is>
          <t>ALL</t>
        </is>
      </c>
      <c r="D17" s="3" t="n">
        <v>363608.1296349228</v>
      </c>
      <c r="E17" s="3" t="n">
        <v>363608.1296349228</v>
      </c>
      <c r="F17" s="4" t="n">
        <v>1</v>
      </c>
      <c r="G17" t="n">
        <v>0</v>
      </c>
      <c r="H17" t="n">
        <v>1</v>
      </c>
    </row>
    <row r="18">
      <c r="A18" t="inlineStr">
        <is>
          <t>EE</t>
        </is>
      </c>
      <c r="B18" t="inlineStr">
        <is>
          <t>33</t>
        </is>
      </c>
      <c r="C18" t="inlineStr">
        <is>
          <t>ALL</t>
        </is>
      </c>
      <c r="D18" s="3" t="n">
        <v>75600</v>
      </c>
      <c r="E18" s="3" t="n">
        <v>75600</v>
      </c>
      <c r="F18" s="4" t="n">
        <v>1</v>
      </c>
      <c r="G18" t="n">
        <v>0</v>
      </c>
      <c r="H18" t="n">
        <v>1</v>
      </c>
    </row>
    <row r="19">
      <c r="A19" t="inlineStr">
        <is>
          <t>ES</t>
        </is>
      </c>
      <c r="B19" t="inlineStr">
        <is>
          <t>33</t>
        </is>
      </c>
      <c r="C19" t="inlineStr">
        <is>
          <t>ALL</t>
        </is>
      </c>
      <c r="D19" s="3" t="n">
        <v>56470650.59189952</v>
      </c>
      <c r="E19" s="3" t="n">
        <v>32090656.10594976</v>
      </c>
      <c r="F19" s="4" t="n">
        <v>5</v>
      </c>
      <c r="G19" t="n">
        <v>0</v>
      </c>
      <c r="H19" t="n">
        <v>1</v>
      </c>
    </row>
    <row r="20">
      <c r="A20" t="inlineStr">
        <is>
          <t>FR</t>
        </is>
      </c>
      <c r="B20" t="inlineStr">
        <is>
          <t>33</t>
        </is>
      </c>
      <c r="C20" t="inlineStr">
        <is>
          <t>ALL</t>
        </is>
      </c>
      <c r="D20" s="3" t="n">
        <v>22792119.22771476</v>
      </c>
      <c r="E20" s="3" t="n">
        <v>15036554.64228592</v>
      </c>
      <c r="F20" s="4" t="n">
        <v>7</v>
      </c>
      <c r="G20" t="n">
        <v>0</v>
      </c>
      <c r="H20" t="n">
        <v>1</v>
      </c>
    </row>
    <row r="21">
      <c r="A21" t="inlineStr">
        <is>
          <t>GB</t>
        </is>
      </c>
      <c r="B21" t="inlineStr">
        <is>
          <t>33</t>
        </is>
      </c>
      <c r="C21" t="inlineStr">
        <is>
          <t>ALL</t>
        </is>
      </c>
      <c r="D21" s="3" t="n">
        <v>100305</v>
      </c>
      <c r="E21" s="3" t="n">
        <v>100305</v>
      </c>
      <c r="F21" s="4" t="n">
        <v>1</v>
      </c>
      <c r="G21" t="n">
        <v>0</v>
      </c>
      <c r="H21" t="n">
        <v>1</v>
      </c>
    </row>
    <row r="22">
      <c r="A22" t="inlineStr">
        <is>
          <t>GI</t>
        </is>
      </c>
      <c r="B22" t="inlineStr">
        <is>
          <t>33</t>
        </is>
      </c>
      <c r="C22" t="inlineStr">
        <is>
          <t>ALL</t>
        </is>
      </c>
      <c r="D22" s="3" t="n">
        <v>3664028.25</v>
      </c>
      <c r="E22" s="3" t="n">
        <v>3664028.25</v>
      </c>
      <c r="F22" s="4" t="n">
        <v>1</v>
      </c>
      <c r="G22" t="n">
        <v>0</v>
      </c>
      <c r="H22" t="n">
        <v>1</v>
      </c>
    </row>
    <row r="23">
      <c r="A23" t="inlineStr">
        <is>
          <t>GR</t>
        </is>
      </c>
      <c r="B23" t="inlineStr">
        <is>
          <t>33</t>
        </is>
      </c>
      <c r="C23" t="inlineStr">
        <is>
          <t>ALL</t>
        </is>
      </c>
      <c r="D23" s="3" t="n">
        <v>101526194.6924744</v>
      </c>
      <c r="E23" s="3" t="n">
        <v>93536279.86161363</v>
      </c>
      <c r="F23" s="4" t="n">
        <v>19</v>
      </c>
      <c r="G23" t="n">
        <v>0</v>
      </c>
      <c r="H23" t="n">
        <v>1</v>
      </c>
    </row>
    <row r="24">
      <c r="A24" t="inlineStr">
        <is>
          <t>GT</t>
        </is>
      </c>
      <c r="B24" t="inlineStr">
        <is>
          <t>33</t>
        </is>
      </c>
      <c r="C24" t="inlineStr">
        <is>
          <t>ALL</t>
        </is>
      </c>
      <c r="D24" s="3" t="n">
        <v>2748894.423426946</v>
      </c>
      <c r="E24" s="3" t="n">
        <v>2748894.423426946</v>
      </c>
      <c r="F24" s="4" t="n">
        <v>4</v>
      </c>
      <c r="G24" t="n">
        <v>0</v>
      </c>
      <c r="H24" t="n">
        <v>1</v>
      </c>
    </row>
    <row r="25">
      <c r="A25" t="inlineStr">
        <is>
          <t>HK</t>
        </is>
      </c>
      <c r="B25" t="inlineStr">
        <is>
          <t>33</t>
        </is>
      </c>
      <c r="C25" t="inlineStr">
        <is>
          <t>ALL</t>
        </is>
      </c>
      <c r="D25" s="3" t="n">
        <v>16827200.25032217</v>
      </c>
      <c r="E25" s="3" t="n">
        <v>16736239.93853397</v>
      </c>
      <c r="F25" s="4" t="n">
        <v>11</v>
      </c>
      <c r="G25" t="n">
        <v>0</v>
      </c>
      <c r="H25" t="n">
        <v>1</v>
      </c>
    </row>
    <row r="26">
      <c r="A26" t="inlineStr">
        <is>
          <t>ID</t>
        </is>
      </c>
      <c r="B26" t="inlineStr">
        <is>
          <t>33</t>
        </is>
      </c>
      <c r="C26" t="inlineStr">
        <is>
          <t>ALL</t>
        </is>
      </c>
      <c r="D26" s="3" t="n">
        <v>0</v>
      </c>
      <c r="E26" s="3" t="n">
        <v>0</v>
      </c>
      <c r="F26" s="4" t="n">
        <v>1</v>
      </c>
      <c r="G26" t="n">
        <v>0</v>
      </c>
      <c r="H26" t="n">
        <v>1</v>
      </c>
    </row>
    <row r="27">
      <c r="A27" t="inlineStr">
        <is>
          <t>IE</t>
        </is>
      </c>
      <c r="B27" t="inlineStr">
        <is>
          <t>33</t>
        </is>
      </c>
      <c r="C27" t="inlineStr">
        <is>
          <t>ALL</t>
        </is>
      </c>
      <c r="D27" s="3" t="n">
        <v>16581742.4916</v>
      </c>
      <c r="E27" s="3" t="n">
        <v>16367413.1166</v>
      </c>
      <c r="F27" s="4" t="n">
        <v>11</v>
      </c>
      <c r="G27" t="n">
        <v>0</v>
      </c>
      <c r="H27" t="n">
        <v>1</v>
      </c>
    </row>
    <row r="28">
      <c r="A28" t="inlineStr">
        <is>
          <t>IL</t>
        </is>
      </c>
      <c r="B28" t="inlineStr">
        <is>
          <t>33</t>
        </is>
      </c>
      <c r="C28" t="inlineStr">
        <is>
          <t>ALL</t>
        </is>
      </c>
      <c r="D28" s="3" t="n">
        <v>9189487.720355295</v>
      </c>
      <c r="E28" s="3" t="n">
        <v>9117495.493071498</v>
      </c>
      <c r="F28" s="4" t="n">
        <v>7</v>
      </c>
      <c r="G28" t="n">
        <v>0</v>
      </c>
      <c r="H28" t="n">
        <v>1</v>
      </c>
    </row>
    <row r="29">
      <c r="A29" t="inlineStr">
        <is>
          <t>IN</t>
        </is>
      </c>
      <c r="B29" t="inlineStr">
        <is>
          <t>33</t>
        </is>
      </c>
      <c r="C29" t="inlineStr">
        <is>
          <t>ALL</t>
        </is>
      </c>
      <c r="D29" s="3" t="n">
        <v>21078587.25951058</v>
      </c>
      <c r="E29" s="3" t="n">
        <v>10613797.62669417</v>
      </c>
      <c r="F29" s="4" t="n">
        <v>2</v>
      </c>
      <c r="G29" t="n">
        <v>0</v>
      </c>
      <c r="H29" t="n">
        <v>1</v>
      </c>
    </row>
    <row r="30">
      <c r="A30" t="inlineStr">
        <is>
          <t>KR</t>
        </is>
      </c>
      <c r="B30" t="inlineStr">
        <is>
          <t>33</t>
        </is>
      </c>
      <c r="C30" t="inlineStr">
        <is>
          <t>ALL</t>
        </is>
      </c>
      <c r="D30" s="3" t="n">
        <v>49244.87432121422</v>
      </c>
      <c r="E30" s="3" t="n">
        <v>24622.43716060711</v>
      </c>
      <c r="F30" s="4" t="n">
        <v>1</v>
      </c>
      <c r="G30" t="n">
        <v>0</v>
      </c>
      <c r="H30" t="n">
        <v>1</v>
      </c>
    </row>
    <row r="31">
      <c r="A31" t="inlineStr">
        <is>
          <t>KW</t>
        </is>
      </c>
      <c r="B31" t="inlineStr">
        <is>
          <t>33</t>
        </is>
      </c>
      <c r="C31" t="inlineStr">
        <is>
          <t>ALL</t>
        </is>
      </c>
      <c r="D31" s="3" t="n">
        <v>174598.9711036569</v>
      </c>
      <c r="E31" s="3" t="n">
        <v>174598.9711036569</v>
      </c>
      <c r="F31" s="4" t="n">
        <v>1</v>
      </c>
      <c r="G31" t="n">
        <v>0</v>
      </c>
      <c r="H31" t="n">
        <v>1</v>
      </c>
    </row>
    <row r="32">
      <c r="A32" t="inlineStr">
        <is>
          <t>KY</t>
        </is>
      </c>
      <c r="B32" t="inlineStr">
        <is>
          <t>33</t>
        </is>
      </c>
      <c r="C32" t="inlineStr">
        <is>
          <t>ALL</t>
        </is>
      </c>
      <c r="D32" s="3" t="n">
        <v>273639.0439086022</v>
      </c>
      <c r="E32" s="3" t="n">
        <v>136819.5219543011</v>
      </c>
      <c r="F32" s="4" t="n">
        <v>1</v>
      </c>
      <c r="G32" t="n">
        <v>0</v>
      </c>
      <c r="H32" t="n">
        <v>1</v>
      </c>
    </row>
    <row r="33">
      <c r="A33" t="inlineStr">
        <is>
          <t>LB</t>
        </is>
      </c>
      <c r="B33" t="inlineStr">
        <is>
          <t>33</t>
        </is>
      </c>
      <c r="C33" t="inlineStr">
        <is>
          <t>ALL</t>
        </is>
      </c>
      <c r="D33" s="3" t="n">
        <v>40257079.14412824</v>
      </c>
      <c r="E33" s="3" t="n">
        <v>38912554.21616226</v>
      </c>
      <c r="F33" s="4" t="n">
        <v>7</v>
      </c>
      <c r="G33" t="n">
        <v>0</v>
      </c>
      <c r="H33" t="n">
        <v>1</v>
      </c>
    </row>
    <row r="34">
      <c r="A34" t="inlineStr">
        <is>
          <t>LT</t>
        </is>
      </c>
      <c r="B34" t="inlineStr">
        <is>
          <t>33</t>
        </is>
      </c>
      <c r="C34" t="inlineStr">
        <is>
          <t>ALL</t>
        </is>
      </c>
      <c r="D34" s="3" t="n">
        <v>5333505.48</v>
      </c>
      <c r="E34" s="3" t="n">
        <v>5333505.48</v>
      </c>
      <c r="F34" s="4" t="n">
        <v>2</v>
      </c>
      <c r="G34" t="n">
        <v>0</v>
      </c>
      <c r="H34" t="n">
        <v>1</v>
      </c>
    </row>
    <row r="35">
      <c r="A35" t="inlineStr">
        <is>
          <t>MA</t>
        </is>
      </c>
      <c r="B35" t="inlineStr">
        <is>
          <t>33</t>
        </is>
      </c>
      <c r="C35" t="inlineStr">
        <is>
          <t>ALL</t>
        </is>
      </c>
      <c r="D35" s="3" t="n">
        <v>216000</v>
      </c>
      <c r="E35" s="3" t="n">
        <v>216000</v>
      </c>
      <c r="F35" s="4" t="n">
        <v>1</v>
      </c>
      <c r="G35" t="n">
        <v>0</v>
      </c>
      <c r="H35" t="n">
        <v>1</v>
      </c>
    </row>
    <row r="36">
      <c r="A36" t="inlineStr">
        <is>
          <t>MC</t>
        </is>
      </c>
      <c r="B36" t="inlineStr">
        <is>
          <t>33</t>
        </is>
      </c>
      <c r="C36" t="inlineStr">
        <is>
          <t>ALL</t>
        </is>
      </c>
      <c r="D36" s="3" t="n">
        <v>25477438.61953574</v>
      </c>
      <c r="E36" s="3" t="n">
        <v>20520481.24937752</v>
      </c>
      <c r="F36" s="4" t="n">
        <v>10</v>
      </c>
      <c r="G36" t="n">
        <v>0</v>
      </c>
      <c r="H36" t="n">
        <v>1</v>
      </c>
    </row>
    <row r="37">
      <c r="A37" t="inlineStr">
        <is>
          <t>MT</t>
        </is>
      </c>
      <c r="B37" t="inlineStr">
        <is>
          <t>33</t>
        </is>
      </c>
      <c r="C37" t="inlineStr">
        <is>
          <t>ALL</t>
        </is>
      </c>
      <c r="D37" s="3" t="n">
        <v>2700</v>
      </c>
      <c r="E37" s="3" t="n">
        <v>2700</v>
      </c>
      <c r="F37" s="4" t="n">
        <v>1</v>
      </c>
      <c r="G37" t="n">
        <v>0</v>
      </c>
      <c r="H37" t="n">
        <v>1</v>
      </c>
    </row>
    <row r="38">
      <c r="A38" t="inlineStr">
        <is>
          <t>MX</t>
        </is>
      </c>
      <c r="B38" t="inlineStr">
        <is>
          <t>33</t>
        </is>
      </c>
      <c r="C38" t="inlineStr">
        <is>
          <t>ALL</t>
        </is>
      </c>
      <c r="D38" s="3" t="n">
        <v>5570458.340227749</v>
      </c>
      <c r="E38" s="3" t="n">
        <v>5570458.340227749</v>
      </c>
      <c r="F38" s="4" t="n">
        <v>1</v>
      </c>
      <c r="G38" t="n">
        <v>0</v>
      </c>
      <c r="H38" t="n">
        <v>1</v>
      </c>
    </row>
    <row r="39">
      <c r="A39" t="inlineStr">
        <is>
          <t>NG</t>
        </is>
      </c>
      <c r="B39" t="inlineStr">
        <is>
          <t>33</t>
        </is>
      </c>
      <c r="C39" t="inlineStr">
        <is>
          <t>ALL</t>
        </is>
      </c>
      <c r="D39" s="3" t="n">
        <v>2030716.4668542</v>
      </c>
      <c r="E39" s="3" t="n">
        <v>1015358.2334271</v>
      </c>
      <c r="F39" s="4" t="n">
        <v>1</v>
      </c>
      <c r="G39" t="n">
        <v>0</v>
      </c>
      <c r="H39" t="n">
        <v>1</v>
      </c>
    </row>
    <row r="40">
      <c r="A40" t="inlineStr">
        <is>
          <t>NL</t>
        </is>
      </c>
      <c r="B40" t="inlineStr">
        <is>
          <t>33</t>
        </is>
      </c>
      <c r="C40" t="inlineStr">
        <is>
          <t>ALL</t>
        </is>
      </c>
      <c r="D40" s="3" t="n">
        <v>23315804.8344</v>
      </c>
      <c r="E40" s="3" t="n">
        <v>23315804.8344</v>
      </c>
      <c r="F40" s="4" t="n">
        <v>3</v>
      </c>
      <c r="G40" t="n">
        <v>0</v>
      </c>
      <c r="H40" t="n">
        <v>1</v>
      </c>
    </row>
    <row r="41">
      <c r="A41" t="inlineStr">
        <is>
          <t>NZ</t>
        </is>
      </c>
      <c r="B41" t="inlineStr">
        <is>
          <t>33</t>
        </is>
      </c>
      <c r="C41" t="inlineStr">
        <is>
          <t>ALL</t>
        </is>
      </c>
      <c r="D41" s="3" t="n">
        <v>1698544.473894012</v>
      </c>
      <c r="E41" s="3" t="n">
        <v>1698544.473894012</v>
      </c>
      <c r="F41" s="4" t="n">
        <v>3</v>
      </c>
      <c r="G41" t="n">
        <v>0</v>
      </c>
      <c r="H41" t="n">
        <v>1</v>
      </c>
    </row>
    <row r="42">
      <c r="A42" t="inlineStr">
        <is>
          <t>OM</t>
        </is>
      </c>
      <c r="B42" t="inlineStr">
        <is>
          <t>33</t>
        </is>
      </c>
      <c r="C42" t="inlineStr">
        <is>
          <t>ALL</t>
        </is>
      </c>
      <c r="D42" s="3" t="n">
        <v>3375</v>
      </c>
      <c r="E42" s="3" t="n">
        <v>3375</v>
      </c>
      <c r="F42" s="4" t="n">
        <v>1</v>
      </c>
      <c r="G42" t="n">
        <v>0</v>
      </c>
      <c r="H42" t="n">
        <v>1</v>
      </c>
    </row>
    <row r="43">
      <c r="A43" t="inlineStr">
        <is>
          <t>PA</t>
        </is>
      </c>
      <c r="B43" t="inlineStr">
        <is>
          <t>33</t>
        </is>
      </c>
      <c r="C43" t="inlineStr">
        <is>
          <t>ALL</t>
        </is>
      </c>
      <c r="D43" s="3" t="n">
        <v>227153.5748130987</v>
      </c>
      <c r="E43" s="3" t="n">
        <v>227153.5748130987</v>
      </c>
      <c r="F43" s="4" t="n">
        <v>1</v>
      </c>
      <c r="G43" t="n">
        <v>0</v>
      </c>
      <c r="H43" t="n">
        <v>1</v>
      </c>
    </row>
    <row r="44">
      <c r="A44" t="inlineStr">
        <is>
          <t>PH</t>
        </is>
      </c>
      <c r="B44" t="inlineStr">
        <is>
          <t>33</t>
        </is>
      </c>
      <c r="C44" t="inlineStr">
        <is>
          <t>ALL</t>
        </is>
      </c>
      <c r="D44" s="3" t="n">
        <v>228455.6025210975</v>
      </c>
      <c r="E44" s="3" t="n">
        <v>114227.8012605488</v>
      </c>
      <c r="F44" s="4" t="n">
        <v>1</v>
      </c>
      <c r="G44" t="n">
        <v>0</v>
      </c>
      <c r="H44" t="n">
        <v>1</v>
      </c>
    </row>
    <row r="45">
      <c r="A45" t="inlineStr">
        <is>
          <t>PL</t>
        </is>
      </c>
      <c r="B45" t="inlineStr">
        <is>
          <t>33</t>
        </is>
      </c>
      <c r="C45" t="inlineStr">
        <is>
          <t>ALL</t>
        </is>
      </c>
      <c r="D45" s="3" t="n">
        <v>17153.1</v>
      </c>
      <c r="E45" s="3" t="n">
        <v>17153.1</v>
      </c>
      <c r="F45" s="4" t="n">
        <v>1</v>
      </c>
      <c r="G45" t="n">
        <v>0</v>
      </c>
      <c r="H45" t="n">
        <v>1</v>
      </c>
    </row>
    <row r="46">
      <c r="A46" t="inlineStr">
        <is>
          <t>PT</t>
        </is>
      </c>
      <c r="B46" t="inlineStr">
        <is>
          <t>33</t>
        </is>
      </c>
      <c r="C46" t="inlineStr">
        <is>
          <t>ALL</t>
        </is>
      </c>
      <c r="D46" s="3" t="n">
        <v>8872462.874094082</v>
      </c>
      <c r="E46" s="3" t="n">
        <v>8872462.874094082</v>
      </c>
      <c r="F46" s="4" t="n">
        <v>2</v>
      </c>
      <c r="G46" t="n">
        <v>0</v>
      </c>
      <c r="H46" t="n">
        <v>1</v>
      </c>
    </row>
    <row r="47">
      <c r="A47" t="inlineStr">
        <is>
          <t>PY</t>
        </is>
      </c>
      <c r="B47" t="inlineStr">
        <is>
          <t>33</t>
        </is>
      </c>
      <c r="C47" t="inlineStr">
        <is>
          <t>ALL</t>
        </is>
      </c>
      <c r="D47" s="3" t="n">
        <v>8668884.911024543</v>
      </c>
      <c r="E47" s="3" t="n">
        <v>8668884.911024543</v>
      </c>
      <c r="F47" s="4" t="n">
        <v>1</v>
      </c>
      <c r="G47" t="n">
        <v>0</v>
      </c>
      <c r="H47" t="n">
        <v>1</v>
      </c>
    </row>
    <row r="48">
      <c r="A48" t="inlineStr">
        <is>
          <t>RO</t>
        </is>
      </c>
      <c r="B48" t="inlineStr">
        <is>
          <t>33</t>
        </is>
      </c>
      <c r="C48" t="inlineStr">
        <is>
          <t>ALL</t>
        </is>
      </c>
      <c r="D48" s="3" t="n">
        <v>5400</v>
      </c>
      <c r="E48" s="3" t="n">
        <v>5400</v>
      </c>
      <c r="F48" s="4" t="n">
        <v>1</v>
      </c>
      <c r="G48" t="n">
        <v>0</v>
      </c>
      <c r="H48" t="n">
        <v>1</v>
      </c>
    </row>
    <row r="49">
      <c r="A49" t="inlineStr">
        <is>
          <t>SA</t>
        </is>
      </c>
      <c r="B49" t="inlineStr">
        <is>
          <t>33</t>
        </is>
      </c>
      <c r="C49" t="inlineStr">
        <is>
          <t>ALL</t>
        </is>
      </c>
      <c r="D49" s="3" t="n">
        <v>2756717.403240115</v>
      </c>
      <c r="E49" s="3" t="n">
        <v>1378358.701620058</v>
      </c>
      <c r="F49" s="4" t="n">
        <v>1</v>
      </c>
      <c r="G49" t="n">
        <v>0</v>
      </c>
      <c r="H49" t="n">
        <v>1</v>
      </c>
    </row>
    <row r="50">
      <c r="A50" t="inlineStr">
        <is>
          <t>SC</t>
        </is>
      </c>
      <c r="B50" t="inlineStr">
        <is>
          <t>33</t>
        </is>
      </c>
      <c r="C50" t="inlineStr">
        <is>
          <t>ALL</t>
        </is>
      </c>
      <c r="D50" s="3" t="n">
        <v>5473737.853307061</v>
      </c>
      <c r="E50" s="3" t="n">
        <v>3472470.582815624</v>
      </c>
      <c r="F50" s="4" t="n">
        <v>3</v>
      </c>
      <c r="G50" t="n">
        <v>0</v>
      </c>
      <c r="H50" t="n">
        <v>1</v>
      </c>
    </row>
    <row r="51">
      <c r="A51" t="inlineStr">
        <is>
          <t>SE</t>
        </is>
      </c>
      <c r="B51" t="inlineStr">
        <is>
          <t>33</t>
        </is>
      </c>
      <c r="C51" t="inlineStr">
        <is>
          <t>ALL</t>
        </is>
      </c>
      <c r="D51" s="3" t="n">
        <v>144017548.0431663</v>
      </c>
      <c r="E51" s="3" t="n">
        <v>86223843.48932883</v>
      </c>
      <c r="F51" s="4" t="n">
        <v>5</v>
      </c>
      <c r="G51" t="n">
        <v>0</v>
      </c>
      <c r="H51" t="n">
        <v>1</v>
      </c>
    </row>
    <row r="52">
      <c r="A52" t="inlineStr">
        <is>
          <t>SN</t>
        </is>
      </c>
      <c r="B52" t="inlineStr">
        <is>
          <t>33</t>
        </is>
      </c>
      <c r="C52" t="inlineStr">
        <is>
          <t>ALL</t>
        </is>
      </c>
      <c r="D52" s="3" t="n">
        <v>922428.0000000001</v>
      </c>
      <c r="E52" s="3" t="n">
        <v>461214.0000000001</v>
      </c>
      <c r="F52" s="4" t="n">
        <v>1</v>
      </c>
      <c r="G52" t="n">
        <v>0</v>
      </c>
      <c r="H52" t="n">
        <v>1</v>
      </c>
    </row>
    <row r="53">
      <c r="A53" t="inlineStr">
        <is>
          <t>TH</t>
        </is>
      </c>
      <c r="B53" t="inlineStr">
        <is>
          <t>33</t>
        </is>
      </c>
      <c r="C53" t="inlineStr">
        <is>
          <t>ALL</t>
        </is>
      </c>
      <c r="D53" s="3" t="n">
        <v>177687.6908497425</v>
      </c>
      <c r="E53" s="3" t="n">
        <v>88843.84542487125</v>
      </c>
      <c r="F53" s="4" t="n">
        <v>1</v>
      </c>
      <c r="G53" t="n">
        <v>0</v>
      </c>
      <c r="H53" t="n">
        <v>1</v>
      </c>
    </row>
    <row r="54">
      <c r="A54" t="inlineStr">
        <is>
          <t>TW</t>
        </is>
      </c>
      <c r="B54" t="inlineStr">
        <is>
          <t>33</t>
        </is>
      </c>
      <c r="C54" t="inlineStr">
        <is>
          <t>ALL</t>
        </is>
      </c>
      <c r="D54" s="3" t="n">
        <v>149007.9938777658</v>
      </c>
      <c r="E54" s="3" t="n">
        <v>149007.9938777658</v>
      </c>
      <c r="F54" s="4" t="n">
        <v>1</v>
      </c>
      <c r="G54" t="n">
        <v>0</v>
      </c>
      <c r="H54" t="n">
        <v>1</v>
      </c>
    </row>
    <row r="55">
      <c r="A55" t="inlineStr">
        <is>
          <t>US</t>
        </is>
      </c>
      <c r="B55" t="inlineStr">
        <is>
          <t>33</t>
        </is>
      </c>
      <c r="C55" t="inlineStr">
        <is>
          <t>ALL</t>
        </is>
      </c>
      <c r="D55" s="3" t="n">
        <v>2939741491.911798</v>
      </c>
      <c r="E55" s="3" t="n">
        <v>1771607113.620469</v>
      </c>
      <c r="F55" s="4" t="n">
        <v>305</v>
      </c>
      <c r="G55" t="n">
        <v>0</v>
      </c>
      <c r="H55" t="n">
        <v>1</v>
      </c>
    </row>
    <row r="56">
      <c r="A56" t="inlineStr">
        <is>
          <t>UY</t>
        </is>
      </c>
      <c r="B56" t="inlineStr">
        <is>
          <t>33</t>
        </is>
      </c>
      <c r="C56" t="inlineStr">
        <is>
          <t>ALL</t>
        </is>
      </c>
      <c r="D56" s="3" t="n">
        <v>35244002.16609751</v>
      </c>
      <c r="E56" s="3" t="n">
        <v>21844065.72000178</v>
      </c>
      <c r="F56" s="4" t="n">
        <v>4</v>
      </c>
      <c r="G56" t="n">
        <v>0</v>
      </c>
      <c r="H56" t="n">
        <v>1</v>
      </c>
    </row>
    <row r="57">
      <c r="A57" t="inlineStr">
        <is>
          <t>VN</t>
        </is>
      </c>
      <c r="B57" t="inlineStr">
        <is>
          <t>33</t>
        </is>
      </c>
      <c r="C57" t="inlineStr">
        <is>
          <t>ALL</t>
        </is>
      </c>
      <c r="D57" s="3" t="n">
        <v>15284.7</v>
      </c>
      <c r="E57" s="3" t="n">
        <v>15284.7</v>
      </c>
      <c r="F57" s="4" t="n">
        <v>1</v>
      </c>
      <c r="G57" t="n">
        <v>0</v>
      </c>
      <c r="H57" t="n">
        <v>1</v>
      </c>
    </row>
    <row r="58">
      <c r="A58" t="inlineStr">
        <is>
          <t>ZA</t>
        </is>
      </c>
      <c r="B58" t="inlineStr">
        <is>
          <t>33</t>
        </is>
      </c>
      <c r="C58" t="inlineStr">
        <is>
          <t>ALL</t>
        </is>
      </c>
      <c r="D58" s="3" t="n">
        <v>118098327.5594574</v>
      </c>
      <c r="E58" s="3" t="n">
        <v>115366083.5005955</v>
      </c>
      <c r="F58" s="4" t="n">
        <v>11</v>
      </c>
      <c r="G58" t="n">
        <v>0</v>
      </c>
      <c r="H58" t="n">
        <v>1</v>
      </c>
    </row>
    <row r="59">
      <c r="A59" t="inlineStr">
        <is>
          <t>AE</t>
        </is>
      </c>
      <c r="B59" t="inlineStr">
        <is>
          <t>33</t>
        </is>
      </c>
      <c r="C59" t="inlineStr">
        <is>
          <t>ALL</t>
        </is>
      </c>
      <c r="D59" s="3" t="n">
        <v>119528184.9329856</v>
      </c>
      <c r="E59" s="3" t="n">
        <v>72149346.95935091</v>
      </c>
      <c r="F59" s="4" t="n">
        <v>13</v>
      </c>
      <c r="G59" t="n">
        <v>1</v>
      </c>
      <c r="H59" t="n">
        <v>1</v>
      </c>
    </row>
    <row r="60">
      <c r="A60" t="inlineStr">
        <is>
          <t>AR</t>
        </is>
      </c>
      <c r="B60" t="inlineStr">
        <is>
          <t>33</t>
        </is>
      </c>
      <c r="C60" t="inlineStr">
        <is>
          <t>ALL</t>
        </is>
      </c>
      <c r="D60" s="3" t="n">
        <v>58128570.56250842</v>
      </c>
      <c r="E60" s="3" t="n">
        <v>58128570.56250842</v>
      </c>
      <c r="F60" s="4" t="n">
        <v>18</v>
      </c>
      <c r="G60" t="n">
        <v>1</v>
      </c>
      <c r="H60" t="n">
        <v>1</v>
      </c>
    </row>
    <row r="61">
      <c r="A61" t="inlineStr">
        <is>
          <t>AT</t>
        </is>
      </c>
      <c r="B61" t="inlineStr">
        <is>
          <t>33</t>
        </is>
      </c>
      <c r="C61" t="inlineStr">
        <is>
          <t>ALL</t>
        </is>
      </c>
      <c r="D61" s="3" t="n">
        <v>157524233.2120903</v>
      </c>
      <c r="E61" s="3" t="n">
        <v>80090025.05667882</v>
      </c>
      <c r="F61" s="4" t="n">
        <v>10</v>
      </c>
      <c r="G61" t="n">
        <v>1</v>
      </c>
      <c r="H61" t="n">
        <v>1</v>
      </c>
    </row>
    <row r="62">
      <c r="A62" t="inlineStr">
        <is>
          <t>AU</t>
        </is>
      </c>
      <c r="B62" t="inlineStr">
        <is>
          <t>33</t>
        </is>
      </c>
      <c r="C62" t="inlineStr">
        <is>
          <t>ALL</t>
        </is>
      </c>
      <c r="D62" s="3" t="n">
        <v>433656591.6945224</v>
      </c>
      <c r="E62" s="3" t="n">
        <v>212095078.5659344</v>
      </c>
      <c r="F62" s="4" t="n">
        <v>26</v>
      </c>
      <c r="G62" t="n">
        <v>1</v>
      </c>
      <c r="H62" t="n">
        <v>1</v>
      </c>
    </row>
    <row r="63">
      <c r="A63" t="inlineStr">
        <is>
          <t>BE</t>
        </is>
      </c>
      <c r="B63" t="inlineStr">
        <is>
          <t>33</t>
        </is>
      </c>
      <c r="C63" t="inlineStr">
        <is>
          <t>ALL</t>
        </is>
      </c>
      <c r="D63" s="3" t="n">
        <v>378555946.3172236</v>
      </c>
      <c r="E63" s="3" t="n">
        <v>274964107.2062722</v>
      </c>
      <c r="F63" s="4" t="n">
        <v>57</v>
      </c>
      <c r="G63" t="n">
        <v>1</v>
      </c>
      <c r="H63" t="n">
        <v>1</v>
      </c>
    </row>
    <row r="64">
      <c r="A64" t="inlineStr">
        <is>
          <t>BM</t>
        </is>
      </c>
      <c r="B64" t="inlineStr">
        <is>
          <t>33</t>
        </is>
      </c>
      <c r="C64" t="inlineStr">
        <is>
          <t>ALL</t>
        </is>
      </c>
      <c r="D64" s="3" t="n">
        <v>9713518.016040782</v>
      </c>
      <c r="E64" s="3" t="n">
        <v>9713518.016040782</v>
      </c>
      <c r="F64" s="4" t="n">
        <v>4</v>
      </c>
      <c r="G64" t="n">
        <v>1</v>
      </c>
      <c r="H64" t="n">
        <v>1</v>
      </c>
    </row>
    <row r="65">
      <c r="A65" t="inlineStr">
        <is>
          <t>BR</t>
        </is>
      </c>
      <c r="B65" t="inlineStr">
        <is>
          <t>33</t>
        </is>
      </c>
      <c r="C65" t="inlineStr">
        <is>
          <t>ALL</t>
        </is>
      </c>
      <c r="D65" s="3" t="n">
        <v>118278246.3023987</v>
      </c>
      <c r="E65" s="3" t="n">
        <v>80559210.96793208</v>
      </c>
      <c r="F65" s="4" t="n">
        <v>11</v>
      </c>
      <c r="G65" t="n">
        <v>1</v>
      </c>
      <c r="H65" t="n">
        <v>1</v>
      </c>
    </row>
    <row r="66">
      <c r="A66" t="inlineStr">
        <is>
          <t>BS</t>
        </is>
      </c>
      <c r="B66" t="inlineStr">
        <is>
          <t>33</t>
        </is>
      </c>
      <c r="C66" t="inlineStr">
        <is>
          <t>ALL</t>
        </is>
      </c>
      <c r="D66" s="3" t="n">
        <v>13645186.36012877</v>
      </c>
      <c r="E66" s="3" t="n">
        <v>11505240.19291807</v>
      </c>
      <c r="F66" s="4" t="n">
        <v>7</v>
      </c>
      <c r="G66" t="n">
        <v>1</v>
      </c>
      <c r="H66" t="n">
        <v>1</v>
      </c>
    </row>
    <row r="67">
      <c r="A67" t="inlineStr">
        <is>
          <t>CA</t>
        </is>
      </c>
      <c r="B67" t="inlineStr">
        <is>
          <t>33</t>
        </is>
      </c>
      <c r="C67" t="inlineStr">
        <is>
          <t>ALL</t>
        </is>
      </c>
      <c r="D67" s="3" t="n">
        <v>284792662.9041162</v>
      </c>
      <c r="E67" s="3" t="n">
        <v>143952281.6275794</v>
      </c>
      <c r="F67" s="4" t="n">
        <v>18</v>
      </c>
      <c r="G67" t="n">
        <v>1</v>
      </c>
      <c r="H67" t="n">
        <v>1</v>
      </c>
    </row>
    <row r="68">
      <c r="A68" t="inlineStr">
        <is>
          <t>CH</t>
        </is>
      </c>
      <c r="B68" t="inlineStr">
        <is>
          <t>33</t>
        </is>
      </c>
      <c r="C68" t="inlineStr">
        <is>
          <t>ALL</t>
        </is>
      </c>
      <c r="D68" s="3" t="n">
        <v>4234644327.361804</v>
      </c>
      <c r="E68" s="3" t="n">
        <v>3056635826.044474</v>
      </c>
      <c r="F68" s="4" t="n">
        <v>827</v>
      </c>
      <c r="G68" t="n">
        <v>1</v>
      </c>
      <c r="H68" t="n">
        <v>1</v>
      </c>
    </row>
    <row r="69">
      <c r="A69" t="inlineStr">
        <is>
          <t>CI</t>
        </is>
      </c>
      <c r="B69" t="inlineStr">
        <is>
          <t>33</t>
        </is>
      </c>
      <c r="C69" t="inlineStr">
        <is>
          <t>ALL</t>
        </is>
      </c>
      <c r="D69" s="3" t="n">
        <v>3836484</v>
      </c>
      <c r="E69" s="3" t="n">
        <v>1918242</v>
      </c>
      <c r="F69" s="4" t="n">
        <v>1</v>
      </c>
      <c r="G69" t="n">
        <v>1</v>
      </c>
      <c r="H69" t="n">
        <v>1</v>
      </c>
    </row>
    <row r="70">
      <c r="A70" t="inlineStr">
        <is>
          <t>CL</t>
        </is>
      </c>
      <c r="B70" t="inlineStr">
        <is>
          <t>33</t>
        </is>
      </c>
      <c r="C70" t="inlineStr">
        <is>
          <t>ALL</t>
        </is>
      </c>
      <c r="D70" s="3" t="n">
        <v>138514812.0655221</v>
      </c>
      <c r="E70" s="3" t="n">
        <v>105081567.0225588</v>
      </c>
      <c r="F70" s="4" t="n">
        <v>40</v>
      </c>
      <c r="G70" t="n">
        <v>1</v>
      </c>
      <c r="H70" t="n">
        <v>1</v>
      </c>
    </row>
    <row r="71">
      <c r="A71" t="inlineStr">
        <is>
          <t>CN</t>
        </is>
      </c>
      <c r="B71" t="inlineStr">
        <is>
          <t>33</t>
        </is>
      </c>
      <c r="C71" t="inlineStr">
        <is>
          <t>ALL</t>
        </is>
      </c>
      <c r="D71" s="3" t="n">
        <v>139189729.0951854</v>
      </c>
      <c r="E71" s="3" t="n">
        <v>55661312.32945884</v>
      </c>
      <c r="F71" s="4" t="n">
        <v>12</v>
      </c>
      <c r="G71" t="n">
        <v>1</v>
      </c>
      <c r="H71" t="n">
        <v>1</v>
      </c>
    </row>
    <row r="72">
      <c r="A72" t="inlineStr">
        <is>
          <t>CO</t>
        </is>
      </c>
      <c r="B72" t="inlineStr">
        <is>
          <t>33</t>
        </is>
      </c>
      <c r="C72" t="inlineStr">
        <is>
          <t>ALL</t>
        </is>
      </c>
      <c r="D72" s="3" t="n">
        <v>201729846.0572515</v>
      </c>
      <c r="E72" s="3" t="n">
        <v>121983033.7803017</v>
      </c>
      <c r="F72" s="4" t="n">
        <v>28</v>
      </c>
      <c r="G72" t="n">
        <v>1</v>
      </c>
      <c r="H72" t="n">
        <v>1</v>
      </c>
    </row>
    <row r="73">
      <c r="A73" t="inlineStr">
        <is>
          <t>CR</t>
        </is>
      </c>
      <c r="B73" t="inlineStr">
        <is>
          <t>33</t>
        </is>
      </c>
      <c r="C73" t="inlineStr">
        <is>
          <t>ALL</t>
        </is>
      </c>
      <c r="D73" s="3" t="n">
        <v>2609277.45754299</v>
      </c>
      <c r="E73" s="3" t="n">
        <v>2609277.45754299</v>
      </c>
      <c r="F73" s="4" t="n">
        <v>2</v>
      </c>
      <c r="G73" t="n">
        <v>1</v>
      </c>
      <c r="H73" t="n">
        <v>1</v>
      </c>
    </row>
    <row r="74">
      <c r="A74" t="inlineStr">
        <is>
          <t>CY</t>
        </is>
      </c>
      <c r="B74" t="inlineStr">
        <is>
          <t>33</t>
        </is>
      </c>
      <c r="C74" t="inlineStr">
        <is>
          <t>ALL</t>
        </is>
      </c>
      <c r="D74" s="3" t="n">
        <v>53934912.62930008</v>
      </c>
      <c r="E74" s="3" t="n">
        <v>51381286.67223094</v>
      </c>
      <c r="F74" s="4" t="n">
        <v>6</v>
      </c>
      <c r="G74" t="n">
        <v>1</v>
      </c>
      <c r="H74" t="n">
        <v>1</v>
      </c>
    </row>
    <row r="75">
      <c r="A75" t="inlineStr">
        <is>
          <t>CZ</t>
        </is>
      </c>
      <c r="B75" t="inlineStr">
        <is>
          <t>33</t>
        </is>
      </c>
      <c r="C75" t="inlineStr">
        <is>
          <t>ALL</t>
        </is>
      </c>
      <c r="D75" s="3" t="n">
        <v>768960</v>
      </c>
      <c r="E75" s="3" t="n">
        <v>768960</v>
      </c>
      <c r="F75" s="4" t="n">
        <v>3</v>
      </c>
      <c r="G75" t="n">
        <v>1</v>
      </c>
      <c r="H75" t="n">
        <v>1</v>
      </c>
    </row>
    <row r="76">
      <c r="A76" t="inlineStr">
        <is>
          <t>DE</t>
        </is>
      </c>
      <c r="B76" t="inlineStr">
        <is>
          <t>33</t>
        </is>
      </c>
      <c r="C76" t="inlineStr">
        <is>
          <t>ALL</t>
        </is>
      </c>
      <c r="D76" s="3" t="n">
        <v>248119310.8107117</v>
      </c>
      <c r="E76" s="3" t="n">
        <v>155929564.7135371</v>
      </c>
      <c r="F76" s="4" t="n">
        <v>33</v>
      </c>
      <c r="G76" t="n">
        <v>1</v>
      </c>
      <c r="H76" t="n">
        <v>1</v>
      </c>
    </row>
    <row r="77">
      <c r="A77" t="inlineStr">
        <is>
          <t>DK</t>
        </is>
      </c>
      <c r="B77" t="inlineStr">
        <is>
          <t>33</t>
        </is>
      </c>
      <c r="C77" t="inlineStr">
        <is>
          <t>ALL</t>
        </is>
      </c>
      <c r="D77" s="3" t="n">
        <v>835099822.0933458</v>
      </c>
      <c r="E77" s="3" t="n">
        <v>767326116.8871353</v>
      </c>
      <c r="F77" s="4" t="n">
        <v>154</v>
      </c>
      <c r="G77" t="n">
        <v>1</v>
      </c>
      <c r="H77" t="n">
        <v>1</v>
      </c>
    </row>
    <row r="78">
      <c r="A78" t="inlineStr">
        <is>
          <t>DO</t>
        </is>
      </c>
      <c r="B78" t="inlineStr">
        <is>
          <t>33</t>
        </is>
      </c>
      <c r="C78" t="inlineStr">
        <is>
          <t>ALL</t>
        </is>
      </c>
      <c r="D78" s="3" t="n">
        <v>30912423.30537994</v>
      </c>
      <c r="E78" s="3" t="n">
        <v>30912423.30537994</v>
      </c>
      <c r="F78" s="4" t="n">
        <v>10</v>
      </c>
      <c r="G78" t="n">
        <v>1</v>
      </c>
      <c r="H78" t="n">
        <v>1</v>
      </c>
    </row>
    <row r="79">
      <c r="A79" t="inlineStr">
        <is>
          <t>EC</t>
        </is>
      </c>
      <c r="B79" t="inlineStr">
        <is>
          <t>33</t>
        </is>
      </c>
      <c r="C79" t="inlineStr">
        <is>
          <t>ALL</t>
        </is>
      </c>
      <c r="D79" s="3" t="n">
        <v>8251359.451856963</v>
      </c>
      <c r="E79" s="3" t="n">
        <v>8251359.451856963</v>
      </c>
      <c r="F79" s="4" t="n">
        <v>3</v>
      </c>
      <c r="G79" t="n">
        <v>1</v>
      </c>
      <c r="H79" t="n">
        <v>1</v>
      </c>
    </row>
    <row r="80">
      <c r="A80" t="inlineStr">
        <is>
          <t>ES</t>
        </is>
      </c>
      <c r="B80" t="inlineStr">
        <is>
          <t>33</t>
        </is>
      </c>
      <c r="C80" t="inlineStr">
        <is>
          <t>ALL</t>
        </is>
      </c>
      <c r="D80" s="3" t="n">
        <v>773010590.1138927</v>
      </c>
      <c r="E80" s="3" t="n">
        <v>535331472.8571183</v>
      </c>
      <c r="F80" s="4" t="n">
        <v>79</v>
      </c>
      <c r="G80" t="n">
        <v>1</v>
      </c>
      <c r="H80" t="n">
        <v>1</v>
      </c>
    </row>
    <row r="81">
      <c r="A81" t="inlineStr">
        <is>
          <t>FI</t>
        </is>
      </c>
      <c r="B81" t="inlineStr">
        <is>
          <t>33</t>
        </is>
      </c>
      <c r="C81" t="inlineStr">
        <is>
          <t>ALL</t>
        </is>
      </c>
      <c r="D81" s="3" t="n">
        <v>241145949.7528327</v>
      </c>
      <c r="E81" s="3" t="n">
        <v>190708429.6394056</v>
      </c>
      <c r="F81" s="4" t="n">
        <v>32</v>
      </c>
      <c r="G81" t="n">
        <v>1</v>
      </c>
      <c r="H81" t="n">
        <v>1</v>
      </c>
    </row>
    <row r="82">
      <c r="A82" t="inlineStr">
        <is>
          <t>FR</t>
        </is>
      </c>
      <c r="B82" t="inlineStr">
        <is>
          <t>33</t>
        </is>
      </c>
      <c r="C82" t="inlineStr">
        <is>
          <t>ALL</t>
        </is>
      </c>
      <c r="D82" s="3" t="n">
        <v>3056498861.78118</v>
      </c>
      <c r="E82" s="3" t="n">
        <v>2015996939.102935</v>
      </c>
      <c r="F82" s="4" t="n">
        <v>332</v>
      </c>
      <c r="G82" t="n">
        <v>1</v>
      </c>
      <c r="H82" t="n">
        <v>1</v>
      </c>
    </row>
    <row r="83">
      <c r="A83" t="inlineStr">
        <is>
          <t>GB</t>
        </is>
      </c>
      <c r="B83" t="inlineStr">
        <is>
          <t>33</t>
        </is>
      </c>
      <c r="C83" t="inlineStr">
        <is>
          <t>ALL</t>
        </is>
      </c>
      <c r="D83" s="3" t="n">
        <v>12651005043.44461</v>
      </c>
      <c r="E83" s="3" t="n">
        <v>9697017842.906094</v>
      </c>
      <c r="F83" s="4" t="n">
        <v>1683</v>
      </c>
      <c r="G83" t="n">
        <v>1</v>
      </c>
      <c r="H83" t="n">
        <v>1</v>
      </c>
    </row>
    <row r="84">
      <c r="A84" t="inlineStr">
        <is>
          <t>GG</t>
        </is>
      </c>
      <c r="B84" t="inlineStr">
        <is>
          <t>33</t>
        </is>
      </c>
      <c r="C84" t="inlineStr">
        <is>
          <t>ALL</t>
        </is>
      </c>
      <c r="D84" s="3" t="n">
        <v>7340287.219111298</v>
      </c>
      <c r="E84" s="3" t="n">
        <v>6985642.35955565</v>
      </c>
      <c r="F84" s="4" t="n">
        <v>2</v>
      </c>
      <c r="G84" t="n">
        <v>1</v>
      </c>
      <c r="H84" t="n">
        <v>1</v>
      </c>
    </row>
    <row r="85">
      <c r="A85" t="inlineStr">
        <is>
          <t>GH</t>
        </is>
      </c>
      <c r="B85" t="inlineStr">
        <is>
          <t>33</t>
        </is>
      </c>
      <c r="C85" t="inlineStr">
        <is>
          <t>ALL</t>
        </is>
      </c>
      <c r="D85" s="3" t="n">
        <v>1230525</v>
      </c>
      <c r="E85" s="3" t="n">
        <v>1230525</v>
      </c>
      <c r="F85" s="4" t="n">
        <v>2</v>
      </c>
      <c r="G85" t="n">
        <v>1</v>
      </c>
      <c r="H85" t="n">
        <v>1</v>
      </c>
    </row>
    <row r="86">
      <c r="A86" t="inlineStr">
        <is>
          <t>GI</t>
        </is>
      </c>
      <c r="B86" t="inlineStr">
        <is>
          <t>33</t>
        </is>
      </c>
      <c r="C86" t="inlineStr">
        <is>
          <t>ALL</t>
        </is>
      </c>
      <c r="D86" s="3" t="n">
        <v>5077251.093954483</v>
      </c>
      <c r="E86" s="3" t="n">
        <v>5077251.093954483</v>
      </c>
      <c r="F86" s="4" t="n">
        <v>1</v>
      </c>
      <c r="G86" t="n">
        <v>1</v>
      </c>
      <c r="H86" t="n">
        <v>1</v>
      </c>
    </row>
    <row r="87">
      <c r="A87" t="inlineStr">
        <is>
          <t>GR</t>
        </is>
      </c>
      <c r="B87" t="inlineStr">
        <is>
          <t>33</t>
        </is>
      </c>
      <c r="C87" t="inlineStr">
        <is>
          <t>ALL</t>
        </is>
      </c>
      <c r="D87" s="3" t="n">
        <v>315894475.9860364</v>
      </c>
      <c r="E87" s="3" t="n">
        <v>226065406.6812824</v>
      </c>
      <c r="F87" s="4" t="n">
        <v>41</v>
      </c>
      <c r="G87" t="n">
        <v>1</v>
      </c>
      <c r="H87" t="n">
        <v>1</v>
      </c>
    </row>
    <row r="88">
      <c r="A88" t="inlineStr">
        <is>
          <t>GT</t>
        </is>
      </c>
      <c r="B88" t="inlineStr">
        <is>
          <t>33</t>
        </is>
      </c>
      <c r="C88" t="inlineStr">
        <is>
          <t>ALL</t>
        </is>
      </c>
      <c r="D88" s="3" t="n">
        <v>17594216.78988855</v>
      </c>
      <c r="E88" s="3" t="n">
        <v>17594216.78988855</v>
      </c>
      <c r="F88" s="4" t="n">
        <v>10</v>
      </c>
      <c r="G88" t="n">
        <v>1</v>
      </c>
      <c r="H88" t="n">
        <v>1</v>
      </c>
    </row>
    <row r="89">
      <c r="A89" t="inlineStr">
        <is>
          <t>HK</t>
        </is>
      </c>
      <c r="B89" t="inlineStr">
        <is>
          <t>33</t>
        </is>
      </c>
      <c r="C89" t="inlineStr">
        <is>
          <t>ALL</t>
        </is>
      </c>
      <c r="D89" s="3" t="n">
        <v>132239402.4156855</v>
      </c>
      <c r="E89" s="3" t="n">
        <v>105459011.0836172</v>
      </c>
      <c r="F89" s="4" t="n">
        <v>31</v>
      </c>
      <c r="G89" t="n">
        <v>1</v>
      </c>
      <c r="H89" t="n">
        <v>1</v>
      </c>
    </row>
    <row r="90">
      <c r="A90" t="inlineStr">
        <is>
          <t>HN</t>
        </is>
      </c>
      <c r="B90" t="inlineStr">
        <is>
          <t>33</t>
        </is>
      </c>
      <c r="C90" t="inlineStr">
        <is>
          <t>ALL</t>
        </is>
      </c>
      <c r="D90" s="3" t="n">
        <v>2880054.584357108</v>
      </c>
      <c r="E90" s="3" t="n">
        <v>2880054.584357108</v>
      </c>
      <c r="F90" s="4" t="n">
        <v>1</v>
      </c>
      <c r="G90" t="n">
        <v>1</v>
      </c>
      <c r="H90" t="n">
        <v>1</v>
      </c>
    </row>
    <row r="91">
      <c r="A91" t="inlineStr">
        <is>
          <t>HU</t>
        </is>
      </c>
      <c r="B91" t="inlineStr">
        <is>
          <t>33</t>
        </is>
      </c>
      <c r="C91" t="inlineStr">
        <is>
          <t>ALL</t>
        </is>
      </c>
      <c r="D91" s="3" t="n">
        <v>5897880</v>
      </c>
      <c r="E91" s="3" t="n">
        <v>5897880</v>
      </c>
      <c r="F91" s="4" t="n">
        <v>1</v>
      </c>
      <c r="G91" t="n">
        <v>1</v>
      </c>
      <c r="H91" t="n">
        <v>1</v>
      </c>
    </row>
    <row r="92">
      <c r="A92" t="inlineStr">
        <is>
          <t>ID</t>
        </is>
      </c>
      <c r="B92" t="inlineStr">
        <is>
          <t>33</t>
        </is>
      </c>
      <c r="C92" t="inlineStr">
        <is>
          <t>ALL</t>
        </is>
      </c>
      <c r="D92" s="3" t="n">
        <v>8579693.121624863</v>
      </c>
      <c r="E92" s="3" t="n">
        <v>4721194.886558638</v>
      </c>
      <c r="F92" s="4" t="n">
        <v>2</v>
      </c>
      <c r="G92" t="n">
        <v>1</v>
      </c>
      <c r="H92" t="n">
        <v>1</v>
      </c>
    </row>
    <row r="93">
      <c r="A93" t="inlineStr">
        <is>
          <t>IE</t>
        </is>
      </c>
      <c r="B93" t="inlineStr">
        <is>
          <t>33</t>
        </is>
      </c>
      <c r="C93" t="inlineStr">
        <is>
          <t>ALL</t>
        </is>
      </c>
      <c r="D93" s="3" t="n">
        <v>416615175.748665</v>
      </c>
      <c r="E93" s="3" t="n">
        <v>281146713.5614381</v>
      </c>
      <c r="F93" s="4" t="n">
        <v>60</v>
      </c>
      <c r="G93" t="n">
        <v>1</v>
      </c>
      <c r="H93" t="n">
        <v>1</v>
      </c>
    </row>
    <row r="94">
      <c r="A94" t="inlineStr">
        <is>
          <t>IL</t>
        </is>
      </c>
      <c r="B94" t="inlineStr">
        <is>
          <t>33</t>
        </is>
      </c>
      <c r="C94" t="inlineStr">
        <is>
          <t>ALL</t>
        </is>
      </c>
      <c r="D94" s="3" t="n">
        <v>151866580.5697627</v>
      </c>
      <c r="E94" s="3" t="n">
        <v>111558025.1165355</v>
      </c>
      <c r="F94" s="4" t="n">
        <v>38</v>
      </c>
      <c r="G94" t="n">
        <v>1</v>
      </c>
      <c r="H94" t="n">
        <v>1</v>
      </c>
    </row>
    <row r="95">
      <c r="A95" t="inlineStr">
        <is>
          <t>IM</t>
        </is>
      </c>
      <c r="B95" t="inlineStr">
        <is>
          <t>33</t>
        </is>
      </c>
      <c r="C95" t="inlineStr">
        <is>
          <t>ALL</t>
        </is>
      </c>
      <c r="D95" s="3" t="n">
        <v>962470.3500000001</v>
      </c>
      <c r="E95" s="3" t="n">
        <v>962470.3500000001</v>
      </c>
      <c r="F95" s="4" t="n">
        <v>1</v>
      </c>
      <c r="G95" t="n">
        <v>1</v>
      </c>
      <c r="H95" t="n">
        <v>1</v>
      </c>
    </row>
    <row r="96">
      <c r="A96" t="inlineStr">
        <is>
          <t>IN</t>
        </is>
      </c>
      <c r="B96" t="inlineStr">
        <is>
          <t>33</t>
        </is>
      </c>
      <c r="C96" t="inlineStr">
        <is>
          <t>ALL</t>
        </is>
      </c>
      <c r="D96" s="3" t="n">
        <v>149007.9938777658</v>
      </c>
      <c r="E96" s="3" t="n">
        <v>149007.9938777658</v>
      </c>
      <c r="F96" s="4" t="n">
        <v>1</v>
      </c>
      <c r="G96" t="n">
        <v>1</v>
      </c>
      <c r="H96" t="n">
        <v>1</v>
      </c>
    </row>
    <row r="97">
      <c r="A97" t="inlineStr">
        <is>
          <t>IS</t>
        </is>
      </c>
      <c r="B97" t="inlineStr">
        <is>
          <t>33</t>
        </is>
      </c>
      <c r="C97" t="inlineStr">
        <is>
          <t>ALL</t>
        </is>
      </c>
      <c r="D97" s="3" t="n">
        <v>7483622.65377863</v>
      </c>
      <c r="E97" s="3" t="n">
        <v>7483622.65377863</v>
      </c>
      <c r="F97" s="4" t="n">
        <v>4</v>
      </c>
      <c r="G97" t="n">
        <v>1</v>
      </c>
      <c r="H97" t="n">
        <v>1</v>
      </c>
    </row>
    <row r="98">
      <c r="A98" t="inlineStr">
        <is>
          <t>IT</t>
        </is>
      </c>
      <c r="B98" t="inlineStr">
        <is>
          <t>33</t>
        </is>
      </c>
      <c r="C98" t="inlineStr">
        <is>
          <t>ALL</t>
        </is>
      </c>
      <c r="D98" s="3" t="n">
        <v>1581794141.776525</v>
      </c>
      <c r="E98" s="3" t="n">
        <v>1113284946.705686</v>
      </c>
      <c r="F98" s="4" t="n">
        <v>206</v>
      </c>
      <c r="G98" t="n">
        <v>1</v>
      </c>
      <c r="H98" t="n">
        <v>1</v>
      </c>
    </row>
    <row r="99">
      <c r="A99" t="inlineStr">
        <is>
          <t>JO</t>
        </is>
      </c>
      <c r="B99" t="inlineStr">
        <is>
          <t>33</t>
        </is>
      </c>
      <c r="C99" t="inlineStr">
        <is>
          <t>ALL</t>
        </is>
      </c>
      <c r="D99" s="3" t="n">
        <v>6751.35</v>
      </c>
      <c r="E99" s="3" t="n">
        <v>6751.35</v>
      </c>
      <c r="F99" s="4" t="n">
        <v>1</v>
      </c>
      <c r="G99" t="n">
        <v>1</v>
      </c>
      <c r="H99" t="n">
        <v>1</v>
      </c>
    </row>
    <row r="100">
      <c r="A100" t="inlineStr">
        <is>
          <t>JP</t>
        </is>
      </c>
      <c r="B100" t="inlineStr">
        <is>
          <t>33</t>
        </is>
      </c>
      <c r="C100" t="inlineStr">
        <is>
          <t>ALL</t>
        </is>
      </c>
      <c r="D100" s="3" t="n">
        <v>112842416.1159523</v>
      </c>
      <c r="E100" s="3" t="n">
        <v>64189409.84705542</v>
      </c>
      <c r="F100" s="4" t="n">
        <v>10</v>
      </c>
      <c r="G100" t="n">
        <v>1</v>
      </c>
      <c r="H100" t="n">
        <v>1</v>
      </c>
    </row>
    <row r="101">
      <c r="A101" t="inlineStr">
        <is>
          <t>KE</t>
        </is>
      </c>
      <c r="B101" t="inlineStr">
        <is>
          <t>33</t>
        </is>
      </c>
      <c r="C101" t="inlineStr">
        <is>
          <t>ALL</t>
        </is>
      </c>
      <c r="D101" s="3" t="n">
        <v>685366.8075632912</v>
      </c>
      <c r="E101" s="3" t="n">
        <v>342683.4037816456</v>
      </c>
      <c r="F101" s="4" t="n">
        <v>1</v>
      </c>
      <c r="G101" t="n">
        <v>1</v>
      </c>
      <c r="H101" t="n">
        <v>1</v>
      </c>
    </row>
    <row r="102">
      <c r="A102" t="inlineStr">
        <is>
          <t>KR</t>
        </is>
      </c>
      <c r="B102" t="inlineStr">
        <is>
          <t>33</t>
        </is>
      </c>
      <c r="C102" t="inlineStr">
        <is>
          <t>ALL</t>
        </is>
      </c>
      <c r="D102" s="3" t="n">
        <v>149007.9938777658</v>
      </c>
      <c r="E102" s="3" t="n">
        <v>149007.9938777658</v>
      </c>
      <c r="F102" s="4" t="n">
        <v>1</v>
      </c>
      <c r="G102" t="n">
        <v>1</v>
      </c>
      <c r="H102" t="n">
        <v>1</v>
      </c>
    </row>
    <row r="103">
      <c r="A103" t="inlineStr">
        <is>
          <t>KY</t>
        </is>
      </c>
      <c r="B103" t="inlineStr">
        <is>
          <t>33</t>
        </is>
      </c>
      <c r="C103" t="inlineStr">
        <is>
          <t>ALL</t>
        </is>
      </c>
      <c r="D103" s="3" t="n">
        <v>4743382.045457961</v>
      </c>
      <c r="E103" s="3" t="n">
        <v>4743382.045457961</v>
      </c>
      <c r="F103" s="4" t="n">
        <v>1</v>
      </c>
      <c r="G103" t="n">
        <v>1</v>
      </c>
      <c r="H103" t="n">
        <v>1</v>
      </c>
    </row>
    <row r="104">
      <c r="A104" t="inlineStr">
        <is>
          <t>LB</t>
        </is>
      </c>
      <c r="B104" t="inlineStr">
        <is>
          <t>33</t>
        </is>
      </c>
      <c r="C104" t="inlineStr">
        <is>
          <t>ALL</t>
        </is>
      </c>
      <c r="D104" s="3" t="n">
        <v>31345206.45273694</v>
      </c>
      <c r="E104" s="3" t="n">
        <v>27703500.01440679</v>
      </c>
      <c r="F104" s="4" t="n">
        <v>9</v>
      </c>
      <c r="G104" t="n">
        <v>1</v>
      </c>
      <c r="H104" t="n">
        <v>1</v>
      </c>
    </row>
    <row r="105">
      <c r="A105" t="inlineStr">
        <is>
          <t>LI</t>
        </is>
      </c>
      <c r="B105" t="inlineStr">
        <is>
          <t>33</t>
        </is>
      </c>
      <c r="C105" t="inlineStr">
        <is>
          <t>ALL</t>
        </is>
      </c>
      <c r="D105" s="3" t="n">
        <v>15859316.74298012</v>
      </c>
      <c r="E105" s="3" t="n">
        <v>15859316.74298012</v>
      </c>
      <c r="F105" s="4" t="n">
        <v>4</v>
      </c>
      <c r="G105" t="n">
        <v>1</v>
      </c>
      <c r="H105" t="n">
        <v>1</v>
      </c>
    </row>
    <row r="106">
      <c r="A106" t="inlineStr">
        <is>
          <t>LT</t>
        </is>
      </c>
      <c r="B106" t="inlineStr">
        <is>
          <t>33</t>
        </is>
      </c>
      <c r="C106" t="inlineStr">
        <is>
          <t>ALL</t>
        </is>
      </c>
      <c r="D106" s="3" t="n">
        <v>4910139</v>
      </c>
      <c r="E106" s="3" t="n">
        <v>4910139</v>
      </c>
      <c r="F106" s="4" t="n">
        <v>4</v>
      </c>
      <c r="G106" t="n">
        <v>1</v>
      </c>
      <c r="H106" t="n">
        <v>1</v>
      </c>
    </row>
    <row r="107">
      <c r="A107" t="inlineStr">
        <is>
          <t>LU</t>
        </is>
      </c>
      <c r="B107" t="inlineStr">
        <is>
          <t>33</t>
        </is>
      </c>
      <c r="C107" t="inlineStr">
        <is>
          <t>ALL</t>
        </is>
      </c>
      <c r="D107" s="3" t="n">
        <v>20823764.63774952</v>
      </c>
      <c r="E107" s="3" t="n">
        <v>20823764.63774952</v>
      </c>
      <c r="F107" s="4" t="n">
        <v>4</v>
      </c>
      <c r="G107" t="n">
        <v>1</v>
      </c>
      <c r="H107" t="n">
        <v>1</v>
      </c>
    </row>
    <row r="108">
      <c r="A108" t="inlineStr">
        <is>
          <t>MA</t>
        </is>
      </c>
      <c r="B108" t="inlineStr">
        <is>
          <t>33</t>
        </is>
      </c>
      <c r="C108" t="inlineStr">
        <is>
          <t>ALL</t>
        </is>
      </c>
      <c r="D108" s="3" t="n">
        <v>642668.5874486682</v>
      </c>
      <c r="E108" s="3" t="n">
        <v>642668.5874486682</v>
      </c>
      <c r="F108" s="4" t="n">
        <v>1</v>
      </c>
      <c r="G108" t="n">
        <v>1</v>
      </c>
      <c r="H108" t="n">
        <v>1</v>
      </c>
    </row>
    <row r="109">
      <c r="A109" t="inlineStr">
        <is>
          <t>MC</t>
        </is>
      </c>
      <c r="B109" t="inlineStr">
        <is>
          <t>33</t>
        </is>
      </c>
      <c r="C109" t="inlineStr">
        <is>
          <t>ALL</t>
        </is>
      </c>
      <c r="D109" s="3" t="n">
        <v>440906630.1564291</v>
      </c>
      <c r="E109" s="3" t="n">
        <v>261356690.838643</v>
      </c>
      <c r="F109" s="4" t="n">
        <v>41</v>
      </c>
      <c r="G109" t="n">
        <v>1</v>
      </c>
      <c r="H109" t="n">
        <v>1</v>
      </c>
    </row>
    <row r="110">
      <c r="A110" t="inlineStr">
        <is>
          <t>MT</t>
        </is>
      </c>
      <c r="B110" t="inlineStr">
        <is>
          <t>33</t>
        </is>
      </c>
      <c r="C110" t="inlineStr">
        <is>
          <t>ALL</t>
        </is>
      </c>
      <c r="D110" s="3" t="n">
        <v>1616322.6</v>
      </c>
      <c r="E110" s="3" t="n">
        <v>1616322.6</v>
      </c>
      <c r="F110" s="4" t="n">
        <v>1</v>
      </c>
      <c r="G110" t="n">
        <v>1</v>
      </c>
      <c r="H110" t="n">
        <v>1</v>
      </c>
    </row>
    <row r="111">
      <c r="A111" t="inlineStr">
        <is>
          <t>MX</t>
        </is>
      </c>
      <c r="B111" t="inlineStr">
        <is>
          <t>33</t>
        </is>
      </c>
      <c r="C111" t="inlineStr">
        <is>
          <t>ALL</t>
        </is>
      </c>
      <c r="D111" s="3" t="n">
        <v>25059321.21078992</v>
      </c>
      <c r="E111" s="3" t="n">
        <v>25059321.21078992</v>
      </c>
      <c r="F111" s="4" t="n">
        <v>13</v>
      </c>
      <c r="G111" t="n">
        <v>1</v>
      </c>
      <c r="H111" t="n">
        <v>1</v>
      </c>
    </row>
    <row r="112">
      <c r="A112" t="inlineStr">
        <is>
          <t>MY</t>
        </is>
      </c>
      <c r="B112" t="inlineStr">
        <is>
          <t>33</t>
        </is>
      </c>
      <c r="C112" t="inlineStr">
        <is>
          <t>ALL</t>
        </is>
      </c>
      <c r="D112" s="3" t="n">
        <v>4972716.948209203</v>
      </c>
      <c r="E112" s="3" t="n">
        <v>2486358.474104601</v>
      </c>
      <c r="F112" s="4" t="n">
        <v>1</v>
      </c>
      <c r="G112" t="n">
        <v>1</v>
      </c>
      <c r="H112" t="n">
        <v>1</v>
      </c>
    </row>
    <row r="113">
      <c r="A113" t="inlineStr">
        <is>
          <t>NG</t>
        </is>
      </c>
      <c r="B113" t="inlineStr">
        <is>
          <t>33</t>
        </is>
      </c>
      <c r="C113" t="inlineStr">
        <is>
          <t>ALL</t>
        </is>
      </c>
      <c r="D113" s="3" t="n">
        <v>51300</v>
      </c>
      <c r="E113" s="3" t="n">
        <v>51300</v>
      </c>
      <c r="F113" s="4" t="n">
        <v>1</v>
      </c>
      <c r="G113" t="n">
        <v>1</v>
      </c>
      <c r="H113" t="n">
        <v>1</v>
      </c>
    </row>
    <row r="114">
      <c r="A114" t="inlineStr">
        <is>
          <t>NL</t>
        </is>
      </c>
      <c r="B114" t="inlineStr">
        <is>
          <t>33</t>
        </is>
      </c>
      <c r="C114" t="inlineStr">
        <is>
          <t>ALL</t>
        </is>
      </c>
      <c r="D114" s="3" t="n">
        <v>68411727.2047254</v>
      </c>
      <c r="E114" s="3" t="n">
        <v>58122736.08275189</v>
      </c>
      <c r="F114" s="4" t="n">
        <v>22</v>
      </c>
      <c r="G114" t="n">
        <v>1</v>
      </c>
      <c r="H114" t="n">
        <v>1</v>
      </c>
    </row>
    <row r="115">
      <c r="A115" t="inlineStr">
        <is>
          <t>NO</t>
        </is>
      </c>
      <c r="B115" t="inlineStr">
        <is>
          <t>33</t>
        </is>
      </c>
      <c r="C115" t="inlineStr">
        <is>
          <t>ALL</t>
        </is>
      </c>
      <c r="D115" s="3" t="n">
        <v>217580244.5896214</v>
      </c>
      <c r="E115" s="3" t="n">
        <v>126402410.6997727</v>
      </c>
      <c r="F115" s="4" t="n">
        <v>17</v>
      </c>
      <c r="G115" t="n">
        <v>1</v>
      </c>
      <c r="H115" t="n">
        <v>1</v>
      </c>
    </row>
    <row r="116">
      <c r="A116" t="inlineStr">
        <is>
          <t>NZ</t>
        </is>
      </c>
      <c r="B116" t="inlineStr">
        <is>
          <t>33</t>
        </is>
      </c>
      <c r="C116" t="inlineStr">
        <is>
          <t>ALL</t>
        </is>
      </c>
      <c r="D116" s="3" t="n">
        <v>12706353.06547301</v>
      </c>
      <c r="E116" s="3" t="n">
        <v>12706353.06547301</v>
      </c>
      <c r="F116" s="4" t="n">
        <v>11</v>
      </c>
      <c r="G116" t="n">
        <v>1</v>
      </c>
      <c r="H116" t="n">
        <v>1</v>
      </c>
    </row>
    <row r="117">
      <c r="A117" t="inlineStr">
        <is>
          <t>PA</t>
        </is>
      </c>
      <c r="B117" t="inlineStr">
        <is>
          <t>33</t>
        </is>
      </c>
      <c r="C117" t="inlineStr">
        <is>
          <t>ALL</t>
        </is>
      </c>
      <c r="D117" s="3" t="n">
        <v>10594579.55895848</v>
      </c>
      <c r="E117" s="3" t="n">
        <v>10594579.55895848</v>
      </c>
      <c r="F117" s="4" t="n">
        <v>7</v>
      </c>
      <c r="G117" t="n">
        <v>1</v>
      </c>
      <c r="H117" t="n">
        <v>1</v>
      </c>
    </row>
    <row r="118">
      <c r="A118" t="inlineStr">
        <is>
          <t>PE</t>
        </is>
      </c>
      <c r="B118" t="inlineStr">
        <is>
          <t>33</t>
        </is>
      </c>
      <c r="C118" t="inlineStr">
        <is>
          <t>ALL</t>
        </is>
      </c>
      <c r="D118" s="3" t="n">
        <v>199048586.6876265</v>
      </c>
      <c r="E118" s="3" t="n">
        <v>154564225.0182894</v>
      </c>
      <c r="F118" s="4" t="n">
        <v>40</v>
      </c>
      <c r="G118" t="n">
        <v>1</v>
      </c>
      <c r="H118" t="n">
        <v>1</v>
      </c>
    </row>
    <row r="119">
      <c r="A119" t="inlineStr">
        <is>
          <t>PL</t>
        </is>
      </c>
      <c r="B119" t="inlineStr">
        <is>
          <t>33</t>
        </is>
      </c>
      <c r="C119" t="inlineStr">
        <is>
          <t>ALL</t>
        </is>
      </c>
      <c r="D119" s="3" t="n">
        <v>15955786.78686398</v>
      </c>
      <c r="E119" s="3" t="n">
        <v>15955786.78686398</v>
      </c>
      <c r="F119" s="4" t="n">
        <v>6</v>
      </c>
      <c r="G119" t="n">
        <v>1</v>
      </c>
      <c r="H119" t="n">
        <v>1</v>
      </c>
    </row>
    <row r="120">
      <c r="A120" t="inlineStr">
        <is>
          <t>PR</t>
        </is>
      </c>
      <c r="B120" t="inlineStr">
        <is>
          <t>33</t>
        </is>
      </c>
      <c r="C120" t="inlineStr">
        <is>
          <t>ALL</t>
        </is>
      </c>
      <c r="D120" s="3" t="n">
        <v>7871182.158275532</v>
      </c>
      <c r="E120" s="3" t="n">
        <v>7871182.158275532</v>
      </c>
      <c r="F120" s="4" t="n">
        <v>2</v>
      </c>
      <c r="G120" t="n">
        <v>1</v>
      </c>
      <c r="H120" t="n">
        <v>1</v>
      </c>
    </row>
    <row r="121">
      <c r="A121" t="inlineStr">
        <is>
          <t>PT</t>
        </is>
      </c>
      <c r="B121" t="inlineStr">
        <is>
          <t>33</t>
        </is>
      </c>
      <c r="C121" t="inlineStr">
        <is>
          <t>ALL</t>
        </is>
      </c>
      <c r="D121" s="3" t="n">
        <v>149281147.6706434</v>
      </c>
      <c r="E121" s="3" t="n">
        <v>59902666.95034636</v>
      </c>
      <c r="F121" s="4" t="n">
        <v>12</v>
      </c>
      <c r="G121" t="n">
        <v>1</v>
      </c>
      <c r="H121" t="n">
        <v>1</v>
      </c>
    </row>
    <row r="122">
      <c r="A122" t="inlineStr">
        <is>
          <t>QA</t>
        </is>
      </c>
      <c r="B122" t="inlineStr">
        <is>
          <t>33</t>
        </is>
      </c>
      <c r="C122" t="inlineStr">
        <is>
          <t>ALL</t>
        </is>
      </c>
      <c r="D122" s="3" t="n">
        <v>525886.0545820856</v>
      </c>
      <c r="E122" s="3" t="n">
        <v>524375.4345173847</v>
      </c>
      <c r="F122" s="4" t="n">
        <v>2</v>
      </c>
      <c r="G122" t="n">
        <v>1</v>
      </c>
      <c r="H122" t="n">
        <v>1</v>
      </c>
    </row>
    <row r="123">
      <c r="A123" t="inlineStr">
        <is>
          <t>SA</t>
        </is>
      </c>
      <c r="B123" t="inlineStr">
        <is>
          <t>33</t>
        </is>
      </c>
      <c r="C123" t="inlineStr">
        <is>
          <t>ALL</t>
        </is>
      </c>
      <c r="D123" s="3" t="n">
        <v>17479281.41593587</v>
      </c>
      <c r="E123" s="3" t="n">
        <v>8753140.707967935</v>
      </c>
      <c r="F123" s="4" t="n">
        <v>2</v>
      </c>
      <c r="G123" t="n">
        <v>1</v>
      </c>
      <c r="H123" t="n">
        <v>1</v>
      </c>
    </row>
    <row r="124">
      <c r="A124" t="inlineStr">
        <is>
          <t>SE</t>
        </is>
      </c>
      <c r="B124" t="inlineStr">
        <is>
          <t>33</t>
        </is>
      </c>
      <c r="C124" t="inlineStr">
        <is>
          <t>ALL</t>
        </is>
      </c>
      <c r="D124" s="3" t="n">
        <v>3523062568.148566</v>
      </c>
      <c r="E124" s="3" t="n">
        <v>3224740725.705301</v>
      </c>
      <c r="F124" s="4" t="n">
        <v>462</v>
      </c>
      <c r="G124" t="n">
        <v>1</v>
      </c>
      <c r="H124" t="n">
        <v>1</v>
      </c>
    </row>
    <row r="125">
      <c r="A125" t="inlineStr">
        <is>
          <t>SG</t>
        </is>
      </c>
      <c r="B125" t="inlineStr">
        <is>
          <t>33</t>
        </is>
      </c>
      <c r="C125" t="inlineStr">
        <is>
          <t>ALL</t>
        </is>
      </c>
      <c r="D125" s="3" t="n">
        <v>101709192.047973</v>
      </c>
      <c r="E125" s="3" t="n">
        <v>57842983.69319236</v>
      </c>
      <c r="F125" s="4" t="n">
        <v>15</v>
      </c>
      <c r="G125" t="n">
        <v>1</v>
      </c>
      <c r="H125" t="n">
        <v>1</v>
      </c>
    </row>
    <row r="126">
      <c r="A126" t="inlineStr">
        <is>
          <t>SK</t>
        </is>
      </c>
      <c r="B126" t="inlineStr">
        <is>
          <t>33</t>
        </is>
      </c>
      <c r="C126" t="inlineStr">
        <is>
          <t>ALL</t>
        </is>
      </c>
      <c r="D126" s="3" t="n">
        <v>9525457.34826036</v>
      </c>
      <c r="E126" s="3" t="n">
        <v>9525457.34826036</v>
      </c>
      <c r="F126" s="4" t="n">
        <v>2</v>
      </c>
      <c r="G126" t="n">
        <v>1</v>
      </c>
      <c r="H126" t="n">
        <v>1</v>
      </c>
    </row>
    <row r="127">
      <c r="A127" t="inlineStr">
        <is>
          <t>SV</t>
        </is>
      </c>
      <c r="B127" t="inlineStr">
        <is>
          <t>33</t>
        </is>
      </c>
      <c r="C127" t="inlineStr">
        <is>
          <t>ALL</t>
        </is>
      </c>
      <c r="D127" s="3" t="n">
        <v>3910137.713413262</v>
      </c>
      <c r="E127" s="3" t="n">
        <v>3910137.713413262</v>
      </c>
      <c r="F127" s="4" t="n">
        <v>4</v>
      </c>
      <c r="G127" t="n">
        <v>1</v>
      </c>
      <c r="H127" t="n">
        <v>1</v>
      </c>
    </row>
    <row r="128">
      <c r="A128" t="inlineStr">
        <is>
          <t>TR</t>
        </is>
      </c>
      <c r="B128" t="inlineStr">
        <is>
          <t>33</t>
        </is>
      </c>
      <c r="C128" t="inlineStr">
        <is>
          <t>ALL</t>
        </is>
      </c>
      <c r="D128" s="3" t="n">
        <v>15240463.44218325</v>
      </c>
      <c r="E128" s="3" t="n">
        <v>10760170.10706991</v>
      </c>
      <c r="F128" s="4" t="n">
        <v>3</v>
      </c>
      <c r="G128" t="n">
        <v>1</v>
      </c>
      <c r="H128" t="n">
        <v>1</v>
      </c>
    </row>
    <row r="129">
      <c r="A129" t="inlineStr">
        <is>
          <t>TW</t>
        </is>
      </c>
      <c r="B129" t="inlineStr">
        <is>
          <t>33</t>
        </is>
      </c>
      <c r="C129" t="inlineStr">
        <is>
          <t>ALL</t>
        </is>
      </c>
      <c r="D129" s="3" t="n">
        <v>3339168.276723598</v>
      </c>
      <c r="E129" s="3" t="n">
        <v>1677280.688161799</v>
      </c>
      <c r="F129" s="4" t="n">
        <v>2</v>
      </c>
      <c r="G129" t="n">
        <v>1</v>
      </c>
      <c r="H129" t="n">
        <v>1</v>
      </c>
    </row>
    <row r="130">
      <c r="A130" t="inlineStr">
        <is>
          <t>US</t>
        </is>
      </c>
      <c r="B130" t="inlineStr">
        <is>
          <t>33</t>
        </is>
      </c>
      <c r="C130" t="inlineStr">
        <is>
          <t>ALL</t>
        </is>
      </c>
      <c r="D130" s="3" t="n">
        <v>392727226.0400802</v>
      </c>
      <c r="E130" s="3" t="n">
        <v>237721948.7435575</v>
      </c>
      <c r="F130" s="4" t="n">
        <v>55</v>
      </c>
      <c r="G130" t="n">
        <v>1</v>
      </c>
      <c r="H130" t="n">
        <v>1</v>
      </c>
    </row>
    <row r="131">
      <c r="A131" t="inlineStr">
        <is>
          <t>UY</t>
        </is>
      </c>
      <c r="B131" t="inlineStr">
        <is>
          <t>33</t>
        </is>
      </c>
      <c r="C131" t="inlineStr">
        <is>
          <t>ALL</t>
        </is>
      </c>
      <c r="D131" s="3" t="n">
        <v>1779850.892763128</v>
      </c>
      <c r="E131" s="3" t="n">
        <v>1779850.892763128</v>
      </c>
      <c r="F131" s="4" t="n">
        <v>3</v>
      </c>
      <c r="G131" t="n">
        <v>1</v>
      </c>
      <c r="H131" t="n">
        <v>1</v>
      </c>
    </row>
    <row r="132">
      <c r="A132" t="inlineStr">
        <is>
          <t>VC</t>
        </is>
      </c>
      <c r="B132" t="inlineStr">
        <is>
          <t>33</t>
        </is>
      </c>
      <c r="C132" t="inlineStr">
        <is>
          <t>ALL</t>
        </is>
      </c>
      <c r="D132" s="3" t="n">
        <v>2430000</v>
      </c>
      <c r="E132" s="3" t="n">
        <v>2430000</v>
      </c>
      <c r="F132" s="4" t="n">
        <v>1</v>
      </c>
      <c r="G132" t="n">
        <v>1</v>
      </c>
      <c r="H132" t="n">
        <v>1</v>
      </c>
    </row>
    <row r="133">
      <c r="A133" t="inlineStr">
        <is>
          <t>ZA</t>
        </is>
      </c>
      <c r="B133" t="inlineStr">
        <is>
          <t>33</t>
        </is>
      </c>
      <c r="C133" t="inlineStr">
        <is>
          <t>ALL</t>
        </is>
      </c>
      <c r="D133" s="3" t="n">
        <v>150565819.699491</v>
      </c>
      <c r="E133" s="3" t="n">
        <v>133209523.230385</v>
      </c>
      <c r="F133" s="4" t="n">
        <v>25</v>
      </c>
      <c r="G133" t="n">
        <v>1</v>
      </c>
      <c r="H133" t="n">
        <v>1</v>
      </c>
    </row>
    <row r="134">
      <c r="A134" t="inlineStr">
        <is>
          <t>AE</t>
        </is>
      </c>
      <c r="B134" t="inlineStr">
        <is>
          <t>3624</t>
        </is>
      </c>
      <c r="C134" t="inlineStr">
        <is>
          <t>ALL</t>
        </is>
      </c>
      <c r="D134" s="3" t="n">
        <v>48600</v>
      </c>
      <c r="E134" s="3" t="n">
        <v>48600</v>
      </c>
      <c r="F134" s="4" t="n">
        <v>1</v>
      </c>
      <c r="G134" t="n">
        <v>0</v>
      </c>
      <c r="H134" t="n">
        <v>1</v>
      </c>
    </row>
    <row r="135">
      <c r="A135" t="inlineStr">
        <is>
          <t>CO</t>
        </is>
      </c>
      <c r="B135" t="inlineStr">
        <is>
          <t>3624</t>
        </is>
      </c>
      <c r="C135" t="inlineStr">
        <is>
          <t>ALL</t>
        </is>
      </c>
      <c r="D135" s="3" t="n">
        <v>249750</v>
      </c>
      <c r="E135" s="3" t="n">
        <v>249750</v>
      </c>
      <c r="F135" s="4" t="n">
        <v>1</v>
      </c>
      <c r="G135" t="n">
        <v>0</v>
      </c>
      <c r="H135" t="n">
        <v>1</v>
      </c>
    </row>
    <row r="136">
      <c r="A136" t="inlineStr">
        <is>
          <t>AU</t>
        </is>
      </c>
      <c r="B136" t="inlineStr">
        <is>
          <t>3624</t>
        </is>
      </c>
      <c r="C136" t="inlineStr">
        <is>
          <t>ALL</t>
        </is>
      </c>
      <c r="D136" s="3" t="n">
        <v>145800</v>
      </c>
      <c r="E136" s="3" t="n">
        <v>145800</v>
      </c>
      <c r="F136" s="4" t="n">
        <v>1</v>
      </c>
      <c r="G136" t="n">
        <v>1</v>
      </c>
      <c r="H136" t="n">
        <v>1</v>
      </c>
    </row>
    <row r="137">
      <c r="A137" t="inlineStr">
        <is>
          <t>CA</t>
        </is>
      </c>
      <c r="B137" t="inlineStr">
        <is>
          <t>3624</t>
        </is>
      </c>
      <c r="C137" t="inlineStr">
        <is>
          <t>ALL</t>
        </is>
      </c>
      <c r="D137" s="3" t="n">
        <v>148500</v>
      </c>
      <c r="E137" s="3" t="n">
        <v>148500</v>
      </c>
      <c r="F137" s="4" t="n">
        <v>1</v>
      </c>
      <c r="G137" t="n">
        <v>1</v>
      </c>
      <c r="H137" t="n">
        <v>1</v>
      </c>
    </row>
    <row r="138">
      <c r="A138" t="inlineStr">
        <is>
          <t>CH</t>
        </is>
      </c>
      <c r="B138" t="inlineStr">
        <is>
          <t>3624</t>
        </is>
      </c>
      <c r="C138" t="inlineStr">
        <is>
          <t>ALL</t>
        </is>
      </c>
      <c r="D138" s="3" t="n">
        <v>14842975.68</v>
      </c>
      <c r="E138" s="3" t="n">
        <v>14842975.68</v>
      </c>
      <c r="F138" s="4" t="n">
        <v>10</v>
      </c>
      <c r="G138" t="n">
        <v>1</v>
      </c>
      <c r="H138" t="n">
        <v>1</v>
      </c>
    </row>
    <row r="139">
      <c r="A139" t="inlineStr">
        <is>
          <t>GB</t>
        </is>
      </c>
      <c r="B139" t="inlineStr">
        <is>
          <t>3624</t>
        </is>
      </c>
      <c r="C139" t="inlineStr">
        <is>
          <t>ALL</t>
        </is>
      </c>
      <c r="D139" s="3" t="n">
        <v>7530300.000000001</v>
      </c>
      <c r="E139" s="3" t="n">
        <v>7530300.000000001</v>
      </c>
      <c r="F139" s="4" t="n">
        <v>5</v>
      </c>
      <c r="G139" t="n">
        <v>1</v>
      </c>
      <c r="H139" t="n">
        <v>1</v>
      </c>
    </row>
    <row r="140">
      <c r="A140" t="inlineStr">
        <is>
          <t>IN</t>
        </is>
      </c>
      <c r="B140" t="inlineStr">
        <is>
          <t>3624</t>
        </is>
      </c>
      <c r="C140" t="inlineStr">
        <is>
          <t>ALL</t>
        </is>
      </c>
      <c r="D140" s="3" t="n">
        <v>10800</v>
      </c>
      <c r="E140" s="3" t="n">
        <v>10800</v>
      </c>
      <c r="F140" s="4" t="n">
        <v>1</v>
      </c>
      <c r="G140" t="n">
        <v>1</v>
      </c>
      <c r="H140" t="n">
        <v>1</v>
      </c>
    </row>
    <row r="141">
      <c r="A141" t="inlineStr">
        <is>
          <t>MX</t>
        </is>
      </c>
      <c r="B141" t="inlineStr">
        <is>
          <t>3624</t>
        </is>
      </c>
      <c r="C141" t="inlineStr">
        <is>
          <t>ALL</t>
        </is>
      </c>
      <c r="D141" s="3" t="n">
        <v>270000</v>
      </c>
      <c r="E141" s="3" t="n">
        <v>270000</v>
      </c>
      <c r="F141" s="4" t="n">
        <v>1</v>
      </c>
      <c r="G141" t="n">
        <v>1</v>
      </c>
      <c r="H141" t="n">
        <v>1</v>
      </c>
    </row>
    <row r="142">
      <c r="A142" t="inlineStr">
        <is>
          <t>SG</t>
        </is>
      </c>
      <c r="B142" t="inlineStr">
        <is>
          <t>3624</t>
        </is>
      </c>
      <c r="C142" t="inlineStr">
        <is>
          <t>ALL</t>
        </is>
      </c>
      <c r="D142" s="3" t="n">
        <v>286200</v>
      </c>
      <c r="E142" s="3" t="n">
        <v>286200</v>
      </c>
      <c r="F142" s="4" t="n">
        <v>2</v>
      </c>
      <c r="G142" t="n">
        <v>1</v>
      </c>
      <c r="H142" t="n">
        <v>1</v>
      </c>
    </row>
    <row r="143">
      <c r="A143" t="inlineStr">
        <is>
          <t>US</t>
        </is>
      </c>
      <c r="B143" t="inlineStr">
        <is>
          <t>3624</t>
        </is>
      </c>
      <c r="C143" t="inlineStr">
        <is>
          <t>ALL</t>
        </is>
      </c>
      <c r="D143" s="3" t="n">
        <v>3324645</v>
      </c>
      <c r="E143" s="3" t="n">
        <v>3324645</v>
      </c>
      <c r="F143" s="4" t="n">
        <v>3</v>
      </c>
      <c r="G143" t="n">
        <v>1</v>
      </c>
      <c r="H143" t="n">
        <v>1</v>
      </c>
    </row>
    <row r="144">
      <c r="A144" t="inlineStr">
        <is>
          <t>ZA</t>
        </is>
      </c>
      <c r="B144" t="inlineStr">
        <is>
          <t>3624</t>
        </is>
      </c>
      <c r="C144" t="inlineStr">
        <is>
          <t>ALL</t>
        </is>
      </c>
      <c r="D144" s="3" t="n">
        <v>702000</v>
      </c>
      <c r="E144" s="3" t="n">
        <v>702000</v>
      </c>
      <c r="F144" s="4" t="n">
        <v>1</v>
      </c>
      <c r="G144" t="n">
        <v>1</v>
      </c>
      <c r="H144" t="n">
        <v>1</v>
      </c>
    </row>
    <row r="145">
      <c r="A145" t="inlineStr">
        <is>
          <t>AE</t>
        </is>
      </c>
      <c r="B145" t="inlineStr">
        <is>
          <t>HIC</t>
        </is>
      </c>
      <c r="C145" t="inlineStr">
        <is>
          <t>ALL</t>
        </is>
      </c>
      <c r="D145" s="3" t="n">
        <v>74325.60000000001</v>
      </c>
      <c r="E145" s="3" t="n">
        <v>74325.60000000001</v>
      </c>
      <c r="F145" s="4" t="n">
        <v>1</v>
      </c>
      <c r="G145" t="n">
        <v>0</v>
      </c>
      <c r="H145" t="n">
        <v>1</v>
      </c>
    </row>
    <row r="146">
      <c r="A146" t="inlineStr">
        <is>
          <t>GB</t>
        </is>
      </c>
      <c r="B146" t="inlineStr">
        <is>
          <t>HIC</t>
        </is>
      </c>
      <c r="C146" t="inlineStr">
        <is>
          <t>ALL</t>
        </is>
      </c>
      <c r="D146" s="3" t="n">
        <v>8375254.2</v>
      </c>
      <c r="E146" s="3" t="n">
        <v>8375254.2</v>
      </c>
      <c r="F146" s="4" t="n">
        <v>14</v>
      </c>
      <c r="G146" t="n">
        <v>0</v>
      </c>
      <c r="H146" t="n">
        <v>1</v>
      </c>
    </row>
    <row r="147">
      <c r="A147" t="inlineStr">
        <is>
          <t>GI</t>
        </is>
      </c>
      <c r="B147" t="inlineStr">
        <is>
          <t>HIC</t>
        </is>
      </c>
      <c r="C147" t="inlineStr">
        <is>
          <t>ALL</t>
        </is>
      </c>
      <c r="D147" s="3" t="n">
        <v>1774653.3</v>
      </c>
      <c r="E147" s="3" t="n">
        <v>1774653.3</v>
      </c>
      <c r="F147" s="4" t="n">
        <v>3</v>
      </c>
      <c r="G147" t="n">
        <v>0</v>
      </c>
      <c r="H147" t="n">
        <v>1</v>
      </c>
    </row>
    <row r="148">
      <c r="A148" t="inlineStr">
        <is>
          <t>JE</t>
        </is>
      </c>
      <c r="B148" t="inlineStr">
        <is>
          <t>HIC</t>
        </is>
      </c>
      <c r="C148" t="inlineStr">
        <is>
          <t>ALL</t>
        </is>
      </c>
      <c r="D148" s="3" t="n">
        <v>2900384.82</v>
      </c>
      <c r="E148" s="3" t="n">
        <v>2900384.82</v>
      </c>
      <c r="F148" s="4" t="n">
        <v>6</v>
      </c>
      <c r="G148" t="n">
        <v>0</v>
      </c>
      <c r="H148" t="n">
        <v>1</v>
      </c>
    </row>
    <row r="149">
      <c r="A149" t="inlineStr">
        <is>
          <t>PK</t>
        </is>
      </c>
      <c r="B149" t="inlineStr">
        <is>
          <t>HIC</t>
        </is>
      </c>
      <c r="C149" t="inlineStr">
        <is>
          <t>ALL</t>
        </is>
      </c>
      <c r="D149" s="3" t="n">
        <v>22967.82</v>
      </c>
      <c r="E149" s="3" t="n">
        <v>22967.82</v>
      </c>
      <c r="F149" s="4" t="n">
        <v>1</v>
      </c>
      <c r="G149" t="n">
        <v>0</v>
      </c>
      <c r="H149" t="n">
        <v>1</v>
      </c>
    </row>
    <row r="150">
      <c r="A150" t="inlineStr">
        <is>
          <t>US</t>
        </is>
      </c>
      <c r="B150" t="inlineStr">
        <is>
          <t>HIC</t>
        </is>
      </c>
      <c r="C150" t="inlineStr">
        <is>
          <t>ALL</t>
        </is>
      </c>
      <c r="D150" s="3" t="n">
        <v>136350</v>
      </c>
      <c r="E150" s="3" t="n">
        <v>136350</v>
      </c>
      <c r="F150" s="4" t="n">
        <v>1</v>
      </c>
      <c r="G150" t="n">
        <v>0</v>
      </c>
      <c r="H150" t="n">
        <v>1</v>
      </c>
    </row>
    <row r="151">
      <c r="A151" t="inlineStr">
        <is>
          <t>AU</t>
        </is>
      </c>
      <c r="B151" t="inlineStr">
        <is>
          <t>HIC</t>
        </is>
      </c>
      <c r="C151" t="inlineStr">
        <is>
          <t>ALL</t>
        </is>
      </c>
      <c r="D151" s="3" t="n">
        <v>203850</v>
      </c>
      <c r="E151" s="3" t="n">
        <v>203850</v>
      </c>
      <c r="F151" s="4" t="n">
        <v>3</v>
      </c>
      <c r="G151" t="n">
        <v>1</v>
      </c>
      <c r="H151" t="n">
        <v>1</v>
      </c>
    </row>
    <row r="152">
      <c r="A152" t="inlineStr">
        <is>
          <t>CA</t>
        </is>
      </c>
      <c r="B152" t="inlineStr">
        <is>
          <t>HIC</t>
        </is>
      </c>
      <c r="C152" t="inlineStr">
        <is>
          <t>ALL</t>
        </is>
      </c>
      <c r="D152" s="3" t="n">
        <v>286200</v>
      </c>
      <c r="E152" s="3" t="n">
        <v>286200</v>
      </c>
      <c r="F152" s="4" t="n">
        <v>1</v>
      </c>
      <c r="G152" t="n">
        <v>1</v>
      </c>
      <c r="H152" t="n">
        <v>1</v>
      </c>
    </row>
    <row r="153">
      <c r="A153" t="inlineStr">
        <is>
          <t>CH</t>
        </is>
      </c>
      <c r="B153" t="inlineStr">
        <is>
          <t>HIC</t>
        </is>
      </c>
      <c r="C153" t="inlineStr">
        <is>
          <t>ALL</t>
        </is>
      </c>
      <c r="D153" s="3" t="n">
        <v>294840</v>
      </c>
      <c r="E153" s="3" t="n">
        <v>294840</v>
      </c>
      <c r="F153" s="4" t="n">
        <v>1</v>
      </c>
      <c r="G153" t="n">
        <v>1</v>
      </c>
      <c r="H153" t="n">
        <v>1</v>
      </c>
    </row>
    <row r="154">
      <c r="A154" t="inlineStr">
        <is>
          <t>GB</t>
        </is>
      </c>
      <c r="B154" t="inlineStr">
        <is>
          <t>HIC</t>
        </is>
      </c>
      <c r="C154" t="inlineStr">
        <is>
          <t>ALL</t>
        </is>
      </c>
      <c r="D154" s="3" t="n">
        <v>163738225212.6874</v>
      </c>
      <c r="E154" s="3" t="n">
        <v>163738225212.6874</v>
      </c>
      <c r="F154" s="4" t="n">
        <v>173171</v>
      </c>
      <c r="G154" t="n">
        <v>1</v>
      </c>
      <c r="H154" t="n">
        <v>1</v>
      </c>
    </row>
    <row r="155">
      <c r="A155" t="inlineStr">
        <is>
          <t>GG</t>
        </is>
      </c>
      <c r="B155" t="inlineStr">
        <is>
          <t>HIC</t>
        </is>
      </c>
      <c r="C155" t="inlineStr">
        <is>
          <t>ALL</t>
        </is>
      </c>
      <c r="D155" s="3" t="n">
        <v>119068292.223</v>
      </c>
      <c r="E155" s="3" t="n">
        <v>119068292.223</v>
      </c>
      <c r="F155" s="4" t="n">
        <v>67</v>
      </c>
      <c r="G155" t="n">
        <v>1</v>
      </c>
      <c r="H155" t="n">
        <v>1</v>
      </c>
    </row>
    <row r="156">
      <c r="A156" t="inlineStr">
        <is>
          <t>GI</t>
        </is>
      </c>
      <c r="B156" t="inlineStr">
        <is>
          <t>HIC</t>
        </is>
      </c>
      <c r="C156" t="inlineStr">
        <is>
          <t>ALL</t>
        </is>
      </c>
      <c r="D156" s="3" t="n">
        <v>3789439.2</v>
      </c>
      <c r="E156" s="3" t="n">
        <v>3789439.2</v>
      </c>
      <c r="F156" s="4" t="n">
        <v>4</v>
      </c>
      <c r="G156" t="n">
        <v>1</v>
      </c>
      <c r="H156" t="n">
        <v>1</v>
      </c>
    </row>
    <row r="157">
      <c r="A157" t="inlineStr">
        <is>
          <t>HK</t>
        </is>
      </c>
      <c r="B157" t="inlineStr">
        <is>
          <t>HIC</t>
        </is>
      </c>
      <c r="C157" t="inlineStr">
        <is>
          <t>ALL</t>
        </is>
      </c>
      <c r="D157" s="3" t="n">
        <v>129600</v>
      </c>
      <c r="E157" s="3" t="n">
        <v>129600</v>
      </c>
      <c r="F157" s="4" t="n">
        <v>2</v>
      </c>
      <c r="G157" t="n">
        <v>1</v>
      </c>
      <c r="H157" t="n">
        <v>1</v>
      </c>
    </row>
    <row r="158">
      <c r="A158" t="inlineStr">
        <is>
          <t>IM</t>
        </is>
      </c>
      <c r="B158" t="inlineStr">
        <is>
          <t>HIC</t>
        </is>
      </c>
      <c r="C158" t="inlineStr">
        <is>
          <t>ALL</t>
        </is>
      </c>
      <c r="D158" s="3" t="n">
        <v>268281328.5945</v>
      </c>
      <c r="E158" s="3" t="n">
        <v>268281328.5945</v>
      </c>
      <c r="F158" s="4" t="n">
        <v>184</v>
      </c>
      <c r="G158" t="n">
        <v>1</v>
      </c>
      <c r="H158" t="n">
        <v>1</v>
      </c>
    </row>
    <row r="159">
      <c r="A159" t="inlineStr">
        <is>
          <t>IN</t>
        </is>
      </c>
      <c r="B159" t="inlineStr">
        <is>
          <t>HIC</t>
        </is>
      </c>
      <c r="C159" t="inlineStr">
        <is>
          <t>ALL</t>
        </is>
      </c>
      <c r="D159" s="3" t="n">
        <v>126900</v>
      </c>
      <c r="E159" s="3" t="n">
        <v>126900</v>
      </c>
      <c r="F159" s="4" t="n">
        <v>1</v>
      </c>
      <c r="G159" t="n">
        <v>1</v>
      </c>
      <c r="H159" t="n">
        <v>1</v>
      </c>
    </row>
    <row r="160">
      <c r="A160" t="inlineStr">
        <is>
          <t>JE</t>
        </is>
      </c>
      <c r="B160" t="inlineStr">
        <is>
          <t>HIC</t>
        </is>
      </c>
      <c r="C160" t="inlineStr">
        <is>
          <t>ALL</t>
        </is>
      </c>
      <c r="D160" s="3" t="n">
        <v>164563378.3935</v>
      </c>
      <c r="E160" s="3" t="n">
        <v>164563378.3935</v>
      </c>
      <c r="F160" s="4" t="n">
        <v>179</v>
      </c>
      <c r="G160" t="n">
        <v>1</v>
      </c>
      <c r="H160" t="n">
        <v>1</v>
      </c>
    </row>
    <row r="161">
      <c r="A161" t="inlineStr">
        <is>
          <t>JP</t>
        </is>
      </c>
      <c r="B161" t="inlineStr">
        <is>
          <t>HIC</t>
        </is>
      </c>
      <c r="C161" t="inlineStr">
        <is>
          <t>ALL</t>
        </is>
      </c>
      <c r="D161" s="3" t="n">
        <v>372600</v>
      </c>
      <c r="E161" s="3" t="n">
        <v>372600</v>
      </c>
      <c r="F161" s="4" t="n">
        <v>2</v>
      </c>
      <c r="G161" t="n">
        <v>1</v>
      </c>
      <c r="H161" t="n">
        <v>1</v>
      </c>
    </row>
    <row r="162">
      <c r="A162" t="inlineStr">
        <is>
          <t>MK</t>
        </is>
      </c>
      <c r="B162" t="inlineStr">
        <is>
          <t>HIC</t>
        </is>
      </c>
      <c r="C162" t="inlineStr">
        <is>
          <t>ALL</t>
        </is>
      </c>
      <c r="D162" s="3" t="n">
        <v>147150</v>
      </c>
      <c r="E162" s="3" t="n">
        <v>147150</v>
      </c>
      <c r="F162" s="4" t="n">
        <v>1</v>
      </c>
      <c r="G162" t="n">
        <v>1</v>
      </c>
      <c r="H162" t="n">
        <v>1</v>
      </c>
    </row>
    <row r="163">
      <c r="A163" t="inlineStr">
        <is>
          <t>SG</t>
        </is>
      </c>
      <c r="B163" t="inlineStr">
        <is>
          <t>HIC</t>
        </is>
      </c>
      <c r="C163" t="inlineStr">
        <is>
          <t>ALL</t>
        </is>
      </c>
      <c r="D163" s="3" t="n">
        <v>1285988.4</v>
      </c>
      <c r="E163" s="3" t="n">
        <v>1285988.4</v>
      </c>
      <c r="F163" s="4" t="n">
        <v>5</v>
      </c>
      <c r="G163" t="n">
        <v>1</v>
      </c>
      <c r="H163" t="n">
        <v>1</v>
      </c>
    </row>
    <row r="164">
      <c r="A164" t="inlineStr">
        <is>
          <t>TH</t>
        </is>
      </c>
      <c r="B164" t="inlineStr">
        <is>
          <t>HIC</t>
        </is>
      </c>
      <c r="C164" t="inlineStr">
        <is>
          <t>ALL</t>
        </is>
      </c>
      <c r="D164" s="3" t="n">
        <v>27000</v>
      </c>
      <c r="E164" s="3" t="n">
        <v>27000</v>
      </c>
      <c r="F164" s="4" t="n">
        <v>1</v>
      </c>
      <c r="G164" t="n">
        <v>1</v>
      </c>
      <c r="H164" t="n">
        <v>1</v>
      </c>
    </row>
    <row r="165">
      <c r="A165" t="inlineStr">
        <is>
          <t>TW</t>
        </is>
      </c>
      <c r="B165" t="inlineStr">
        <is>
          <t>HIC</t>
        </is>
      </c>
      <c r="C165" t="inlineStr">
        <is>
          <t>ALL</t>
        </is>
      </c>
      <c r="D165" s="3" t="n">
        <v>371250</v>
      </c>
      <c r="E165" s="3" t="n">
        <v>371250</v>
      </c>
      <c r="F165" s="4" t="n">
        <v>1</v>
      </c>
      <c r="G165" t="n">
        <v>1</v>
      </c>
      <c r="H165" t="n">
        <v>1</v>
      </c>
    </row>
    <row r="166">
      <c r="A166" t="inlineStr">
        <is>
          <t>US</t>
        </is>
      </c>
      <c r="B166" t="inlineStr">
        <is>
          <t>HIC</t>
        </is>
      </c>
      <c r="C166" t="inlineStr">
        <is>
          <t>ALL</t>
        </is>
      </c>
      <c r="D166" s="3" t="n">
        <v>30570795.9</v>
      </c>
      <c r="E166" s="3" t="n">
        <v>30570795.9</v>
      </c>
      <c r="F166" s="4" t="n">
        <v>31</v>
      </c>
      <c r="G166" t="n">
        <v>1</v>
      </c>
      <c r="H166" t="n">
        <v>1</v>
      </c>
    </row>
    <row r="167">
      <c r="A167" t="inlineStr">
        <is>
          <t>ZA</t>
        </is>
      </c>
      <c r="B167" t="inlineStr">
        <is>
          <t>HIC</t>
        </is>
      </c>
      <c r="C167" t="inlineStr">
        <is>
          <t>ALL</t>
        </is>
      </c>
      <c r="D167" s="3" t="n">
        <v>2802006</v>
      </c>
      <c r="E167" s="3" t="n">
        <v>2802006</v>
      </c>
      <c r="F167" s="4" t="n">
        <v>3</v>
      </c>
      <c r="G167" t="n">
        <v>1</v>
      </c>
      <c r="H167" t="n">
        <v>1</v>
      </c>
    </row>
    <row r="168">
      <c r="A168" t="inlineStr">
        <is>
          <t>AE</t>
        </is>
      </c>
      <c r="B168" t="inlineStr">
        <is>
          <t>HIG</t>
        </is>
      </c>
      <c r="C168" t="inlineStr">
        <is>
          <t>ALL</t>
        </is>
      </c>
      <c r="D168" s="3" t="n">
        <v>970704.7158275546</v>
      </c>
      <c r="E168" s="3" t="n">
        <v>970704.7158275546</v>
      </c>
      <c r="F168" s="4" t="n">
        <v>1</v>
      </c>
      <c r="G168" t="n">
        <v>0</v>
      </c>
      <c r="H168" t="n">
        <v>1</v>
      </c>
    </row>
    <row r="169">
      <c r="A169" t="inlineStr">
        <is>
          <t>BE</t>
        </is>
      </c>
      <c r="B169" t="inlineStr">
        <is>
          <t>HIG</t>
        </is>
      </c>
      <c r="C169" t="inlineStr">
        <is>
          <t>ALL</t>
        </is>
      </c>
      <c r="D169" s="3" t="n">
        <v>30238.42243791272</v>
      </c>
      <c r="E169" s="3" t="n">
        <v>30238.42243791272</v>
      </c>
      <c r="F169" s="4" t="n">
        <v>1</v>
      </c>
      <c r="G169" t="n">
        <v>0</v>
      </c>
      <c r="H169" t="n">
        <v>1</v>
      </c>
    </row>
    <row r="170">
      <c r="A170" t="inlineStr">
        <is>
          <t>BR</t>
        </is>
      </c>
      <c r="B170" t="inlineStr">
        <is>
          <t>HIG</t>
        </is>
      </c>
      <c r="C170" t="inlineStr">
        <is>
          <t>ALL</t>
        </is>
      </c>
      <c r="D170" s="3" t="n">
        <v>805367.9357391051</v>
      </c>
      <c r="E170" s="3" t="n">
        <v>457144.7374358818</v>
      </c>
      <c r="F170" s="4" t="n">
        <v>2</v>
      </c>
      <c r="G170" t="n">
        <v>0</v>
      </c>
      <c r="H170" t="n">
        <v>1</v>
      </c>
    </row>
    <row r="171">
      <c r="A171" t="inlineStr">
        <is>
          <t>CH</t>
        </is>
      </c>
      <c r="B171" t="inlineStr">
        <is>
          <t>HIG</t>
        </is>
      </c>
      <c r="C171" t="inlineStr">
        <is>
          <t>ALL</t>
        </is>
      </c>
      <c r="D171" s="3" t="n">
        <v>71066228.50825071</v>
      </c>
      <c r="E171" s="3" t="n">
        <v>38370910.55070021</v>
      </c>
      <c r="F171" s="4" t="n">
        <v>2</v>
      </c>
      <c r="G171" t="n">
        <v>0</v>
      </c>
      <c r="H171" t="n">
        <v>1</v>
      </c>
    </row>
    <row r="172">
      <c r="A172" t="inlineStr">
        <is>
          <t>ES</t>
        </is>
      </c>
      <c r="B172" t="inlineStr">
        <is>
          <t>HIG</t>
        </is>
      </c>
      <c r="C172" t="inlineStr">
        <is>
          <t>ALL</t>
        </is>
      </c>
      <c r="D172" s="3" t="n">
        <v>6924829.565050622</v>
      </c>
      <c r="E172" s="3" t="n">
        <v>6924829.565050622</v>
      </c>
      <c r="F172" s="4" t="n">
        <v>1</v>
      </c>
      <c r="G172" t="n">
        <v>0</v>
      </c>
      <c r="H172" t="n">
        <v>1</v>
      </c>
    </row>
    <row r="173">
      <c r="A173" t="inlineStr">
        <is>
          <t>FR</t>
        </is>
      </c>
      <c r="B173" t="inlineStr">
        <is>
          <t>HIG</t>
        </is>
      </c>
      <c r="C173" t="inlineStr">
        <is>
          <t>ALL</t>
        </is>
      </c>
      <c r="D173" s="3" t="n">
        <v>34564144.78369116</v>
      </c>
      <c r="E173" s="3" t="n">
        <v>17282072.39184558</v>
      </c>
      <c r="F173" s="4" t="n">
        <v>1</v>
      </c>
      <c r="G173" t="n">
        <v>0</v>
      </c>
      <c r="H173" t="n">
        <v>1</v>
      </c>
    </row>
    <row r="174">
      <c r="A174" t="inlineStr">
        <is>
          <t>GB</t>
        </is>
      </c>
      <c r="B174" t="inlineStr">
        <is>
          <t>HIG</t>
        </is>
      </c>
      <c r="C174" t="inlineStr">
        <is>
          <t>ALL</t>
        </is>
      </c>
      <c r="D174" s="3" t="n">
        <v>16946092.81877061</v>
      </c>
      <c r="E174" s="3" t="n">
        <v>8737202.876743417</v>
      </c>
      <c r="F174" s="4" t="n">
        <v>5</v>
      </c>
      <c r="G174" t="n">
        <v>0</v>
      </c>
      <c r="H174" t="n">
        <v>1</v>
      </c>
    </row>
    <row r="175">
      <c r="A175" t="inlineStr">
        <is>
          <t>GR</t>
        </is>
      </c>
      <c r="B175" t="inlineStr">
        <is>
          <t>HIG</t>
        </is>
      </c>
      <c r="C175" t="inlineStr">
        <is>
          <t>ALL</t>
        </is>
      </c>
      <c r="D175" s="3" t="n">
        <v>440880.8156598321</v>
      </c>
      <c r="E175" s="3" t="n">
        <v>440880.8156598321</v>
      </c>
      <c r="F175" s="4" t="n">
        <v>1</v>
      </c>
      <c r="G175" t="n">
        <v>0</v>
      </c>
      <c r="H175" t="n">
        <v>1</v>
      </c>
    </row>
    <row r="176">
      <c r="A176" t="inlineStr">
        <is>
          <t>IL</t>
        </is>
      </c>
      <c r="B176" t="inlineStr">
        <is>
          <t>HIG</t>
        </is>
      </c>
      <c r="C176" t="inlineStr">
        <is>
          <t>ALL</t>
        </is>
      </c>
      <c r="D176" s="3" t="n">
        <v>173120.739177033</v>
      </c>
      <c r="E176" s="3" t="n">
        <v>173120.739177033</v>
      </c>
      <c r="F176" s="4" t="n">
        <v>1</v>
      </c>
      <c r="G176" t="n">
        <v>0</v>
      </c>
      <c r="H176" t="n">
        <v>1</v>
      </c>
    </row>
    <row r="177">
      <c r="A177" t="inlineStr">
        <is>
          <t>IT</t>
        </is>
      </c>
      <c r="B177" t="inlineStr">
        <is>
          <t>HIG</t>
        </is>
      </c>
      <c r="C177" t="inlineStr">
        <is>
          <t>ALL</t>
        </is>
      </c>
      <c r="D177" s="3" t="n">
        <v>2084027.45734743</v>
      </c>
      <c r="E177" s="3" t="n">
        <v>2084027.45734743</v>
      </c>
      <c r="F177" s="4" t="n">
        <v>2</v>
      </c>
      <c r="G177" t="n">
        <v>0</v>
      </c>
      <c r="H177" t="n">
        <v>1</v>
      </c>
    </row>
    <row r="178">
      <c r="A178" t="inlineStr">
        <is>
          <t>LB</t>
        </is>
      </c>
      <c r="B178" t="inlineStr">
        <is>
          <t>HIG</t>
        </is>
      </c>
      <c r="C178" t="inlineStr">
        <is>
          <t>ALL</t>
        </is>
      </c>
      <c r="D178" s="3" t="n">
        <v>1015358.233427097</v>
      </c>
      <c r="E178" s="3" t="n">
        <v>1015358.233427097</v>
      </c>
      <c r="F178" s="4" t="n">
        <v>1</v>
      </c>
      <c r="G178" t="n">
        <v>0</v>
      </c>
      <c r="H178" t="n">
        <v>1</v>
      </c>
    </row>
    <row r="179">
      <c r="A179" t="inlineStr">
        <is>
          <t>MC</t>
        </is>
      </c>
      <c r="B179" t="inlineStr">
        <is>
          <t>HIG</t>
        </is>
      </c>
      <c r="C179" t="inlineStr">
        <is>
          <t>ALL</t>
        </is>
      </c>
      <c r="D179" s="3" t="n">
        <v>15508156.22226567</v>
      </c>
      <c r="E179" s="3" t="n">
        <v>7754078.111132835</v>
      </c>
      <c r="F179" s="4" t="n">
        <v>1</v>
      </c>
      <c r="G179" t="n">
        <v>0</v>
      </c>
      <c r="H179" t="n">
        <v>1</v>
      </c>
    </row>
    <row r="180">
      <c r="A180" t="inlineStr">
        <is>
          <t>MX</t>
        </is>
      </c>
      <c r="B180" t="inlineStr">
        <is>
          <t>HIG</t>
        </is>
      </c>
      <c r="C180" t="inlineStr">
        <is>
          <t>ALL</t>
        </is>
      </c>
      <c r="D180" s="3" t="n">
        <v>529234.5424871021</v>
      </c>
      <c r="E180" s="3" t="n">
        <v>529234.5424871021</v>
      </c>
      <c r="F180" s="4" t="n">
        <v>3</v>
      </c>
      <c r="G180" t="n">
        <v>0</v>
      </c>
      <c r="H180" t="n">
        <v>1</v>
      </c>
    </row>
    <row r="181">
      <c r="A181" t="inlineStr">
        <is>
          <t>US</t>
        </is>
      </c>
      <c r="B181" t="inlineStr">
        <is>
          <t>HIG</t>
        </is>
      </c>
      <c r="C181" t="inlineStr">
        <is>
          <t>ALL</t>
        </is>
      </c>
      <c r="D181" s="3" t="n">
        <v>8090936.363678378</v>
      </c>
      <c r="E181" s="3" t="n">
        <v>7479319.331113446</v>
      </c>
      <c r="F181" s="4" t="n">
        <v>7</v>
      </c>
      <c r="G181" t="n">
        <v>0</v>
      </c>
      <c r="H181" t="n">
        <v>1</v>
      </c>
    </row>
    <row r="182">
      <c r="A182" t="inlineStr">
        <is>
          <t>AE</t>
        </is>
      </c>
      <c r="B182" t="inlineStr">
        <is>
          <t>HIG</t>
        </is>
      </c>
      <c r="C182" t="inlineStr">
        <is>
          <t>ALL</t>
        </is>
      </c>
      <c r="D182" s="3" t="n">
        <v>1062556002.114713</v>
      </c>
      <c r="E182" s="3" t="n">
        <v>1062556002.114713</v>
      </c>
      <c r="F182" s="4" t="n">
        <v>279</v>
      </c>
      <c r="G182" t="n">
        <v>1</v>
      </c>
      <c r="H182" t="n">
        <v>1</v>
      </c>
    </row>
    <row r="183">
      <c r="A183" t="inlineStr">
        <is>
          <t>AR</t>
        </is>
      </c>
      <c r="B183" t="inlineStr">
        <is>
          <t>HIG</t>
        </is>
      </c>
      <c r="C183" t="inlineStr">
        <is>
          <t>ALL</t>
        </is>
      </c>
      <c r="D183" s="3" t="n">
        <v>297023806.1684403</v>
      </c>
      <c r="E183" s="3" t="n">
        <v>189645032.6108414</v>
      </c>
      <c r="F183" s="4" t="n">
        <v>43</v>
      </c>
      <c r="G183" t="n">
        <v>1</v>
      </c>
      <c r="H183" t="n">
        <v>1</v>
      </c>
    </row>
    <row r="184">
      <c r="A184" t="inlineStr">
        <is>
          <t>AT</t>
        </is>
      </c>
      <c r="B184" t="inlineStr">
        <is>
          <t>HIG</t>
        </is>
      </c>
      <c r="C184" t="inlineStr">
        <is>
          <t>ALL</t>
        </is>
      </c>
      <c r="D184" s="3" t="n">
        <v>14816298.53194058</v>
      </c>
      <c r="E184" s="3" t="n">
        <v>14816298.53194058</v>
      </c>
      <c r="F184" s="4" t="n">
        <v>5</v>
      </c>
      <c r="G184" t="n">
        <v>1</v>
      </c>
      <c r="H184" t="n">
        <v>1</v>
      </c>
    </row>
    <row r="185">
      <c r="A185" t="inlineStr">
        <is>
          <t>BE</t>
        </is>
      </c>
      <c r="B185" t="inlineStr">
        <is>
          <t>HIG</t>
        </is>
      </c>
      <c r="C185" t="inlineStr">
        <is>
          <t>ALL</t>
        </is>
      </c>
      <c r="D185" s="3" t="n">
        <v>240874332.8349634</v>
      </c>
      <c r="E185" s="3" t="n">
        <v>224562076.7794835</v>
      </c>
      <c r="F185" s="4" t="n">
        <v>46</v>
      </c>
      <c r="G185" t="n">
        <v>1</v>
      </c>
      <c r="H185" t="n">
        <v>1</v>
      </c>
    </row>
    <row r="186">
      <c r="A186" t="inlineStr">
        <is>
          <t>BH</t>
        </is>
      </c>
      <c r="B186" t="inlineStr">
        <is>
          <t>HIG</t>
        </is>
      </c>
      <c r="C186" t="inlineStr">
        <is>
          <t>ALL</t>
        </is>
      </c>
      <c r="D186" s="3" t="n">
        <v>48758017.15579361</v>
      </c>
      <c r="E186" s="3" t="n">
        <v>24379008.57789681</v>
      </c>
      <c r="F186" s="4" t="n">
        <v>1</v>
      </c>
      <c r="G186" t="n">
        <v>1</v>
      </c>
      <c r="H186" t="n">
        <v>1</v>
      </c>
    </row>
    <row r="187">
      <c r="A187" t="inlineStr">
        <is>
          <t>BL</t>
        </is>
      </c>
      <c r="B187" t="inlineStr">
        <is>
          <t>HIG</t>
        </is>
      </c>
      <c r="C187" t="inlineStr">
        <is>
          <t>ALL</t>
        </is>
      </c>
      <c r="D187" s="3" t="n">
        <v>86000.84237127511</v>
      </c>
      <c r="E187" s="3" t="n">
        <v>86000.84237127511</v>
      </c>
      <c r="F187" s="4" t="n">
        <v>1</v>
      </c>
      <c r="G187" t="n">
        <v>1</v>
      </c>
      <c r="H187" t="n">
        <v>1</v>
      </c>
    </row>
    <row r="188">
      <c r="A188" t="inlineStr">
        <is>
          <t>BM</t>
        </is>
      </c>
      <c r="B188" t="inlineStr">
        <is>
          <t>HIG</t>
        </is>
      </c>
      <c r="C188" t="inlineStr">
        <is>
          <t>ALL</t>
        </is>
      </c>
      <c r="D188" s="3" t="n">
        <v>2503354.460130265</v>
      </c>
      <c r="E188" s="3" t="n">
        <v>2503354.460130265</v>
      </c>
      <c r="F188" s="4" t="n">
        <v>3</v>
      </c>
      <c r="G188" t="n">
        <v>1</v>
      </c>
      <c r="H188" t="n">
        <v>1</v>
      </c>
    </row>
    <row r="189">
      <c r="A189" t="inlineStr">
        <is>
          <t>BN</t>
        </is>
      </c>
      <c r="B189" t="inlineStr">
        <is>
          <t>HIG</t>
        </is>
      </c>
      <c r="C189" t="inlineStr">
        <is>
          <t>ALL</t>
        </is>
      </c>
      <c r="D189" s="3" t="n">
        <v>689718.795409077</v>
      </c>
      <c r="E189" s="3" t="n">
        <v>689718.795409077</v>
      </c>
      <c r="F189" s="4" t="n">
        <v>1</v>
      </c>
      <c r="G189" t="n">
        <v>1</v>
      </c>
      <c r="H189" t="n">
        <v>1</v>
      </c>
    </row>
    <row r="190">
      <c r="A190" t="inlineStr">
        <is>
          <t>BR</t>
        </is>
      </c>
      <c r="B190" t="inlineStr">
        <is>
          <t>HIG</t>
        </is>
      </c>
      <c r="C190" t="inlineStr">
        <is>
          <t>ALL</t>
        </is>
      </c>
      <c r="D190" s="3" t="n">
        <v>140763762.7410762</v>
      </c>
      <c r="E190" s="3" t="n">
        <v>121643044.1682938</v>
      </c>
      <c r="F190" s="4" t="n">
        <v>34</v>
      </c>
      <c r="G190" t="n">
        <v>1</v>
      </c>
      <c r="H190" t="n">
        <v>1</v>
      </c>
    </row>
    <row r="191">
      <c r="A191" t="inlineStr">
        <is>
          <t>BS</t>
        </is>
      </c>
      <c r="B191" t="inlineStr">
        <is>
          <t>HIG</t>
        </is>
      </c>
      <c r="C191" t="inlineStr">
        <is>
          <t>ALL</t>
        </is>
      </c>
      <c r="D191" s="3" t="n">
        <v>414613.5453447705</v>
      </c>
      <c r="E191" s="3" t="n">
        <v>414613.5453447705</v>
      </c>
      <c r="F191" s="4" t="n">
        <v>4</v>
      </c>
      <c r="G191" t="n">
        <v>1</v>
      </c>
      <c r="H191" t="n">
        <v>1</v>
      </c>
    </row>
    <row r="192">
      <c r="A192" t="inlineStr">
        <is>
          <t>CA</t>
        </is>
      </c>
      <c r="B192" t="inlineStr">
        <is>
          <t>HIG</t>
        </is>
      </c>
      <c r="C192" t="inlineStr">
        <is>
          <t>ALL</t>
        </is>
      </c>
      <c r="D192" s="3" t="n">
        <v>10203767.31644391</v>
      </c>
      <c r="E192" s="3" t="n">
        <v>10203767.31644391</v>
      </c>
      <c r="F192" s="4" t="n">
        <v>4</v>
      </c>
      <c r="G192" t="n">
        <v>1</v>
      </c>
      <c r="H192" t="n">
        <v>1</v>
      </c>
    </row>
    <row r="193">
      <c r="A193" t="inlineStr">
        <is>
          <t>CH</t>
        </is>
      </c>
      <c r="B193" t="inlineStr">
        <is>
          <t>HIG</t>
        </is>
      </c>
      <c r="C193" t="inlineStr">
        <is>
          <t>ALL</t>
        </is>
      </c>
      <c r="D193" s="3" t="n">
        <v>803168381.2185791</v>
      </c>
      <c r="E193" s="3" t="n">
        <v>605641417.5350479</v>
      </c>
      <c r="F193" s="4" t="n">
        <v>128</v>
      </c>
      <c r="G193" t="n">
        <v>1</v>
      </c>
      <c r="H193" t="n">
        <v>1</v>
      </c>
    </row>
    <row r="194">
      <c r="A194" t="inlineStr">
        <is>
          <t>CL</t>
        </is>
      </c>
      <c r="B194" t="inlineStr">
        <is>
          <t>HIG</t>
        </is>
      </c>
      <c r="C194" t="inlineStr">
        <is>
          <t>ALL</t>
        </is>
      </c>
      <c r="D194" s="3" t="n">
        <v>45554605.58973516</v>
      </c>
      <c r="E194" s="3" t="n">
        <v>26818860.09115663</v>
      </c>
      <c r="F194" s="4" t="n">
        <v>7</v>
      </c>
      <c r="G194" t="n">
        <v>1</v>
      </c>
      <c r="H194" t="n">
        <v>1</v>
      </c>
    </row>
    <row r="195">
      <c r="A195" t="inlineStr">
        <is>
          <t>CN</t>
        </is>
      </c>
      <c r="B195" t="inlineStr">
        <is>
          <t>HIG</t>
        </is>
      </c>
      <c r="C195" t="inlineStr">
        <is>
          <t>ALL</t>
        </is>
      </c>
      <c r="D195" s="3" t="n">
        <v>3916986.040704583</v>
      </c>
      <c r="E195" s="3" t="n">
        <v>3916986.040704583</v>
      </c>
      <c r="F195" s="4" t="n">
        <v>10</v>
      </c>
      <c r="G195" t="n">
        <v>1</v>
      </c>
      <c r="H195" t="n">
        <v>1</v>
      </c>
    </row>
    <row r="196">
      <c r="A196" t="inlineStr">
        <is>
          <t>CO</t>
        </is>
      </c>
      <c r="B196" t="inlineStr">
        <is>
          <t>HIG</t>
        </is>
      </c>
      <c r="C196" t="inlineStr">
        <is>
          <t>ALL</t>
        </is>
      </c>
      <c r="D196" s="3" t="n">
        <v>35952728.71132237</v>
      </c>
      <c r="E196" s="3" t="n">
        <v>35952728.71132237</v>
      </c>
      <c r="F196" s="4" t="n">
        <v>20</v>
      </c>
      <c r="G196" t="n">
        <v>1</v>
      </c>
      <c r="H196" t="n">
        <v>1</v>
      </c>
    </row>
    <row r="197">
      <c r="A197" t="inlineStr">
        <is>
          <t>CR</t>
        </is>
      </c>
      <c r="B197" t="inlineStr">
        <is>
          <t>HIG</t>
        </is>
      </c>
      <c r="C197" t="inlineStr">
        <is>
          <t>ALL</t>
        </is>
      </c>
      <c r="D197" s="3" t="n">
        <v>5652499.285488652</v>
      </c>
      <c r="E197" s="3" t="n">
        <v>5652499.285488652</v>
      </c>
      <c r="F197" s="4" t="n">
        <v>3</v>
      </c>
      <c r="G197" t="n">
        <v>1</v>
      </c>
      <c r="H197" t="n">
        <v>1</v>
      </c>
    </row>
    <row r="198">
      <c r="A198" t="inlineStr">
        <is>
          <t>CY</t>
        </is>
      </c>
      <c r="B198" t="inlineStr">
        <is>
          <t>HIG</t>
        </is>
      </c>
      <c r="C198" t="inlineStr">
        <is>
          <t>ALL</t>
        </is>
      </c>
      <c r="D198" s="3" t="n">
        <v>18160956.01198129</v>
      </c>
      <c r="E198" s="3" t="n">
        <v>18160956.01198129</v>
      </c>
      <c r="F198" s="4" t="n">
        <v>3</v>
      </c>
      <c r="G198" t="n">
        <v>1</v>
      </c>
      <c r="H198" t="n">
        <v>1</v>
      </c>
    </row>
    <row r="199">
      <c r="A199" t="inlineStr">
        <is>
          <t>CZ</t>
        </is>
      </c>
      <c r="B199" t="inlineStr">
        <is>
          <t>HIG</t>
        </is>
      </c>
      <c r="C199" t="inlineStr">
        <is>
          <t>ALL</t>
        </is>
      </c>
      <c r="D199" s="3" t="n">
        <v>3127771.655372374</v>
      </c>
      <c r="E199" s="3" t="n">
        <v>3127771.655372374</v>
      </c>
      <c r="F199" s="4" t="n">
        <v>2</v>
      </c>
      <c r="G199" t="n">
        <v>1</v>
      </c>
      <c r="H199" t="n">
        <v>1</v>
      </c>
    </row>
    <row r="200">
      <c r="A200" t="inlineStr">
        <is>
          <t>DE</t>
        </is>
      </c>
      <c r="B200" t="inlineStr">
        <is>
          <t>HIG</t>
        </is>
      </c>
      <c r="C200" t="inlineStr">
        <is>
          <t>ALL</t>
        </is>
      </c>
      <c r="D200" s="3" t="n">
        <v>105331364.3028009</v>
      </c>
      <c r="E200" s="3" t="n">
        <v>86362741.31659475</v>
      </c>
      <c r="F200" s="4" t="n">
        <v>25</v>
      </c>
      <c r="G200" t="n">
        <v>1</v>
      </c>
      <c r="H200" t="n">
        <v>1</v>
      </c>
    </row>
    <row r="201">
      <c r="A201" t="inlineStr">
        <is>
          <t>DK</t>
        </is>
      </c>
      <c r="B201" t="inlineStr">
        <is>
          <t>HIG</t>
        </is>
      </c>
      <c r="C201" t="inlineStr">
        <is>
          <t>ALL</t>
        </is>
      </c>
      <c r="D201" s="3" t="n">
        <v>1235330.777128869</v>
      </c>
      <c r="E201" s="3" t="n">
        <v>1235330.777128869</v>
      </c>
      <c r="F201" s="4" t="n">
        <v>2</v>
      </c>
      <c r="G201" t="n">
        <v>1</v>
      </c>
      <c r="H201" t="n">
        <v>1</v>
      </c>
    </row>
    <row r="202">
      <c r="A202" t="inlineStr">
        <is>
          <t>DO</t>
        </is>
      </c>
      <c r="B202" t="inlineStr">
        <is>
          <t>HIG</t>
        </is>
      </c>
      <c r="C202" t="inlineStr">
        <is>
          <t>ALL</t>
        </is>
      </c>
      <c r="D202" s="3" t="n">
        <v>42267857.80927065</v>
      </c>
      <c r="E202" s="3" t="n">
        <v>42267857.80927065</v>
      </c>
      <c r="F202" s="4" t="n">
        <v>4</v>
      </c>
      <c r="G202" t="n">
        <v>1</v>
      </c>
      <c r="H202" t="n">
        <v>1</v>
      </c>
    </row>
    <row r="203">
      <c r="A203" t="inlineStr">
        <is>
          <t>EC</t>
        </is>
      </c>
      <c r="B203" t="inlineStr">
        <is>
          <t>HIG</t>
        </is>
      </c>
      <c r="C203" t="inlineStr">
        <is>
          <t>ALL</t>
        </is>
      </c>
      <c r="D203" s="3" t="n">
        <v>3658961.581852917</v>
      </c>
      <c r="E203" s="3" t="n">
        <v>3658961.581852917</v>
      </c>
      <c r="F203" s="4" t="n">
        <v>5</v>
      </c>
      <c r="G203" t="n">
        <v>1</v>
      </c>
      <c r="H203" t="n">
        <v>1</v>
      </c>
    </row>
    <row r="204">
      <c r="A204" t="inlineStr">
        <is>
          <t>ES</t>
        </is>
      </c>
      <c r="B204" t="inlineStr">
        <is>
          <t>HIG</t>
        </is>
      </c>
      <c r="C204" t="inlineStr">
        <is>
          <t>ALL</t>
        </is>
      </c>
      <c r="D204" s="3" t="n">
        <v>182332952.5866003</v>
      </c>
      <c r="E204" s="3" t="n">
        <v>171472810.9156403</v>
      </c>
      <c r="F204" s="4" t="n">
        <v>53</v>
      </c>
      <c r="G204" t="n">
        <v>1</v>
      </c>
      <c r="H204" t="n">
        <v>1</v>
      </c>
    </row>
    <row r="205">
      <c r="A205" t="inlineStr">
        <is>
          <t>FI</t>
        </is>
      </c>
      <c r="B205" t="inlineStr">
        <is>
          <t>HIG</t>
        </is>
      </c>
      <c r="C205" t="inlineStr">
        <is>
          <t>ALL</t>
        </is>
      </c>
      <c r="D205" s="3" t="n">
        <v>420228.3427849395</v>
      </c>
      <c r="E205" s="3" t="n">
        <v>420228.3427849395</v>
      </c>
      <c r="F205" s="4" t="n">
        <v>2</v>
      </c>
      <c r="G205" t="n">
        <v>1</v>
      </c>
      <c r="H205" t="n">
        <v>1</v>
      </c>
    </row>
    <row r="206">
      <c r="A206" t="inlineStr">
        <is>
          <t>FR</t>
        </is>
      </c>
      <c r="B206" t="inlineStr">
        <is>
          <t>HIG</t>
        </is>
      </c>
      <c r="C206" t="inlineStr">
        <is>
          <t>ALL</t>
        </is>
      </c>
      <c r="D206" s="3" t="n">
        <v>1578328507.206252</v>
      </c>
      <c r="E206" s="3" t="n">
        <v>1197465775.5506</v>
      </c>
      <c r="F206" s="4" t="n">
        <v>242</v>
      </c>
      <c r="G206" t="n">
        <v>1</v>
      </c>
      <c r="H206" t="n">
        <v>1</v>
      </c>
    </row>
    <row r="207">
      <c r="A207" t="inlineStr">
        <is>
          <t>GB</t>
        </is>
      </c>
      <c r="B207" t="inlineStr">
        <is>
          <t>HIG</t>
        </is>
      </c>
      <c r="C207" t="inlineStr">
        <is>
          <t>ALL</t>
        </is>
      </c>
      <c r="D207" s="3" t="n">
        <v>1673508321.017862</v>
      </c>
      <c r="E207" s="3" t="n">
        <v>1328303336.29048</v>
      </c>
      <c r="F207" s="4" t="n">
        <v>267</v>
      </c>
      <c r="G207" t="n">
        <v>1</v>
      </c>
      <c r="H207" t="n">
        <v>1</v>
      </c>
    </row>
    <row r="208">
      <c r="A208" t="inlineStr">
        <is>
          <t>GI</t>
        </is>
      </c>
      <c r="B208" t="inlineStr">
        <is>
          <t>HIG</t>
        </is>
      </c>
      <c r="C208" t="inlineStr">
        <is>
          <t>ALL</t>
        </is>
      </c>
      <c r="D208" s="3" t="n">
        <v>87605600.82883313</v>
      </c>
      <c r="E208" s="3" t="n">
        <v>43802800.41441657</v>
      </c>
      <c r="F208" s="4" t="n">
        <v>1</v>
      </c>
      <c r="G208" t="n">
        <v>1</v>
      </c>
      <c r="H208" t="n">
        <v>1</v>
      </c>
    </row>
    <row r="209">
      <c r="A209" t="inlineStr">
        <is>
          <t>GR</t>
        </is>
      </c>
      <c r="B209" t="inlineStr">
        <is>
          <t>HIG</t>
        </is>
      </c>
      <c r="C209" t="inlineStr">
        <is>
          <t>ALL</t>
        </is>
      </c>
      <c r="D209" s="3" t="n">
        <v>184847362.4956104</v>
      </c>
      <c r="E209" s="3" t="n">
        <v>159372385.2010888</v>
      </c>
      <c r="F209" s="4" t="n">
        <v>29</v>
      </c>
      <c r="G209" t="n">
        <v>1</v>
      </c>
      <c r="H209" t="n">
        <v>1</v>
      </c>
    </row>
    <row r="210">
      <c r="A210" t="inlineStr">
        <is>
          <t>GT</t>
        </is>
      </c>
      <c r="B210" t="inlineStr">
        <is>
          <t>HIG</t>
        </is>
      </c>
      <c r="C210" t="inlineStr">
        <is>
          <t>ALL</t>
        </is>
      </c>
      <c r="D210" s="3" t="n">
        <v>42363434.16718062</v>
      </c>
      <c r="E210" s="3" t="n">
        <v>42363434.16718062</v>
      </c>
      <c r="F210" s="4" t="n">
        <v>4</v>
      </c>
      <c r="G210" t="n">
        <v>1</v>
      </c>
      <c r="H210" t="n">
        <v>1</v>
      </c>
    </row>
    <row r="211">
      <c r="A211" t="inlineStr">
        <is>
          <t>HK</t>
        </is>
      </c>
      <c r="B211" t="inlineStr">
        <is>
          <t>HIG</t>
        </is>
      </c>
      <c r="C211" t="inlineStr">
        <is>
          <t>ALL</t>
        </is>
      </c>
      <c r="D211" s="3" t="n">
        <v>53688481.1007048</v>
      </c>
      <c r="E211" s="3" t="n">
        <v>40506921.81130512</v>
      </c>
      <c r="F211" s="4" t="n">
        <v>13</v>
      </c>
      <c r="G211" t="n">
        <v>1</v>
      </c>
      <c r="H211" t="n">
        <v>1</v>
      </c>
    </row>
    <row r="212">
      <c r="A212" t="inlineStr">
        <is>
          <t>HU</t>
        </is>
      </c>
      <c r="B212" t="inlineStr">
        <is>
          <t>HIG</t>
        </is>
      </c>
      <c r="C212" t="inlineStr">
        <is>
          <t>ALL</t>
        </is>
      </c>
      <c r="D212" s="3" t="n">
        <v>5006424.162739362</v>
      </c>
      <c r="E212" s="3" t="n">
        <v>5006424.162739362</v>
      </c>
      <c r="F212" s="4" t="n">
        <v>2</v>
      </c>
      <c r="G212" t="n">
        <v>1</v>
      </c>
      <c r="H212" t="n">
        <v>1</v>
      </c>
    </row>
    <row r="213">
      <c r="A213" t="inlineStr">
        <is>
          <t>IE</t>
        </is>
      </c>
      <c r="B213" t="inlineStr">
        <is>
          <t>HIG</t>
        </is>
      </c>
      <c r="C213" t="inlineStr">
        <is>
          <t>ALL</t>
        </is>
      </c>
      <c r="D213" s="3" t="n">
        <v>12496403.25886408</v>
      </c>
      <c r="E213" s="3" t="n">
        <v>12496403.25886408</v>
      </c>
      <c r="F213" s="4" t="n">
        <v>3</v>
      </c>
      <c r="G213" t="n">
        <v>1</v>
      </c>
      <c r="H213" t="n">
        <v>1</v>
      </c>
    </row>
    <row r="214">
      <c r="A214" t="inlineStr">
        <is>
          <t>IL</t>
        </is>
      </c>
      <c r="B214" t="inlineStr">
        <is>
          <t>HIG</t>
        </is>
      </c>
      <c r="C214" t="inlineStr">
        <is>
          <t>ALL</t>
        </is>
      </c>
      <c r="D214" s="3" t="n">
        <v>31698132.1100163</v>
      </c>
      <c r="E214" s="3" t="n">
        <v>31698132.1100163</v>
      </c>
      <c r="F214" s="4" t="n">
        <v>23</v>
      </c>
      <c r="G214" t="n">
        <v>1</v>
      </c>
      <c r="H214" t="n">
        <v>1</v>
      </c>
    </row>
    <row r="215">
      <c r="A215" t="inlineStr">
        <is>
          <t>IN</t>
        </is>
      </c>
      <c r="B215" t="inlineStr">
        <is>
          <t>HIG</t>
        </is>
      </c>
      <c r="C215" t="inlineStr">
        <is>
          <t>ALL</t>
        </is>
      </c>
      <c r="D215" s="3" t="n">
        <v>152562.6513635873</v>
      </c>
      <c r="E215" s="3" t="n">
        <v>152562.6513635873</v>
      </c>
      <c r="F215" s="4" t="n">
        <v>1</v>
      </c>
      <c r="G215" t="n">
        <v>1</v>
      </c>
      <c r="H215" t="n">
        <v>1</v>
      </c>
    </row>
    <row r="216">
      <c r="A216" t="inlineStr">
        <is>
          <t>IS</t>
        </is>
      </c>
      <c r="B216" t="inlineStr">
        <is>
          <t>HIG</t>
        </is>
      </c>
      <c r="C216" t="inlineStr">
        <is>
          <t>ALL</t>
        </is>
      </c>
      <c r="D216" s="3" t="n">
        <v>297906.1056875106</v>
      </c>
      <c r="E216" s="3" t="n">
        <v>297906.1056875106</v>
      </c>
      <c r="F216" s="4" t="n">
        <v>1</v>
      </c>
      <c r="G216" t="n">
        <v>1</v>
      </c>
      <c r="H216" t="n">
        <v>1</v>
      </c>
    </row>
    <row r="217">
      <c r="A217" t="inlineStr">
        <is>
          <t>IT</t>
        </is>
      </c>
      <c r="B217" t="inlineStr">
        <is>
          <t>HIG</t>
        </is>
      </c>
      <c r="C217" t="inlineStr">
        <is>
          <t>ALL</t>
        </is>
      </c>
      <c r="D217" s="3" t="n">
        <v>436331749.4502796</v>
      </c>
      <c r="E217" s="3" t="n">
        <v>313390123.0342976</v>
      </c>
      <c r="F217" s="4" t="n">
        <v>84</v>
      </c>
      <c r="G217" t="n">
        <v>1</v>
      </c>
      <c r="H217" t="n">
        <v>1</v>
      </c>
    </row>
    <row r="218">
      <c r="A218" t="inlineStr">
        <is>
          <t>JE</t>
        </is>
      </c>
      <c r="B218" t="inlineStr">
        <is>
          <t>HIG</t>
        </is>
      </c>
      <c r="C218" t="inlineStr">
        <is>
          <t>ALL</t>
        </is>
      </c>
      <c r="D218" s="3" t="n">
        <v>11243915.83808421</v>
      </c>
      <c r="E218" s="3" t="n">
        <v>11243915.83808421</v>
      </c>
      <c r="F218" s="4" t="n">
        <v>2</v>
      </c>
      <c r="G218" t="n">
        <v>1</v>
      </c>
      <c r="H218" t="n">
        <v>1</v>
      </c>
    </row>
    <row r="219">
      <c r="A219" t="inlineStr">
        <is>
          <t>JO</t>
        </is>
      </c>
      <c r="B219" t="inlineStr">
        <is>
          <t>HIG</t>
        </is>
      </c>
      <c r="C219" t="inlineStr">
        <is>
          <t>ALL</t>
        </is>
      </c>
      <c r="D219" s="3" t="n">
        <v>34089.27515079943</v>
      </c>
      <c r="E219" s="3" t="n">
        <v>34089.27515079943</v>
      </c>
      <c r="F219" s="4" t="n">
        <v>1</v>
      </c>
      <c r="G219" t="n">
        <v>1</v>
      </c>
      <c r="H219" t="n">
        <v>1</v>
      </c>
    </row>
    <row r="220">
      <c r="A220" t="inlineStr">
        <is>
          <t>JP</t>
        </is>
      </c>
      <c r="B220" t="inlineStr">
        <is>
          <t>HIG</t>
        </is>
      </c>
      <c r="C220" t="inlineStr">
        <is>
          <t>ALL</t>
        </is>
      </c>
      <c r="D220" s="3" t="n">
        <v>247759313.0161406</v>
      </c>
      <c r="E220" s="3" t="n">
        <v>144497318.7397525</v>
      </c>
      <c r="F220" s="4" t="n">
        <v>42</v>
      </c>
      <c r="G220" t="n">
        <v>1</v>
      </c>
      <c r="H220" t="n">
        <v>1</v>
      </c>
    </row>
    <row r="221">
      <c r="A221" t="inlineStr">
        <is>
          <t>KE</t>
        </is>
      </c>
      <c r="B221" t="inlineStr">
        <is>
          <t>HIG</t>
        </is>
      </c>
      <c r="C221" t="inlineStr">
        <is>
          <t>ALL</t>
        </is>
      </c>
      <c r="D221" s="3" t="n">
        <v>271222.4913130463</v>
      </c>
      <c r="E221" s="3" t="n">
        <v>271222.4913130463</v>
      </c>
      <c r="F221" s="4" t="n">
        <v>1</v>
      </c>
      <c r="G221" t="n">
        <v>1</v>
      </c>
      <c r="H221" t="n">
        <v>1</v>
      </c>
    </row>
    <row r="222">
      <c r="A222" t="inlineStr">
        <is>
          <t>KR</t>
        </is>
      </c>
      <c r="B222" t="inlineStr">
        <is>
          <t>HIG</t>
        </is>
      </c>
      <c r="C222" t="inlineStr">
        <is>
          <t>ALL</t>
        </is>
      </c>
      <c r="D222" s="3" t="n">
        <v>18862468.2982596</v>
      </c>
      <c r="E222" s="3" t="n">
        <v>18862468.2982596</v>
      </c>
      <c r="F222" s="4" t="n">
        <v>22</v>
      </c>
      <c r="G222" t="n">
        <v>1</v>
      </c>
      <c r="H222" t="n">
        <v>1</v>
      </c>
    </row>
    <row r="223">
      <c r="A223" t="inlineStr">
        <is>
          <t>LB</t>
        </is>
      </c>
      <c r="B223" t="inlineStr">
        <is>
          <t>HIG</t>
        </is>
      </c>
      <c r="C223" t="inlineStr">
        <is>
          <t>ALL</t>
        </is>
      </c>
      <c r="D223" s="3" t="n">
        <v>34755090.84232997</v>
      </c>
      <c r="E223" s="3" t="n">
        <v>34755090.84232997</v>
      </c>
      <c r="F223" s="4" t="n">
        <v>8</v>
      </c>
      <c r="G223" t="n">
        <v>1</v>
      </c>
      <c r="H223" t="n">
        <v>1</v>
      </c>
    </row>
    <row r="224">
      <c r="A224" t="inlineStr">
        <is>
          <t>LK</t>
        </is>
      </c>
      <c r="B224" t="inlineStr">
        <is>
          <t>HIG</t>
        </is>
      </c>
      <c r="C224" t="inlineStr">
        <is>
          <t>ALL</t>
        </is>
      </c>
      <c r="D224" s="3" t="n">
        <v>112110.779343853</v>
      </c>
      <c r="E224" s="3" t="n">
        <v>112110.779343853</v>
      </c>
      <c r="F224" s="4" t="n">
        <v>1</v>
      </c>
      <c r="G224" t="n">
        <v>1</v>
      </c>
      <c r="H224" t="n">
        <v>1</v>
      </c>
    </row>
    <row r="225">
      <c r="A225" t="inlineStr">
        <is>
          <t>LU</t>
        </is>
      </c>
      <c r="B225" t="inlineStr">
        <is>
          <t>HIG</t>
        </is>
      </c>
      <c r="C225" t="inlineStr">
        <is>
          <t>ALL</t>
        </is>
      </c>
      <c r="D225" s="3" t="n">
        <v>7386908.295803943</v>
      </c>
      <c r="E225" s="3" t="n">
        <v>7386908.295803943</v>
      </c>
      <c r="F225" s="4" t="n">
        <v>2</v>
      </c>
      <c r="G225" t="n">
        <v>1</v>
      </c>
      <c r="H225" t="n">
        <v>1</v>
      </c>
    </row>
    <row r="226">
      <c r="A226" t="inlineStr">
        <is>
          <t>MA</t>
        </is>
      </c>
      <c r="B226" t="inlineStr">
        <is>
          <t>HIG</t>
        </is>
      </c>
      <c r="C226" t="inlineStr">
        <is>
          <t>ALL</t>
        </is>
      </c>
      <c r="D226" s="3" t="n">
        <v>104752861.5100903</v>
      </c>
      <c r="E226" s="3" t="n">
        <v>104464326.9448799</v>
      </c>
      <c r="F226" s="4" t="n">
        <v>9</v>
      </c>
      <c r="G226" t="n">
        <v>1</v>
      </c>
      <c r="H226" t="n">
        <v>1</v>
      </c>
    </row>
    <row r="227">
      <c r="A227" t="inlineStr">
        <is>
          <t>MC</t>
        </is>
      </c>
      <c r="B227" t="inlineStr">
        <is>
          <t>HIG</t>
        </is>
      </c>
      <c r="C227" t="inlineStr">
        <is>
          <t>ALL</t>
        </is>
      </c>
      <c r="D227" s="3" t="n">
        <v>92410741.72600748</v>
      </c>
      <c r="E227" s="3" t="n">
        <v>61851873.04191176</v>
      </c>
      <c r="F227" s="4" t="n">
        <v>12</v>
      </c>
      <c r="G227" t="n">
        <v>1</v>
      </c>
      <c r="H227" t="n">
        <v>1</v>
      </c>
    </row>
    <row r="228">
      <c r="A228" t="inlineStr">
        <is>
          <t>MU</t>
        </is>
      </c>
      <c r="B228" t="inlineStr">
        <is>
          <t>HIG</t>
        </is>
      </c>
      <c r="C228" t="inlineStr">
        <is>
          <t>ALL</t>
        </is>
      </c>
      <c r="D228" s="3" t="n">
        <v>2789129.059552643</v>
      </c>
      <c r="E228" s="3" t="n">
        <v>2789129.059552643</v>
      </c>
      <c r="F228" s="4" t="n">
        <v>1</v>
      </c>
      <c r="G228" t="n">
        <v>1</v>
      </c>
      <c r="H228" t="n">
        <v>1</v>
      </c>
    </row>
    <row r="229">
      <c r="A229" t="inlineStr">
        <is>
          <t>MX</t>
        </is>
      </c>
      <c r="B229" t="inlineStr">
        <is>
          <t>HIG</t>
        </is>
      </c>
      <c r="C229" t="inlineStr">
        <is>
          <t>ALL</t>
        </is>
      </c>
      <c r="D229" s="3" t="n">
        <v>354567766.8301944</v>
      </c>
      <c r="E229" s="3" t="n">
        <v>323321380.5034634</v>
      </c>
      <c r="F229" s="4" t="n">
        <v>90</v>
      </c>
      <c r="G229" t="n">
        <v>1</v>
      </c>
      <c r="H229" t="n">
        <v>1</v>
      </c>
    </row>
    <row r="230">
      <c r="A230" t="inlineStr">
        <is>
          <t>MY</t>
        </is>
      </c>
      <c r="B230" t="inlineStr">
        <is>
          <t>HIG</t>
        </is>
      </c>
      <c r="C230" t="inlineStr">
        <is>
          <t>ALL</t>
        </is>
      </c>
      <c r="D230" s="3" t="n">
        <v>477218.3697107356</v>
      </c>
      <c r="E230" s="3" t="n">
        <v>477218.3697107356</v>
      </c>
      <c r="F230" s="4" t="n">
        <v>1</v>
      </c>
      <c r="G230" t="n">
        <v>1</v>
      </c>
      <c r="H230" t="n">
        <v>1</v>
      </c>
    </row>
    <row r="231">
      <c r="A231" t="inlineStr">
        <is>
          <t>NL</t>
        </is>
      </c>
      <c r="B231" t="inlineStr">
        <is>
          <t>HIG</t>
        </is>
      </c>
      <c r="C231" t="inlineStr">
        <is>
          <t>ALL</t>
        </is>
      </c>
      <c r="D231" s="3" t="n">
        <v>30942588.55304986</v>
      </c>
      <c r="E231" s="3" t="n">
        <v>23013341.31303199</v>
      </c>
      <c r="F231" s="4" t="n">
        <v>13</v>
      </c>
      <c r="G231" t="n">
        <v>1</v>
      </c>
      <c r="H231" t="n">
        <v>1</v>
      </c>
    </row>
    <row r="232">
      <c r="A232" t="inlineStr">
        <is>
          <t>NO</t>
        </is>
      </c>
      <c r="B232" t="inlineStr">
        <is>
          <t>HIG</t>
        </is>
      </c>
      <c r="C232" t="inlineStr">
        <is>
          <t>ALL</t>
        </is>
      </c>
      <c r="D232" s="3" t="n">
        <v>1027479.342383309</v>
      </c>
      <c r="E232" s="3" t="n">
        <v>1027479.342383309</v>
      </c>
      <c r="F232" s="4" t="n">
        <v>2</v>
      </c>
      <c r="G232" t="n">
        <v>1</v>
      </c>
      <c r="H232" t="n">
        <v>1</v>
      </c>
    </row>
    <row r="233">
      <c r="A233" t="inlineStr">
        <is>
          <t>NZ</t>
        </is>
      </c>
      <c r="B233" t="inlineStr">
        <is>
          <t>HIG</t>
        </is>
      </c>
      <c r="C233" t="inlineStr">
        <is>
          <t>ALL</t>
        </is>
      </c>
      <c r="D233" s="3" t="n">
        <v>7689415.529716157</v>
      </c>
      <c r="E233" s="3" t="n">
        <v>7689415.529716157</v>
      </c>
      <c r="F233" s="4" t="n">
        <v>5</v>
      </c>
      <c r="G233" t="n">
        <v>1</v>
      </c>
      <c r="H233" t="n">
        <v>1</v>
      </c>
    </row>
    <row r="234">
      <c r="A234" t="inlineStr">
        <is>
          <t>OM</t>
        </is>
      </c>
      <c r="B234" t="inlineStr">
        <is>
          <t>HIG</t>
        </is>
      </c>
      <c r="C234" t="inlineStr">
        <is>
          <t>ALL</t>
        </is>
      </c>
      <c r="D234" s="3" t="n">
        <v>4820255.427439487</v>
      </c>
      <c r="E234" s="3" t="n">
        <v>4820255.427439487</v>
      </c>
      <c r="F234" s="4" t="n">
        <v>2</v>
      </c>
      <c r="G234" t="n">
        <v>1</v>
      </c>
      <c r="H234" t="n">
        <v>1</v>
      </c>
    </row>
    <row r="235">
      <c r="A235" t="inlineStr">
        <is>
          <t>PA</t>
        </is>
      </c>
      <c r="B235" t="inlineStr">
        <is>
          <t>HIG</t>
        </is>
      </c>
      <c r="C235" t="inlineStr">
        <is>
          <t>ALL</t>
        </is>
      </c>
      <c r="D235" s="3" t="n">
        <v>11643636.33064576</v>
      </c>
      <c r="E235" s="3" t="n">
        <v>11643636.33064576</v>
      </c>
      <c r="F235" s="4" t="n">
        <v>10</v>
      </c>
      <c r="G235" t="n">
        <v>1</v>
      </c>
      <c r="H235" t="n">
        <v>1</v>
      </c>
    </row>
    <row r="236">
      <c r="A236" t="inlineStr">
        <is>
          <t>PE</t>
        </is>
      </c>
      <c r="B236" t="inlineStr">
        <is>
          <t>HIG</t>
        </is>
      </c>
      <c r="C236" t="inlineStr">
        <is>
          <t>ALL</t>
        </is>
      </c>
      <c r="D236" s="3" t="n">
        <v>28614229.71915945</v>
      </c>
      <c r="E236" s="3" t="n">
        <v>28614229.71915945</v>
      </c>
      <c r="F236" s="4" t="n">
        <v>11</v>
      </c>
      <c r="G236" t="n">
        <v>1</v>
      </c>
      <c r="H236" t="n">
        <v>1</v>
      </c>
    </row>
    <row r="237">
      <c r="A237" t="inlineStr">
        <is>
          <t>PH</t>
        </is>
      </c>
      <c r="B237" t="inlineStr">
        <is>
          <t>HIG</t>
        </is>
      </c>
      <c r="C237" t="inlineStr">
        <is>
          <t>ALL</t>
        </is>
      </c>
      <c r="D237" s="3" t="n">
        <v>170999.1200228638</v>
      </c>
      <c r="E237" s="3" t="n">
        <v>170999.1200228638</v>
      </c>
      <c r="F237" s="4" t="n">
        <v>2</v>
      </c>
      <c r="G237" t="n">
        <v>1</v>
      </c>
      <c r="H237" t="n">
        <v>1</v>
      </c>
    </row>
    <row r="238">
      <c r="A238" t="inlineStr">
        <is>
          <t>PL</t>
        </is>
      </c>
      <c r="B238" t="inlineStr">
        <is>
          <t>HIG</t>
        </is>
      </c>
      <c r="C238" t="inlineStr">
        <is>
          <t>ALL</t>
        </is>
      </c>
      <c r="D238" s="3" t="n">
        <v>1299960.830021511</v>
      </c>
      <c r="E238" s="3" t="n">
        <v>1299960.830021511</v>
      </c>
      <c r="F238" s="4" t="n">
        <v>1</v>
      </c>
      <c r="G238" t="n">
        <v>1</v>
      </c>
      <c r="H238" t="n">
        <v>1</v>
      </c>
    </row>
    <row r="239">
      <c r="A239" t="inlineStr">
        <is>
          <t>PR</t>
        </is>
      </c>
      <c r="B239" t="inlineStr">
        <is>
          <t>HIG</t>
        </is>
      </c>
      <c r="C239" t="inlineStr">
        <is>
          <t>ALL</t>
        </is>
      </c>
      <c r="D239" s="3" t="n">
        <v>2497497.400682924</v>
      </c>
      <c r="E239" s="3" t="n">
        <v>2497497.400682924</v>
      </c>
      <c r="F239" s="4" t="n">
        <v>3</v>
      </c>
      <c r="G239" t="n">
        <v>1</v>
      </c>
      <c r="H239" t="n">
        <v>1</v>
      </c>
    </row>
    <row r="240">
      <c r="A240" t="inlineStr">
        <is>
          <t>PT</t>
        </is>
      </c>
      <c r="B240" t="inlineStr">
        <is>
          <t>HIG</t>
        </is>
      </c>
      <c r="C240" t="inlineStr">
        <is>
          <t>ALL</t>
        </is>
      </c>
      <c r="D240" s="3" t="n">
        <v>94557733.73236924</v>
      </c>
      <c r="E240" s="3" t="n">
        <v>61267457.29695355</v>
      </c>
      <c r="F240" s="4" t="n">
        <v>12</v>
      </c>
      <c r="G240" t="n">
        <v>1</v>
      </c>
      <c r="H240" t="n">
        <v>1</v>
      </c>
    </row>
    <row r="241">
      <c r="A241" t="inlineStr">
        <is>
          <t>QA</t>
        </is>
      </c>
      <c r="B241" t="inlineStr">
        <is>
          <t>HIG</t>
        </is>
      </c>
      <c r="C241" t="inlineStr">
        <is>
          <t>ALL</t>
        </is>
      </c>
      <c r="D241" s="3" t="n">
        <v>6466045.215462786</v>
      </c>
      <c r="E241" s="3" t="n">
        <v>6466045.215462786</v>
      </c>
      <c r="F241" s="4" t="n">
        <v>3</v>
      </c>
      <c r="G241" t="n">
        <v>1</v>
      </c>
      <c r="H241" t="n">
        <v>1</v>
      </c>
    </row>
    <row r="242">
      <c r="A242" t="inlineStr">
        <is>
          <t>RS</t>
        </is>
      </c>
      <c r="B242" t="inlineStr">
        <is>
          <t>HIG</t>
        </is>
      </c>
      <c r="C242" t="inlineStr">
        <is>
          <t>ALL</t>
        </is>
      </c>
      <c r="D242" s="3" t="n">
        <v>193924.0812888279</v>
      </c>
      <c r="E242" s="3" t="n">
        <v>193924.0812888279</v>
      </c>
      <c r="F242" s="4" t="n">
        <v>1</v>
      </c>
      <c r="G242" t="n">
        <v>1</v>
      </c>
      <c r="H242" t="n">
        <v>1</v>
      </c>
    </row>
    <row r="243">
      <c r="A243" t="inlineStr">
        <is>
          <t>SA</t>
        </is>
      </c>
      <c r="B243" t="inlineStr">
        <is>
          <t>HIG</t>
        </is>
      </c>
      <c r="C243" t="inlineStr">
        <is>
          <t>ALL</t>
        </is>
      </c>
      <c r="D243" s="3" t="n">
        <v>33076609.9469442</v>
      </c>
      <c r="E243" s="3" t="n">
        <v>33076609.9469442</v>
      </c>
      <c r="F243" s="4" t="n">
        <v>9</v>
      </c>
      <c r="G243" t="n">
        <v>1</v>
      </c>
      <c r="H243" t="n">
        <v>1</v>
      </c>
    </row>
    <row r="244">
      <c r="A244" t="inlineStr">
        <is>
          <t>SE</t>
        </is>
      </c>
      <c r="B244" t="inlineStr">
        <is>
          <t>HIG</t>
        </is>
      </c>
      <c r="C244" t="inlineStr">
        <is>
          <t>ALL</t>
        </is>
      </c>
      <c r="D244" s="3" t="n">
        <v>161014273.9173712</v>
      </c>
      <c r="E244" s="3" t="n">
        <v>55933150.3003265</v>
      </c>
      <c r="F244" s="4" t="n">
        <v>9</v>
      </c>
      <c r="G244" t="n">
        <v>1</v>
      </c>
      <c r="H244" t="n">
        <v>1</v>
      </c>
    </row>
    <row r="245">
      <c r="A245" t="inlineStr">
        <is>
          <t>SG</t>
        </is>
      </c>
      <c r="B245" t="inlineStr">
        <is>
          <t>HIG</t>
        </is>
      </c>
      <c r="C245" t="inlineStr">
        <is>
          <t>ALL</t>
        </is>
      </c>
      <c r="D245" s="3" t="n">
        <v>43854299.75360634</v>
      </c>
      <c r="E245" s="3" t="n">
        <v>43854299.75360634</v>
      </c>
      <c r="F245" s="4" t="n">
        <v>8</v>
      </c>
      <c r="G245" t="n">
        <v>1</v>
      </c>
      <c r="H245" t="n">
        <v>1</v>
      </c>
    </row>
    <row r="246">
      <c r="A246" t="inlineStr">
        <is>
          <t>SK</t>
        </is>
      </c>
      <c r="B246" t="inlineStr">
        <is>
          <t>HIG</t>
        </is>
      </c>
      <c r="C246" t="inlineStr">
        <is>
          <t>ALL</t>
        </is>
      </c>
      <c r="D246" s="3" t="n">
        <v>2885345.65261211</v>
      </c>
      <c r="E246" s="3" t="n">
        <v>2885345.65261211</v>
      </c>
      <c r="F246" s="4" t="n">
        <v>1</v>
      </c>
      <c r="G246" t="n">
        <v>1</v>
      </c>
      <c r="H246" t="n">
        <v>1</v>
      </c>
    </row>
    <row r="247">
      <c r="A247" t="inlineStr">
        <is>
          <t>SV</t>
        </is>
      </c>
      <c r="B247" t="inlineStr">
        <is>
          <t>HIG</t>
        </is>
      </c>
      <c r="C247" t="inlineStr">
        <is>
          <t>ALL</t>
        </is>
      </c>
      <c r="D247" s="3" t="n">
        <v>1863690.037455438</v>
      </c>
      <c r="E247" s="3" t="n">
        <v>1863690.037455438</v>
      </c>
      <c r="F247" s="4" t="n">
        <v>1</v>
      </c>
      <c r="G247" t="n">
        <v>1</v>
      </c>
      <c r="H247" t="n">
        <v>1</v>
      </c>
    </row>
    <row r="248">
      <c r="A248" t="inlineStr">
        <is>
          <t>TH</t>
        </is>
      </c>
      <c r="B248" t="inlineStr">
        <is>
          <t>HIG</t>
        </is>
      </c>
      <c r="C248" t="inlineStr">
        <is>
          <t>ALL</t>
        </is>
      </c>
      <c r="D248" s="3" t="n">
        <v>16958916.92641279</v>
      </c>
      <c r="E248" s="3" t="n">
        <v>16577712.35875985</v>
      </c>
      <c r="F248" s="4" t="n">
        <v>6</v>
      </c>
      <c r="G248" t="n">
        <v>1</v>
      </c>
      <c r="H248" t="n">
        <v>1</v>
      </c>
    </row>
    <row r="249">
      <c r="A249" t="inlineStr">
        <is>
          <t>TR</t>
        </is>
      </c>
      <c r="B249" t="inlineStr">
        <is>
          <t>HIG</t>
        </is>
      </c>
      <c r="C249" t="inlineStr">
        <is>
          <t>ALL</t>
        </is>
      </c>
      <c r="D249" s="3" t="n">
        <v>488872.346906543</v>
      </c>
      <c r="E249" s="3" t="n">
        <v>488872.346906543</v>
      </c>
      <c r="F249" s="4" t="n">
        <v>2</v>
      </c>
      <c r="G249" t="n">
        <v>1</v>
      </c>
      <c r="H249" t="n">
        <v>1</v>
      </c>
    </row>
    <row r="250">
      <c r="A250" t="inlineStr">
        <is>
          <t>TW</t>
        </is>
      </c>
      <c r="B250" t="inlineStr">
        <is>
          <t>HIG</t>
        </is>
      </c>
      <c r="C250" t="inlineStr">
        <is>
          <t>ALL</t>
        </is>
      </c>
      <c r="D250" s="3" t="n">
        <v>12320054.3576167</v>
      </c>
      <c r="E250" s="3" t="n">
        <v>12320054.3576167</v>
      </c>
      <c r="F250" s="4" t="n">
        <v>16</v>
      </c>
      <c r="G250" t="n">
        <v>1</v>
      </c>
      <c r="H250" t="n">
        <v>1</v>
      </c>
    </row>
    <row r="251">
      <c r="A251" t="inlineStr">
        <is>
          <t>US</t>
        </is>
      </c>
      <c r="B251" t="inlineStr">
        <is>
          <t>HIG</t>
        </is>
      </c>
      <c r="C251" t="inlineStr">
        <is>
          <t>ALL</t>
        </is>
      </c>
      <c r="D251" s="3" t="n">
        <v>1215838558.878958</v>
      </c>
      <c r="E251" s="3" t="n">
        <v>892493048.9270042</v>
      </c>
      <c r="F251" s="4" t="n">
        <v>221</v>
      </c>
      <c r="G251" t="n">
        <v>1</v>
      </c>
      <c r="H251" t="n">
        <v>1</v>
      </c>
    </row>
    <row r="252">
      <c r="A252" t="inlineStr">
        <is>
          <t>UY</t>
        </is>
      </c>
      <c r="B252" t="inlineStr">
        <is>
          <t>HIG</t>
        </is>
      </c>
      <c r="C252" t="inlineStr">
        <is>
          <t>ALL</t>
        </is>
      </c>
      <c r="D252" s="3" t="n">
        <v>24804017.72906519</v>
      </c>
      <c r="E252" s="3" t="n">
        <v>24804017.72906519</v>
      </c>
      <c r="F252" s="4" t="n">
        <v>13</v>
      </c>
      <c r="G252" t="n">
        <v>1</v>
      </c>
      <c r="H252" t="n">
        <v>1</v>
      </c>
    </row>
    <row r="253">
      <c r="A253" t="inlineStr">
        <is>
          <t>VE</t>
        </is>
      </c>
      <c r="B253" t="inlineStr">
        <is>
          <t>HIG</t>
        </is>
      </c>
      <c r="C253" t="inlineStr">
        <is>
          <t>ALL</t>
        </is>
      </c>
      <c r="D253" s="3" t="n">
        <v>9335023.879721427</v>
      </c>
      <c r="E253" s="3" t="n">
        <v>9335023.879721427</v>
      </c>
      <c r="F253" s="4" t="n">
        <v>6</v>
      </c>
      <c r="G253" t="n">
        <v>1</v>
      </c>
      <c r="H253" t="n">
        <v>1</v>
      </c>
    </row>
    <row r="254">
      <c r="A254" t="inlineStr">
        <is>
          <t>VG</t>
        </is>
      </c>
      <c r="B254" t="inlineStr">
        <is>
          <t>HIG</t>
        </is>
      </c>
      <c r="C254" t="inlineStr">
        <is>
          <t>ALL</t>
        </is>
      </c>
      <c r="D254" s="3" t="n">
        <v>270544.4350847636</v>
      </c>
      <c r="E254" s="3" t="n">
        <v>270544.4350847636</v>
      </c>
      <c r="F254" s="4" t="n">
        <v>1</v>
      </c>
      <c r="G254" t="n">
        <v>1</v>
      </c>
      <c r="H254" t="n">
        <v>1</v>
      </c>
    </row>
    <row r="255">
      <c r="A255" t="inlineStr">
        <is>
          <t>VN</t>
        </is>
      </c>
      <c r="B255" t="inlineStr">
        <is>
          <t>HIG</t>
        </is>
      </c>
      <c r="C255" t="inlineStr">
        <is>
          <t>ALL</t>
        </is>
      </c>
      <c r="D255" s="3" t="n">
        <v>50767.91167135487</v>
      </c>
      <c r="E255" s="3" t="n">
        <v>50767.91167135487</v>
      </c>
      <c r="F255" s="4" t="n">
        <v>1</v>
      </c>
      <c r="G255" t="n">
        <v>1</v>
      </c>
      <c r="H255" t="n">
        <v>1</v>
      </c>
    </row>
    <row r="256">
      <c r="A256" t="inlineStr">
        <is>
          <t>ZA</t>
        </is>
      </c>
      <c r="B256" t="inlineStr">
        <is>
          <t>HIG</t>
        </is>
      </c>
      <c r="C256" t="inlineStr">
        <is>
          <t>ALL</t>
        </is>
      </c>
      <c r="D256" s="3" t="n">
        <v>810787.5118458454</v>
      </c>
      <c r="E256" s="3" t="n">
        <v>810787.5118458454</v>
      </c>
      <c r="F256" s="4" t="n">
        <v>3</v>
      </c>
      <c r="G256" t="n">
        <v>1</v>
      </c>
      <c r="H256" t="n">
        <v>1</v>
      </c>
    </row>
    <row r="257">
      <c r="A257" t="inlineStr">
        <is>
          <t>BE</t>
        </is>
      </c>
      <c r="B257" t="inlineStr">
        <is>
          <t>HSA</t>
        </is>
      </c>
      <c r="C257" t="inlineStr">
        <is>
          <t>ALL</t>
        </is>
      </c>
      <c r="D257" s="3" t="n">
        <v>874759.5</v>
      </c>
      <c r="E257" s="3" t="n">
        <v>874759.5</v>
      </c>
      <c r="F257" s="4" t="n">
        <v>4</v>
      </c>
      <c r="G257" t="n">
        <v>0</v>
      </c>
      <c r="H257" t="n">
        <v>1</v>
      </c>
    </row>
    <row r="258">
      <c r="A258" t="inlineStr">
        <is>
          <t>DK</t>
        </is>
      </c>
      <c r="B258" t="inlineStr">
        <is>
          <t>HSA</t>
        </is>
      </c>
      <c r="C258" t="inlineStr">
        <is>
          <t>ALL</t>
        </is>
      </c>
      <c r="D258" s="3" t="n">
        <v>83835</v>
      </c>
      <c r="E258" s="3" t="n">
        <v>83835</v>
      </c>
      <c r="F258" s="4" t="n">
        <v>1</v>
      </c>
      <c r="G258" t="n">
        <v>0</v>
      </c>
      <c r="H258" t="n">
        <v>1</v>
      </c>
    </row>
    <row r="259">
      <c r="A259" t="inlineStr">
        <is>
          <t>ES</t>
        </is>
      </c>
      <c r="B259" t="inlineStr">
        <is>
          <t>HSA</t>
        </is>
      </c>
      <c r="C259" t="inlineStr">
        <is>
          <t>ALL</t>
        </is>
      </c>
      <c r="D259" s="3" t="n">
        <v>23739416.55</v>
      </c>
      <c r="E259" s="3" t="n">
        <v>23739416.55</v>
      </c>
      <c r="F259" s="4" t="n">
        <v>10</v>
      </c>
      <c r="G259" t="n">
        <v>0</v>
      </c>
      <c r="H259" t="n">
        <v>1</v>
      </c>
    </row>
    <row r="260">
      <c r="A260" t="inlineStr">
        <is>
          <t>FR</t>
        </is>
      </c>
      <c r="B260" t="inlineStr">
        <is>
          <t>HSA</t>
        </is>
      </c>
      <c r="C260" t="inlineStr">
        <is>
          <t>ALL</t>
        </is>
      </c>
      <c r="D260" s="3" t="n">
        <v>9340465.080014281</v>
      </c>
      <c r="E260" s="3" t="n">
        <v>9340465.080014281</v>
      </c>
      <c r="F260" s="4" t="n">
        <v>95</v>
      </c>
      <c r="G260" t="n">
        <v>0</v>
      </c>
      <c r="H260" t="n">
        <v>1</v>
      </c>
    </row>
    <row r="261">
      <c r="A261" t="inlineStr">
        <is>
          <t>GR</t>
        </is>
      </c>
      <c r="B261" t="inlineStr">
        <is>
          <t>HSA</t>
        </is>
      </c>
      <c r="C261" t="inlineStr">
        <is>
          <t>ALL</t>
        </is>
      </c>
      <c r="D261" s="3" t="n">
        <v>24804736.38</v>
      </c>
      <c r="E261" s="3" t="n">
        <v>24804736.38</v>
      </c>
      <c r="F261" s="4" t="n">
        <v>9</v>
      </c>
      <c r="G261" t="n">
        <v>0</v>
      </c>
      <c r="H261" t="n">
        <v>1</v>
      </c>
    </row>
    <row r="262">
      <c r="A262" t="inlineStr">
        <is>
          <t>HR</t>
        </is>
      </c>
      <c r="B262" t="inlineStr">
        <is>
          <t>HSA</t>
        </is>
      </c>
      <c r="C262" t="inlineStr">
        <is>
          <t>ALL</t>
        </is>
      </c>
      <c r="D262" s="3" t="n">
        <v>138855.6</v>
      </c>
      <c r="E262" s="3" t="n">
        <v>138855.6</v>
      </c>
      <c r="F262" s="4" t="n">
        <v>1</v>
      </c>
      <c r="G262" t="n">
        <v>0</v>
      </c>
      <c r="H262" t="n">
        <v>1</v>
      </c>
    </row>
    <row r="263">
      <c r="A263" t="inlineStr">
        <is>
          <t>IE</t>
        </is>
      </c>
      <c r="B263" t="inlineStr">
        <is>
          <t>HSA</t>
        </is>
      </c>
      <c r="C263" t="inlineStr">
        <is>
          <t>ALL</t>
        </is>
      </c>
      <c r="D263" s="3" t="n">
        <v>66108224.11500001</v>
      </c>
      <c r="E263" s="3" t="n">
        <v>66108224.11500001</v>
      </c>
      <c r="F263" s="4" t="n">
        <v>52</v>
      </c>
      <c r="G263" t="n">
        <v>0</v>
      </c>
      <c r="H263" t="n">
        <v>1</v>
      </c>
    </row>
    <row r="264">
      <c r="A264" t="inlineStr">
        <is>
          <t>IT</t>
        </is>
      </c>
      <c r="B264" t="inlineStr">
        <is>
          <t>HSA</t>
        </is>
      </c>
      <c r="C264" t="inlineStr">
        <is>
          <t>ALL</t>
        </is>
      </c>
      <c r="D264" s="3" t="n">
        <v>13343791.5</v>
      </c>
      <c r="E264" s="3" t="n">
        <v>13343791.5</v>
      </c>
      <c r="F264" s="4" t="n">
        <v>4</v>
      </c>
      <c r="G264" t="n">
        <v>0</v>
      </c>
      <c r="H264" t="n">
        <v>1</v>
      </c>
    </row>
    <row r="265">
      <c r="A265" t="inlineStr">
        <is>
          <t>LI</t>
        </is>
      </c>
      <c r="B265" t="inlineStr">
        <is>
          <t>HSA</t>
        </is>
      </c>
      <c r="C265" t="inlineStr">
        <is>
          <t>ALL</t>
        </is>
      </c>
      <c r="D265" s="3" t="n">
        <v>3727784.7</v>
      </c>
      <c r="E265" s="3" t="n">
        <v>3727784.7</v>
      </c>
      <c r="F265" s="4" t="n">
        <v>2</v>
      </c>
      <c r="G265" t="n">
        <v>0</v>
      </c>
      <c r="H265" t="n">
        <v>1</v>
      </c>
    </row>
    <row r="266">
      <c r="A266" t="inlineStr">
        <is>
          <t>PL</t>
        </is>
      </c>
      <c r="B266" t="inlineStr">
        <is>
          <t>HSA</t>
        </is>
      </c>
      <c r="C266" t="inlineStr">
        <is>
          <t>ALL</t>
        </is>
      </c>
      <c r="D266" s="3" t="n">
        <v>13500</v>
      </c>
      <c r="E266" s="3" t="n">
        <v>13500</v>
      </c>
      <c r="F266" s="4" t="n">
        <v>1</v>
      </c>
      <c r="G266" t="n">
        <v>0</v>
      </c>
      <c r="H266" t="n">
        <v>1</v>
      </c>
    </row>
    <row r="267">
      <c r="A267" t="inlineStr">
        <is>
          <t>PT</t>
        </is>
      </c>
      <c r="B267" t="inlineStr">
        <is>
          <t>HSA</t>
        </is>
      </c>
      <c r="C267" t="inlineStr">
        <is>
          <t>ALL</t>
        </is>
      </c>
      <c r="D267" s="3" t="n">
        <v>12093965.55</v>
      </c>
      <c r="E267" s="3" t="n">
        <v>12093965.55</v>
      </c>
      <c r="F267" s="4" t="n">
        <v>3</v>
      </c>
      <c r="G267" t="n">
        <v>0</v>
      </c>
      <c r="H267" t="n">
        <v>1</v>
      </c>
    </row>
    <row r="268">
      <c r="A268" t="inlineStr">
        <is>
          <t>RO</t>
        </is>
      </c>
      <c r="B268" t="inlineStr">
        <is>
          <t>HSA</t>
        </is>
      </c>
      <c r="C268" t="inlineStr">
        <is>
          <t>ALL</t>
        </is>
      </c>
      <c r="D268" s="3" t="n">
        <v>115712.55</v>
      </c>
      <c r="E268" s="3" t="n">
        <v>115712.55</v>
      </c>
      <c r="F268" s="4" t="n">
        <v>1</v>
      </c>
      <c r="G268" t="n">
        <v>0</v>
      </c>
      <c r="H268" t="n">
        <v>1</v>
      </c>
    </row>
    <row r="269">
      <c r="A269" t="inlineStr">
        <is>
          <t>SE</t>
        </is>
      </c>
      <c r="B269" t="inlineStr">
        <is>
          <t>HSA</t>
        </is>
      </c>
      <c r="C269" t="inlineStr">
        <is>
          <t>ALL</t>
        </is>
      </c>
      <c r="D269" s="3" t="n">
        <v>368177.13</v>
      </c>
      <c r="E269" s="3" t="n">
        <v>368177.13</v>
      </c>
      <c r="F269" s="4" t="n">
        <v>3</v>
      </c>
      <c r="G269" t="n">
        <v>0</v>
      </c>
      <c r="H269" t="n">
        <v>1</v>
      </c>
    </row>
    <row r="270">
      <c r="A270" t="inlineStr">
        <is>
          <t>SL</t>
        </is>
      </c>
      <c r="B270" t="inlineStr">
        <is>
          <t>HSA</t>
        </is>
      </c>
      <c r="C270" t="inlineStr">
        <is>
          <t>ALL</t>
        </is>
      </c>
      <c r="D270" s="3" t="n">
        <v>41040</v>
      </c>
      <c r="E270" s="3" t="n">
        <v>41040</v>
      </c>
      <c r="F270" s="4" t="n">
        <v>1</v>
      </c>
      <c r="G270" t="n">
        <v>0</v>
      </c>
      <c r="H270" t="n">
        <v>1</v>
      </c>
    </row>
    <row r="271">
      <c r="A271" t="inlineStr">
        <is>
          <t>AD</t>
        </is>
      </c>
      <c r="B271" t="inlineStr">
        <is>
          <t>HSA</t>
        </is>
      </c>
      <c r="C271" t="inlineStr">
        <is>
          <t>ALL</t>
        </is>
      </c>
      <c r="D271" s="3" t="n">
        <v>12706950.6</v>
      </c>
      <c r="E271" s="3" t="n">
        <v>12706950.6</v>
      </c>
      <c r="F271" s="4" t="n">
        <v>5</v>
      </c>
      <c r="G271" t="n">
        <v>1</v>
      </c>
      <c r="H271" t="n">
        <v>1</v>
      </c>
    </row>
    <row r="272">
      <c r="A272" t="inlineStr">
        <is>
          <t>AE</t>
        </is>
      </c>
      <c r="B272" t="inlineStr">
        <is>
          <t>HSA</t>
        </is>
      </c>
      <c r="C272" t="inlineStr">
        <is>
          <t>ALL</t>
        </is>
      </c>
      <c r="D272" s="3" t="n">
        <v>12372488.64</v>
      </c>
      <c r="E272" s="3" t="n">
        <v>10176701.22</v>
      </c>
      <c r="F272" s="4" t="n">
        <v>9</v>
      </c>
      <c r="G272" t="n">
        <v>1</v>
      </c>
      <c r="H272" t="n">
        <v>1</v>
      </c>
    </row>
    <row r="273">
      <c r="A273" t="inlineStr">
        <is>
          <t>AT</t>
        </is>
      </c>
      <c r="B273" t="inlineStr">
        <is>
          <t>HSA</t>
        </is>
      </c>
      <c r="C273" t="inlineStr">
        <is>
          <t>ALL</t>
        </is>
      </c>
      <c r="D273" s="3" t="n">
        <v>2151184421.128069</v>
      </c>
      <c r="E273" s="3" t="n">
        <v>2118568537.228069</v>
      </c>
      <c r="F273" s="4" t="n">
        <v>2497</v>
      </c>
      <c r="G273" t="n">
        <v>1</v>
      </c>
      <c r="H273" t="n">
        <v>1</v>
      </c>
    </row>
    <row r="274">
      <c r="A274" t="inlineStr">
        <is>
          <t>AU</t>
        </is>
      </c>
      <c r="B274" t="inlineStr">
        <is>
          <t>HSA</t>
        </is>
      </c>
      <c r="C274" t="inlineStr">
        <is>
          <t>ALL</t>
        </is>
      </c>
      <c r="D274" s="3" t="n">
        <v>1975431.24</v>
      </c>
      <c r="E274" s="3" t="n">
        <v>1975431.24</v>
      </c>
      <c r="F274" s="4" t="n">
        <v>12</v>
      </c>
      <c r="G274" t="n">
        <v>1</v>
      </c>
      <c r="H274" t="n">
        <v>1</v>
      </c>
    </row>
    <row r="275">
      <c r="A275" t="inlineStr">
        <is>
          <t>BE</t>
        </is>
      </c>
      <c r="B275" t="inlineStr">
        <is>
          <t>HSA</t>
        </is>
      </c>
      <c r="C275" t="inlineStr">
        <is>
          <t>ALL</t>
        </is>
      </c>
      <c r="D275" s="3" t="n">
        <v>12703405179.78</v>
      </c>
      <c r="E275" s="3" t="n">
        <v>12028431981.6</v>
      </c>
      <c r="F275" s="4" t="n">
        <v>6013</v>
      </c>
      <c r="G275" t="n">
        <v>1</v>
      </c>
      <c r="H275" t="n">
        <v>1</v>
      </c>
    </row>
    <row r="276">
      <c r="A276" t="inlineStr">
        <is>
          <t>BG</t>
        </is>
      </c>
      <c r="B276" t="inlineStr">
        <is>
          <t>HSA</t>
        </is>
      </c>
      <c r="C276" t="inlineStr">
        <is>
          <t>ALL</t>
        </is>
      </c>
      <c r="D276" s="3" t="n">
        <v>7301907.000000001</v>
      </c>
      <c r="E276" s="3" t="n">
        <v>7301907.000000001</v>
      </c>
      <c r="F276" s="4" t="n">
        <v>6</v>
      </c>
      <c r="G276" t="n">
        <v>1</v>
      </c>
      <c r="H276" t="n">
        <v>1</v>
      </c>
    </row>
    <row r="277">
      <c r="A277" t="inlineStr">
        <is>
          <t>BH</t>
        </is>
      </c>
      <c r="B277" t="inlineStr">
        <is>
          <t>HSA</t>
        </is>
      </c>
      <c r="C277" t="inlineStr">
        <is>
          <t>ALL</t>
        </is>
      </c>
      <c r="D277" s="3" t="n">
        <v>250560</v>
      </c>
      <c r="E277" s="3" t="n">
        <v>250560</v>
      </c>
      <c r="F277" s="4" t="n">
        <v>1</v>
      </c>
      <c r="G277" t="n">
        <v>1</v>
      </c>
      <c r="H277" t="n">
        <v>1</v>
      </c>
    </row>
    <row r="278">
      <c r="A278" t="inlineStr">
        <is>
          <t>BR</t>
        </is>
      </c>
      <c r="B278" t="inlineStr">
        <is>
          <t>HSA</t>
        </is>
      </c>
      <c r="C278" t="inlineStr">
        <is>
          <t>ALL</t>
        </is>
      </c>
      <c r="D278" s="3" t="n">
        <v>50112486</v>
      </c>
      <c r="E278" s="3" t="n">
        <v>25812486</v>
      </c>
      <c r="F278" s="4" t="n">
        <v>2</v>
      </c>
      <c r="G278" t="n">
        <v>1</v>
      </c>
      <c r="H278" t="n">
        <v>1</v>
      </c>
    </row>
    <row r="279">
      <c r="A279" t="inlineStr">
        <is>
          <t>CA</t>
        </is>
      </c>
      <c r="B279" t="inlineStr">
        <is>
          <t>HSA</t>
        </is>
      </c>
      <c r="C279" t="inlineStr">
        <is>
          <t>ALL</t>
        </is>
      </c>
      <c r="D279" s="3" t="n">
        <v>756000</v>
      </c>
      <c r="E279" s="3" t="n">
        <v>756000</v>
      </c>
      <c r="F279" s="4" t="n">
        <v>2</v>
      </c>
      <c r="G279" t="n">
        <v>1</v>
      </c>
      <c r="H279" t="n">
        <v>1</v>
      </c>
    </row>
    <row r="280">
      <c r="A280" t="inlineStr">
        <is>
          <t>CH</t>
        </is>
      </c>
      <c r="B280" t="inlineStr">
        <is>
          <t>HSA</t>
        </is>
      </c>
      <c r="C280" t="inlineStr">
        <is>
          <t>ALL</t>
        </is>
      </c>
      <c r="D280" s="3" t="n">
        <v>483349.6800000001</v>
      </c>
      <c r="E280" s="3" t="n">
        <v>483349.6800000001</v>
      </c>
      <c r="F280" s="4" t="n">
        <v>4</v>
      </c>
      <c r="G280" t="n">
        <v>1</v>
      </c>
      <c r="H280" t="n">
        <v>1</v>
      </c>
    </row>
    <row r="281">
      <c r="A281" t="inlineStr">
        <is>
          <t>CL</t>
        </is>
      </c>
      <c r="B281" t="inlineStr">
        <is>
          <t>HSA</t>
        </is>
      </c>
      <c r="C281" t="inlineStr">
        <is>
          <t>ALL</t>
        </is>
      </c>
      <c r="D281" s="3" t="n">
        <v>204303.6</v>
      </c>
      <c r="E281" s="3" t="n">
        <v>204303.6</v>
      </c>
      <c r="F281" s="4" t="n">
        <v>1</v>
      </c>
      <c r="G281" t="n">
        <v>1</v>
      </c>
      <c r="H281" t="n">
        <v>1</v>
      </c>
    </row>
    <row r="282">
      <c r="A282" t="inlineStr">
        <is>
          <t>CN</t>
        </is>
      </c>
      <c r="B282" t="inlineStr">
        <is>
          <t>HSA</t>
        </is>
      </c>
      <c r="C282" t="inlineStr">
        <is>
          <t>ALL</t>
        </is>
      </c>
      <c r="D282" s="3" t="n">
        <v>1250.64</v>
      </c>
      <c r="E282" s="3" t="n">
        <v>1250.64</v>
      </c>
      <c r="F282" s="4" t="n">
        <v>1</v>
      </c>
      <c r="G282" t="n">
        <v>1</v>
      </c>
      <c r="H282" t="n">
        <v>1</v>
      </c>
    </row>
    <row r="283">
      <c r="A283" t="inlineStr">
        <is>
          <t>CO</t>
        </is>
      </c>
      <c r="B283" t="inlineStr">
        <is>
          <t>HSA</t>
        </is>
      </c>
      <c r="C283" t="inlineStr">
        <is>
          <t>ALL</t>
        </is>
      </c>
      <c r="D283" s="3" t="n">
        <v>40267.8</v>
      </c>
      <c r="E283" s="3" t="n">
        <v>40267.8</v>
      </c>
      <c r="F283" s="4" t="n">
        <v>1</v>
      </c>
      <c r="G283" t="n">
        <v>1</v>
      </c>
      <c r="H283" t="n">
        <v>1</v>
      </c>
    </row>
    <row r="284">
      <c r="A284" t="inlineStr">
        <is>
          <t>CR</t>
        </is>
      </c>
      <c r="B284" t="inlineStr">
        <is>
          <t>HSA</t>
        </is>
      </c>
      <c r="C284" t="inlineStr">
        <is>
          <t>ALL</t>
        </is>
      </c>
      <c r="D284" s="3" t="n">
        <v>79361.64000000001</v>
      </c>
      <c r="E284" s="3" t="n">
        <v>79361.64000000001</v>
      </c>
      <c r="F284" s="4" t="n">
        <v>1</v>
      </c>
      <c r="G284" t="n">
        <v>1</v>
      </c>
      <c r="H284" t="n">
        <v>1</v>
      </c>
    </row>
    <row r="285">
      <c r="A285" t="inlineStr">
        <is>
          <t>CY</t>
        </is>
      </c>
      <c r="B285" t="inlineStr">
        <is>
          <t>HSA</t>
        </is>
      </c>
      <c r="C285" t="inlineStr">
        <is>
          <t>ALL</t>
        </is>
      </c>
      <c r="D285" s="3" t="n">
        <v>5304590.100000001</v>
      </c>
      <c r="E285" s="3" t="n">
        <v>5304590.100000001</v>
      </c>
      <c r="F285" s="4" t="n">
        <v>5</v>
      </c>
      <c r="G285" t="n">
        <v>1</v>
      </c>
      <c r="H285" t="n">
        <v>1</v>
      </c>
    </row>
    <row r="286">
      <c r="A286" t="inlineStr">
        <is>
          <t>CZ</t>
        </is>
      </c>
      <c r="B286" t="inlineStr">
        <is>
          <t>HSA</t>
        </is>
      </c>
      <c r="C286" t="inlineStr">
        <is>
          <t>ALL</t>
        </is>
      </c>
      <c r="D286" s="3" t="n">
        <v>45454205.16</v>
      </c>
      <c r="E286" s="3" t="n">
        <v>45454205.16</v>
      </c>
      <c r="F286" s="4" t="n">
        <v>42</v>
      </c>
      <c r="G286" t="n">
        <v>1</v>
      </c>
      <c r="H286" t="n">
        <v>1</v>
      </c>
    </row>
    <row r="287">
      <c r="A287" t="inlineStr">
        <is>
          <t>DE</t>
        </is>
      </c>
      <c r="B287" t="inlineStr">
        <is>
          <t>HSA</t>
        </is>
      </c>
      <c r="C287" t="inlineStr">
        <is>
          <t>ALL</t>
        </is>
      </c>
      <c r="D287" s="3" t="n">
        <v>17016495040.01344</v>
      </c>
      <c r="E287" s="3" t="n">
        <v>16932976420.49123</v>
      </c>
      <c r="F287" s="4" t="n">
        <v>21741</v>
      </c>
      <c r="G287" t="n">
        <v>1</v>
      </c>
      <c r="H287" t="n">
        <v>1</v>
      </c>
    </row>
    <row r="288">
      <c r="A288" t="inlineStr">
        <is>
          <t>DK</t>
        </is>
      </c>
      <c r="B288" t="inlineStr">
        <is>
          <t>HSA</t>
        </is>
      </c>
      <c r="C288" t="inlineStr">
        <is>
          <t>ALL</t>
        </is>
      </c>
      <c r="D288" s="3" t="n">
        <v>32981391.5925015</v>
      </c>
      <c r="E288" s="3" t="n">
        <v>32183382.2925015</v>
      </c>
      <c r="F288" s="4" t="n">
        <v>91</v>
      </c>
      <c r="G288" t="n">
        <v>1</v>
      </c>
      <c r="H288" t="n">
        <v>1</v>
      </c>
    </row>
    <row r="289">
      <c r="A289" t="inlineStr">
        <is>
          <t>ES</t>
        </is>
      </c>
      <c r="B289" t="inlineStr">
        <is>
          <t>HSA</t>
        </is>
      </c>
      <c r="C289" t="inlineStr">
        <is>
          <t>ALL</t>
        </is>
      </c>
      <c r="D289" s="3" t="n">
        <v>12380128063.72455</v>
      </c>
      <c r="E289" s="3" t="n">
        <v>12125405488.84455</v>
      </c>
      <c r="F289" s="4" t="n">
        <v>6534</v>
      </c>
      <c r="G289" t="n">
        <v>1</v>
      </c>
      <c r="H289" t="n">
        <v>1</v>
      </c>
    </row>
    <row r="290">
      <c r="A290" t="inlineStr">
        <is>
          <t>FI</t>
        </is>
      </c>
      <c r="B290" t="inlineStr">
        <is>
          <t>HSA</t>
        </is>
      </c>
      <c r="C290" t="inlineStr">
        <is>
          <t>ALL</t>
        </is>
      </c>
      <c r="D290" s="3" t="n">
        <v>14737354.92</v>
      </c>
      <c r="E290" s="3" t="n">
        <v>14737354.92</v>
      </c>
      <c r="F290" s="4" t="n">
        <v>64</v>
      </c>
      <c r="G290" t="n">
        <v>1</v>
      </c>
      <c r="H290" t="n">
        <v>1</v>
      </c>
    </row>
    <row r="291">
      <c r="A291" t="inlineStr">
        <is>
          <t>FR</t>
        </is>
      </c>
      <c r="B291" t="inlineStr">
        <is>
          <t>HSA</t>
        </is>
      </c>
      <c r="C291" t="inlineStr">
        <is>
          <t>ALL</t>
        </is>
      </c>
      <c r="D291" s="3" t="n">
        <v>27872584960.47987</v>
      </c>
      <c r="E291" s="3" t="n">
        <v>27294533246.68296</v>
      </c>
      <c r="F291" s="4" t="n">
        <v>27517</v>
      </c>
      <c r="G291" t="n">
        <v>1</v>
      </c>
      <c r="H291" t="n">
        <v>1</v>
      </c>
    </row>
    <row r="292">
      <c r="A292" t="inlineStr">
        <is>
          <t>GB</t>
        </is>
      </c>
      <c r="B292" t="inlineStr">
        <is>
          <t>HSA</t>
        </is>
      </c>
      <c r="C292" t="inlineStr">
        <is>
          <t>ALL</t>
        </is>
      </c>
      <c r="D292" s="3" t="n">
        <v>1288819897.488719</v>
      </c>
      <c r="E292" s="3" t="n">
        <v>1265869897.488719</v>
      </c>
      <c r="F292" s="4" t="n">
        <v>526</v>
      </c>
      <c r="G292" t="n">
        <v>1</v>
      </c>
      <c r="H292" t="n">
        <v>1</v>
      </c>
    </row>
    <row r="293">
      <c r="A293" t="inlineStr">
        <is>
          <t>GR</t>
        </is>
      </c>
      <c r="B293" t="inlineStr">
        <is>
          <t>HSA</t>
        </is>
      </c>
      <c r="C293" t="inlineStr">
        <is>
          <t>ALL</t>
        </is>
      </c>
      <c r="D293" s="3" t="n">
        <v>66741733.215</v>
      </c>
      <c r="E293" s="3" t="n">
        <v>66741733.215</v>
      </c>
      <c r="F293" s="4" t="n">
        <v>42</v>
      </c>
      <c r="G293" t="n">
        <v>1</v>
      </c>
      <c r="H293" t="n">
        <v>1</v>
      </c>
    </row>
    <row r="294">
      <c r="A294" t="inlineStr">
        <is>
          <t>HK</t>
        </is>
      </c>
      <c r="B294" t="inlineStr">
        <is>
          <t>HSA</t>
        </is>
      </c>
      <c r="C294" t="inlineStr">
        <is>
          <t>ALL</t>
        </is>
      </c>
      <c r="D294" s="3" t="n">
        <v>169577608.32</v>
      </c>
      <c r="E294" s="3" t="n">
        <v>90674804.16</v>
      </c>
      <c r="F294" s="4" t="n">
        <v>4</v>
      </c>
      <c r="G294" t="n">
        <v>1</v>
      </c>
      <c r="H294" t="n">
        <v>1</v>
      </c>
    </row>
    <row r="295">
      <c r="A295" t="inlineStr">
        <is>
          <t>HR</t>
        </is>
      </c>
      <c r="B295" t="inlineStr">
        <is>
          <t>HSA</t>
        </is>
      </c>
      <c r="C295" t="inlineStr">
        <is>
          <t>ALL</t>
        </is>
      </c>
      <c r="D295" s="3" t="n">
        <v>289612411.9668</v>
      </c>
      <c r="E295" s="3" t="n">
        <v>289612411.9668</v>
      </c>
      <c r="F295" s="4" t="n">
        <v>629</v>
      </c>
      <c r="G295" t="n">
        <v>1</v>
      </c>
      <c r="H295" t="n">
        <v>1</v>
      </c>
    </row>
    <row r="296">
      <c r="A296" t="inlineStr">
        <is>
          <t>HU</t>
        </is>
      </c>
      <c r="B296" t="inlineStr">
        <is>
          <t>HSA</t>
        </is>
      </c>
      <c r="C296" t="inlineStr">
        <is>
          <t>ALL</t>
        </is>
      </c>
      <c r="D296" s="3" t="n">
        <v>33457402.08</v>
      </c>
      <c r="E296" s="3" t="n">
        <v>33457402.08</v>
      </c>
      <c r="F296" s="4" t="n">
        <v>116</v>
      </c>
      <c r="G296" t="n">
        <v>1</v>
      </c>
      <c r="H296" t="n">
        <v>1</v>
      </c>
    </row>
    <row r="297">
      <c r="A297" t="inlineStr">
        <is>
          <t>IE</t>
        </is>
      </c>
      <c r="B297" t="inlineStr">
        <is>
          <t>HSA</t>
        </is>
      </c>
      <c r="C297" t="inlineStr">
        <is>
          <t>ALL</t>
        </is>
      </c>
      <c r="D297" s="3" t="n">
        <v>7063893426.363988</v>
      </c>
      <c r="E297" s="3" t="n">
        <v>7063893426.363988</v>
      </c>
      <c r="F297" s="4" t="n">
        <v>9242</v>
      </c>
      <c r="G297" t="n">
        <v>1</v>
      </c>
      <c r="H297" t="n">
        <v>1</v>
      </c>
    </row>
    <row r="298">
      <c r="A298" t="inlineStr">
        <is>
          <t>IL</t>
        </is>
      </c>
      <c r="B298" t="inlineStr">
        <is>
          <t>HSA</t>
        </is>
      </c>
      <c r="C298" t="inlineStr">
        <is>
          <t>ALL</t>
        </is>
      </c>
      <c r="D298" s="3" t="n">
        <v>5238408.240000001</v>
      </c>
      <c r="E298" s="3" t="n">
        <v>5238408.240000001</v>
      </c>
      <c r="F298" s="4" t="n">
        <v>3</v>
      </c>
      <c r="G298" t="n">
        <v>1</v>
      </c>
      <c r="H298" t="n">
        <v>1</v>
      </c>
    </row>
    <row r="299">
      <c r="A299" t="inlineStr">
        <is>
          <t>IN</t>
        </is>
      </c>
      <c r="B299" t="inlineStr">
        <is>
          <t>HSA</t>
        </is>
      </c>
      <c r="C299" t="inlineStr">
        <is>
          <t>ALL</t>
        </is>
      </c>
      <c r="D299" s="3" t="n">
        <v>319140</v>
      </c>
      <c r="E299" s="3" t="n">
        <v>319140</v>
      </c>
      <c r="F299" s="4" t="n">
        <v>2</v>
      </c>
      <c r="G299" t="n">
        <v>1</v>
      </c>
      <c r="H299" t="n">
        <v>1</v>
      </c>
    </row>
    <row r="300">
      <c r="A300" t="inlineStr">
        <is>
          <t>IS</t>
        </is>
      </c>
      <c r="B300" t="inlineStr">
        <is>
          <t>HSA</t>
        </is>
      </c>
      <c r="C300" t="inlineStr">
        <is>
          <t>ALL</t>
        </is>
      </c>
      <c r="D300" s="3" t="n">
        <v>2006487.72</v>
      </c>
      <c r="E300" s="3" t="n">
        <v>2006487.72</v>
      </c>
      <c r="F300" s="4" t="n">
        <v>1</v>
      </c>
      <c r="G300" t="n">
        <v>1</v>
      </c>
      <c r="H300" t="n">
        <v>1</v>
      </c>
    </row>
    <row r="301">
      <c r="A301" t="inlineStr">
        <is>
          <t>IT</t>
        </is>
      </c>
      <c r="B301" t="inlineStr">
        <is>
          <t>HSA</t>
        </is>
      </c>
      <c r="C301" t="inlineStr">
        <is>
          <t>ALL</t>
        </is>
      </c>
      <c r="D301" s="3" t="n">
        <v>639165885.6249346</v>
      </c>
      <c r="E301" s="3" t="n">
        <v>615340986.9250178</v>
      </c>
      <c r="F301" s="4" t="n">
        <v>745</v>
      </c>
      <c r="G301" t="n">
        <v>1</v>
      </c>
      <c r="H301" t="n">
        <v>1</v>
      </c>
    </row>
    <row r="302">
      <c r="A302" t="inlineStr">
        <is>
          <t>JP</t>
        </is>
      </c>
      <c r="B302" t="inlineStr">
        <is>
          <t>HSA</t>
        </is>
      </c>
      <c r="C302" t="inlineStr">
        <is>
          <t>ALL</t>
        </is>
      </c>
      <c r="D302" s="3" t="n">
        <v>27271459.08</v>
      </c>
      <c r="E302" s="3" t="n">
        <v>27271459.08</v>
      </c>
      <c r="F302" s="4" t="n">
        <v>23</v>
      </c>
      <c r="G302" t="n">
        <v>1</v>
      </c>
      <c r="H302" t="n">
        <v>1</v>
      </c>
    </row>
    <row r="303">
      <c r="A303" t="inlineStr">
        <is>
          <t>LI</t>
        </is>
      </c>
      <c r="B303" t="inlineStr">
        <is>
          <t>HSA</t>
        </is>
      </c>
      <c r="C303" t="inlineStr">
        <is>
          <t>ALL</t>
        </is>
      </c>
      <c r="D303" s="3" t="n">
        <v>81000</v>
      </c>
      <c r="E303" s="3" t="n">
        <v>81000</v>
      </c>
      <c r="F303" s="4" t="n">
        <v>1</v>
      </c>
      <c r="G303" t="n">
        <v>1</v>
      </c>
      <c r="H303" t="n">
        <v>1</v>
      </c>
    </row>
    <row r="304">
      <c r="A304" t="inlineStr">
        <is>
          <t>LT</t>
        </is>
      </c>
      <c r="B304" t="inlineStr">
        <is>
          <t>HSA</t>
        </is>
      </c>
      <c r="C304" t="inlineStr">
        <is>
          <t>ALL</t>
        </is>
      </c>
      <c r="D304" s="3" t="n">
        <v>64800.00000000001</v>
      </c>
      <c r="E304" s="3" t="n">
        <v>32400</v>
      </c>
      <c r="F304" s="4" t="n">
        <v>1</v>
      </c>
      <c r="G304" t="n">
        <v>1</v>
      </c>
      <c r="H304" t="n">
        <v>1</v>
      </c>
    </row>
    <row r="305">
      <c r="A305" t="inlineStr">
        <is>
          <t>LU</t>
        </is>
      </c>
      <c r="B305" t="inlineStr">
        <is>
          <t>HSA</t>
        </is>
      </c>
      <c r="C305" t="inlineStr">
        <is>
          <t>ALL</t>
        </is>
      </c>
      <c r="D305" s="3" t="n">
        <v>491557482.3600001</v>
      </c>
      <c r="E305" s="3" t="n">
        <v>491557482.3600001</v>
      </c>
      <c r="F305" s="4" t="n">
        <v>592</v>
      </c>
      <c r="G305" t="n">
        <v>1</v>
      </c>
      <c r="H305" t="n">
        <v>1</v>
      </c>
    </row>
    <row r="306">
      <c r="A306" t="inlineStr">
        <is>
          <t>LV</t>
        </is>
      </c>
      <c r="B306" t="inlineStr">
        <is>
          <t>HSA</t>
        </is>
      </c>
      <c r="C306" t="inlineStr">
        <is>
          <t>ALL</t>
        </is>
      </c>
      <c r="D306" s="3" t="n">
        <v>5400</v>
      </c>
      <c r="E306" s="3" t="n">
        <v>5400</v>
      </c>
      <c r="F306" s="4" t="n">
        <v>1</v>
      </c>
      <c r="G306" t="n">
        <v>1</v>
      </c>
      <c r="H306" t="n">
        <v>1</v>
      </c>
    </row>
    <row r="307">
      <c r="A307" t="inlineStr">
        <is>
          <t>MA</t>
        </is>
      </c>
      <c r="B307" t="inlineStr">
        <is>
          <t>HSA</t>
        </is>
      </c>
      <c r="C307" t="inlineStr">
        <is>
          <t>ALL</t>
        </is>
      </c>
      <c r="D307" s="3" t="n">
        <v>31281471.7813395</v>
      </c>
      <c r="E307" s="3" t="n">
        <v>31281471.7813395</v>
      </c>
      <c r="F307" s="4" t="n">
        <v>4</v>
      </c>
      <c r="G307" t="n">
        <v>1</v>
      </c>
      <c r="H307" t="n">
        <v>1</v>
      </c>
    </row>
    <row r="308">
      <c r="A308" t="inlineStr">
        <is>
          <t>MC</t>
        </is>
      </c>
      <c r="B308" t="inlineStr">
        <is>
          <t>HSA</t>
        </is>
      </c>
      <c r="C308" t="inlineStr">
        <is>
          <t>ALL</t>
        </is>
      </c>
      <c r="D308" s="3" t="n">
        <v>1418462545.428415</v>
      </c>
      <c r="E308" s="3" t="n">
        <v>1341156543.223796</v>
      </c>
      <c r="F308" s="4" t="n">
        <v>634</v>
      </c>
      <c r="G308" t="n">
        <v>1</v>
      </c>
      <c r="H308" t="n">
        <v>1</v>
      </c>
    </row>
    <row r="309">
      <c r="A309" t="inlineStr">
        <is>
          <t>MT</t>
        </is>
      </c>
      <c r="B309" t="inlineStr">
        <is>
          <t>HSA</t>
        </is>
      </c>
      <c r="C309" t="inlineStr">
        <is>
          <t>ALL</t>
        </is>
      </c>
      <c r="D309" s="3" t="n">
        <v>5839560.1645245</v>
      </c>
      <c r="E309" s="3" t="n">
        <v>5839560.1645245</v>
      </c>
      <c r="F309" s="4" t="n">
        <v>13</v>
      </c>
      <c r="G309" t="n">
        <v>1</v>
      </c>
      <c r="H309" t="n">
        <v>1</v>
      </c>
    </row>
    <row r="310">
      <c r="A310" t="inlineStr">
        <is>
          <t>MX</t>
        </is>
      </c>
      <c r="B310" t="inlineStr">
        <is>
          <t>HSA</t>
        </is>
      </c>
      <c r="C310" t="inlineStr">
        <is>
          <t>ALL</t>
        </is>
      </c>
      <c r="D310" s="3" t="n">
        <v>7107407.640000001</v>
      </c>
      <c r="E310" s="3" t="n">
        <v>7107407.640000001</v>
      </c>
      <c r="F310" s="4" t="n">
        <v>9</v>
      </c>
      <c r="G310" t="n">
        <v>1</v>
      </c>
      <c r="H310" t="n">
        <v>1</v>
      </c>
    </row>
    <row r="311">
      <c r="A311" t="inlineStr">
        <is>
          <t>NL</t>
        </is>
      </c>
      <c r="B311" t="inlineStr">
        <is>
          <t>HSA</t>
        </is>
      </c>
      <c r="C311" t="inlineStr">
        <is>
          <t>ALL</t>
        </is>
      </c>
      <c r="D311" s="3" t="n">
        <v>14385652561.29099</v>
      </c>
      <c r="E311" s="3" t="n">
        <v>14050626250.53099</v>
      </c>
      <c r="F311" s="4" t="n">
        <v>8631</v>
      </c>
      <c r="G311" t="n">
        <v>1</v>
      </c>
      <c r="H311" t="n">
        <v>1</v>
      </c>
    </row>
    <row r="312">
      <c r="A312" t="inlineStr">
        <is>
          <t>NO</t>
        </is>
      </c>
      <c r="B312" t="inlineStr">
        <is>
          <t>HSA</t>
        </is>
      </c>
      <c r="C312" t="inlineStr">
        <is>
          <t>ALL</t>
        </is>
      </c>
      <c r="D312" s="3" t="n">
        <v>58376457.00000001</v>
      </c>
      <c r="E312" s="3" t="n">
        <v>58376457.00000001</v>
      </c>
      <c r="F312" s="4" t="n">
        <v>161</v>
      </c>
      <c r="G312" t="n">
        <v>1</v>
      </c>
      <c r="H312" t="n">
        <v>1</v>
      </c>
    </row>
    <row r="313">
      <c r="A313" t="inlineStr">
        <is>
          <t>NZ</t>
        </is>
      </c>
      <c r="B313" t="inlineStr">
        <is>
          <t>HSA</t>
        </is>
      </c>
      <c r="C313" t="inlineStr">
        <is>
          <t>ALL</t>
        </is>
      </c>
      <c r="D313" s="3" t="n">
        <v>384131.16</v>
      </c>
      <c r="E313" s="3" t="n">
        <v>384131.16</v>
      </c>
      <c r="F313" s="4" t="n">
        <v>1</v>
      </c>
      <c r="G313" t="n">
        <v>1</v>
      </c>
      <c r="H313" t="n">
        <v>1</v>
      </c>
    </row>
    <row r="314">
      <c r="A314" t="inlineStr">
        <is>
          <t>PE</t>
        </is>
      </c>
      <c r="B314" t="inlineStr">
        <is>
          <t>HSA</t>
        </is>
      </c>
      <c r="C314" t="inlineStr">
        <is>
          <t>ALL</t>
        </is>
      </c>
      <c r="D314" s="3" t="n">
        <v>666900</v>
      </c>
      <c r="E314" s="3" t="n">
        <v>666900</v>
      </c>
      <c r="F314" s="4" t="n">
        <v>1</v>
      </c>
      <c r="G314" t="n">
        <v>1</v>
      </c>
      <c r="H314" t="n">
        <v>1</v>
      </c>
    </row>
    <row r="315">
      <c r="A315" t="inlineStr">
        <is>
          <t>PL</t>
        </is>
      </c>
      <c r="B315" t="inlineStr">
        <is>
          <t>HSA</t>
        </is>
      </c>
      <c r="C315" t="inlineStr">
        <is>
          <t>ALL</t>
        </is>
      </c>
      <c r="D315" s="3" t="n">
        <v>7524004.140000001</v>
      </c>
      <c r="E315" s="3" t="n">
        <v>7524004.140000001</v>
      </c>
      <c r="F315" s="4" t="n">
        <v>126</v>
      </c>
      <c r="G315" t="n">
        <v>1</v>
      </c>
      <c r="H315" t="n">
        <v>1</v>
      </c>
    </row>
    <row r="316">
      <c r="A316" t="inlineStr">
        <is>
          <t>PT</t>
        </is>
      </c>
      <c r="B316" t="inlineStr">
        <is>
          <t>HSA</t>
        </is>
      </c>
      <c r="C316" t="inlineStr">
        <is>
          <t>ALL</t>
        </is>
      </c>
      <c r="D316" s="3" t="n">
        <v>5624519241.184467</v>
      </c>
      <c r="E316" s="3" t="n">
        <v>5526402293.644468</v>
      </c>
      <c r="F316" s="4" t="n">
        <v>3338</v>
      </c>
      <c r="G316" t="n">
        <v>1</v>
      </c>
      <c r="H316" t="n">
        <v>1</v>
      </c>
    </row>
    <row r="317">
      <c r="A317" t="inlineStr">
        <is>
          <t>RO</t>
        </is>
      </c>
      <c r="B317" t="inlineStr">
        <is>
          <t>HSA</t>
        </is>
      </c>
      <c r="C317" t="inlineStr">
        <is>
          <t>ALL</t>
        </is>
      </c>
      <c r="D317" s="3" t="n">
        <v>7989351.840000001</v>
      </c>
      <c r="E317" s="3" t="n">
        <v>7989351.840000001</v>
      </c>
      <c r="F317" s="4" t="n">
        <v>12</v>
      </c>
      <c r="G317" t="n">
        <v>1</v>
      </c>
      <c r="H317" t="n">
        <v>1</v>
      </c>
    </row>
    <row r="318">
      <c r="A318" t="inlineStr">
        <is>
          <t>RS</t>
        </is>
      </c>
      <c r="B318" t="inlineStr">
        <is>
          <t>HSA</t>
        </is>
      </c>
      <c r="C318" t="inlineStr">
        <is>
          <t>ALL</t>
        </is>
      </c>
      <c r="D318" s="3" t="n">
        <v>75600</v>
      </c>
      <c r="E318" s="3" t="n">
        <v>75600</v>
      </c>
      <c r="F318" s="4" t="n">
        <v>1</v>
      </c>
      <c r="G318" t="n">
        <v>1</v>
      </c>
      <c r="H318" t="n">
        <v>1</v>
      </c>
    </row>
    <row r="319">
      <c r="A319" t="inlineStr">
        <is>
          <t>RU</t>
        </is>
      </c>
      <c r="B319" t="inlineStr">
        <is>
          <t>HSA</t>
        </is>
      </c>
      <c r="C319" t="inlineStr">
        <is>
          <t>ALL</t>
        </is>
      </c>
      <c r="D319" s="3" t="n">
        <v>3114936</v>
      </c>
      <c r="E319" s="3" t="n">
        <v>3114936</v>
      </c>
      <c r="F319" s="4" t="n">
        <v>1</v>
      </c>
      <c r="G319" t="n">
        <v>1</v>
      </c>
      <c r="H319" t="n">
        <v>1</v>
      </c>
    </row>
    <row r="320">
      <c r="A320" t="inlineStr">
        <is>
          <t>SA</t>
        </is>
      </c>
      <c r="B320" t="inlineStr">
        <is>
          <t>HSA</t>
        </is>
      </c>
      <c r="C320" t="inlineStr">
        <is>
          <t>ALL</t>
        </is>
      </c>
      <c r="D320" s="3" t="n">
        <v>3968591.76</v>
      </c>
      <c r="E320" s="3" t="n">
        <v>1984295.88</v>
      </c>
      <c r="F320" s="4" t="n">
        <v>1</v>
      </c>
      <c r="G320" t="n">
        <v>1</v>
      </c>
      <c r="H320" t="n">
        <v>1</v>
      </c>
    </row>
    <row r="321">
      <c r="A321" t="inlineStr">
        <is>
          <t>SE</t>
        </is>
      </c>
      <c r="B321" t="inlineStr">
        <is>
          <t>HSA</t>
        </is>
      </c>
      <c r="C321" t="inlineStr">
        <is>
          <t>ALL</t>
        </is>
      </c>
      <c r="D321" s="3" t="n">
        <v>122212409.04</v>
      </c>
      <c r="E321" s="3" t="n">
        <v>122212409.04</v>
      </c>
      <c r="F321" s="4" t="n">
        <v>336</v>
      </c>
      <c r="G321" t="n">
        <v>1</v>
      </c>
      <c r="H321" t="n">
        <v>1</v>
      </c>
    </row>
    <row r="322">
      <c r="A322" t="inlineStr">
        <is>
          <t>SG</t>
        </is>
      </c>
      <c r="B322" t="inlineStr">
        <is>
          <t>HSA</t>
        </is>
      </c>
      <c r="C322" t="inlineStr">
        <is>
          <t>ALL</t>
        </is>
      </c>
      <c r="D322" s="3" t="n">
        <v>298755</v>
      </c>
      <c r="E322" s="3" t="n">
        <v>298755</v>
      </c>
      <c r="F322" s="4" t="n">
        <v>3</v>
      </c>
      <c r="G322" t="n">
        <v>1</v>
      </c>
      <c r="H322" t="n">
        <v>1</v>
      </c>
    </row>
    <row r="323">
      <c r="A323" t="inlineStr">
        <is>
          <t>SI</t>
        </is>
      </c>
      <c r="B323" t="inlineStr">
        <is>
          <t>HSA</t>
        </is>
      </c>
      <c r="C323" t="inlineStr">
        <is>
          <t>ALL</t>
        </is>
      </c>
      <c r="D323" s="3" t="n">
        <v>3216781.08</v>
      </c>
      <c r="E323" s="3" t="n">
        <v>3216781.08</v>
      </c>
      <c r="F323" s="4" t="n">
        <v>12</v>
      </c>
      <c r="G323" t="n">
        <v>1</v>
      </c>
      <c r="H323" t="n">
        <v>1</v>
      </c>
    </row>
    <row r="324">
      <c r="A324" t="inlineStr">
        <is>
          <t>SK</t>
        </is>
      </c>
      <c r="B324" t="inlineStr">
        <is>
          <t>HSA</t>
        </is>
      </c>
      <c r="C324" t="inlineStr">
        <is>
          <t>ALL</t>
        </is>
      </c>
      <c r="D324" s="3" t="n">
        <v>110160</v>
      </c>
      <c r="E324" s="3" t="n">
        <v>110160</v>
      </c>
      <c r="F324" s="4" t="n">
        <v>3</v>
      </c>
      <c r="G324" t="n">
        <v>1</v>
      </c>
      <c r="H324" t="n">
        <v>1</v>
      </c>
    </row>
    <row r="325">
      <c r="A325" t="inlineStr">
        <is>
          <t>TN</t>
        </is>
      </c>
      <c r="B325" t="inlineStr">
        <is>
          <t>HSA</t>
        </is>
      </c>
      <c r="C325" t="inlineStr">
        <is>
          <t>ALL</t>
        </is>
      </c>
      <c r="D325" s="3" t="n">
        <v>220320</v>
      </c>
      <c r="E325" s="3" t="n">
        <v>220320</v>
      </c>
      <c r="F325" s="4" t="n">
        <v>1</v>
      </c>
      <c r="G325" t="n">
        <v>1</v>
      </c>
      <c r="H325" t="n">
        <v>1</v>
      </c>
    </row>
    <row r="326">
      <c r="A326" t="inlineStr">
        <is>
          <t>TR</t>
        </is>
      </c>
      <c r="B326" t="inlineStr">
        <is>
          <t>HSA</t>
        </is>
      </c>
      <c r="C326" t="inlineStr">
        <is>
          <t>ALL</t>
        </is>
      </c>
      <c r="D326" s="3" t="n">
        <v>933228.0000000001</v>
      </c>
      <c r="E326" s="3" t="n">
        <v>933228.0000000001</v>
      </c>
      <c r="F326" s="4" t="n">
        <v>4</v>
      </c>
      <c r="G326" t="n">
        <v>1</v>
      </c>
      <c r="H326" t="n">
        <v>1</v>
      </c>
    </row>
    <row r="327">
      <c r="A327" t="inlineStr">
        <is>
          <t>US</t>
        </is>
      </c>
      <c r="B327" t="inlineStr">
        <is>
          <t>HSA</t>
        </is>
      </c>
      <c r="C327" t="inlineStr">
        <is>
          <t>ALL</t>
        </is>
      </c>
      <c r="D327" s="3" t="n">
        <v>137395384.4015357</v>
      </c>
      <c r="E327" s="3" t="n">
        <v>136305993.8015357</v>
      </c>
      <c r="F327" s="4" t="n">
        <v>76</v>
      </c>
      <c r="G327" t="n">
        <v>1</v>
      </c>
      <c r="H327" t="n">
        <v>1</v>
      </c>
    </row>
    <row r="328">
      <c r="A328" t="inlineStr">
        <is>
          <t>GB</t>
        </is>
      </c>
      <c r="B328" t="inlineStr"/>
      <c r="C328" t="inlineStr">
        <is>
          <t>is_eu</t>
        </is>
      </c>
      <c r="D328" s="3" t="n">
        <v>23640419921.29318</v>
      </c>
      <c r="E328" s="3" t="n">
        <v>23640419921.29318</v>
      </c>
      <c r="F328" s="4" t="n">
        <v>39913</v>
      </c>
      <c r="G328" t="n">
        <v>0</v>
      </c>
      <c r="H328" t="n">
        <v>2</v>
      </c>
    </row>
    <row r="329">
      <c r="A329" t="inlineStr">
        <is>
          <t>GB</t>
        </is>
      </c>
      <c r="B329" t="inlineStr"/>
      <c r="C329" t="inlineStr">
        <is>
          <t>is_eu</t>
        </is>
      </c>
      <c r="D329" s="3" t="n">
        <v>2712489951.953376</v>
      </c>
      <c r="E329" s="3" t="n">
        <v>2712489951.953376</v>
      </c>
      <c r="F329" s="4" t="n">
        <v>42203</v>
      </c>
      <c r="G329" t="n">
        <v>1</v>
      </c>
      <c r="H329" t="n">
        <v>2</v>
      </c>
    </row>
    <row r="330">
      <c r="A330" t="inlineStr">
        <is>
          <t>AT</t>
        </is>
      </c>
      <c r="B330" t="inlineStr">
        <is>
          <t>33</t>
        </is>
      </c>
      <c r="C330" t="inlineStr">
        <is>
          <t>is_eu</t>
        </is>
      </c>
      <c r="D330" s="3" t="n">
        <v>830464.4826</v>
      </c>
      <c r="E330" s="3" t="n">
        <v>503830.16330058</v>
      </c>
      <c r="F330" s="4" t="n">
        <v>2</v>
      </c>
      <c r="G330" t="n">
        <v>0</v>
      </c>
      <c r="H330" t="n">
        <v>2</v>
      </c>
    </row>
    <row r="331">
      <c r="A331" t="inlineStr">
        <is>
          <t>BE</t>
        </is>
      </c>
      <c r="B331" t="inlineStr">
        <is>
          <t>33</t>
        </is>
      </c>
      <c r="C331" t="inlineStr">
        <is>
          <t>is_eu</t>
        </is>
      </c>
      <c r="D331" s="3" t="n">
        <v>90808.02555768001</v>
      </c>
      <c r="E331" s="3" t="n">
        <v>45404.01277884001</v>
      </c>
      <c r="F331" s="4" t="n">
        <v>1</v>
      </c>
      <c r="G331" t="n">
        <v>0</v>
      </c>
      <c r="H331" t="n">
        <v>2</v>
      </c>
    </row>
    <row r="332">
      <c r="A332" t="inlineStr">
        <is>
          <t>CZ</t>
        </is>
      </c>
      <c r="B332" t="inlineStr">
        <is>
          <t>33</t>
        </is>
      </c>
      <c r="C332" t="inlineStr">
        <is>
          <t>is_eu</t>
        </is>
      </c>
      <c r="D332" s="3" t="n">
        <v>23160777.4373904</v>
      </c>
      <c r="E332" s="3" t="n">
        <v>23160777.4373904</v>
      </c>
      <c r="F332" s="4" t="n">
        <v>1</v>
      </c>
      <c r="G332" t="n">
        <v>0</v>
      </c>
      <c r="H332" t="n">
        <v>2</v>
      </c>
    </row>
    <row r="333">
      <c r="A333" t="inlineStr">
        <is>
          <t>FR</t>
        </is>
      </c>
      <c r="B333" t="inlineStr">
        <is>
          <t>33</t>
        </is>
      </c>
      <c r="C333" t="inlineStr">
        <is>
          <t>is_eu</t>
        </is>
      </c>
      <c r="D333" s="3" t="n">
        <v>22792119.22771476</v>
      </c>
      <c r="E333" s="3" t="n">
        <v>15036554.64228592</v>
      </c>
      <c r="F333" s="4" t="n">
        <v>7</v>
      </c>
      <c r="G333" t="n">
        <v>0</v>
      </c>
      <c r="H333" t="n">
        <v>2</v>
      </c>
    </row>
    <row r="334">
      <c r="A334" t="inlineStr">
        <is>
          <t>GB</t>
        </is>
      </c>
      <c r="B334" t="inlineStr">
        <is>
          <t>33</t>
        </is>
      </c>
      <c r="C334" t="inlineStr">
        <is>
          <t>is_eu</t>
        </is>
      </c>
      <c r="D334" s="3" t="n">
        <v>100305</v>
      </c>
      <c r="E334" s="3" t="n">
        <v>100305</v>
      </c>
      <c r="F334" s="4" t="n">
        <v>1</v>
      </c>
      <c r="G334" t="n">
        <v>0</v>
      </c>
      <c r="H334" t="n">
        <v>2</v>
      </c>
    </row>
    <row r="335">
      <c r="A335" t="inlineStr">
        <is>
          <t>NL</t>
        </is>
      </c>
      <c r="B335" t="inlineStr">
        <is>
          <t>33</t>
        </is>
      </c>
      <c r="C335" t="inlineStr">
        <is>
          <t>is_eu</t>
        </is>
      </c>
      <c r="D335" s="3" t="n">
        <v>23315804.8344</v>
      </c>
      <c r="E335" s="3" t="n">
        <v>23315804.8344</v>
      </c>
      <c r="F335" s="4" t="n">
        <v>3</v>
      </c>
      <c r="G335" t="n">
        <v>0</v>
      </c>
      <c r="H335" t="n">
        <v>2</v>
      </c>
    </row>
    <row r="336">
      <c r="A336" t="inlineStr">
        <is>
          <t>PL</t>
        </is>
      </c>
      <c r="B336" t="inlineStr">
        <is>
          <t>33</t>
        </is>
      </c>
      <c r="C336" t="inlineStr">
        <is>
          <t>is_eu</t>
        </is>
      </c>
      <c r="D336" s="3" t="n">
        <v>17153.1</v>
      </c>
      <c r="E336" s="3" t="n">
        <v>17153.1</v>
      </c>
      <c r="F336" s="4" t="n">
        <v>1</v>
      </c>
      <c r="G336" t="n">
        <v>0</v>
      </c>
      <c r="H336" t="n">
        <v>2</v>
      </c>
    </row>
    <row r="337">
      <c r="A337" t="inlineStr">
        <is>
          <t>SE</t>
        </is>
      </c>
      <c r="B337" t="inlineStr">
        <is>
          <t>33</t>
        </is>
      </c>
      <c r="C337" t="inlineStr">
        <is>
          <t>is_eu</t>
        </is>
      </c>
      <c r="D337" s="3" t="n">
        <v>144017548.0431663</v>
      </c>
      <c r="E337" s="3" t="n">
        <v>86223843.48932883</v>
      </c>
      <c r="F337" s="4" t="n">
        <v>5</v>
      </c>
      <c r="G337" t="n">
        <v>0</v>
      </c>
      <c r="H337" t="n">
        <v>2</v>
      </c>
    </row>
    <row r="338">
      <c r="A338" t="inlineStr">
        <is>
          <t>AT</t>
        </is>
      </c>
      <c r="B338" t="inlineStr">
        <is>
          <t>33</t>
        </is>
      </c>
      <c r="C338" t="inlineStr">
        <is>
          <t>is_eu</t>
        </is>
      </c>
      <c r="D338" s="3" t="n">
        <v>157524233.2120903</v>
      </c>
      <c r="E338" s="3" t="n">
        <v>80090025.05667882</v>
      </c>
      <c r="F338" s="4" t="n">
        <v>10</v>
      </c>
      <c r="G338" t="n">
        <v>1</v>
      </c>
      <c r="H338" t="n">
        <v>2</v>
      </c>
    </row>
    <row r="339">
      <c r="A339" t="inlineStr">
        <is>
          <t>BE</t>
        </is>
      </c>
      <c r="B339" t="inlineStr">
        <is>
          <t>33</t>
        </is>
      </c>
      <c r="C339" t="inlineStr">
        <is>
          <t>is_eu</t>
        </is>
      </c>
      <c r="D339" s="3" t="n">
        <v>378555946.3172237</v>
      </c>
      <c r="E339" s="3" t="n">
        <v>274964107.2062721</v>
      </c>
      <c r="F339" s="4" t="n">
        <v>57</v>
      </c>
      <c r="G339" t="n">
        <v>1</v>
      </c>
      <c r="H339" t="n">
        <v>2</v>
      </c>
    </row>
    <row r="340">
      <c r="A340" t="inlineStr">
        <is>
          <t>CZ</t>
        </is>
      </c>
      <c r="B340" t="inlineStr">
        <is>
          <t>33</t>
        </is>
      </c>
      <c r="C340" t="inlineStr">
        <is>
          <t>is_eu</t>
        </is>
      </c>
      <c r="D340" s="3" t="n">
        <v>768960</v>
      </c>
      <c r="E340" s="3" t="n">
        <v>768960</v>
      </c>
      <c r="F340" s="4" t="n">
        <v>3</v>
      </c>
      <c r="G340" t="n">
        <v>1</v>
      </c>
      <c r="H340" t="n">
        <v>2</v>
      </c>
    </row>
    <row r="341">
      <c r="A341" t="inlineStr">
        <is>
          <t>DE</t>
        </is>
      </c>
      <c r="B341" t="inlineStr">
        <is>
          <t>33</t>
        </is>
      </c>
      <c r="C341" t="inlineStr">
        <is>
          <t>is_eu</t>
        </is>
      </c>
      <c r="D341" s="3" t="n">
        <v>248119310.8107117</v>
      </c>
      <c r="E341" s="3" t="n">
        <v>155929564.713537</v>
      </c>
      <c r="F341" s="4" t="n">
        <v>33</v>
      </c>
      <c r="G341" t="n">
        <v>1</v>
      </c>
      <c r="H341" t="n">
        <v>2</v>
      </c>
    </row>
    <row r="342">
      <c r="A342" t="inlineStr">
        <is>
          <t>DK</t>
        </is>
      </c>
      <c r="B342" t="inlineStr">
        <is>
          <t>33</t>
        </is>
      </c>
      <c r="C342" t="inlineStr">
        <is>
          <t>is_eu</t>
        </is>
      </c>
      <c r="D342" s="3" t="n">
        <v>835099822.0933458</v>
      </c>
      <c r="E342" s="3" t="n">
        <v>767326116.887135</v>
      </c>
      <c r="F342" s="4" t="n">
        <v>154</v>
      </c>
      <c r="G342" t="n">
        <v>1</v>
      </c>
      <c r="H342" t="n">
        <v>2</v>
      </c>
    </row>
    <row r="343">
      <c r="A343" t="inlineStr">
        <is>
          <t>FR</t>
        </is>
      </c>
      <c r="B343" t="inlineStr">
        <is>
          <t>33</t>
        </is>
      </c>
      <c r="C343" t="inlineStr">
        <is>
          <t>is_eu</t>
        </is>
      </c>
      <c r="D343" s="3" t="n">
        <v>3056498861.781182</v>
      </c>
      <c r="E343" s="3" t="n">
        <v>2015996939.102935</v>
      </c>
      <c r="F343" s="4" t="n">
        <v>332</v>
      </c>
      <c r="G343" t="n">
        <v>1</v>
      </c>
      <c r="H343" t="n">
        <v>2</v>
      </c>
    </row>
    <row r="344">
      <c r="A344" t="inlineStr">
        <is>
          <t>GB</t>
        </is>
      </c>
      <c r="B344" t="inlineStr">
        <is>
          <t>33</t>
        </is>
      </c>
      <c r="C344" t="inlineStr">
        <is>
          <t>is_eu</t>
        </is>
      </c>
      <c r="D344" s="3" t="n">
        <v>12651005043.44461</v>
      </c>
      <c r="E344" s="3" t="n">
        <v>9697017842.906088</v>
      </c>
      <c r="F344" s="4" t="n">
        <v>1683</v>
      </c>
      <c r="G344" t="n">
        <v>1</v>
      </c>
      <c r="H344" t="n">
        <v>2</v>
      </c>
    </row>
    <row r="345">
      <c r="A345" t="inlineStr">
        <is>
          <t>NL</t>
        </is>
      </c>
      <c r="B345" t="inlineStr">
        <is>
          <t>33</t>
        </is>
      </c>
      <c r="C345" t="inlineStr">
        <is>
          <t>is_eu</t>
        </is>
      </c>
      <c r="D345" s="3" t="n">
        <v>68411727.20472538</v>
      </c>
      <c r="E345" s="3" t="n">
        <v>58122736.08275189</v>
      </c>
      <c r="F345" s="4" t="n">
        <v>22</v>
      </c>
      <c r="G345" t="n">
        <v>1</v>
      </c>
      <c r="H345" t="n">
        <v>2</v>
      </c>
    </row>
    <row r="346">
      <c r="A346" t="inlineStr">
        <is>
          <t>PL</t>
        </is>
      </c>
      <c r="B346" t="inlineStr">
        <is>
          <t>33</t>
        </is>
      </c>
      <c r="C346" t="inlineStr">
        <is>
          <t>is_eu</t>
        </is>
      </c>
      <c r="D346" s="3" t="n">
        <v>15955786.78686398</v>
      </c>
      <c r="E346" s="3" t="n">
        <v>15955786.78686398</v>
      </c>
      <c r="F346" s="4" t="n">
        <v>6</v>
      </c>
      <c r="G346" t="n">
        <v>1</v>
      </c>
      <c r="H346" t="n">
        <v>2</v>
      </c>
    </row>
    <row r="347">
      <c r="A347" t="inlineStr">
        <is>
          <t>SE</t>
        </is>
      </c>
      <c r="B347" t="inlineStr">
        <is>
          <t>33</t>
        </is>
      </c>
      <c r="C347" t="inlineStr">
        <is>
          <t>is_eu</t>
        </is>
      </c>
      <c r="D347" s="3" t="n">
        <v>3523062568.148567</v>
      </c>
      <c r="E347" s="3" t="n">
        <v>3224740725.705301</v>
      </c>
      <c r="F347" s="4" t="n">
        <v>462</v>
      </c>
      <c r="G347" t="n">
        <v>1</v>
      </c>
      <c r="H347" t="n">
        <v>2</v>
      </c>
    </row>
    <row r="348">
      <c r="A348" t="inlineStr">
        <is>
          <t>GB</t>
        </is>
      </c>
      <c r="B348" t="inlineStr">
        <is>
          <t>3624</t>
        </is>
      </c>
      <c r="C348" t="inlineStr">
        <is>
          <t>is_eu</t>
        </is>
      </c>
      <c r="D348" s="3" t="n">
        <v>7530300.000000001</v>
      </c>
      <c r="E348" s="3" t="n">
        <v>7530300.000000001</v>
      </c>
      <c r="F348" s="4" t="n">
        <v>5</v>
      </c>
      <c r="G348" t="n">
        <v>1</v>
      </c>
      <c r="H348" t="n">
        <v>2</v>
      </c>
    </row>
    <row r="349">
      <c r="A349" t="inlineStr">
        <is>
          <t>GB</t>
        </is>
      </c>
      <c r="B349" t="inlineStr">
        <is>
          <t>HIC</t>
        </is>
      </c>
      <c r="C349" t="inlineStr">
        <is>
          <t>is_eu</t>
        </is>
      </c>
      <c r="D349" s="3" t="n">
        <v>8375254.2</v>
      </c>
      <c r="E349" s="3" t="n">
        <v>8375254.2</v>
      </c>
      <c r="F349" s="4" t="n">
        <v>14</v>
      </c>
      <c r="G349" t="n">
        <v>0</v>
      </c>
      <c r="H349" t="n">
        <v>2</v>
      </c>
    </row>
    <row r="350">
      <c r="A350" t="inlineStr">
        <is>
          <t>GB</t>
        </is>
      </c>
      <c r="B350" t="inlineStr">
        <is>
          <t>HIC</t>
        </is>
      </c>
      <c r="C350" t="inlineStr">
        <is>
          <t>is_eu</t>
        </is>
      </c>
      <c r="D350" s="3" t="n">
        <v>165391394109.6541</v>
      </c>
      <c r="E350" s="3" t="n">
        <v>165391394109.6541</v>
      </c>
      <c r="F350" s="4" t="n">
        <v>173171</v>
      </c>
      <c r="G350" t="n">
        <v>1</v>
      </c>
      <c r="H350" t="n">
        <v>2</v>
      </c>
    </row>
    <row r="351">
      <c r="A351" t="inlineStr">
        <is>
          <t>BE</t>
        </is>
      </c>
      <c r="B351" t="inlineStr">
        <is>
          <t>HIG</t>
        </is>
      </c>
      <c r="C351" t="inlineStr">
        <is>
          <t>is_eu</t>
        </is>
      </c>
      <c r="D351" s="3" t="n">
        <v>30238.42243791272</v>
      </c>
      <c r="E351" s="3" t="n">
        <v>30238.42243791272</v>
      </c>
      <c r="F351" s="4" t="n">
        <v>1</v>
      </c>
      <c r="G351" t="n">
        <v>0</v>
      </c>
      <c r="H351" t="n">
        <v>2</v>
      </c>
    </row>
    <row r="352">
      <c r="A352" t="inlineStr">
        <is>
          <t>FR</t>
        </is>
      </c>
      <c r="B352" t="inlineStr">
        <is>
          <t>HIG</t>
        </is>
      </c>
      <c r="C352" t="inlineStr">
        <is>
          <t>is_eu</t>
        </is>
      </c>
      <c r="D352" s="3" t="n">
        <v>34564144.78369116</v>
      </c>
      <c r="E352" s="3" t="n">
        <v>17282072.39184558</v>
      </c>
      <c r="F352" s="4" t="n">
        <v>1</v>
      </c>
      <c r="G352" t="n">
        <v>0</v>
      </c>
      <c r="H352" t="n">
        <v>2</v>
      </c>
    </row>
    <row r="353">
      <c r="A353" t="inlineStr">
        <is>
          <t>GB</t>
        </is>
      </c>
      <c r="B353" t="inlineStr">
        <is>
          <t>HIG</t>
        </is>
      </c>
      <c r="C353" t="inlineStr">
        <is>
          <t>is_eu</t>
        </is>
      </c>
      <c r="D353" s="3" t="n">
        <v>16946092.81877061</v>
      </c>
      <c r="E353" s="3" t="n">
        <v>8737202.876743417</v>
      </c>
      <c r="F353" s="4" t="n">
        <v>5</v>
      </c>
      <c r="G353" t="n">
        <v>0</v>
      </c>
      <c r="H353" t="n">
        <v>2</v>
      </c>
    </row>
    <row r="354">
      <c r="A354" t="inlineStr">
        <is>
          <t>AT</t>
        </is>
      </c>
      <c r="B354" t="inlineStr">
        <is>
          <t>HIG</t>
        </is>
      </c>
      <c r="C354" t="inlineStr">
        <is>
          <t>is_eu</t>
        </is>
      </c>
      <c r="D354" s="3" t="n">
        <v>14816298.53194058</v>
      </c>
      <c r="E354" s="3" t="n">
        <v>14816298.53194058</v>
      </c>
      <c r="F354" s="4" t="n">
        <v>5</v>
      </c>
      <c r="G354" t="n">
        <v>1</v>
      </c>
      <c r="H354" t="n">
        <v>2</v>
      </c>
    </row>
    <row r="355">
      <c r="A355" t="inlineStr">
        <is>
          <t>BE</t>
        </is>
      </c>
      <c r="B355" t="inlineStr">
        <is>
          <t>HIG</t>
        </is>
      </c>
      <c r="C355" t="inlineStr">
        <is>
          <t>is_eu</t>
        </is>
      </c>
      <c r="D355" s="3" t="n">
        <v>240874332.8349634</v>
      </c>
      <c r="E355" s="3" t="n">
        <v>224562076.7794834</v>
      </c>
      <c r="F355" s="4" t="n">
        <v>46</v>
      </c>
      <c r="G355" t="n">
        <v>1</v>
      </c>
      <c r="H355" t="n">
        <v>2</v>
      </c>
    </row>
    <row r="356">
      <c r="A356" t="inlineStr">
        <is>
          <t>CZ</t>
        </is>
      </c>
      <c r="B356" t="inlineStr">
        <is>
          <t>HIG</t>
        </is>
      </c>
      <c r="C356" t="inlineStr">
        <is>
          <t>is_eu</t>
        </is>
      </c>
      <c r="D356" s="3" t="n">
        <v>3127771.655372374</v>
      </c>
      <c r="E356" s="3" t="n">
        <v>3127771.655372374</v>
      </c>
      <c r="F356" s="4" t="n">
        <v>2</v>
      </c>
      <c r="G356" t="n">
        <v>1</v>
      </c>
      <c r="H356" t="n">
        <v>2</v>
      </c>
    </row>
    <row r="357">
      <c r="A357" t="inlineStr">
        <is>
          <t>DE</t>
        </is>
      </c>
      <c r="B357" t="inlineStr">
        <is>
          <t>HIG</t>
        </is>
      </c>
      <c r="C357" t="inlineStr">
        <is>
          <t>is_eu</t>
        </is>
      </c>
      <c r="D357" s="3" t="n">
        <v>105331364.3028009</v>
      </c>
      <c r="E357" s="3" t="n">
        <v>86362741.31659473</v>
      </c>
      <c r="F357" s="4" t="n">
        <v>25</v>
      </c>
      <c r="G357" t="n">
        <v>1</v>
      </c>
      <c r="H357" t="n">
        <v>2</v>
      </c>
    </row>
    <row r="358">
      <c r="A358" t="inlineStr">
        <is>
          <t>DK</t>
        </is>
      </c>
      <c r="B358" t="inlineStr">
        <is>
          <t>HIG</t>
        </is>
      </c>
      <c r="C358" t="inlineStr">
        <is>
          <t>is_eu</t>
        </is>
      </c>
      <c r="D358" s="3" t="n">
        <v>1235330.777128869</v>
      </c>
      <c r="E358" s="3" t="n">
        <v>1235330.777128869</v>
      </c>
      <c r="F358" s="4" t="n">
        <v>2</v>
      </c>
      <c r="G358" t="n">
        <v>1</v>
      </c>
      <c r="H358" t="n">
        <v>2</v>
      </c>
    </row>
    <row r="359">
      <c r="A359" t="inlineStr">
        <is>
          <t>FR</t>
        </is>
      </c>
      <c r="B359" t="inlineStr">
        <is>
          <t>HIG</t>
        </is>
      </c>
      <c r="C359" t="inlineStr">
        <is>
          <t>is_eu</t>
        </is>
      </c>
      <c r="D359" s="3" t="n">
        <v>1578328507.206252</v>
      </c>
      <c r="E359" s="3" t="n">
        <v>1197465775.550601</v>
      </c>
      <c r="F359" s="4" t="n">
        <v>242</v>
      </c>
      <c r="G359" t="n">
        <v>1</v>
      </c>
      <c r="H359" t="n">
        <v>2</v>
      </c>
    </row>
    <row r="360">
      <c r="A360" t="inlineStr">
        <is>
          <t>GB</t>
        </is>
      </c>
      <c r="B360" t="inlineStr">
        <is>
          <t>HIG</t>
        </is>
      </c>
      <c r="C360" t="inlineStr">
        <is>
          <t>is_eu</t>
        </is>
      </c>
      <c r="D360" s="3" t="n">
        <v>1673508321.017862</v>
      </c>
      <c r="E360" s="3" t="n">
        <v>1328303336.29048</v>
      </c>
      <c r="F360" s="4" t="n">
        <v>267</v>
      </c>
      <c r="G360" t="n">
        <v>1</v>
      </c>
      <c r="H360" t="n">
        <v>2</v>
      </c>
    </row>
    <row r="361">
      <c r="A361" t="inlineStr">
        <is>
          <t>NL</t>
        </is>
      </c>
      <c r="B361" t="inlineStr">
        <is>
          <t>HIG</t>
        </is>
      </c>
      <c r="C361" t="inlineStr">
        <is>
          <t>is_eu</t>
        </is>
      </c>
      <c r="D361" s="3" t="n">
        <v>30942588.55304986</v>
      </c>
      <c r="E361" s="3" t="n">
        <v>23013341.31303199</v>
      </c>
      <c r="F361" s="4" t="n">
        <v>13</v>
      </c>
      <c r="G361" t="n">
        <v>1</v>
      </c>
      <c r="H361" t="n">
        <v>2</v>
      </c>
    </row>
    <row r="362">
      <c r="A362" t="inlineStr">
        <is>
          <t>PL</t>
        </is>
      </c>
      <c r="B362" t="inlineStr">
        <is>
          <t>HIG</t>
        </is>
      </c>
      <c r="C362" t="inlineStr">
        <is>
          <t>is_eu</t>
        </is>
      </c>
      <c r="D362" s="3" t="n">
        <v>1299960.830021511</v>
      </c>
      <c r="E362" s="3" t="n">
        <v>1299960.830021511</v>
      </c>
      <c r="F362" s="4" t="n">
        <v>1</v>
      </c>
      <c r="G362" t="n">
        <v>1</v>
      </c>
      <c r="H362" t="n">
        <v>2</v>
      </c>
    </row>
    <row r="363">
      <c r="A363" t="inlineStr">
        <is>
          <t>SE</t>
        </is>
      </c>
      <c r="B363" t="inlineStr">
        <is>
          <t>HIG</t>
        </is>
      </c>
      <c r="C363" t="inlineStr">
        <is>
          <t>is_eu</t>
        </is>
      </c>
      <c r="D363" s="3" t="n">
        <v>161014273.9173712</v>
      </c>
      <c r="E363" s="3" t="n">
        <v>55933150.30032652</v>
      </c>
      <c r="F363" s="4" t="n">
        <v>9</v>
      </c>
      <c r="G363" t="n">
        <v>1</v>
      </c>
      <c r="H363" t="n">
        <v>2</v>
      </c>
    </row>
    <row r="364">
      <c r="A364" t="inlineStr">
        <is>
          <t>BE</t>
        </is>
      </c>
      <c r="B364" t="inlineStr">
        <is>
          <t>HSA</t>
        </is>
      </c>
      <c r="C364" t="inlineStr">
        <is>
          <t>is_eu</t>
        </is>
      </c>
      <c r="D364" s="3" t="n">
        <v>874759.5</v>
      </c>
      <c r="E364" s="3" t="n">
        <v>874759.5</v>
      </c>
      <c r="F364" s="4" t="n">
        <v>4</v>
      </c>
      <c r="G364" t="n">
        <v>0</v>
      </c>
      <c r="H364" t="n">
        <v>2</v>
      </c>
    </row>
    <row r="365">
      <c r="A365" t="inlineStr">
        <is>
          <t>DK</t>
        </is>
      </c>
      <c r="B365" t="inlineStr">
        <is>
          <t>HSA</t>
        </is>
      </c>
      <c r="C365" t="inlineStr">
        <is>
          <t>is_eu</t>
        </is>
      </c>
      <c r="D365" s="3" t="n">
        <v>83835</v>
      </c>
      <c r="E365" s="3" t="n">
        <v>83835</v>
      </c>
      <c r="F365" s="4" t="n">
        <v>1</v>
      </c>
      <c r="G365" t="n">
        <v>0</v>
      </c>
      <c r="H365" t="n">
        <v>2</v>
      </c>
    </row>
    <row r="366">
      <c r="A366" t="inlineStr">
        <is>
          <t>FR</t>
        </is>
      </c>
      <c r="B366" t="inlineStr">
        <is>
          <t>HSA</t>
        </is>
      </c>
      <c r="C366" t="inlineStr">
        <is>
          <t>is_eu</t>
        </is>
      </c>
      <c r="D366" s="3" t="n">
        <v>9340465.080014281</v>
      </c>
      <c r="E366" s="3" t="n">
        <v>9340465.080014281</v>
      </c>
      <c r="F366" s="4" t="n">
        <v>95</v>
      </c>
      <c r="G366" t="n">
        <v>0</v>
      </c>
      <c r="H366" t="n">
        <v>2</v>
      </c>
    </row>
    <row r="367">
      <c r="A367" t="inlineStr">
        <is>
          <t>PL</t>
        </is>
      </c>
      <c r="B367" t="inlineStr">
        <is>
          <t>HSA</t>
        </is>
      </c>
      <c r="C367" t="inlineStr">
        <is>
          <t>is_eu</t>
        </is>
      </c>
      <c r="D367" s="3" t="n">
        <v>13500</v>
      </c>
      <c r="E367" s="3" t="n">
        <v>13500</v>
      </c>
      <c r="F367" s="4" t="n">
        <v>1</v>
      </c>
      <c r="G367" t="n">
        <v>0</v>
      </c>
      <c r="H367" t="n">
        <v>2</v>
      </c>
    </row>
    <row r="368">
      <c r="A368" t="inlineStr">
        <is>
          <t>SE</t>
        </is>
      </c>
      <c r="B368" t="inlineStr">
        <is>
          <t>HSA</t>
        </is>
      </c>
      <c r="C368" t="inlineStr">
        <is>
          <t>is_eu</t>
        </is>
      </c>
      <c r="D368" s="3" t="n">
        <v>368177.13</v>
      </c>
      <c r="E368" s="3" t="n">
        <v>368177.13</v>
      </c>
      <c r="F368" s="4" t="n">
        <v>3</v>
      </c>
      <c r="G368" t="n">
        <v>0</v>
      </c>
      <c r="H368" t="n">
        <v>2</v>
      </c>
    </row>
    <row r="369">
      <c r="A369" t="inlineStr">
        <is>
          <t>AT</t>
        </is>
      </c>
      <c r="B369" t="inlineStr">
        <is>
          <t>HSA</t>
        </is>
      </c>
      <c r="C369" t="inlineStr">
        <is>
          <t>is_eu</t>
        </is>
      </c>
      <c r="D369" s="3" t="n">
        <v>2145356909.501269</v>
      </c>
      <c r="E369" s="3" t="n">
        <v>2112741025.60127</v>
      </c>
      <c r="F369" s="4" t="n">
        <v>2497</v>
      </c>
      <c r="G369" t="n">
        <v>1</v>
      </c>
      <c r="H369" t="n">
        <v>2</v>
      </c>
    </row>
    <row r="370">
      <c r="A370" t="inlineStr">
        <is>
          <t>BE</t>
        </is>
      </c>
      <c r="B370" t="inlineStr">
        <is>
          <t>HSA</t>
        </is>
      </c>
      <c r="C370" t="inlineStr">
        <is>
          <t>is_eu</t>
        </is>
      </c>
      <c r="D370" s="3" t="n">
        <v>12703405179.78</v>
      </c>
      <c r="E370" s="3" t="n">
        <v>12028431981.59999</v>
      </c>
      <c r="F370" s="4" t="n">
        <v>6013</v>
      </c>
      <c r="G370" t="n">
        <v>1</v>
      </c>
      <c r="H370" t="n">
        <v>2</v>
      </c>
    </row>
    <row r="371">
      <c r="A371" t="inlineStr">
        <is>
          <t>CZ</t>
        </is>
      </c>
      <c r="B371" t="inlineStr">
        <is>
          <t>HSA</t>
        </is>
      </c>
      <c r="C371" t="inlineStr">
        <is>
          <t>is_eu</t>
        </is>
      </c>
      <c r="D371" s="3" t="n">
        <v>45454205.16</v>
      </c>
      <c r="E371" s="3" t="n">
        <v>45454205.16</v>
      </c>
      <c r="F371" s="4" t="n">
        <v>42</v>
      </c>
      <c r="G371" t="n">
        <v>1</v>
      </c>
      <c r="H371" t="n">
        <v>2</v>
      </c>
    </row>
    <row r="372">
      <c r="A372" t="inlineStr">
        <is>
          <t>DE</t>
        </is>
      </c>
      <c r="B372" t="inlineStr">
        <is>
          <t>HSA</t>
        </is>
      </c>
      <c r="C372" t="inlineStr">
        <is>
          <t>is_eu</t>
        </is>
      </c>
      <c r="D372" s="3" t="n">
        <v>17015944240.0134</v>
      </c>
      <c r="E372" s="3" t="n">
        <v>16932425620.49119</v>
      </c>
      <c r="F372" s="4" t="n">
        <v>21741</v>
      </c>
      <c r="G372" t="n">
        <v>1</v>
      </c>
      <c r="H372" t="n">
        <v>2</v>
      </c>
    </row>
    <row r="373">
      <c r="A373" t="inlineStr">
        <is>
          <t>DK</t>
        </is>
      </c>
      <c r="B373" t="inlineStr">
        <is>
          <t>HSA</t>
        </is>
      </c>
      <c r="C373" t="inlineStr">
        <is>
          <t>is_eu</t>
        </is>
      </c>
      <c r="D373" s="3" t="n">
        <v>32981391.5925015</v>
      </c>
      <c r="E373" s="3" t="n">
        <v>32183382.2925015</v>
      </c>
      <c r="F373" s="4" t="n">
        <v>91</v>
      </c>
      <c r="G373" t="n">
        <v>1</v>
      </c>
      <c r="H373" t="n">
        <v>2</v>
      </c>
    </row>
    <row r="374">
      <c r="A374" t="inlineStr">
        <is>
          <t>FR</t>
        </is>
      </c>
      <c r="B374" t="inlineStr">
        <is>
          <t>HSA</t>
        </is>
      </c>
      <c r="C374" t="inlineStr">
        <is>
          <t>is_eu</t>
        </is>
      </c>
      <c r="D374" s="3" t="n">
        <v>27872584960.47942</v>
      </c>
      <c r="E374" s="3" t="n">
        <v>27294533246.68248</v>
      </c>
      <c r="F374" s="4" t="n">
        <v>27517</v>
      </c>
      <c r="G374" t="n">
        <v>1</v>
      </c>
      <c r="H374" t="n">
        <v>2</v>
      </c>
    </row>
    <row r="375">
      <c r="A375" t="inlineStr">
        <is>
          <t>GB</t>
        </is>
      </c>
      <c r="B375" t="inlineStr">
        <is>
          <t>HSA</t>
        </is>
      </c>
      <c r="C375" t="inlineStr">
        <is>
          <t>is_eu</t>
        </is>
      </c>
      <c r="D375" s="3" t="n">
        <v>1286607650.328719</v>
      </c>
      <c r="E375" s="3" t="n">
        <v>1263657650.328719</v>
      </c>
      <c r="F375" s="4" t="n">
        <v>526</v>
      </c>
      <c r="G375" t="n">
        <v>1</v>
      </c>
      <c r="H375" t="n">
        <v>2</v>
      </c>
    </row>
    <row r="376">
      <c r="A376" t="inlineStr">
        <is>
          <t>NL</t>
        </is>
      </c>
      <c r="B376" t="inlineStr">
        <is>
          <t>HSA</t>
        </is>
      </c>
      <c r="C376" t="inlineStr">
        <is>
          <t>is_eu</t>
        </is>
      </c>
      <c r="D376" s="3" t="n">
        <v>14385652561.29099</v>
      </c>
      <c r="E376" s="3" t="n">
        <v>14050626250.53099</v>
      </c>
      <c r="F376" s="4" t="n">
        <v>8631</v>
      </c>
      <c r="G376" t="n">
        <v>1</v>
      </c>
      <c r="H376" t="n">
        <v>2</v>
      </c>
    </row>
    <row r="377">
      <c r="A377" t="inlineStr">
        <is>
          <t>PL</t>
        </is>
      </c>
      <c r="B377" t="inlineStr">
        <is>
          <t>HSA</t>
        </is>
      </c>
      <c r="C377" t="inlineStr">
        <is>
          <t>is_eu</t>
        </is>
      </c>
      <c r="D377" s="3" t="n">
        <v>7524004.140000001</v>
      </c>
      <c r="E377" s="3" t="n">
        <v>7524004.140000001</v>
      </c>
      <c r="F377" s="4" t="n">
        <v>126</v>
      </c>
      <c r="G377" t="n">
        <v>1</v>
      </c>
      <c r="H377" t="n">
        <v>2</v>
      </c>
    </row>
    <row r="378">
      <c r="A378" t="inlineStr">
        <is>
          <t>SE</t>
        </is>
      </c>
      <c r="B378" t="inlineStr">
        <is>
          <t>HSA</t>
        </is>
      </c>
      <c r="C378" t="inlineStr">
        <is>
          <t>is_eu</t>
        </is>
      </c>
      <c r="D378" s="3" t="n">
        <v>122212409.04</v>
      </c>
      <c r="E378" s="3" t="n">
        <v>122212409.04</v>
      </c>
      <c r="F378" s="4" t="n">
        <v>336</v>
      </c>
      <c r="G378" t="n">
        <v>1</v>
      </c>
      <c r="H378" t="n">
        <v>2</v>
      </c>
    </row>
    <row r="379">
      <c r="A379" t="inlineStr">
        <is>
          <t>JP</t>
        </is>
      </c>
      <c r="B379" t="inlineStr">
        <is>
          <t>33</t>
        </is>
      </c>
      <c r="C379" t="inlineStr">
        <is>
          <t>is_jp</t>
        </is>
      </c>
      <c r="D379" s="3" t="n">
        <v>112842416.1159523</v>
      </c>
      <c r="E379" s="3" t="n">
        <v>64189409.84705542</v>
      </c>
      <c r="F379" s="4" t="n">
        <v>10</v>
      </c>
      <c r="G379" t="n">
        <v>1</v>
      </c>
      <c r="H379" t="n">
        <v>2</v>
      </c>
    </row>
    <row r="380">
      <c r="A380" t="inlineStr">
        <is>
          <t>JP</t>
        </is>
      </c>
      <c r="B380" t="inlineStr">
        <is>
          <t>HIC</t>
        </is>
      </c>
      <c r="C380" t="inlineStr">
        <is>
          <t>is_jp</t>
        </is>
      </c>
      <c r="D380" s="3" t="n">
        <v>372600</v>
      </c>
      <c r="E380" s="3" t="n">
        <v>372600</v>
      </c>
      <c r="F380" s="4" t="n">
        <v>2</v>
      </c>
      <c r="G380" t="n">
        <v>1</v>
      </c>
      <c r="H380" t="n">
        <v>2</v>
      </c>
    </row>
    <row r="381">
      <c r="A381" t="inlineStr">
        <is>
          <t>JP</t>
        </is>
      </c>
      <c r="B381" t="inlineStr">
        <is>
          <t>HIG</t>
        </is>
      </c>
      <c r="C381" t="inlineStr">
        <is>
          <t>is_jp</t>
        </is>
      </c>
      <c r="D381" s="3" t="n">
        <v>247759313.0161406</v>
      </c>
      <c r="E381" s="3" t="n">
        <v>144497318.7397525</v>
      </c>
      <c r="F381" s="4" t="n">
        <v>42</v>
      </c>
      <c r="G381" t="n">
        <v>1</v>
      </c>
      <c r="H381" t="n">
        <v>2</v>
      </c>
    </row>
    <row r="382">
      <c r="A382" t="inlineStr">
        <is>
          <t>JP</t>
        </is>
      </c>
      <c r="B382" t="inlineStr">
        <is>
          <t>HSA</t>
        </is>
      </c>
      <c r="C382" t="inlineStr">
        <is>
          <t>is_jp</t>
        </is>
      </c>
      <c r="D382" s="3" t="n">
        <v>27271459.08</v>
      </c>
      <c r="E382" s="3" t="n">
        <v>27271459.08</v>
      </c>
      <c r="F382" s="4" t="n">
        <v>23</v>
      </c>
      <c r="G382" t="n">
        <v>1</v>
      </c>
      <c r="H382" t="n">
        <v>2</v>
      </c>
    </row>
    <row r="383">
      <c r="A383" t="inlineStr">
        <is>
          <t>JP</t>
        </is>
      </c>
      <c r="B383" t="inlineStr">
        <is>
          <t>33</t>
        </is>
      </c>
      <c r="C383" t="inlineStr">
        <is>
          <t>is_jp_eq</t>
        </is>
      </c>
      <c r="D383" s="3" t="n">
        <v>112842416.1159523</v>
      </c>
      <c r="E383" s="3" t="n">
        <v>64189409.84705544</v>
      </c>
      <c r="F383" s="4" t="n">
        <v>10</v>
      </c>
      <c r="G383" t="n">
        <v>1</v>
      </c>
      <c r="H383" t="n">
        <v>1</v>
      </c>
    </row>
    <row r="384">
      <c r="A384" t="inlineStr">
        <is>
          <t>JP</t>
        </is>
      </c>
      <c r="B384" t="inlineStr">
        <is>
          <t>HIC</t>
        </is>
      </c>
      <c r="C384" t="inlineStr">
        <is>
          <t>is_jp_eq</t>
        </is>
      </c>
      <c r="D384" s="3" t="n">
        <v>372600</v>
      </c>
      <c r="E384" s="3" t="n">
        <v>372600</v>
      </c>
      <c r="F384" s="4" t="n">
        <v>2</v>
      </c>
      <c r="G384" t="n">
        <v>1</v>
      </c>
      <c r="H384" t="n">
        <v>1</v>
      </c>
    </row>
    <row r="385">
      <c r="A385" t="inlineStr">
        <is>
          <t>JP</t>
        </is>
      </c>
      <c r="B385" t="inlineStr">
        <is>
          <t>HIG</t>
        </is>
      </c>
      <c r="C385" t="inlineStr">
        <is>
          <t>is_jp_eq</t>
        </is>
      </c>
      <c r="D385" s="3" t="n">
        <v>247759313.0161406</v>
      </c>
      <c r="E385" s="3" t="n">
        <v>144497318.7397526</v>
      </c>
      <c r="F385" s="4" t="n">
        <v>42</v>
      </c>
      <c r="G385" t="n">
        <v>1</v>
      </c>
      <c r="H385" t="n">
        <v>1</v>
      </c>
    </row>
    <row r="386">
      <c r="A386" t="inlineStr">
        <is>
          <t>JP</t>
        </is>
      </c>
      <c r="B386" t="inlineStr">
        <is>
          <t>HSA</t>
        </is>
      </c>
      <c r="C386" t="inlineStr">
        <is>
          <t>is_jp_eq</t>
        </is>
      </c>
      <c r="D386" s="3" t="n">
        <v>27271459.08</v>
      </c>
      <c r="E386" s="3" t="n">
        <v>27271459.08</v>
      </c>
      <c r="F386" s="4" t="n">
        <v>23</v>
      </c>
      <c r="G386" t="n">
        <v>1</v>
      </c>
      <c r="H386" t="n">
        <v>1</v>
      </c>
    </row>
    <row r="387">
      <c r="A387" t="inlineStr">
        <is>
          <t>CA</t>
        </is>
      </c>
      <c r="B387" t="inlineStr">
        <is>
          <t>33</t>
        </is>
      </c>
      <c r="C387" t="inlineStr">
        <is>
          <t>is_na_eq</t>
        </is>
      </c>
      <c r="D387" s="3" t="n">
        <v>284792662.9041162</v>
      </c>
      <c r="E387" s="3" t="n">
        <v>143952281.6275793</v>
      </c>
      <c r="F387" s="4" t="n">
        <v>18</v>
      </c>
      <c r="G387" t="n">
        <v>1</v>
      </c>
      <c r="H387" t="n">
        <v>1</v>
      </c>
    </row>
    <row r="388">
      <c r="A388" t="inlineStr">
        <is>
          <t>US</t>
        </is>
      </c>
      <c r="B388" t="inlineStr">
        <is>
          <t>33</t>
        </is>
      </c>
      <c r="C388" t="inlineStr">
        <is>
          <t>is_na_eq</t>
        </is>
      </c>
      <c r="D388" s="3" t="n">
        <v>28892608.61775904</v>
      </c>
      <c r="E388" s="3" t="n">
        <v>26937355.01662183</v>
      </c>
      <c r="F388" s="4" t="n">
        <v>5</v>
      </c>
      <c r="G388" t="n">
        <v>1</v>
      </c>
      <c r="H388" t="n">
        <v>1</v>
      </c>
    </row>
    <row r="389">
      <c r="A389" t="inlineStr">
        <is>
          <t>CA</t>
        </is>
      </c>
      <c r="B389" t="inlineStr">
        <is>
          <t>3624</t>
        </is>
      </c>
      <c r="C389" t="inlineStr">
        <is>
          <t>is_na_eq</t>
        </is>
      </c>
      <c r="D389" s="3" t="n">
        <v>148500</v>
      </c>
      <c r="E389" s="3" t="n">
        <v>148500</v>
      </c>
      <c r="F389" s="4" t="n">
        <v>1</v>
      </c>
      <c r="G389" t="n">
        <v>1</v>
      </c>
      <c r="H389" t="n">
        <v>1</v>
      </c>
    </row>
    <row r="390">
      <c r="A390" t="inlineStr">
        <is>
          <t>US</t>
        </is>
      </c>
      <c r="B390" t="inlineStr">
        <is>
          <t>3624</t>
        </is>
      </c>
      <c r="C390" t="inlineStr">
        <is>
          <t>is_na_eq</t>
        </is>
      </c>
      <c r="D390" s="3" t="n">
        <v>465750.0000000001</v>
      </c>
      <c r="E390" s="3" t="n">
        <v>465750.0000000001</v>
      </c>
      <c r="F390" s="4" t="n">
        <v>1</v>
      </c>
      <c r="G390" t="n">
        <v>1</v>
      </c>
      <c r="H390" t="n">
        <v>1</v>
      </c>
    </row>
    <row r="391">
      <c r="A391" t="inlineStr">
        <is>
          <t>CA</t>
        </is>
      </c>
      <c r="B391" t="inlineStr">
        <is>
          <t>HIC</t>
        </is>
      </c>
      <c r="C391" t="inlineStr">
        <is>
          <t>is_na_eq</t>
        </is>
      </c>
      <c r="D391" s="3" t="n">
        <v>286200</v>
      </c>
      <c r="E391" s="3" t="n">
        <v>286200</v>
      </c>
      <c r="F391" s="4" t="n">
        <v>1</v>
      </c>
      <c r="G391" t="n">
        <v>1</v>
      </c>
      <c r="H391" t="n">
        <v>1</v>
      </c>
    </row>
    <row r="392">
      <c r="A392" t="inlineStr">
        <is>
          <t>US</t>
        </is>
      </c>
      <c r="B392" t="inlineStr">
        <is>
          <t>HIC</t>
        </is>
      </c>
      <c r="C392" t="inlineStr">
        <is>
          <t>is_na_eq</t>
        </is>
      </c>
      <c r="D392" s="3" t="n">
        <v>778680</v>
      </c>
      <c r="E392" s="3" t="n">
        <v>778680</v>
      </c>
      <c r="F392" s="4" t="n">
        <v>4</v>
      </c>
      <c r="G392" t="n">
        <v>1</v>
      </c>
      <c r="H392" t="n">
        <v>1</v>
      </c>
    </row>
    <row r="393">
      <c r="A393" t="inlineStr">
        <is>
          <t>CA</t>
        </is>
      </c>
      <c r="B393" t="inlineStr">
        <is>
          <t>HIG</t>
        </is>
      </c>
      <c r="C393" t="inlineStr">
        <is>
          <t>is_na_eq</t>
        </is>
      </c>
      <c r="D393" s="3" t="n">
        <v>10203767.31644391</v>
      </c>
      <c r="E393" s="3" t="n">
        <v>10203767.31644391</v>
      </c>
      <c r="F393" s="4" t="n">
        <v>4</v>
      </c>
      <c r="G393" t="n">
        <v>1</v>
      </c>
      <c r="H393" t="n">
        <v>1</v>
      </c>
    </row>
    <row r="394">
      <c r="A394" t="inlineStr">
        <is>
          <t>US</t>
        </is>
      </c>
      <c r="B394" t="inlineStr">
        <is>
          <t>HIG</t>
        </is>
      </c>
      <c r="C394" t="inlineStr">
        <is>
          <t>is_na_eq</t>
        </is>
      </c>
      <c r="D394" s="3" t="n">
        <v>100637880.850923</v>
      </c>
      <c r="E394" s="3" t="n">
        <v>90347699.530506</v>
      </c>
      <c r="F394" s="4" t="n">
        <v>23</v>
      </c>
      <c r="G394" t="n">
        <v>1</v>
      </c>
      <c r="H394" t="n">
        <v>1</v>
      </c>
    </row>
    <row r="395">
      <c r="A395" t="inlineStr">
        <is>
          <t>CA</t>
        </is>
      </c>
      <c r="B395" t="inlineStr">
        <is>
          <t>HSA</t>
        </is>
      </c>
      <c r="C395" t="inlineStr">
        <is>
          <t>is_na_eq</t>
        </is>
      </c>
      <c r="D395" s="3" t="n">
        <v>756000</v>
      </c>
      <c r="E395" s="3" t="n">
        <v>756000</v>
      </c>
      <c r="F395" s="4" t="n">
        <v>2</v>
      </c>
      <c r="G395" t="n">
        <v>1</v>
      </c>
      <c r="H395" t="n">
        <v>1</v>
      </c>
    </row>
    <row r="396">
      <c r="A396" t="inlineStr">
        <is>
          <t>US</t>
        </is>
      </c>
      <c r="B396" t="inlineStr">
        <is>
          <t>HSA</t>
        </is>
      </c>
      <c r="C396" t="inlineStr">
        <is>
          <t>is_na_eq</t>
        </is>
      </c>
      <c r="D396" s="3" t="n">
        <v>6779709.720000001</v>
      </c>
      <c r="E396" s="3" t="n">
        <v>6779709.720000001</v>
      </c>
      <c r="F396" s="4" t="n">
        <v>7</v>
      </c>
      <c r="G396" t="n">
        <v>1</v>
      </c>
      <c r="H396" t="n">
        <v>1</v>
      </c>
    </row>
    <row r="397">
      <c r="A397" t="inlineStr">
        <is>
          <t>MX</t>
        </is>
      </c>
      <c r="B397" t="inlineStr">
        <is>
          <t>33</t>
        </is>
      </c>
      <c r="C397" t="inlineStr">
        <is>
          <t>is_nahu</t>
        </is>
      </c>
      <c r="D397" s="3" t="n">
        <v>5570458.340227749</v>
      </c>
      <c r="E397" s="3" t="n">
        <v>5570458.340227749</v>
      </c>
      <c r="F397" s="4" t="n">
        <v>1</v>
      </c>
      <c r="G397" t="n">
        <v>0</v>
      </c>
      <c r="H397" t="n">
        <v>2</v>
      </c>
    </row>
    <row r="398">
      <c r="A398" t="inlineStr">
        <is>
          <t>US</t>
        </is>
      </c>
      <c r="B398" t="inlineStr">
        <is>
          <t>33</t>
        </is>
      </c>
      <c r="C398" t="inlineStr">
        <is>
          <t>is_nahu</t>
        </is>
      </c>
      <c r="D398" s="3" t="n">
        <v>2939741491.911798</v>
      </c>
      <c r="E398" s="3" t="n">
        <v>1771607113.620469</v>
      </c>
      <c r="F398" s="4" t="n">
        <v>305</v>
      </c>
      <c r="G398" t="n">
        <v>0</v>
      </c>
      <c r="H398" t="n">
        <v>2</v>
      </c>
    </row>
    <row r="399">
      <c r="A399" t="inlineStr">
        <is>
          <t>MX</t>
        </is>
      </c>
      <c r="B399" t="inlineStr">
        <is>
          <t>33</t>
        </is>
      </c>
      <c r="C399" t="inlineStr">
        <is>
          <t>is_nahu</t>
        </is>
      </c>
      <c r="D399" s="3" t="n">
        <v>25059321.21078992</v>
      </c>
      <c r="E399" s="3" t="n">
        <v>25059321.21078992</v>
      </c>
      <c r="F399" s="4" t="n">
        <v>13</v>
      </c>
      <c r="G399" t="n">
        <v>1</v>
      </c>
      <c r="H399" t="n">
        <v>2</v>
      </c>
    </row>
    <row r="400">
      <c r="A400" t="inlineStr">
        <is>
          <t>US</t>
        </is>
      </c>
      <c r="B400" t="inlineStr">
        <is>
          <t>33</t>
        </is>
      </c>
      <c r="C400" t="inlineStr">
        <is>
          <t>is_nahu</t>
        </is>
      </c>
      <c r="D400" s="3" t="n">
        <v>392727226.0400802</v>
      </c>
      <c r="E400" s="3" t="n">
        <v>237721948.7435574</v>
      </c>
      <c r="F400" s="4" t="n">
        <v>55</v>
      </c>
      <c r="G400" t="n">
        <v>1</v>
      </c>
      <c r="H400" t="n">
        <v>2</v>
      </c>
    </row>
    <row r="401">
      <c r="A401" t="inlineStr">
        <is>
          <t>MX</t>
        </is>
      </c>
      <c r="B401" t="inlineStr">
        <is>
          <t>3624</t>
        </is>
      </c>
      <c r="C401" t="inlineStr">
        <is>
          <t>is_nahu</t>
        </is>
      </c>
      <c r="D401" s="3" t="n">
        <v>270000</v>
      </c>
      <c r="E401" s="3" t="n">
        <v>270000</v>
      </c>
      <c r="F401" s="4" t="n">
        <v>1</v>
      </c>
      <c r="G401" t="n">
        <v>1</v>
      </c>
      <c r="H401" t="n">
        <v>2</v>
      </c>
    </row>
    <row r="402">
      <c r="A402" t="inlineStr">
        <is>
          <t>US</t>
        </is>
      </c>
      <c r="B402" t="inlineStr">
        <is>
          <t>3624</t>
        </is>
      </c>
      <c r="C402" t="inlineStr">
        <is>
          <t>is_nahu</t>
        </is>
      </c>
      <c r="D402" s="3" t="n">
        <v>3324645</v>
      </c>
      <c r="E402" s="3" t="n">
        <v>3324645</v>
      </c>
      <c r="F402" s="4" t="n">
        <v>3</v>
      </c>
      <c r="G402" t="n">
        <v>1</v>
      </c>
      <c r="H402" t="n">
        <v>2</v>
      </c>
    </row>
    <row r="403">
      <c r="A403" t="inlineStr">
        <is>
          <t>US</t>
        </is>
      </c>
      <c r="B403" t="inlineStr">
        <is>
          <t>HIC</t>
        </is>
      </c>
      <c r="C403" t="inlineStr">
        <is>
          <t>is_nahu</t>
        </is>
      </c>
      <c r="D403" s="3" t="n">
        <v>136350</v>
      </c>
      <c r="E403" s="3" t="n">
        <v>136350</v>
      </c>
      <c r="F403" s="4" t="n">
        <v>1</v>
      </c>
      <c r="G403" t="n">
        <v>0</v>
      </c>
      <c r="H403" t="n">
        <v>2</v>
      </c>
    </row>
    <row r="404">
      <c r="A404" t="inlineStr">
        <is>
          <t>US</t>
        </is>
      </c>
      <c r="B404" t="inlineStr">
        <is>
          <t>HIC</t>
        </is>
      </c>
      <c r="C404" t="inlineStr">
        <is>
          <t>is_nahu</t>
        </is>
      </c>
      <c r="D404" s="3" t="n">
        <v>30570795.9</v>
      </c>
      <c r="E404" s="3" t="n">
        <v>30570795.9</v>
      </c>
      <c r="F404" s="4" t="n">
        <v>31</v>
      </c>
      <c r="G404" t="n">
        <v>1</v>
      </c>
      <c r="H404" t="n">
        <v>2</v>
      </c>
    </row>
    <row r="405">
      <c r="A405" t="inlineStr">
        <is>
          <t>MX</t>
        </is>
      </c>
      <c r="B405" t="inlineStr">
        <is>
          <t>HIG</t>
        </is>
      </c>
      <c r="C405" t="inlineStr">
        <is>
          <t>is_nahu</t>
        </is>
      </c>
      <c r="D405" s="3" t="n">
        <v>529234.5424871021</v>
      </c>
      <c r="E405" s="3" t="n">
        <v>529234.5424871021</v>
      </c>
      <c r="F405" s="4" t="n">
        <v>3</v>
      </c>
      <c r="G405" t="n">
        <v>0</v>
      </c>
      <c r="H405" t="n">
        <v>2</v>
      </c>
    </row>
    <row r="406">
      <c r="A406" t="inlineStr">
        <is>
          <t>US</t>
        </is>
      </c>
      <c r="B406" t="inlineStr">
        <is>
          <t>HIG</t>
        </is>
      </c>
      <c r="C406" t="inlineStr">
        <is>
          <t>is_nahu</t>
        </is>
      </c>
      <c r="D406" s="3" t="n">
        <v>8090936.363678377</v>
      </c>
      <c r="E406" s="3" t="n">
        <v>7479319.331113447</v>
      </c>
      <c r="F406" s="4" t="n">
        <v>7</v>
      </c>
      <c r="G406" t="n">
        <v>0</v>
      </c>
      <c r="H406" t="n">
        <v>2</v>
      </c>
    </row>
    <row r="407">
      <c r="A407" t="inlineStr">
        <is>
          <t>BH</t>
        </is>
      </c>
      <c r="B407" t="inlineStr">
        <is>
          <t>HIG</t>
        </is>
      </c>
      <c r="C407" t="inlineStr">
        <is>
          <t>is_nahu</t>
        </is>
      </c>
      <c r="D407" s="3" t="n">
        <v>48758017.15579361</v>
      </c>
      <c r="E407" s="3" t="n">
        <v>24379008.57789681</v>
      </c>
      <c r="F407" s="4" t="n">
        <v>1</v>
      </c>
      <c r="G407" t="n">
        <v>1</v>
      </c>
      <c r="H407" t="n">
        <v>2</v>
      </c>
    </row>
    <row r="408">
      <c r="A408" t="inlineStr">
        <is>
          <t>MX</t>
        </is>
      </c>
      <c r="B408" t="inlineStr">
        <is>
          <t>HIG</t>
        </is>
      </c>
      <c r="C408" t="inlineStr">
        <is>
          <t>is_nahu</t>
        </is>
      </c>
      <c r="D408" s="3" t="n">
        <v>354567766.8301943</v>
      </c>
      <c r="E408" s="3" t="n">
        <v>323321380.5034633</v>
      </c>
      <c r="F408" s="4" t="n">
        <v>90</v>
      </c>
      <c r="G408" t="n">
        <v>1</v>
      </c>
      <c r="H408" t="n">
        <v>2</v>
      </c>
    </row>
    <row r="409">
      <c r="A409" t="inlineStr">
        <is>
          <t>US</t>
        </is>
      </c>
      <c r="B409" t="inlineStr">
        <is>
          <t>HIG</t>
        </is>
      </c>
      <c r="C409" t="inlineStr">
        <is>
          <t>is_nahu</t>
        </is>
      </c>
      <c r="D409" s="3" t="n">
        <v>1215838558.878958</v>
      </c>
      <c r="E409" s="3" t="n">
        <v>892493048.9270041</v>
      </c>
      <c r="F409" s="4" t="n">
        <v>221</v>
      </c>
      <c r="G409" t="n">
        <v>1</v>
      </c>
      <c r="H409" t="n">
        <v>2</v>
      </c>
    </row>
    <row r="410">
      <c r="A410" t="inlineStr">
        <is>
          <t>BH</t>
        </is>
      </c>
      <c r="B410" t="inlineStr">
        <is>
          <t>HSA</t>
        </is>
      </c>
      <c r="C410" t="inlineStr">
        <is>
          <t>is_nahu</t>
        </is>
      </c>
      <c r="D410" s="3" t="n">
        <v>250560</v>
      </c>
      <c r="E410" s="3" t="n">
        <v>250560</v>
      </c>
      <c r="F410" s="4" t="n">
        <v>1</v>
      </c>
      <c r="G410" t="n">
        <v>1</v>
      </c>
      <c r="H410" t="n">
        <v>2</v>
      </c>
    </row>
    <row r="411">
      <c r="A411" t="inlineStr">
        <is>
          <t>MX</t>
        </is>
      </c>
      <c r="B411" t="inlineStr">
        <is>
          <t>HSA</t>
        </is>
      </c>
      <c r="C411" t="inlineStr">
        <is>
          <t>is_nahu</t>
        </is>
      </c>
      <c r="D411" s="3" t="n">
        <v>7107407.640000001</v>
      </c>
      <c r="E411" s="3" t="n">
        <v>7107407.640000001</v>
      </c>
      <c r="F411" s="4" t="n">
        <v>9</v>
      </c>
      <c r="G411" t="n">
        <v>1</v>
      </c>
      <c r="H411" t="n">
        <v>2</v>
      </c>
    </row>
    <row r="412">
      <c r="A412" t="inlineStr">
        <is>
          <t>US</t>
        </is>
      </c>
      <c r="B412" t="inlineStr">
        <is>
          <t>HSA</t>
        </is>
      </c>
      <c r="C412" t="inlineStr">
        <is>
          <t>is_nahu</t>
        </is>
      </c>
      <c r="D412" s="3" t="n">
        <v>137395384.4015357</v>
      </c>
      <c r="E412" s="3" t="n">
        <v>136305993.8015358</v>
      </c>
      <c r="F412" s="4" t="n">
        <v>76</v>
      </c>
      <c r="G412" t="n">
        <v>1</v>
      </c>
      <c r="H412" t="n">
        <v>2</v>
      </c>
    </row>
    <row r="413">
      <c r="A413" t="inlineStr">
        <is>
          <t>AE</t>
        </is>
      </c>
      <c r="B413" t="inlineStr">
        <is>
          <t>33</t>
        </is>
      </c>
      <c r="C413" t="inlineStr">
        <is>
          <t>is_non_us</t>
        </is>
      </c>
      <c r="D413" s="3" t="n">
        <v>210086.6145700144</v>
      </c>
      <c r="E413" s="3" t="n">
        <v>210086.6145700144</v>
      </c>
      <c r="F413" s="4" t="n">
        <v>2</v>
      </c>
      <c r="G413" t="n">
        <v>0</v>
      </c>
      <c r="H413" t="n">
        <v>1</v>
      </c>
    </row>
    <row r="414">
      <c r="A414" t="inlineStr">
        <is>
          <t>AR</t>
        </is>
      </c>
      <c r="B414" t="inlineStr">
        <is>
          <t>33</t>
        </is>
      </c>
      <c r="C414" t="inlineStr">
        <is>
          <t>is_non_us</t>
        </is>
      </c>
      <c r="D414" s="3" t="n">
        <v>1728139.713292917</v>
      </c>
      <c r="E414" s="3" t="n">
        <v>1728139.713292917</v>
      </c>
      <c r="F414" s="4" t="n">
        <v>2</v>
      </c>
      <c r="G414" t="n">
        <v>0</v>
      </c>
      <c r="H414" t="n">
        <v>1</v>
      </c>
    </row>
    <row r="415">
      <c r="A415" t="inlineStr">
        <is>
          <t>AT</t>
        </is>
      </c>
      <c r="B415" t="inlineStr">
        <is>
          <t>33</t>
        </is>
      </c>
      <c r="C415" t="inlineStr">
        <is>
          <t>is_non_us</t>
        </is>
      </c>
      <c r="D415" s="3" t="n">
        <v>830464.4826</v>
      </c>
      <c r="E415" s="3" t="n">
        <v>503830.16330058</v>
      </c>
      <c r="F415" s="4" t="n">
        <v>2</v>
      </c>
      <c r="G415" t="n">
        <v>0</v>
      </c>
      <c r="H415" t="n">
        <v>1</v>
      </c>
    </row>
    <row r="416">
      <c r="A416" t="inlineStr">
        <is>
          <t>AU</t>
        </is>
      </c>
      <c r="B416" t="inlineStr">
        <is>
          <t>33</t>
        </is>
      </c>
      <c r="C416" t="inlineStr">
        <is>
          <t>is_non_us</t>
        </is>
      </c>
      <c r="D416" s="3" t="n">
        <v>18756114.4102309</v>
      </c>
      <c r="E416" s="3" t="n">
        <v>18756114.4102309</v>
      </c>
      <c r="F416" s="4" t="n">
        <v>4</v>
      </c>
      <c r="G416" t="n">
        <v>0</v>
      </c>
      <c r="H416" t="n">
        <v>1</v>
      </c>
    </row>
    <row r="417">
      <c r="A417" t="inlineStr">
        <is>
          <t>BE</t>
        </is>
      </c>
      <c r="B417" t="inlineStr">
        <is>
          <t>33</t>
        </is>
      </c>
      <c r="C417" t="inlineStr">
        <is>
          <t>is_non_us</t>
        </is>
      </c>
      <c r="D417" s="3" t="n">
        <v>90808.02555768001</v>
      </c>
      <c r="E417" s="3" t="n">
        <v>45404.01277884001</v>
      </c>
      <c r="F417" s="4" t="n">
        <v>1</v>
      </c>
      <c r="G417" t="n">
        <v>0</v>
      </c>
      <c r="H417" t="n">
        <v>1</v>
      </c>
    </row>
    <row r="418">
      <c r="A418" t="inlineStr">
        <is>
          <t>BM</t>
        </is>
      </c>
      <c r="B418" t="inlineStr">
        <is>
          <t>33</t>
        </is>
      </c>
      <c r="C418" t="inlineStr">
        <is>
          <t>is_non_us</t>
        </is>
      </c>
      <c r="D418" s="3" t="n">
        <v>149007.9938777658</v>
      </c>
      <c r="E418" s="3" t="n">
        <v>149007.9938777658</v>
      </c>
      <c r="F418" s="4" t="n">
        <v>1</v>
      </c>
      <c r="G418" t="n">
        <v>0</v>
      </c>
      <c r="H418" t="n">
        <v>1</v>
      </c>
    </row>
    <row r="419">
      <c r="A419" t="inlineStr">
        <is>
          <t>BR</t>
        </is>
      </c>
      <c r="B419" t="inlineStr">
        <is>
          <t>33</t>
        </is>
      </c>
      <c r="C419" t="inlineStr">
        <is>
          <t>is_non_us</t>
        </is>
      </c>
      <c r="D419" s="3" t="n">
        <v>55980557.77012295</v>
      </c>
      <c r="E419" s="3" t="n">
        <v>46207734.77338711</v>
      </c>
      <c r="F419" s="4" t="n">
        <v>2</v>
      </c>
      <c r="G419" t="n">
        <v>0</v>
      </c>
      <c r="H419" t="n">
        <v>1</v>
      </c>
    </row>
    <row r="420">
      <c r="A420" t="inlineStr">
        <is>
          <t>BS</t>
        </is>
      </c>
      <c r="B420" t="inlineStr">
        <is>
          <t>33</t>
        </is>
      </c>
      <c r="C420" t="inlineStr">
        <is>
          <t>is_non_us</t>
        </is>
      </c>
      <c r="D420" s="3" t="n">
        <v>45691.12050421937</v>
      </c>
      <c r="E420" s="3" t="n">
        <v>45691.12050421937</v>
      </c>
      <c r="F420" s="4" t="n">
        <v>1</v>
      </c>
      <c r="G420" t="n">
        <v>0</v>
      </c>
      <c r="H420" t="n">
        <v>1</v>
      </c>
    </row>
    <row r="421">
      <c r="A421" t="inlineStr">
        <is>
          <t>BW</t>
        </is>
      </c>
      <c r="B421" t="inlineStr">
        <is>
          <t>33</t>
        </is>
      </c>
      <c r="C421" t="inlineStr">
        <is>
          <t>is_non_us</t>
        </is>
      </c>
      <c r="D421" s="3" t="n">
        <v>1105650</v>
      </c>
      <c r="E421" s="3" t="n">
        <v>1105650</v>
      </c>
      <c r="F421" s="4" t="n">
        <v>1</v>
      </c>
      <c r="G421" t="n">
        <v>0</v>
      </c>
      <c r="H421" t="n">
        <v>1</v>
      </c>
    </row>
    <row r="422">
      <c r="A422" t="inlineStr">
        <is>
          <t>CH</t>
        </is>
      </c>
      <c r="B422" t="inlineStr">
        <is>
          <t>33</t>
        </is>
      </c>
      <c r="C422" t="inlineStr">
        <is>
          <t>is_non_us</t>
        </is>
      </c>
      <c r="D422" s="3" t="n">
        <v>455287752.0066737</v>
      </c>
      <c r="E422" s="3" t="n">
        <v>254653752.8459931</v>
      </c>
      <c r="F422" s="4" t="n">
        <v>31</v>
      </c>
      <c r="G422" t="n">
        <v>0</v>
      </c>
      <c r="H422" t="n">
        <v>1</v>
      </c>
    </row>
    <row r="423">
      <c r="A423" t="inlineStr">
        <is>
          <t>CL</t>
        </is>
      </c>
      <c r="B423" t="inlineStr">
        <is>
          <t>33</t>
        </is>
      </c>
      <c r="C423" t="inlineStr">
        <is>
          <t>is_non_us</t>
        </is>
      </c>
      <c r="D423" s="3" t="n">
        <v>12254179.39554298</v>
      </c>
      <c r="E423" s="3" t="n">
        <v>12254179.39554298</v>
      </c>
      <c r="F423" s="4" t="n">
        <v>11</v>
      </c>
      <c r="G423" t="n">
        <v>0</v>
      </c>
      <c r="H423" t="n">
        <v>1</v>
      </c>
    </row>
    <row r="424">
      <c r="A424" t="inlineStr">
        <is>
          <t>CN</t>
        </is>
      </c>
      <c r="B424" t="inlineStr">
        <is>
          <t>33</t>
        </is>
      </c>
      <c r="C424" t="inlineStr">
        <is>
          <t>is_non_us</t>
        </is>
      </c>
      <c r="D424" s="3" t="n">
        <v>83336767.11848314</v>
      </c>
      <c r="E424" s="3" t="n">
        <v>60168296.09843293</v>
      </c>
      <c r="F424" s="4" t="n">
        <v>12</v>
      </c>
      <c r="G424" t="n">
        <v>0</v>
      </c>
      <c r="H424" t="n">
        <v>1</v>
      </c>
    </row>
    <row r="425">
      <c r="A425" t="inlineStr">
        <is>
          <t>CO</t>
        </is>
      </c>
      <c r="B425" t="inlineStr">
        <is>
          <t>33</t>
        </is>
      </c>
      <c r="C425" t="inlineStr">
        <is>
          <t>is_non_us</t>
        </is>
      </c>
      <c r="D425" s="3" t="n">
        <v>10564464.78990166</v>
      </c>
      <c r="E425" s="3" t="n">
        <v>10564464.78990166</v>
      </c>
      <c r="F425" s="4" t="n">
        <v>7</v>
      </c>
      <c r="G425" t="n">
        <v>0</v>
      </c>
      <c r="H425" t="n">
        <v>1</v>
      </c>
    </row>
    <row r="426">
      <c r="A426" t="inlineStr">
        <is>
          <t>CY</t>
        </is>
      </c>
      <c r="B426" t="inlineStr">
        <is>
          <t>33</t>
        </is>
      </c>
      <c r="C426" t="inlineStr">
        <is>
          <t>is_non_us</t>
        </is>
      </c>
      <c r="D426" s="3" t="n">
        <v>11907629.775</v>
      </c>
      <c r="E426" s="3" t="n">
        <v>11907629.775</v>
      </c>
      <c r="F426" s="4" t="n">
        <v>3</v>
      </c>
      <c r="G426" t="n">
        <v>0</v>
      </c>
      <c r="H426" t="n">
        <v>1</v>
      </c>
    </row>
    <row r="427">
      <c r="A427" t="inlineStr">
        <is>
          <t>CZ</t>
        </is>
      </c>
      <c r="B427" t="inlineStr">
        <is>
          <t>33</t>
        </is>
      </c>
      <c r="C427" t="inlineStr">
        <is>
          <t>is_non_us</t>
        </is>
      </c>
      <c r="D427" s="3" t="n">
        <v>23160777.4373904</v>
      </c>
      <c r="E427" s="3" t="n">
        <v>23160777.4373904</v>
      </c>
      <c r="F427" s="4" t="n">
        <v>1</v>
      </c>
      <c r="G427" t="n">
        <v>0</v>
      </c>
      <c r="H427" t="n">
        <v>1</v>
      </c>
    </row>
    <row r="428">
      <c r="A428" t="inlineStr">
        <is>
          <t>DO</t>
        </is>
      </c>
      <c r="B428" t="inlineStr">
        <is>
          <t>33</t>
        </is>
      </c>
      <c r="C428" t="inlineStr">
        <is>
          <t>is_non_us</t>
        </is>
      </c>
      <c r="D428" s="3" t="n">
        <v>363608.1296349228</v>
      </c>
      <c r="E428" s="3" t="n">
        <v>363608.1296349228</v>
      </c>
      <c r="F428" s="4" t="n">
        <v>1</v>
      </c>
      <c r="G428" t="n">
        <v>0</v>
      </c>
      <c r="H428" t="n">
        <v>1</v>
      </c>
    </row>
    <row r="429">
      <c r="A429" t="inlineStr">
        <is>
          <t>EE</t>
        </is>
      </c>
      <c r="B429" t="inlineStr">
        <is>
          <t>33</t>
        </is>
      </c>
      <c r="C429" t="inlineStr">
        <is>
          <t>is_non_us</t>
        </is>
      </c>
      <c r="D429" s="3" t="n">
        <v>75600</v>
      </c>
      <c r="E429" s="3" t="n">
        <v>75600</v>
      </c>
      <c r="F429" s="4" t="n">
        <v>1</v>
      </c>
      <c r="G429" t="n">
        <v>0</v>
      </c>
      <c r="H429" t="n">
        <v>1</v>
      </c>
    </row>
    <row r="430">
      <c r="A430" t="inlineStr">
        <is>
          <t>ES</t>
        </is>
      </c>
      <c r="B430" t="inlineStr">
        <is>
          <t>33</t>
        </is>
      </c>
      <c r="C430" t="inlineStr">
        <is>
          <t>is_non_us</t>
        </is>
      </c>
      <c r="D430" s="3" t="n">
        <v>56470650.59189952</v>
      </c>
      <c r="E430" s="3" t="n">
        <v>32090656.10594976</v>
      </c>
      <c r="F430" s="4" t="n">
        <v>5</v>
      </c>
      <c r="G430" t="n">
        <v>0</v>
      </c>
      <c r="H430" t="n">
        <v>1</v>
      </c>
    </row>
    <row r="431">
      <c r="A431" t="inlineStr">
        <is>
          <t>FR</t>
        </is>
      </c>
      <c r="B431" t="inlineStr">
        <is>
          <t>33</t>
        </is>
      </c>
      <c r="C431" t="inlineStr">
        <is>
          <t>is_non_us</t>
        </is>
      </c>
      <c r="D431" s="3" t="n">
        <v>22792119.22771476</v>
      </c>
      <c r="E431" s="3" t="n">
        <v>15036554.64228592</v>
      </c>
      <c r="F431" s="4" t="n">
        <v>7</v>
      </c>
      <c r="G431" t="n">
        <v>0</v>
      </c>
      <c r="H431" t="n">
        <v>1</v>
      </c>
    </row>
    <row r="432">
      <c r="A432" t="inlineStr">
        <is>
          <t>GB</t>
        </is>
      </c>
      <c r="B432" t="inlineStr">
        <is>
          <t>33</t>
        </is>
      </c>
      <c r="C432" t="inlineStr">
        <is>
          <t>is_non_us</t>
        </is>
      </c>
      <c r="D432" s="3" t="n">
        <v>100305</v>
      </c>
      <c r="E432" s="3" t="n">
        <v>100305</v>
      </c>
      <c r="F432" s="4" t="n">
        <v>1</v>
      </c>
      <c r="G432" t="n">
        <v>0</v>
      </c>
      <c r="H432" t="n">
        <v>1</v>
      </c>
    </row>
    <row r="433">
      <c r="A433" t="inlineStr">
        <is>
          <t>GI</t>
        </is>
      </c>
      <c r="B433" t="inlineStr">
        <is>
          <t>33</t>
        </is>
      </c>
      <c r="C433" t="inlineStr">
        <is>
          <t>is_non_us</t>
        </is>
      </c>
      <c r="D433" s="3" t="n">
        <v>3664028.25</v>
      </c>
      <c r="E433" s="3" t="n">
        <v>3664028.25</v>
      </c>
      <c r="F433" s="4" t="n">
        <v>1</v>
      </c>
      <c r="G433" t="n">
        <v>0</v>
      </c>
      <c r="H433" t="n">
        <v>1</v>
      </c>
    </row>
    <row r="434">
      <c r="A434" t="inlineStr">
        <is>
          <t>GR</t>
        </is>
      </c>
      <c r="B434" t="inlineStr">
        <is>
          <t>33</t>
        </is>
      </c>
      <c r="C434" t="inlineStr">
        <is>
          <t>is_non_us</t>
        </is>
      </c>
      <c r="D434" s="3" t="n">
        <v>101526194.6924745</v>
      </c>
      <c r="E434" s="3" t="n">
        <v>93536279.86161366</v>
      </c>
      <c r="F434" s="4" t="n">
        <v>19</v>
      </c>
      <c r="G434" t="n">
        <v>0</v>
      </c>
      <c r="H434" t="n">
        <v>1</v>
      </c>
    </row>
    <row r="435">
      <c r="A435" t="inlineStr">
        <is>
          <t>GT</t>
        </is>
      </c>
      <c r="B435" t="inlineStr">
        <is>
          <t>33</t>
        </is>
      </c>
      <c r="C435" t="inlineStr">
        <is>
          <t>is_non_us</t>
        </is>
      </c>
      <c r="D435" s="3" t="n">
        <v>2748894.423426946</v>
      </c>
      <c r="E435" s="3" t="n">
        <v>2748894.423426946</v>
      </c>
      <c r="F435" s="4" t="n">
        <v>4</v>
      </c>
      <c r="G435" t="n">
        <v>0</v>
      </c>
      <c r="H435" t="n">
        <v>1</v>
      </c>
    </row>
    <row r="436">
      <c r="A436" t="inlineStr">
        <is>
          <t>HK</t>
        </is>
      </c>
      <c r="B436" t="inlineStr">
        <is>
          <t>33</t>
        </is>
      </c>
      <c r="C436" t="inlineStr">
        <is>
          <t>is_non_us</t>
        </is>
      </c>
      <c r="D436" s="3" t="n">
        <v>16827200.25032217</v>
      </c>
      <c r="E436" s="3" t="n">
        <v>16736239.93853397</v>
      </c>
      <c r="F436" s="4" t="n">
        <v>11</v>
      </c>
      <c r="G436" t="n">
        <v>0</v>
      </c>
      <c r="H436" t="n">
        <v>1</v>
      </c>
    </row>
    <row r="437">
      <c r="A437" t="inlineStr">
        <is>
          <t>ID</t>
        </is>
      </c>
      <c r="B437" t="inlineStr">
        <is>
          <t>33</t>
        </is>
      </c>
      <c r="C437" t="inlineStr">
        <is>
          <t>is_non_us</t>
        </is>
      </c>
      <c r="D437" s="3" t="n">
        <v>0</v>
      </c>
      <c r="E437" s="3" t="n">
        <v>0</v>
      </c>
      <c r="F437" s="4" t="n">
        <v>1</v>
      </c>
      <c r="G437" t="n">
        <v>0</v>
      </c>
      <c r="H437" t="n">
        <v>1</v>
      </c>
    </row>
    <row r="438">
      <c r="A438" t="inlineStr">
        <is>
          <t>IE</t>
        </is>
      </c>
      <c r="B438" t="inlineStr">
        <is>
          <t>33</t>
        </is>
      </c>
      <c r="C438" t="inlineStr">
        <is>
          <t>is_non_us</t>
        </is>
      </c>
      <c r="D438" s="3" t="n">
        <v>16581742.4916</v>
      </c>
      <c r="E438" s="3" t="n">
        <v>16367413.1166</v>
      </c>
      <c r="F438" s="4" t="n">
        <v>11</v>
      </c>
      <c r="G438" t="n">
        <v>0</v>
      </c>
      <c r="H438" t="n">
        <v>1</v>
      </c>
    </row>
    <row r="439">
      <c r="A439" t="inlineStr">
        <is>
          <t>IL</t>
        </is>
      </c>
      <c r="B439" t="inlineStr">
        <is>
          <t>33</t>
        </is>
      </c>
      <c r="C439" t="inlineStr">
        <is>
          <t>is_non_us</t>
        </is>
      </c>
      <c r="D439" s="3" t="n">
        <v>9189487.720355293</v>
      </c>
      <c r="E439" s="3" t="n">
        <v>9117495.493071496</v>
      </c>
      <c r="F439" s="4" t="n">
        <v>7</v>
      </c>
      <c r="G439" t="n">
        <v>0</v>
      </c>
      <c r="H439" t="n">
        <v>1</v>
      </c>
    </row>
    <row r="440">
      <c r="A440" t="inlineStr">
        <is>
          <t>IN</t>
        </is>
      </c>
      <c r="B440" t="inlineStr">
        <is>
          <t>33</t>
        </is>
      </c>
      <c r="C440" t="inlineStr">
        <is>
          <t>is_non_us</t>
        </is>
      </c>
      <c r="D440" s="3" t="n">
        <v>21078587.25951058</v>
      </c>
      <c r="E440" s="3" t="n">
        <v>10613797.62669417</v>
      </c>
      <c r="F440" s="4" t="n">
        <v>2</v>
      </c>
      <c r="G440" t="n">
        <v>0</v>
      </c>
      <c r="H440" t="n">
        <v>1</v>
      </c>
    </row>
    <row r="441">
      <c r="A441" t="inlineStr">
        <is>
          <t>KR</t>
        </is>
      </c>
      <c r="B441" t="inlineStr">
        <is>
          <t>33</t>
        </is>
      </c>
      <c r="C441" t="inlineStr">
        <is>
          <t>is_non_us</t>
        </is>
      </c>
      <c r="D441" s="3" t="n">
        <v>49244.87432121422</v>
      </c>
      <c r="E441" s="3" t="n">
        <v>24622.43716060711</v>
      </c>
      <c r="F441" s="4" t="n">
        <v>1</v>
      </c>
      <c r="G441" t="n">
        <v>0</v>
      </c>
      <c r="H441" t="n">
        <v>1</v>
      </c>
    </row>
    <row r="442">
      <c r="A442" t="inlineStr">
        <is>
          <t>KW</t>
        </is>
      </c>
      <c r="B442" t="inlineStr">
        <is>
          <t>33</t>
        </is>
      </c>
      <c r="C442" t="inlineStr">
        <is>
          <t>is_non_us</t>
        </is>
      </c>
      <c r="D442" s="3" t="n">
        <v>174598.9711036569</v>
      </c>
      <c r="E442" s="3" t="n">
        <v>174598.9711036569</v>
      </c>
      <c r="F442" s="4" t="n">
        <v>1</v>
      </c>
      <c r="G442" t="n">
        <v>0</v>
      </c>
      <c r="H442" t="n">
        <v>1</v>
      </c>
    </row>
    <row r="443">
      <c r="A443" t="inlineStr">
        <is>
          <t>KY</t>
        </is>
      </c>
      <c r="B443" t="inlineStr">
        <is>
          <t>33</t>
        </is>
      </c>
      <c r="C443" t="inlineStr">
        <is>
          <t>is_non_us</t>
        </is>
      </c>
      <c r="D443" s="3" t="n">
        <v>273639.0439086022</v>
      </c>
      <c r="E443" s="3" t="n">
        <v>136819.5219543011</v>
      </c>
      <c r="F443" s="4" t="n">
        <v>1</v>
      </c>
      <c r="G443" t="n">
        <v>0</v>
      </c>
      <c r="H443" t="n">
        <v>1</v>
      </c>
    </row>
    <row r="444">
      <c r="A444" t="inlineStr">
        <is>
          <t>LB</t>
        </is>
      </c>
      <c r="B444" t="inlineStr">
        <is>
          <t>33</t>
        </is>
      </c>
      <c r="C444" t="inlineStr">
        <is>
          <t>is_non_us</t>
        </is>
      </c>
      <c r="D444" s="3" t="n">
        <v>40257079.14412824</v>
      </c>
      <c r="E444" s="3" t="n">
        <v>38912554.21616226</v>
      </c>
      <c r="F444" s="4" t="n">
        <v>7</v>
      </c>
      <c r="G444" t="n">
        <v>0</v>
      </c>
      <c r="H444" t="n">
        <v>1</v>
      </c>
    </row>
    <row r="445">
      <c r="A445" t="inlineStr">
        <is>
          <t>LT</t>
        </is>
      </c>
      <c r="B445" t="inlineStr">
        <is>
          <t>33</t>
        </is>
      </c>
      <c r="C445" t="inlineStr">
        <is>
          <t>is_non_us</t>
        </is>
      </c>
      <c r="D445" s="3" t="n">
        <v>5333505.48</v>
      </c>
      <c r="E445" s="3" t="n">
        <v>5333505.48</v>
      </c>
      <c r="F445" s="4" t="n">
        <v>2</v>
      </c>
      <c r="G445" t="n">
        <v>0</v>
      </c>
      <c r="H445" t="n">
        <v>1</v>
      </c>
    </row>
    <row r="446">
      <c r="A446" t="inlineStr">
        <is>
          <t>MA</t>
        </is>
      </c>
      <c r="B446" t="inlineStr">
        <is>
          <t>33</t>
        </is>
      </c>
      <c r="C446" t="inlineStr">
        <is>
          <t>is_non_us</t>
        </is>
      </c>
      <c r="D446" s="3" t="n">
        <v>216000</v>
      </c>
      <c r="E446" s="3" t="n">
        <v>216000</v>
      </c>
      <c r="F446" s="4" t="n">
        <v>1</v>
      </c>
      <c r="G446" t="n">
        <v>0</v>
      </c>
      <c r="H446" t="n">
        <v>1</v>
      </c>
    </row>
    <row r="447">
      <c r="A447" t="inlineStr">
        <is>
          <t>MC</t>
        </is>
      </c>
      <c r="B447" t="inlineStr">
        <is>
          <t>33</t>
        </is>
      </c>
      <c r="C447" t="inlineStr">
        <is>
          <t>is_non_us</t>
        </is>
      </c>
      <c r="D447" s="3" t="n">
        <v>25477438.61953574</v>
      </c>
      <c r="E447" s="3" t="n">
        <v>20520481.24937752</v>
      </c>
      <c r="F447" s="4" t="n">
        <v>10</v>
      </c>
      <c r="G447" t="n">
        <v>0</v>
      </c>
      <c r="H447" t="n">
        <v>1</v>
      </c>
    </row>
    <row r="448">
      <c r="A448" t="inlineStr">
        <is>
          <t>MT</t>
        </is>
      </c>
      <c r="B448" t="inlineStr">
        <is>
          <t>33</t>
        </is>
      </c>
      <c r="C448" t="inlineStr">
        <is>
          <t>is_non_us</t>
        </is>
      </c>
      <c r="D448" s="3" t="n">
        <v>2700</v>
      </c>
      <c r="E448" s="3" t="n">
        <v>2700</v>
      </c>
      <c r="F448" s="4" t="n">
        <v>1</v>
      </c>
      <c r="G448" t="n">
        <v>0</v>
      </c>
      <c r="H448" t="n">
        <v>1</v>
      </c>
    </row>
    <row r="449">
      <c r="A449" t="inlineStr">
        <is>
          <t>MX</t>
        </is>
      </c>
      <c r="B449" t="inlineStr">
        <is>
          <t>33</t>
        </is>
      </c>
      <c r="C449" t="inlineStr">
        <is>
          <t>is_non_us</t>
        </is>
      </c>
      <c r="D449" s="3" t="n">
        <v>5570458.340227749</v>
      </c>
      <c r="E449" s="3" t="n">
        <v>5570458.340227749</v>
      </c>
      <c r="F449" s="4" t="n">
        <v>1</v>
      </c>
      <c r="G449" t="n">
        <v>0</v>
      </c>
      <c r="H449" t="n">
        <v>1</v>
      </c>
    </row>
    <row r="450">
      <c r="A450" t="inlineStr">
        <is>
          <t>NG</t>
        </is>
      </c>
      <c r="B450" t="inlineStr">
        <is>
          <t>33</t>
        </is>
      </c>
      <c r="C450" t="inlineStr">
        <is>
          <t>is_non_us</t>
        </is>
      </c>
      <c r="D450" s="3" t="n">
        <v>2030716.4668542</v>
      </c>
      <c r="E450" s="3" t="n">
        <v>1015358.2334271</v>
      </c>
      <c r="F450" s="4" t="n">
        <v>1</v>
      </c>
      <c r="G450" t="n">
        <v>0</v>
      </c>
      <c r="H450" t="n">
        <v>1</v>
      </c>
    </row>
    <row r="451">
      <c r="A451" t="inlineStr">
        <is>
          <t>NL</t>
        </is>
      </c>
      <c r="B451" t="inlineStr">
        <is>
          <t>33</t>
        </is>
      </c>
      <c r="C451" t="inlineStr">
        <is>
          <t>is_non_us</t>
        </is>
      </c>
      <c r="D451" s="3" t="n">
        <v>23315804.8344</v>
      </c>
      <c r="E451" s="3" t="n">
        <v>23315804.8344</v>
      </c>
      <c r="F451" s="4" t="n">
        <v>3</v>
      </c>
      <c r="G451" t="n">
        <v>0</v>
      </c>
      <c r="H451" t="n">
        <v>1</v>
      </c>
    </row>
    <row r="452">
      <c r="A452" t="inlineStr">
        <is>
          <t>NZ</t>
        </is>
      </c>
      <c r="B452" t="inlineStr">
        <is>
          <t>33</t>
        </is>
      </c>
      <c r="C452" t="inlineStr">
        <is>
          <t>is_non_us</t>
        </is>
      </c>
      <c r="D452" s="3" t="n">
        <v>1698544.473894012</v>
      </c>
      <c r="E452" s="3" t="n">
        <v>1698544.473894012</v>
      </c>
      <c r="F452" s="4" t="n">
        <v>3</v>
      </c>
      <c r="G452" t="n">
        <v>0</v>
      </c>
      <c r="H452" t="n">
        <v>1</v>
      </c>
    </row>
    <row r="453">
      <c r="A453" t="inlineStr">
        <is>
          <t>OM</t>
        </is>
      </c>
      <c r="B453" t="inlineStr">
        <is>
          <t>33</t>
        </is>
      </c>
      <c r="C453" t="inlineStr">
        <is>
          <t>is_non_us</t>
        </is>
      </c>
      <c r="D453" s="3" t="n">
        <v>3375</v>
      </c>
      <c r="E453" s="3" t="n">
        <v>3375</v>
      </c>
      <c r="F453" s="4" t="n">
        <v>1</v>
      </c>
      <c r="G453" t="n">
        <v>0</v>
      </c>
      <c r="H453" t="n">
        <v>1</v>
      </c>
    </row>
    <row r="454">
      <c r="A454" t="inlineStr">
        <is>
          <t>PA</t>
        </is>
      </c>
      <c r="B454" t="inlineStr">
        <is>
          <t>33</t>
        </is>
      </c>
      <c r="C454" t="inlineStr">
        <is>
          <t>is_non_us</t>
        </is>
      </c>
      <c r="D454" s="3" t="n">
        <v>227153.5748130987</v>
      </c>
      <c r="E454" s="3" t="n">
        <v>227153.5748130987</v>
      </c>
      <c r="F454" s="4" t="n">
        <v>1</v>
      </c>
      <c r="G454" t="n">
        <v>0</v>
      </c>
      <c r="H454" t="n">
        <v>1</v>
      </c>
    </row>
    <row r="455">
      <c r="A455" t="inlineStr">
        <is>
          <t>PH</t>
        </is>
      </c>
      <c r="B455" t="inlineStr">
        <is>
          <t>33</t>
        </is>
      </c>
      <c r="C455" t="inlineStr">
        <is>
          <t>is_non_us</t>
        </is>
      </c>
      <c r="D455" s="3" t="n">
        <v>228455.6025210975</v>
      </c>
      <c r="E455" s="3" t="n">
        <v>114227.8012605488</v>
      </c>
      <c r="F455" s="4" t="n">
        <v>1</v>
      </c>
      <c r="G455" t="n">
        <v>0</v>
      </c>
      <c r="H455" t="n">
        <v>1</v>
      </c>
    </row>
    <row r="456">
      <c r="A456" t="inlineStr">
        <is>
          <t>PL</t>
        </is>
      </c>
      <c r="B456" t="inlineStr">
        <is>
          <t>33</t>
        </is>
      </c>
      <c r="C456" t="inlineStr">
        <is>
          <t>is_non_us</t>
        </is>
      </c>
      <c r="D456" s="3" t="n">
        <v>17153.1</v>
      </c>
      <c r="E456" s="3" t="n">
        <v>17153.1</v>
      </c>
      <c r="F456" s="4" t="n">
        <v>1</v>
      </c>
      <c r="G456" t="n">
        <v>0</v>
      </c>
      <c r="H456" t="n">
        <v>1</v>
      </c>
    </row>
    <row r="457">
      <c r="A457" t="inlineStr">
        <is>
          <t>PT</t>
        </is>
      </c>
      <c r="B457" t="inlineStr">
        <is>
          <t>33</t>
        </is>
      </c>
      <c r="C457" t="inlineStr">
        <is>
          <t>is_non_us</t>
        </is>
      </c>
      <c r="D457" s="3" t="n">
        <v>8872462.874094082</v>
      </c>
      <c r="E457" s="3" t="n">
        <v>8872462.874094082</v>
      </c>
      <c r="F457" s="4" t="n">
        <v>2</v>
      </c>
      <c r="G457" t="n">
        <v>0</v>
      </c>
      <c r="H457" t="n">
        <v>1</v>
      </c>
    </row>
    <row r="458">
      <c r="A458" t="inlineStr">
        <is>
          <t>PY</t>
        </is>
      </c>
      <c r="B458" t="inlineStr">
        <is>
          <t>33</t>
        </is>
      </c>
      <c r="C458" t="inlineStr">
        <is>
          <t>is_non_us</t>
        </is>
      </c>
      <c r="D458" s="3" t="n">
        <v>8668884.911024543</v>
      </c>
      <c r="E458" s="3" t="n">
        <v>8668884.911024543</v>
      </c>
      <c r="F458" s="4" t="n">
        <v>1</v>
      </c>
      <c r="G458" t="n">
        <v>0</v>
      </c>
      <c r="H458" t="n">
        <v>1</v>
      </c>
    </row>
    <row r="459">
      <c r="A459" t="inlineStr">
        <is>
          <t>RO</t>
        </is>
      </c>
      <c r="B459" t="inlineStr">
        <is>
          <t>33</t>
        </is>
      </c>
      <c r="C459" t="inlineStr">
        <is>
          <t>is_non_us</t>
        </is>
      </c>
      <c r="D459" s="3" t="n">
        <v>5400</v>
      </c>
      <c r="E459" s="3" t="n">
        <v>5400</v>
      </c>
      <c r="F459" s="4" t="n">
        <v>1</v>
      </c>
      <c r="G459" t="n">
        <v>0</v>
      </c>
      <c r="H459" t="n">
        <v>1</v>
      </c>
    </row>
    <row r="460">
      <c r="A460" t="inlineStr">
        <is>
          <t>SA</t>
        </is>
      </c>
      <c r="B460" t="inlineStr">
        <is>
          <t>33</t>
        </is>
      </c>
      <c r="C460" t="inlineStr">
        <is>
          <t>is_non_us</t>
        </is>
      </c>
      <c r="D460" s="3" t="n">
        <v>2756717.403240115</v>
      </c>
      <c r="E460" s="3" t="n">
        <v>1378358.701620058</v>
      </c>
      <c r="F460" s="4" t="n">
        <v>1</v>
      </c>
      <c r="G460" t="n">
        <v>0</v>
      </c>
      <c r="H460" t="n">
        <v>1</v>
      </c>
    </row>
    <row r="461">
      <c r="A461" t="inlineStr">
        <is>
          <t>SC</t>
        </is>
      </c>
      <c r="B461" t="inlineStr">
        <is>
          <t>33</t>
        </is>
      </c>
      <c r="C461" t="inlineStr">
        <is>
          <t>is_non_us</t>
        </is>
      </c>
      <c r="D461" s="3" t="n">
        <v>5473737.853307061</v>
      </c>
      <c r="E461" s="3" t="n">
        <v>3472470.582815624</v>
      </c>
      <c r="F461" s="4" t="n">
        <v>3</v>
      </c>
      <c r="G461" t="n">
        <v>0</v>
      </c>
      <c r="H461" t="n">
        <v>1</v>
      </c>
    </row>
    <row r="462">
      <c r="A462" t="inlineStr">
        <is>
          <t>SE</t>
        </is>
      </c>
      <c r="B462" t="inlineStr">
        <is>
          <t>33</t>
        </is>
      </c>
      <c r="C462" t="inlineStr">
        <is>
          <t>is_non_us</t>
        </is>
      </c>
      <c r="D462" s="3" t="n">
        <v>144017548.0431663</v>
      </c>
      <c r="E462" s="3" t="n">
        <v>86223843.48932883</v>
      </c>
      <c r="F462" s="4" t="n">
        <v>5</v>
      </c>
      <c r="G462" t="n">
        <v>0</v>
      </c>
      <c r="H462" t="n">
        <v>1</v>
      </c>
    </row>
    <row r="463">
      <c r="A463" t="inlineStr">
        <is>
          <t>SN</t>
        </is>
      </c>
      <c r="B463" t="inlineStr">
        <is>
          <t>33</t>
        </is>
      </c>
      <c r="C463" t="inlineStr">
        <is>
          <t>is_non_us</t>
        </is>
      </c>
      <c r="D463" s="3" t="n">
        <v>922428.0000000001</v>
      </c>
      <c r="E463" s="3" t="n">
        <v>461214.0000000001</v>
      </c>
      <c r="F463" s="4" t="n">
        <v>1</v>
      </c>
      <c r="G463" t="n">
        <v>0</v>
      </c>
      <c r="H463" t="n">
        <v>1</v>
      </c>
    </row>
    <row r="464">
      <c r="A464" t="inlineStr">
        <is>
          <t>TH</t>
        </is>
      </c>
      <c r="B464" t="inlineStr">
        <is>
          <t>33</t>
        </is>
      </c>
      <c r="C464" t="inlineStr">
        <is>
          <t>is_non_us</t>
        </is>
      </c>
      <c r="D464" s="3" t="n">
        <v>177687.6908497425</v>
      </c>
      <c r="E464" s="3" t="n">
        <v>88843.84542487125</v>
      </c>
      <c r="F464" s="4" t="n">
        <v>1</v>
      </c>
      <c r="G464" t="n">
        <v>0</v>
      </c>
      <c r="H464" t="n">
        <v>1</v>
      </c>
    </row>
    <row r="465">
      <c r="A465" t="inlineStr">
        <is>
          <t>TW</t>
        </is>
      </c>
      <c r="B465" t="inlineStr">
        <is>
          <t>33</t>
        </is>
      </c>
      <c r="C465" t="inlineStr">
        <is>
          <t>is_non_us</t>
        </is>
      </c>
      <c r="D465" s="3" t="n">
        <v>149007.9938777658</v>
      </c>
      <c r="E465" s="3" t="n">
        <v>149007.9938777658</v>
      </c>
      <c r="F465" s="4" t="n">
        <v>1</v>
      </c>
      <c r="G465" t="n">
        <v>0</v>
      </c>
      <c r="H465" t="n">
        <v>1</v>
      </c>
    </row>
    <row r="466">
      <c r="A466" t="inlineStr">
        <is>
          <t>UY</t>
        </is>
      </c>
      <c r="B466" t="inlineStr">
        <is>
          <t>33</t>
        </is>
      </c>
      <c r="C466" t="inlineStr">
        <is>
          <t>is_non_us</t>
        </is>
      </c>
      <c r="D466" s="3" t="n">
        <v>35244002.16609751</v>
      </c>
      <c r="E466" s="3" t="n">
        <v>21844065.72000178</v>
      </c>
      <c r="F466" s="4" t="n">
        <v>4</v>
      </c>
      <c r="G466" t="n">
        <v>0</v>
      </c>
      <c r="H466" t="n">
        <v>1</v>
      </c>
    </row>
    <row r="467">
      <c r="A467" t="inlineStr">
        <is>
          <t>VN</t>
        </is>
      </c>
      <c r="B467" t="inlineStr">
        <is>
          <t>33</t>
        </is>
      </c>
      <c r="C467" t="inlineStr">
        <is>
          <t>is_non_us</t>
        </is>
      </c>
      <c r="D467" s="3" t="n">
        <v>15284.7</v>
      </c>
      <c r="E467" s="3" t="n">
        <v>15284.7</v>
      </c>
      <c r="F467" s="4" t="n">
        <v>1</v>
      </c>
      <c r="G467" t="n">
        <v>0</v>
      </c>
      <c r="H467" t="n">
        <v>1</v>
      </c>
    </row>
    <row r="468">
      <c r="A468" t="inlineStr">
        <is>
          <t>ZA</t>
        </is>
      </c>
      <c r="B468" t="inlineStr">
        <is>
          <t>33</t>
        </is>
      </c>
      <c r="C468" t="inlineStr">
        <is>
          <t>is_non_us</t>
        </is>
      </c>
      <c r="D468" s="3" t="n">
        <v>118098327.5594573</v>
      </c>
      <c r="E468" s="3" t="n">
        <v>115366083.5005955</v>
      </c>
      <c r="F468" s="4" t="n">
        <v>11</v>
      </c>
      <c r="G468" t="n">
        <v>0</v>
      </c>
      <c r="H468" t="n">
        <v>1</v>
      </c>
    </row>
    <row r="469">
      <c r="A469" t="inlineStr">
        <is>
          <t>AE</t>
        </is>
      </c>
      <c r="B469" t="inlineStr">
        <is>
          <t>33</t>
        </is>
      </c>
      <c r="C469" t="inlineStr">
        <is>
          <t>is_non_us</t>
        </is>
      </c>
      <c r="D469" s="3" t="n">
        <v>119528184.9329856</v>
      </c>
      <c r="E469" s="3" t="n">
        <v>72149346.9593509</v>
      </c>
      <c r="F469" s="4" t="n">
        <v>13</v>
      </c>
      <c r="G469" t="n">
        <v>1</v>
      </c>
      <c r="H469" t="n">
        <v>1</v>
      </c>
    </row>
    <row r="470">
      <c r="A470" t="inlineStr">
        <is>
          <t>AR</t>
        </is>
      </c>
      <c r="B470" t="inlineStr">
        <is>
          <t>33</t>
        </is>
      </c>
      <c r="C470" t="inlineStr">
        <is>
          <t>is_non_us</t>
        </is>
      </c>
      <c r="D470" s="3" t="n">
        <v>58128570.56250841</v>
      </c>
      <c r="E470" s="3" t="n">
        <v>58128570.56250841</v>
      </c>
      <c r="F470" s="4" t="n">
        <v>18</v>
      </c>
      <c r="G470" t="n">
        <v>1</v>
      </c>
      <c r="H470" t="n">
        <v>1</v>
      </c>
    </row>
    <row r="471">
      <c r="A471" t="inlineStr">
        <is>
          <t>AT</t>
        </is>
      </c>
      <c r="B471" t="inlineStr">
        <is>
          <t>33</t>
        </is>
      </c>
      <c r="C471" t="inlineStr">
        <is>
          <t>is_non_us</t>
        </is>
      </c>
      <c r="D471" s="3" t="n">
        <v>157524233.2120903</v>
      </c>
      <c r="E471" s="3" t="n">
        <v>80090025.05667882</v>
      </c>
      <c r="F471" s="4" t="n">
        <v>10</v>
      </c>
      <c r="G471" t="n">
        <v>1</v>
      </c>
      <c r="H471" t="n">
        <v>1</v>
      </c>
    </row>
    <row r="472">
      <c r="A472" t="inlineStr">
        <is>
          <t>AU</t>
        </is>
      </c>
      <c r="B472" t="inlineStr">
        <is>
          <t>33</t>
        </is>
      </c>
      <c r="C472" t="inlineStr">
        <is>
          <t>is_non_us</t>
        </is>
      </c>
      <c r="D472" s="3" t="n">
        <v>433656591.6945225</v>
      </c>
      <c r="E472" s="3" t="n">
        <v>212095078.5659345</v>
      </c>
      <c r="F472" s="4" t="n">
        <v>26</v>
      </c>
      <c r="G472" t="n">
        <v>1</v>
      </c>
      <c r="H472" t="n">
        <v>1</v>
      </c>
    </row>
    <row r="473">
      <c r="A473" t="inlineStr">
        <is>
          <t>BE</t>
        </is>
      </c>
      <c r="B473" t="inlineStr">
        <is>
          <t>33</t>
        </is>
      </c>
      <c r="C473" t="inlineStr">
        <is>
          <t>is_non_us</t>
        </is>
      </c>
      <c r="D473" s="3" t="n">
        <v>378555946.3172235</v>
      </c>
      <c r="E473" s="3" t="n">
        <v>274964107.2062721</v>
      </c>
      <c r="F473" s="4" t="n">
        <v>57</v>
      </c>
      <c r="G473" t="n">
        <v>1</v>
      </c>
      <c r="H473" t="n">
        <v>1</v>
      </c>
    </row>
    <row r="474">
      <c r="A474" t="inlineStr">
        <is>
          <t>BM</t>
        </is>
      </c>
      <c r="B474" t="inlineStr">
        <is>
          <t>33</t>
        </is>
      </c>
      <c r="C474" t="inlineStr">
        <is>
          <t>is_non_us</t>
        </is>
      </c>
      <c r="D474" s="3" t="n">
        <v>9713518.016040782</v>
      </c>
      <c r="E474" s="3" t="n">
        <v>9713518.016040782</v>
      </c>
      <c r="F474" s="4" t="n">
        <v>4</v>
      </c>
      <c r="G474" t="n">
        <v>1</v>
      </c>
      <c r="H474" t="n">
        <v>1</v>
      </c>
    </row>
    <row r="475">
      <c r="A475" t="inlineStr">
        <is>
          <t>BR</t>
        </is>
      </c>
      <c r="B475" t="inlineStr">
        <is>
          <t>33</t>
        </is>
      </c>
      <c r="C475" t="inlineStr">
        <is>
          <t>is_non_us</t>
        </is>
      </c>
      <c r="D475" s="3" t="n">
        <v>118278246.3023986</v>
      </c>
      <c r="E475" s="3" t="n">
        <v>80559210.96793208</v>
      </c>
      <c r="F475" s="4" t="n">
        <v>11</v>
      </c>
      <c r="G475" t="n">
        <v>1</v>
      </c>
      <c r="H475" t="n">
        <v>1</v>
      </c>
    </row>
    <row r="476">
      <c r="A476" t="inlineStr">
        <is>
          <t>BS</t>
        </is>
      </c>
      <c r="B476" t="inlineStr">
        <is>
          <t>33</t>
        </is>
      </c>
      <c r="C476" t="inlineStr">
        <is>
          <t>is_non_us</t>
        </is>
      </c>
      <c r="D476" s="3" t="n">
        <v>13645186.36012877</v>
      </c>
      <c r="E476" s="3" t="n">
        <v>11505240.19291807</v>
      </c>
      <c r="F476" s="4" t="n">
        <v>7</v>
      </c>
      <c r="G476" t="n">
        <v>1</v>
      </c>
      <c r="H476" t="n">
        <v>1</v>
      </c>
    </row>
    <row r="477">
      <c r="A477" t="inlineStr">
        <is>
          <t>CA</t>
        </is>
      </c>
      <c r="B477" t="inlineStr">
        <is>
          <t>33</t>
        </is>
      </c>
      <c r="C477" t="inlineStr">
        <is>
          <t>is_non_us</t>
        </is>
      </c>
      <c r="D477" s="3" t="n">
        <v>284792662.9041162</v>
      </c>
      <c r="E477" s="3" t="n">
        <v>143952281.6275793</v>
      </c>
      <c r="F477" s="4" t="n">
        <v>18</v>
      </c>
      <c r="G477" t="n">
        <v>1</v>
      </c>
      <c r="H477" t="n">
        <v>1</v>
      </c>
    </row>
    <row r="478">
      <c r="A478" t="inlineStr">
        <is>
          <t>CH</t>
        </is>
      </c>
      <c r="B478" t="inlineStr">
        <is>
          <t>33</t>
        </is>
      </c>
      <c r="C478" t="inlineStr">
        <is>
          <t>is_non_us</t>
        </is>
      </c>
      <c r="D478" s="3" t="n">
        <v>4234644327.361802</v>
      </c>
      <c r="E478" s="3" t="n">
        <v>3056635826.04447</v>
      </c>
      <c r="F478" s="4" t="n">
        <v>827</v>
      </c>
      <c r="G478" t="n">
        <v>1</v>
      </c>
      <c r="H478" t="n">
        <v>1</v>
      </c>
    </row>
    <row r="479">
      <c r="A479" t="inlineStr">
        <is>
          <t>CI</t>
        </is>
      </c>
      <c r="B479" t="inlineStr">
        <is>
          <t>33</t>
        </is>
      </c>
      <c r="C479" t="inlineStr">
        <is>
          <t>is_non_us</t>
        </is>
      </c>
      <c r="D479" s="3" t="n">
        <v>3836484</v>
      </c>
      <c r="E479" s="3" t="n">
        <v>1918242</v>
      </c>
      <c r="F479" s="4" t="n">
        <v>1</v>
      </c>
      <c r="G479" t="n">
        <v>1</v>
      </c>
      <c r="H479" t="n">
        <v>1</v>
      </c>
    </row>
    <row r="480">
      <c r="A480" t="inlineStr">
        <is>
          <t>CL</t>
        </is>
      </c>
      <c r="B480" t="inlineStr">
        <is>
          <t>33</t>
        </is>
      </c>
      <c r="C480" t="inlineStr">
        <is>
          <t>is_non_us</t>
        </is>
      </c>
      <c r="D480" s="3" t="n">
        <v>138514812.0655221</v>
      </c>
      <c r="E480" s="3" t="n">
        <v>105081567.0225589</v>
      </c>
      <c r="F480" s="4" t="n">
        <v>40</v>
      </c>
      <c r="G480" t="n">
        <v>1</v>
      </c>
      <c r="H480" t="n">
        <v>1</v>
      </c>
    </row>
    <row r="481">
      <c r="A481" t="inlineStr">
        <is>
          <t>CN</t>
        </is>
      </c>
      <c r="B481" t="inlineStr">
        <is>
          <t>33</t>
        </is>
      </c>
      <c r="C481" t="inlineStr">
        <is>
          <t>is_non_us</t>
        </is>
      </c>
      <c r="D481" s="3" t="n">
        <v>139189729.0951854</v>
      </c>
      <c r="E481" s="3" t="n">
        <v>55661312.32945886</v>
      </c>
      <c r="F481" s="4" t="n">
        <v>12</v>
      </c>
      <c r="G481" t="n">
        <v>1</v>
      </c>
      <c r="H481" t="n">
        <v>1</v>
      </c>
    </row>
    <row r="482">
      <c r="A482" t="inlineStr">
        <is>
          <t>CO</t>
        </is>
      </c>
      <c r="B482" t="inlineStr">
        <is>
          <t>33</t>
        </is>
      </c>
      <c r="C482" t="inlineStr">
        <is>
          <t>is_non_us</t>
        </is>
      </c>
      <c r="D482" s="3" t="n">
        <v>201729846.0572515</v>
      </c>
      <c r="E482" s="3" t="n">
        <v>121983033.7803017</v>
      </c>
      <c r="F482" s="4" t="n">
        <v>28</v>
      </c>
      <c r="G482" t="n">
        <v>1</v>
      </c>
      <c r="H482" t="n">
        <v>1</v>
      </c>
    </row>
    <row r="483">
      <c r="A483" t="inlineStr">
        <is>
          <t>CR</t>
        </is>
      </c>
      <c r="B483" t="inlineStr">
        <is>
          <t>33</t>
        </is>
      </c>
      <c r="C483" t="inlineStr">
        <is>
          <t>is_non_us</t>
        </is>
      </c>
      <c r="D483" s="3" t="n">
        <v>2609277.45754299</v>
      </c>
      <c r="E483" s="3" t="n">
        <v>2609277.45754299</v>
      </c>
      <c r="F483" s="4" t="n">
        <v>2</v>
      </c>
      <c r="G483" t="n">
        <v>1</v>
      </c>
      <c r="H483" t="n">
        <v>1</v>
      </c>
    </row>
    <row r="484">
      <c r="A484" t="inlineStr">
        <is>
          <t>CY</t>
        </is>
      </c>
      <c r="B484" t="inlineStr">
        <is>
          <t>33</t>
        </is>
      </c>
      <c r="C484" t="inlineStr">
        <is>
          <t>is_non_us</t>
        </is>
      </c>
      <c r="D484" s="3" t="n">
        <v>53934912.62930009</v>
      </c>
      <c r="E484" s="3" t="n">
        <v>51381286.67223094</v>
      </c>
      <c r="F484" s="4" t="n">
        <v>6</v>
      </c>
      <c r="G484" t="n">
        <v>1</v>
      </c>
      <c r="H484" t="n">
        <v>1</v>
      </c>
    </row>
    <row r="485">
      <c r="A485" t="inlineStr">
        <is>
          <t>CZ</t>
        </is>
      </c>
      <c r="B485" t="inlineStr">
        <is>
          <t>33</t>
        </is>
      </c>
      <c r="C485" t="inlineStr">
        <is>
          <t>is_non_us</t>
        </is>
      </c>
      <c r="D485" s="3" t="n">
        <v>768960</v>
      </c>
      <c r="E485" s="3" t="n">
        <v>768960</v>
      </c>
      <c r="F485" s="4" t="n">
        <v>3</v>
      </c>
      <c r="G485" t="n">
        <v>1</v>
      </c>
      <c r="H485" t="n">
        <v>1</v>
      </c>
    </row>
    <row r="486">
      <c r="A486" t="inlineStr">
        <is>
          <t>DE</t>
        </is>
      </c>
      <c r="B486" t="inlineStr">
        <is>
          <t>33</t>
        </is>
      </c>
      <c r="C486" t="inlineStr">
        <is>
          <t>is_non_us</t>
        </is>
      </c>
      <c r="D486" s="3" t="n">
        <v>248119310.8107118</v>
      </c>
      <c r="E486" s="3" t="n">
        <v>155929564.7135371</v>
      </c>
      <c r="F486" s="4" t="n">
        <v>33</v>
      </c>
      <c r="G486" t="n">
        <v>1</v>
      </c>
      <c r="H486" t="n">
        <v>1</v>
      </c>
    </row>
    <row r="487">
      <c r="A487" t="inlineStr">
        <is>
          <t>DK</t>
        </is>
      </c>
      <c r="B487" t="inlineStr">
        <is>
          <t>33</t>
        </is>
      </c>
      <c r="C487" t="inlineStr">
        <is>
          <t>is_non_us</t>
        </is>
      </c>
      <c r="D487" s="3" t="n">
        <v>835099822.0933453</v>
      </c>
      <c r="E487" s="3" t="n">
        <v>767326116.8871348</v>
      </c>
      <c r="F487" s="4" t="n">
        <v>154</v>
      </c>
      <c r="G487" t="n">
        <v>1</v>
      </c>
      <c r="H487" t="n">
        <v>1</v>
      </c>
    </row>
    <row r="488">
      <c r="A488" t="inlineStr">
        <is>
          <t>DO</t>
        </is>
      </c>
      <c r="B488" t="inlineStr">
        <is>
          <t>33</t>
        </is>
      </c>
      <c r="C488" t="inlineStr">
        <is>
          <t>is_non_us</t>
        </is>
      </c>
      <c r="D488" s="3" t="n">
        <v>30912423.30537994</v>
      </c>
      <c r="E488" s="3" t="n">
        <v>30912423.30537994</v>
      </c>
      <c r="F488" s="4" t="n">
        <v>10</v>
      </c>
      <c r="G488" t="n">
        <v>1</v>
      </c>
      <c r="H488" t="n">
        <v>1</v>
      </c>
    </row>
    <row r="489">
      <c r="A489" t="inlineStr">
        <is>
          <t>EC</t>
        </is>
      </c>
      <c r="B489" t="inlineStr">
        <is>
          <t>33</t>
        </is>
      </c>
      <c r="C489" t="inlineStr">
        <is>
          <t>is_non_us</t>
        </is>
      </c>
      <c r="D489" s="3" t="n">
        <v>8251359.451856963</v>
      </c>
      <c r="E489" s="3" t="n">
        <v>8251359.451856963</v>
      </c>
      <c r="F489" s="4" t="n">
        <v>3</v>
      </c>
      <c r="G489" t="n">
        <v>1</v>
      </c>
      <c r="H489" t="n">
        <v>1</v>
      </c>
    </row>
    <row r="490">
      <c r="A490" t="inlineStr">
        <is>
          <t>ES</t>
        </is>
      </c>
      <c r="B490" t="inlineStr">
        <is>
          <t>33</t>
        </is>
      </c>
      <c r="C490" t="inlineStr">
        <is>
          <t>is_non_us</t>
        </is>
      </c>
      <c r="D490" s="3" t="n">
        <v>773010590.1138928</v>
      </c>
      <c r="E490" s="3" t="n">
        <v>535331472.8571182</v>
      </c>
      <c r="F490" s="4" t="n">
        <v>79</v>
      </c>
      <c r="G490" t="n">
        <v>1</v>
      </c>
      <c r="H490" t="n">
        <v>1</v>
      </c>
    </row>
    <row r="491">
      <c r="A491" t="inlineStr">
        <is>
          <t>FI</t>
        </is>
      </c>
      <c r="B491" t="inlineStr">
        <is>
          <t>33</t>
        </is>
      </c>
      <c r="C491" t="inlineStr">
        <is>
          <t>is_non_us</t>
        </is>
      </c>
      <c r="D491" s="3" t="n">
        <v>241145949.7528327</v>
      </c>
      <c r="E491" s="3" t="n">
        <v>190708429.6394056</v>
      </c>
      <c r="F491" s="4" t="n">
        <v>32</v>
      </c>
      <c r="G491" t="n">
        <v>1</v>
      </c>
      <c r="H491" t="n">
        <v>1</v>
      </c>
    </row>
    <row r="492">
      <c r="A492" t="inlineStr">
        <is>
          <t>FR</t>
        </is>
      </c>
      <c r="B492" t="inlineStr">
        <is>
          <t>33</t>
        </is>
      </c>
      <c r="C492" t="inlineStr">
        <is>
          <t>is_non_us</t>
        </is>
      </c>
      <c r="D492" s="3" t="n">
        <v>3056498861.781182</v>
      </c>
      <c r="E492" s="3" t="n">
        <v>2015996939.102935</v>
      </c>
      <c r="F492" s="4" t="n">
        <v>332</v>
      </c>
      <c r="G492" t="n">
        <v>1</v>
      </c>
      <c r="H492" t="n">
        <v>1</v>
      </c>
    </row>
    <row r="493">
      <c r="A493" t="inlineStr">
        <is>
          <t>GB</t>
        </is>
      </c>
      <c r="B493" t="inlineStr">
        <is>
          <t>33</t>
        </is>
      </c>
      <c r="C493" t="inlineStr">
        <is>
          <t>is_non_us</t>
        </is>
      </c>
      <c r="D493" s="3" t="n">
        <v>12651005043.44461</v>
      </c>
      <c r="E493" s="3" t="n">
        <v>9697017842.906088</v>
      </c>
      <c r="F493" s="4" t="n">
        <v>1683</v>
      </c>
      <c r="G493" t="n">
        <v>1</v>
      </c>
      <c r="H493" t="n">
        <v>1</v>
      </c>
    </row>
    <row r="494">
      <c r="A494" t="inlineStr">
        <is>
          <t>GG</t>
        </is>
      </c>
      <c r="B494" t="inlineStr">
        <is>
          <t>33</t>
        </is>
      </c>
      <c r="C494" t="inlineStr">
        <is>
          <t>is_non_us</t>
        </is>
      </c>
      <c r="D494" s="3" t="n">
        <v>7340287.219111298</v>
      </c>
      <c r="E494" s="3" t="n">
        <v>6985642.35955565</v>
      </c>
      <c r="F494" s="4" t="n">
        <v>2</v>
      </c>
      <c r="G494" t="n">
        <v>1</v>
      </c>
      <c r="H494" t="n">
        <v>1</v>
      </c>
    </row>
    <row r="495">
      <c r="A495" t="inlineStr">
        <is>
          <t>GH</t>
        </is>
      </c>
      <c r="B495" t="inlineStr">
        <is>
          <t>33</t>
        </is>
      </c>
      <c r="C495" t="inlineStr">
        <is>
          <t>is_non_us</t>
        </is>
      </c>
      <c r="D495" s="3" t="n">
        <v>1230525</v>
      </c>
      <c r="E495" s="3" t="n">
        <v>1230525</v>
      </c>
      <c r="F495" s="4" t="n">
        <v>2</v>
      </c>
      <c r="G495" t="n">
        <v>1</v>
      </c>
      <c r="H495" t="n">
        <v>1</v>
      </c>
    </row>
    <row r="496">
      <c r="A496" t="inlineStr">
        <is>
          <t>GI</t>
        </is>
      </c>
      <c r="B496" t="inlineStr">
        <is>
          <t>33</t>
        </is>
      </c>
      <c r="C496" t="inlineStr">
        <is>
          <t>is_non_us</t>
        </is>
      </c>
      <c r="D496" s="3" t="n">
        <v>5077251.093954483</v>
      </c>
      <c r="E496" s="3" t="n">
        <v>5077251.093954483</v>
      </c>
      <c r="F496" s="4" t="n">
        <v>1</v>
      </c>
      <c r="G496" t="n">
        <v>1</v>
      </c>
      <c r="H496" t="n">
        <v>1</v>
      </c>
    </row>
    <row r="497">
      <c r="A497" t="inlineStr">
        <is>
          <t>GR</t>
        </is>
      </c>
      <c r="B497" t="inlineStr">
        <is>
          <t>33</t>
        </is>
      </c>
      <c r="C497" t="inlineStr">
        <is>
          <t>is_non_us</t>
        </is>
      </c>
      <c r="D497" s="3" t="n">
        <v>315894475.9860365</v>
      </c>
      <c r="E497" s="3" t="n">
        <v>226065406.6812825</v>
      </c>
      <c r="F497" s="4" t="n">
        <v>41</v>
      </c>
      <c r="G497" t="n">
        <v>1</v>
      </c>
      <c r="H497" t="n">
        <v>1</v>
      </c>
    </row>
    <row r="498">
      <c r="A498" t="inlineStr">
        <is>
          <t>GT</t>
        </is>
      </c>
      <c r="B498" t="inlineStr">
        <is>
          <t>33</t>
        </is>
      </c>
      <c r="C498" t="inlineStr">
        <is>
          <t>is_non_us</t>
        </is>
      </c>
      <c r="D498" s="3" t="n">
        <v>17594216.78988855</v>
      </c>
      <c r="E498" s="3" t="n">
        <v>17594216.78988855</v>
      </c>
      <c r="F498" s="4" t="n">
        <v>10</v>
      </c>
      <c r="G498" t="n">
        <v>1</v>
      </c>
      <c r="H498" t="n">
        <v>1</v>
      </c>
    </row>
    <row r="499">
      <c r="A499" t="inlineStr">
        <is>
          <t>HK</t>
        </is>
      </c>
      <c r="B499" t="inlineStr">
        <is>
          <t>33</t>
        </is>
      </c>
      <c r="C499" t="inlineStr">
        <is>
          <t>is_non_us</t>
        </is>
      </c>
      <c r="D499" s="3" t="n">
        <v>132239402.4156855</v>
      </c>
      <c r="E499" s="3" t="n">
        <v>105459011.0836172</v>
      </c>
      <c r="F499" s="4" t="n">
        <v>31</v>
      </c>
      <c r="G499" t="n">
        <v>1</v>
      </c>
      <c r="H499" t="n">
        <v>1</v>
      </c>
    </row>
    <row r="500">
      <c r="A500" t="inlineStr">
        <is>
          <t>HN</t>
        </is>
      </c>
      <c r="B500" t="inlineStr">
        <is>
          <t>33</t>
        </is>
      </c>
      <c r="C500" t="inlineStr">
        <is>
          <t>is_non_us</t>
        </is>
      </c>
      <c r="D500" s="3" t="n">
        <v>2880054.584357108</v>
      </c>
      <c r="E500" s="3" t="n">
        <v>2880054.584357108</v>
      </c>
      <c r="F500" s="4" t="n">
        <v>1</v>
      </c>
      <c r="G500" t="n">
        <v>1</v>
      </c>
      <c r="H500" t="n">
        <v>1</v>
      </c>
    </row>
    <row r="501">
      <c r="A501" t="inlineStr">
        <is>
          <t>HU</t>
        </is>
      </c>
      <c r="B501" t="inlineStr">
        <is>
          <t>33</t>
        </is>
      </c>
      <c r="C501" t="inlineStr">
        <is>
          <t>is_non_us</t>
        </is>
      </c>
      <c r="D501" s="3" t="n">
        <v>5897880</v>
      </c>
      <c r="E501" s="3" t="n">
        <v>5897880</v>
      </c>
      <c r="F501" s="4" t="n">
        <v>1</v>
      </c>
      <c r="G501" t="n">
        <v>1</v>
      </c>
      <c r="H501" t="n">
        <v>1</v>
      </c>
    </row>
    <row r="502">
      <c r="A502" t="inlineStr">
        <is>
          <t>ID</t>
        </is>
      </c>
      <c r="B502" t="inlineStr">
        <is>
          <t>33</t>
        </is>
      </c>
      <c r="C502" t="inlineStr">
        <is>
          <t>is_non_us</t>
        </is>
      </c>
      <c r="D502" s="3" t="n">
        <v>8579693.121624863</v>
      </c>
      <c r="E502" s="3" t="n">
        <v>4721194.886558638</v>
      </c>
      <c r="F502" s="4" t="n">
        <v>2</v>
      </c>
      <c r="G502" t="n">
        <v>1</v>
      </c>
      <c r="H502" t="n">
        <v>1</v>
      </c>
    </row>
    <row r="503">
      <c r="A503" t="inlineStr">
        <is>
          <t>IE</t>
        </is>
      </c>
      <c r="B503" t="inlineStr">
        <is>
          <t>33</t>
        </is>
      </c>
      <c r="C503" t="inlineStr">
        <is>
          <t>is_non_us</t>
        </is>
      </c>
      <c r="D503" s="3" t="n">
        <v>416615175.7486649</v>
      </c>
      <c r="E503" s="3" t="n">
        <v>281146713.5614381</v>
      </c>
      <c r="F503" s="4" t="n">
        <v>60</v>
      </c>
      <c r="G503" t="n">
        <v>1</v>
      </c>
      <c r="H503" t="n">
        <v>1</v>
      </c>
    </row>
    <row r="504">
      <c r="A504" t="inlineStr">
        <is>
          <t>IL</t>
        </is>
      </c>
      <c r="B504" t="inlineStr">
        <is>
          <t>33</t>
        </is>
      </c>
      <c r="C504" t="inlineStr">
        <is>
          <t>is_non_us</t>
        </is>
      </c>
      <c r="D504" s="3" t="n">
        <v>151866580.5697627</v>
      </c>
      <c r="E504" s="3" t="n">
        <v>111558025.1165356</v>
      </c>
      <c r="F504" s="4" t="n">
        <v>38</v>
      </c>
      <c r="G504" t="n">
        <v>1</v>
      </c>
      <c r="H504" t="n">
        <v>1</v>
      </c>
    </row>
    <row r="505">
      <c r="A505" t="inlineStr">
        <is>
          <t>IM</t>
        </is>
      </c>
      <c r="B505" t="inlineStr">
        <is>
          <t>33</t>
        </is>
      </c>
      <c r="C505" t="inlineStr">
        <is>
          <t>is_non_us</t>
        </is>
      </c>
      <c r="D505" s="3" t="n">
        <v>962470.3500000001</v>
      </c>
      <c r="E505" s="3" t="n">
        <v>962470.3500000001</v>
      </c>
      <c r="F505" s="4" t="n">
        <v>1</v>
      </c>
      <c r="G505" t="n">
        <v>1</v>
      </c>
      <c r="H505" t="n">
        <v>1</v>
      </c>
    </row>
    <row r="506">
      <c r="A506" t="inlineStr">
        <is>
          <t>IN</t>
        </is>
      </c>
      <c r="B506" t="inlineStr">
        <is>
          <t>33</t>
        </is>
      </c>
      <c r="C506" t="inlineStr">
        <is>
          <t>is_non_us</t>
        </is>
      </c>
      <c r="D506" s="3" t="n">
        <v>149007.9938777658</v>
      </c>
      <c r="E506" s="3" t="n">
        <v>149007.9938777658</v>
      </c>
      <c r="F506" s="4" t="n">
        <v>1</v>
      </c>
      <c r="G506" t="n">
        <v>1</v>
      </c>
      <c r="H506" t="n">
        <v>1</v>
      </c>
    </row>
    <row r="507">
      <c r="A507" t="inlineStr">
        <is>
          <t>IS</t>
        </is>
      </c>
      <c r="B507" t="inlineStr">
        <is>
          <t>33</t>
        </is>
      </c>
      <c r="C507" t="inlineStr">
        <is>
          <t>is_non_us</t>
        </is>
      </c>
      <c r="D507" s="3" t="n">
        <v>7483622.65377863</v>
      </c>
      <c r="E507" s="3" t="n">
        <v>7483622.65377863</v>
      </c>
      <c r="F507" s="4" t="n">
        <v>4</v>
      </c>
      <c r="G507" t="n">
        <v>1</v>
      </c>
      <c r="H507" t="n">
        <v>1</v>
      </c>
    </row>
    <row r="508">
      <c r="A508" t="inlineStr">
        <is>
          <t>IT</t>
        </is>
      </c>
      <c r="B508" t="inlineStr">
        <is>
          <t>33</t>
        </is>
      </c>
      <c r="C508" t="inlineStr">
        <is>
          <t>is_non_us</t>
        </is>
      </c>
      <c r="D508" s="3" t="n">
        <v>1581794141.776526</v>
      </c>
      <c r="E508" s="3" t="n">
        <v>1113284946.705686</v>
      </c>
      <c r="F508" s="4" t="n">
        <v>206</v>
      </c>
      <c r="G508" t="n">
        <v>1</v>
      </c>
      <c r="H508" t="n">
        <v>1</v>
      </c>
    </row>
    <row r="509">
      <c r="A509" t="inlineStr">
        <is>
          <t>JO</t>
        </is>
      </c>
      <c r="B509" t="inlineStr">
        <is>
          <t>33</t>
        </is>
      </c>
      <c r="C509" t="inlineStr">
        <is>
          <t>is_non_us</t>
        </is>
      </c>
      <c r="D509" s="3" t="n">
        <v>6751.35</v>
      </c>
      <c r="E509" s="3" t="n">
        <v>6751.35</v>
      </c>
      <c r="F509" s="4" t="n">
        <v>1</v>
      </c>
      <c r="G509" t="n">
        <v>1</v>
      </c>
      <c r="H509" t="n">
        <v>1</v>
      </c>
    </row>
    <row r="510">
      <c r="A510" t="inlineStr">
        <is>
          <t>JP</t>
        </is>
      </c>
      <c r="B510" t="inlineStr">
        <is>
          <t>33</t>
        </is>
      </c>
      <c r="C510" t="inlineStr">
        <is>
          <t>is_non_us</t>
        </is>
      </c>
      <c r="D510" s="3" t="n">
        <v>112842416.1159523</v>
      </c>
      <c r="E510" s="3" t="n">
        <v>64189409.84705544</v>
      </c>
      <c r="F510" s="4" t="n">
        <v>10</v>
      </c>
      <c r="G510" t="n">
        <v>1</v>
      </c>
      <c r="H510" t="n">
        <v>1</v>
      </c>
    </row>
    <row r="511">
      <c r="A511" t="inlineStr">
        <is>
          <t>KE</t>
        </is>
      </c>
      <c r="B511" t="inlineStr">
        <is>
          <t>33</t>
        </is>
      </c>
      <c r="C511" t="inlineStr">
        <is>
          <t>is_non_us</t>
        </is>
      </c>
      <c r="D511" s="3" t="n">
        <v>685366.8075632912</v>
      </c>
      <c r="E511" s="3" t="n">
        <v>342683.4037816456</v>
      </c>
      <c r="F511" s="4" t="n">
        <v>1</v>
      </c>
      <c r="G511" t="n">
        <v>1</v>
      </c>
      <c r="H511" t="n">
        <v>1</v>
      </c>
    </row>
    <row r="512">
      <c r="A512" t="inlineStr">
        <is>
          <t>KR</t>
        </is>
      </c>
      <c r="B512" t="inlineStr">
        <is>
          <t>33</t>
        </is>
      </c>
      <c r="C512" t="inlineStr">
        <is>
          <t>is_non_us</t>
        </is>
      </c>
      <c r="D512" s="3" t="n">
        <v>149007.9938777658</v>
      </c>
      <c r="E512" s="3" t="n">
        <v>149007.9938777658</v>
      </c>
      <c r="F512" s="4" t="n">
        <v>1</v>
      </c>
      <c r="G512" t="n">
        <v>1</v>
      </c>
      <c r="H512" t="n">
        <v>1</v>
      </c>
    </row>
    <row r="513">
      <c r="A513" t="inlineStr">
        <is>
          <t>KY</t>
        </is>
      </c>
      <c r="B513" t="inlineStr">
        <is>
          <t>33</t>
        </is>
      </c>
      <c r="C513" t="inlineStr">
        <is>
          <t>is_non_us</t>
        </is>
      </c>
      <c r="D513" s="3" t="n">
        <v>4743382.045457961</v>
      </c>
      <c r="E513" s="3" t="n">
        <v>4743382.045457961</v>
      </c>
      <c r="F513" s="4" t="n">
        <v>1</v>
      </c>
      <c r="G513" t="n">
        <v>1</v>
      </c>
      <c r="H513" t="n">
        <v>1</v>
      </c>
    </row>
    <row r="514">
      <c r="A514" t="inlineStr">
        <is>
          <t>LB</t>
        </is>
      </c>
      <c r="B514" t="inlineStr">
        <is>
          <t>33</t>
        </is>
      </c>
      <c r="C514" t="inlineStr">
        <is>
          <t>is_non_us</t>
        </is>
      </c>
      <c r="D514" s="3" t="n">
        <v>31345206.45273695</v>
      </c>
      <c r="E514" s="3" t="n">
        <v>27703500.01440679</v>
      </c>
      <c r="F514" s="4" t="n">
        <v>9</v>
      </c>
      <c r="G514" t="n">
        <v>1</v>
      </c>
      <c r="H514" t="n">
        <v>1</v>
      </c>
    </row>
    <row r="515">
      <c r="A515" t="inlineStr">
        <is>
          <t>LI</t>
        </is>
      </c>
      <c r="B515" t="inlineStr">
        <is>
          <t>33</t>
        </is>
      </c>
      <c r="C515" t="inlineStr">
        <is>
          <t>is_non_us</t>
        </is>
      </c>
      <c r="D515" s="3" t="n">
        <v>15859316.74298012</v>
      </c>
      <c r="E515" s="3" t="n">
        <v>15859316.74298012</v>
      </c>
      <c r="F515" s="4" t="n">
        <v>4</v>
      </c>
      <c r="G515" t="n">
        <v>1</v>
      </c>
      <c r="H515" t="n">
        <v>1</v>
      </c>
    </row>
    <row r="516">
      <c r="A516" t="inlineStr">
        <is>
          <t>LT</t>
        </is>
      </c>
      <c r="B516" t="inlineStr">
        <is>
          <t>33</t>
        </is>
      </c>
      <c r="C516" t="inlineStr">
        <is>
          <t>is_non_us</t>
        </is>
      </c>
      <c r="D516" s="3" t="n">
        <v>4910139</v>
      </c>
      <c r="E516" s="3" t="n">
        <v>4910139</v>
      </c>
      <c r="F516" s="4" t="n">
        <v>4</v>
      </c>
      <c r="G516" t="n">
        <v>1</v>
      </c>
      <c r="H516" t="n">
        <v>1</v>
      </c>
    </row>
    <row r="517">
      <c r="A517" t="inlineStr">
        <is>
          <t>LU</t>
        </is>
      </c>
      <c r="B517" t="inlineStr">
        <is>
          <t>33</t>
        </is>
      </c>
      <c r="C517" t="inlineStr">
        <is>
          <t>is_non_us</t>
        </is>
      </c>
      <c r="D517" s="3" t="n">
        <v>20823764.63774952</v>
      </c>
      <c r="E517" s="3" t="n">
        <v>20823764.63774952</v>
      </c>
      <c r="F517" s="4" t="n">
        <v>4</v>
      </c>
      <c r="G517" t="n">
        <v>1</v>
      </c>
      <c r="H517" t="n">
        <v>1</v>
      </c>
    </row>
    <row r="518">
      <c r="A518" t="inlineStr">
        <is>
          <t>MA</t>
        </is>
      </c>
      <c r="B518" t="inlineStr">
        <is>
          <t>33</t>
        </is>
      </c>
      <c r="C518" t="inlineStr">
        <is>
          <t>is_non_us</t>
        </is>
      </c>
      <c r="D518" s="3" t="n">
        <v>642668.5874486682</v>
      </c>
      <c r="E518" s="3" t="n">
        <v>642668.5874486682</v>
      </c>
      <c r="F518" s="4" t="n">
        <v>1</v>
      </c>
      <c r="G518" t="n">
        <v>1</v>
      </c>
      <c r="H518" t="n">
        <v>1</v>
      </c>
    </row>
    <row r="519">
      <c r="A519" t="inlineStr">
        <is>
          <t>MC</t>
        </is>
      </c>
      <c r="B519" t="inlineStr">
        <is>
          <t>33</t>
        </is>
      </c>
      <c r="C519" t="inlineStr">
        <is>
          <t>is_non_us</t>
        </is>
      </c>
      <c r="D519" s="3" t="n">
        <v>440906630.1564292</v>
      </c>
      <c r="E519" s="3" t="n">
        <v>261356690.838643</v>
      </c>
      <c r="F519" s="4" t="n">
        <v>41</v>
      </c>
      <c r="G519" t="n">
        <v>1</v>
      </c>
      <c r="H519" t="n">
        <v>1</v>
      </c>
    </row>
    <row r="520">
      <c r="A520" t="inlineStr">
        <is>
          <t>MT</t>
        </is>
      </c>
      <c r="B520" t="inlineStr">
        <is>
          <t>33</t>
        </is>
      </c>
      <c r="C520" t="inlineStr">
        <is>
          <t>is_non_us</t>
        </is>
      </c>
      <c r="D520" s="3" t="n">
        <v>1616322.6</v>
      </c>
      <c r="E520" s="3" t="n">
        <v>1616322.6</v>
      </c>
      <c r="F520" s="4" t="n">
        <v>1</v>
      </c>
      <c r="G520" t="n">
        <v>1</v>
      </c>
      <c r="H520" t="n">
        <v>1</v>
      </c>
    </row>
    <row r="521">
      <c r="A521" t="inlineStr">
        <is>
          <t>MX</t>
        </is>
      </c>
      <c r="B521" t="inlineStr">
        <is>
          <t>33</t>
        </is>
      </c>
      <c r="C521" t="inlineStr">
        <is>
          <t>is_non_us</t>
        </is>
      </c>
      <c r="D521" s="3" t="n">
        <v>25059321.21078992</v>
      </c>
      <c r="E521" s="3" t="n">
        <v>25059321.21078992</v>
      </c>
      <c r="F521" s="4" t="n">
        <v>13</v>
      </c>
      <c r="G521" t="n">
        <v>1</v>
      </c>
      <c r="H521" t="n">
        <v>1</v>
      </c>
    </row>
    <row r="522">
      <c r="A522" t="inlineStr">
        <is>
          <t>MY</t>
        </is>
      </c>
      <c r="B522" t="inlineStr">
        <is>
          <t>33</t>
        </is>
      </c>
      <c r="C522" t="inlineStr">
        <is>
          <t>is_non_us</t>
        </is>
      </c>
      <c r="D522" s="3" t="n">
        <v>4972716.948209203</v>
      </c>
      <c r="E522" s="3" t="n">
        <v>2486358.474104601</v>
      </c>
      <c r="F522" s="4" t="n">
        <v>1</v>
      </c>
      <c r="G522" t="n">
        <v>1</v>
      </c>
      <c r="H522" t="n">
        <v>1</v>
      </c>
    </row>
    <row r="523">
      <c r="A523" t="inlineStr">
        <is>
          <t>NG</t>
        </is>
      </c>
      <c r="B523" t="inlineStr">
        <is>
          <t>33</t>
        </is>
      </c>
      <c r="C523" t="inlineStr">
        <is>
          <t>is_non_us</t>
        </is>
      </c>
      <c r="D523" s="3" t="n">
        <v>51300</v>
      </c>
      <c r="E523" s="3" t="n">
        <v>51300</v>
      </c>
      <c r="F523" s="4" t="n">
        <v>1</v>
      </c>
      <c r="G523" t="n">
        <v>1</v>
      </c>
      <c r="H523" t="n">
        <v>1</v>
      </c>
    </row>
    <row r="524">
      <c r="A524" t="inlineStr">
        <is>
          <t>NL</t>
        </is>
      </c>
      <c r="B524" t="inlineStr">
        <is>
          <t>33</t>
        </is>
      </c>
      <c r="C524" t="inlineStr">
        <is>
          <t>is_non_us</t>
        </is>
      </c>
      <c r="D524" s="3" t="n">
        <v>68411727.20472538</v>
      </c>
      <c r="E524" s="3" t="n">
        <v>58122736.08275189</v>
      </c>
      <c r="F524" s="4" t="n">
        <v>22</v>
      </c>
      <c r="G524" t="n">
        <v>1</v>
      </c>
      <c r="H524" t="n">
        <v>1</v>
      </c>
    </row>
    <row r="525">
      <c r="A525" t="inlineStr">
        <is>
          <t>NO</t>
        </is>
      </c>
      <c r="B525" t="inlineStr">
        <is>
          <t>33</t>
        </is>
      </c>
      <c r="C525" t="inlineStr">
        <is>
          <t>is_non_us</t>
        </is>
      </c>
      <c r="D525" s="3" t="n">
        <v>217580244.5896215</v>
      </c>
      <c r="E525" s="3" t="n">
        <v>126402410.6997727</v>
      </c>
      <c r="F525" s="4" t="n">
        <v>17</v>
      </c>
      <c r="G525" t="n">
        <v>1</v>
      </c>
      <c r="H525" t="n">
        <v>1</v>
      </c>
    </row>
    <row r="526">
      <c r="A526" t="inlineStr">
        <is>
          <t>NZ</t>
        </is>
      </c>
      <c r="B526" t="inlineStr">
        <is>
          <t>33</t>
        </is>
      </c>
      <c r="C526" t="inlineStr">
        <is>
          <t>is_non_us</t>
        </is>
      </c>
      <c r="D526" s="3" t="n">
        <v>12706353.06547301</v>
      </c>
      <c r="E526" s="3" t="n">
        <v>12706353.06547301</v>
      </c>
      <c r="F526" s="4" t="n">
        <v>11</v>
      </c>
      <c r="G526" t="n">
        <v>1</v>
      </c>
      <c r="H526" t="n">
        <v>1</v>
      </c>
    </row>
    <row r="527">
      <c r="A527" t="inlineStr">
        <is>
          <t>PA</t>
        </is>
      </c>
      <c r="B527" t="inlineStr">
        <is>
          <t>33</t>
        </is>
      </c>
      <c r="C527" t="inlineStr">
        <is>
          <t>is_non_us</t>
        </is>
      </c>
      <c r="D527" s="3" t="n">
        <v>10594579.55895848</v>
      </c>
      <c r="E527" s="3" t="n">
        <v>10594579.55895848</v>
      </c>
      <c r="F527" s="4" t="n">
        <v>7</v>
      </c>
      <c r="G527" t="n">
        <v>1</v>
      </c>
      <c r="H527" t="n">
        <v>1</v>
      </c>
    </row>
    <row r="528">
      <c r="A528" t="inlineStr">
        <is>
          <t>PE</t>
        </is>
      </c>
      <c r="B528" t="inlineStr">
        <is>
          <t>33</t>
        </is>
      </c>
      <c r="C528" t="inlineStr">
        <is>
          <t>is_non_us</t>
        </is>
      </c>
      <c r="D528" s="3" t="n">
        <v>199048586.6876265</v>
      </c>
      <c r="E528" s="3" t="n">
        <v>154564225.0182894</v>
      </c>
      <c r="F528" s="4" t="n">
        <v>40</v>
      </c>
      <c r="G528" t="n">
        <v>1</v>
      </c>
      <c r="H528" t="n">
        <v>1</v>
      </c>
    </row>
    <row r="529">
      <c r="A529" t="inlineStr">
        <is>
          <t>PL</t>
        </is>
      </c>
      <c r="B529" t="inlineStr">
        <is>
          <t>33</t>
        </is>
      </c>
      <c r="C529" t="inlineStr">
        <is>
          <t>is_non_us</t>
        </is>
      </c>
      <c r="D529" s="3" t="n">
        <v>15955786.78686398</v>
      </c>
      <c r="E529" s="3" t="n">
        <v>15955786.78686398</v>
      </c>
      <c r="F529" s="4" t="n">
        <v>6</v>
      </c>
      <c r="G529" t="n">
        <v>1</v>
      </c>
      <c r="H529" t="n">
        <v>1</v>
      </c>
    </row>
    <row r="530">
      <c r="A530" t="inlineStr">
        <is>
          <t>PR</t>
        </is>
      </c>
      <c r="B530" t="inlineStr">
        <is>
          <t>33</t>
        </is>
      </c>
      <c r="C530" t="inlineStr">
        <is>
          <t>is_non_us</t>
        </is>
      </c>
      <c r="D530" s="3" t="n">
        <v>7871182.158275532</v>
      </c>
      <c r="E530" s="3" t="n">
        <v>7871182.158275532</v>
      </c>
      <c r="F530" s="4" t="n">
        <v>2</v>
      </c>
      <c r="G530" t="n">
        <v>1</v>
      </c>
      <c r="H530" t="n">
        <v>1</v>
      </c>
    </row>
    <row r="531">
      <c r="A531" t="inlineStr">
        <is>
          <t>PT</t>
        </is>
      </c>
      <c r="B531" t="inlineStr">
        <is>
          <t>33</t>
        </is>
      </c>
      <c r="C531" t="inlineStr">
        <is>
          <t>is_non_us</t>
        </is>
      </c>
      <c r="D531" s="3" t="n">
        <v>149281147.6706434</v>
      </c>
      <c r="E531" s="3" t="n">
        <v>59902666.95034637</v>
      </c>
      <c r="F531" s="4" t="n">
        <v>12</v>
      </c>
      <c r="G531" t="n">
        <v>1</v>
      </c>
      <c r="H531" t="n">
        <v>1</v>
      </c>
    </row>
    <row r="532">
      <c r="A532" t="inlineStr">
        <is>
          <t>QA</t>
        </is>
      </c>
      <c r="B532" t="inlineStr">
        <is>
          <t>33</t>
        </is>
      </c>
      <c r="C532" t="inlineStr">
        <is>
          <t>is_non_us</t>
        </is>
      </c>
      <c r="D532" s="3" t="n">
        <v>525886.0545820856</v>
      </c>
      <c r="E532" s="3" t="n">
        <v>524375.4345173847</v>
      </c>
      <c r="F532" s="4" t="n">
        <v>2</v>
      </c>
      <c r="G532" t="n">
        <v>1</v>
      </c>
      <c r="H532" t="n">
        <v>1</v>
      </c>
    </row>
    <row r="533">
      <c r="A533" t="inlineStr">
        <is>
          <t>SA</t>
        </is>
      </c>
      <c r="B533" t="inlineStr">
        <is>
          <t>33</t>
        </is>
      </c>
      <c r="C533" t="inlineStr">
        <is>
          <t>is_non_us</t>
        </is>
      </c>
      <c r="D533" s="3" t="n">
        <v>17479281.41593587</v>
      </c>
      <c r="E533" s="3" t="n">
        <v>8753140.707967935</v>
      </c>
      <c r="F533" s="4" t="n">
        <v>2</v>
      </c>
      <c r="G533" t="n">
        <v>1</v>
      </c>
      <c r="H533" t="n">
        <v>1</v>
      </c>
    </row>
    <row r="534">
      <c r="A534" t="inlineStr">
        <is>
          <t>SE</t>
        </is>
      </c>
      <c r="B534" t="inlineStr">
        <is>
          <t>33</t>
        </is>
      </c>
      <c r="C534" t="inlineStr">
        <is>
          <t>is_non_us</t>
        </is>
      </c>
      <c r="D534" s="3" t="n">
        <v>3523062568.148571</v>
      </c>
      <c r="E534" s="3" t="n">
        <v>3224740725.705302</v>
      </c>
      <c r="F534" s="4" t="n">
        <v>462</v>
      </c>
      <c r="G534" t="n">
        <v>1</v>
      </c>
      <c r="H534" t="n">
        <v>1</v>
      </c>
    </row>
    <row r="535">
      <c r="A535" t="inlineStr">
        <is>
          <t>SG</t>
        </is>
      </c>
      <c r="B535" t="inlineStr">
        <is>
          <t>33</t>
        </is>
      </c>
      <c r="C535" t="inlineStr">
        <is>
          <t>is_non_us</t>
        </is>
      </c>
      <c r="D535" s="3" t="n">
        <v>101709192.047973</v>
      </c>
      <c r="E535" s="3" t="n">
        <v>57842983.69319236</v>
      </c>
      <c r="F535" s="4" t="n">
        <v>15</v>
      </c>
      <c r="G535" t="n">
        <v>1</v>
      </c>
      <c r="H535" t="n">
        <v>1</v>
      </c>
    </row>
    <row r="536">
      <c r="A536" t="inlineStr">
        <is>
          <t>SK</t>
        </is>
      </c>
      <c r="B536" t="inlineStr">
        <is>
          <t>33</t>
        </is>
      </c>
      <c r="C536" t="inlineStr">
        <is>
          <t>is_non_us</t>
        </is>
      </c>
      <c r="D536" s="3" t="n">
        <v>9525457.34826036</v>
      </c>
      <c r="E536" s="3" t="n">
        <v>9525457.34826036</v>
      </c>
      <c r="F536" s="4" t="n">
        <v>2</v>
      </c>
      <c r="G536" t="n">
        <v>1</v>
      </c>
      <c r="H536" t="n">
        <v>1</v>
      </c>
    </row>
    <row r="537">
      <c r="A537" t="inlineStr">
        <is>
          <t>SV</t>
        </is>
      </c>
      <c r="B537" t="inlineStr">
        <is>
          <t>33</t>
        </is>
      </c>
      <c r="C537" t="inlineStr">
        <is>
          <t>is_non_us</t>
        </is>
      </c>
      <c r="D537" s="3" t="n">
        <v>3910137.713413262</v>
      </c>
      <c r="E537" s="3" t="n">
        <v>3910137.713413262</v>
      </c>
      <c r="F537" s="4" t="n">
        <v>4</v>
      </c>
      <c r="G537" t="n">
        <v>1</v>
      </c>
      <c r="H537" t="n">
        <v>1</v>
      </c>
    </row>
    <row r="538">
      <c r="A538" t="inlineStr">
        <is>
          <t>TR</t>
        </is>
      </c>
      <c r="B538" t="inlineStr">
        <is>
          <t>33</t>
        </is>
      </c>
      <c r="C538" t="inlineStr">
        <is>
          <t>is_non_us</t>
        </is>
      </c>
      <c r="D538" s="3" t="n">
        <v>15240463.44218325</v>
      </c>
      <c r="E538" s="3" t="n">
        <v>10760170.10706991</v>
      </c>
      <c r="F538" s="4" t="n">
        <v>3</v>
      </c>
      <c r="G538" t="n">
        <v>1</v>
      </c>
      <c r="H538" t="n">
        <v>1</v>
      </c>
    </row>
    <row r="539">
      <c r="A539" t="inlineStr">
        <is>
          <t>TW</t>
        </is>
      </c>
      <c r="B539" t="inlineStr">
        <is>
          <t>33</t>
        </is>
      </c>
      <c r="C539" t="inlineStr">
        <is>
          <t>is_non_us</t>
        </is>
      </c>
      <c r="D539" s="3" t="n">
        <v>3339168.276723598</v>
      </c>
      <c r="E539" s="3" t="n">
        <v>1677280.688161799</v>
      </c>
      <c r="F539" s="4" t="n">
        <v>2</v>
      </c>
      <c r="G539" t="n">
        <v>1</v>
      </c>
      <c r="H539" t="n">
        <v>1</v>
      </c>
    </row>
    <row r="540">
      <c r="A540" t="inlineStr">
        <is>
          <t>UY</t>
        </is>
      </c>
      <c r="B540" t="inlineStr">
        <is>
          <t>33</t>
        </is>
      </c>
      <c r="C540" t="inlineStr">
        <is>
          <t>is_non_us</t>
        </is>
      </c>
      <c r="D540" s="3" t="n">
        <v>1779850.892763128</v>
      </c>
      <c r="E540" s="3" t="n">
        <v>1779850.892763128</v>
      </c>
      <c r="F540" s="4" t="n">
        <v>3</v>
      </c>
      <c r="G540" t="n">
        <v>1</v>
      </c>
      <c r="H540" t="n">
        <v>1</v>
      </c>
    </row>
    <row r="541">
      <c r="A541" t="inlineStr">
        <is>
          <t>VC</t>
        </is>
      </c>
      <c r="B541" t="inlineStr">
        <is>
          <t>33</t>
        </is>
      </c>
      <c r="C541" t="inlineStr">
        <is>
          <t>is_non_us</t>
        </is>
      </c>
      <c r="D541" s="3" t="n">
        <v>2430000</v>
      </c>
      <c r="E541" s="3" t="n">
        <v>2430000</v>
      </c>
      <c r="F541" s="4" t="n">
        <v>1</v>
      </c>
      <c r="G541" t="n">
        <v>1</v>
      </c>
      <c r="H541" t="n">
        <v>1</v>
      </c>
    </row>
    <row r="542">
      <c r="A542" t="inlineStr">
        <is>
          <t>ZA</t>
        </is>
      </c>
      <c r="B542" t="inlineStr">
        <is>
          <t>33</t>
        </is>
      </c>
      <c r="C542" t="inlineStr">
        <is>
          <t>is_non_us</t>
        </is>
      </c>
      <c r="D542" s="3" t="n">
        <v>150565819.699491</v>
      </c>
      <c r="E542" s="3" t="n">
        <v>133209523.230385</v>
      </c>
      <c r="F542" s="4" t="n">
        <v>25</v>
      </c>
      <c r="G542" t="n">
        <v>1</v>
      </c>
      <c r="H542" t="n">
        <v>1</v>
      </c>
    </row>
    <row r="543">
      <c r="A543" t="inlineStr">
        <is>
          <t>AE</t>
        </is>
      </c>
      <c r="B543" t="inlineStr">
        <is>
          <t>3624</t>
        </is>
      </c>
      <c r="C543" t="inlineStr">
        <is>
          <t>is_non_us</t>
        </is>
      </c>
      <c r="D543" s="3" t="n">
        <v>48600</v>
      </c>
      <c r="E543" s="3" t="n">
        <v>48600</v>
      </c>
      <c r="F543" s="4" t="n">
        <v>1</v>
      </c>
      <c r="G543" t="n">
        <v>0</v>
      </c>
      <c r="H543" t="n">
        <v>1</v>
      </c>
    </row>
    <row r="544">
      <c r="A544" t="inlineStr">
        <is>
          <t>CO</t>
        </is>
      </c>
      <c r="B544" t="inlineStr">
        <is>
          <t>3624</t>
        </is>
      </c>
      <c r="C544" t="inlineStr">
        <is>
          <t>is_non_us</t>
        </is>
      </c>
      <c r="D544" s="3" t="n">
        <v>249750</v>
      </c>
      <c r="E544" s="3" t="n">
        <v>249750</v>
      </c>
      <c r="F544" s="4" t="n">
        <v>1</v>
      </c>
      <c r="G544" t="n">
        <v>0</v>
      </c>
      <c r="H544" t="n">
        <v>1</v>
      </c>
    </row>
    <row r="545">
      <c r="A545" t="inlineStr">
        <is>
          <t>AU</t>
        </is>
      </c>
      <c r="B545" t="inlineStr">
        <is>
          <t>3624</t>
        </is>
      </c>
      <c r="C545" t="inlineStr">
        <is>
          <t>is_non_us</t>
        </is>
      </c>
      <c r="D545" s="3" t="n">
        <v>145800</v>
      </c>
      <c r="E545" s="3" t="n">
        <v>145800</v>
      </c>
      <c r="F545" s="4" t="n">
        <v>1</v>
      </c>
      <c r="G545" t="n">
        <v>1</v>
      </c>
      <c r="H545" t="n">
        <v>1</v>
      </c>
    </row>
    <row r="546">
      <c r="A546" t="inlineStr">
        <is>
          <t>CA</t>
        </is>
      </c>
      <c r="B546" t="inlineStr">
        <is>
          <t>3624</t>
        </is>
      </c>
      <c r="C546" t="inlineStr">
        <is>
          <t>is_non_us</t>
        </is>
      </c>
      <c r="D546" s="3" t="n">
        <v>148500</v>
      </c>
      <c r="E546" s="3" t="n">
        <v>148500</v>
      </c>
      <c r="F546" s="4" t="n">
        <v>1</v>
      </c>
      <c r="G546" t="n">
        <v>1</v>
      </c>
      <c r="H546" t="n">
        <v>1</v>
      </c>
    </row>
    <row r="547">
      <c r="A547" t="inlineStr">
        <is>
          <t>CH</t>
        </is>
      </c>
      <c r="B547" t="inlineStr">
        <is>
          <t>3624</t>
        </is>
      </c>
      <c r="C547" t="inlineStr">
        <is>
          <t>is_non_us</t>
        </is>
      </c>
      <c r="D547" s="3" t="n">
        <v>14842975.68</v>
      </c>
      <c r="E547" s="3" t="n">
        <v>14842975.68</v>
      </c>
      <c r="F547" s="4" t="n">
        <v>10</v>
      </c>
      <c r="G547" t="n">
        <v>1</v>
      </c>
      <c r="H547" t="n">
        <v>1</v>
      </c>
    </row>
    <row r="548">
      <c r="A548" t="inlineStr">
        <is>
          <t>GB</t>
        </is>
      </c>
      <c r="B548" t="inlineStr">
        <is>
          <t>3624</t>
        </is>
      </c>
      <c r="C548" t="inlineStr">
        <is>
          <t>is_non_us</t>
        </is>
      </c>
      <c r="D548" s="3" t="n">
        <v>7530300.000000001</v>
      </c>
      <c r="E548" s="3" t="n">
        <v>7530300.000000001</v>
      </c>
      <c r="F548" s="4" t="n">
        <v>5</v>
      </c>
      <c r="G548" t="n">
        <v>1</v>
      </c>
      <c r="H548" t="n">
        <v>1</v>
      </c>
    </row>
    <row r="549">
      <c r="A549" t="inlineStr">
        <is>
          <t>IN</t>
        </is>
      </c>
      <c r="B549" t="inlineStr">
        <is>
          <t>3624</t>
        </is>
      </c>
      <c r="C549" t="inlineStr">
        <is>
          <t>is_non_us</t>
        </is>
      </c>
      <c r="D549" s="3" t="n">
        <v>10800</v>
      </c>
      <c r="E549" s="3" t="n">
        <v>10800</v>
      </c>
      <c r="F549" s="4" t="n">
        <v>1</v>
      </c>
      <c r="G549" t="n">
        <v>1</v>
      </c>
      <c r="H549" t="n">
        <v>1</v>
      </c>
    </row>
    <row r="550">
      <c r="A550" t="inlineStr">
        <is>
          <t>MX</t>
        </is>
      </c>
      <c r="B550" t="inlineStr">
        <is>
          <t>3624</t>
        </is>
      </c>
      <c r="C550" t="inlineStr">
        <is>
          <t>is_non_us</t>
        </is>
      </c>
      <c r="D550" s="3" t="n">
        <v>270000</v>
      </c>
      <c r="E550" s="3" t="n">
        <v>270000</v>
      </c>
      <c r="F550" s="4" t="n">
        <v>1</v>
      </c>
      <c r="G550" t="n">
        <v>1</v>
      </c>
      <c r="H550" t="n">
        <v>1</v>
      </c>
    </row>
    <row r="551">
      <c r="A551" t="inlineStr">
        <is>
          <t>SG</t>
        </is>
      </c>
      <c r="B551" t="inlineStr">
        <is>
          <t>3624</t>
        </is>
      </c>
      <c r="C551" t="inlineStr">
        <is>
          <t>is_non_us</t>
        </is>
      </c>
      <c r="D551" s="3" t="n">
        <v>286200</v>
      </c>
      <c r="E551" s="3" t="n">
        <v>286200</v>
      </c>
      <c r="F551" s="4" t="n">
        <v>2</v>
      </c>
      <c r="G551" t="n">
        <v>1</v>
      </c>
      <c r="H551" t="n">
        <v>1</v>
      </c>
    </row>
    <row r="552">
      <c r="A552" t="inlineStr">
        <is>
          <t>ZA</t>
        </is>
      </c>
      <c r="B552" t="inlineStr">
        <is>
          <t>3624</t>
        </is>
      </c>
      <c r="C552" t="inlineStr">
        <is>
          <t>is_non_us</t>
        </is>
      </c>
      <c r="D552" s="3" t="n">
        <v>702000</v>
      </c>
      <c r="E552" s="3" t="n">
        <v>702000</v>
      </c>
      <c r="F552" s="4" t="n">
        <v>1</v>
      </c>
      <c r="G552" t="n">
        <v>1</v>
      </c>
      <c r="H552" t="n">
        <v>1</v>
      </c>
    </row>
    <row r="553">
      <c r="A553" t="inlineStr">
        <is>
          <t>AE</t>
        </is>
      </c>
      <c r="B553" t="inlineStr">
        <is>
          <t>HIC</t>
        </is>
      </c>
      <c r="C553" t="inlineStr">
        <is>
          <t>is_non_us</t>
        </is>
      </c>
      <c r="D553" s="3" t="n">
        <v>74325.60000000001</v>
      </c>
      <c r="E553" s="3" t="n">
        <v>74325.60000000001</v>
      </c>
      <c r="F553" s="4" t="n">
        <v>1</v>
      </c>
      <c r="G553" t="n">
        <v>0</v>
      </c>
      <c r="H553" t="n">
        <v>1</v>
      </c>
    </row>
    <row r="554">
      <c r="A554" t="inlineStr">
        <is>
          <t>GB</t>
        </is>
      </c>
      <c r="B554" t="inlineStr">
        <is>
          <t>HIC</t>
        </is>
      </c>
      <c r="C554" t="inlineStr">
        <is>
          <t>is_non_us</t>
        </is>
      </c>
      <c r="D554" s="3" t="n">
        <v>8375254.2</v>
      </c>
      <c r="E554" s="3" t="n">
        <v>8375254.2</v>
      </c>
      <c r="F554" s="4" t="n">
        <v>14</v>
      </c>
      <c r="G554" t="n">
        <v>0</v>
      </c>
      <c r="H554" t="n">
        <v>1</v>
      </c>
    </row>
    <row r="555">
      <c r="A555" t="inlineStr">
        <is>
          <t>GI</t>
        </is>
      </c>
      <c r="B555" t="inlineStr">
        <is>
          <t>HIC</t>
        </is>
      </c>
      <c r="C555" t="inlineStr">
        <is>
          <t>is_non_us</t>
        </is>
      </c>
      <c r="D555" s="3" t="n">
        <v>1774653.3</v>
      </c>
      <c r="E555" s="3" t="n">
        <v>1774653.3</v>
      </c>
      <c r="F555" s="4" t="n">
        <v>3</v>
      </c>
      <c r="G555" t="n">
        <v>0</v>
      </c>
      <c r="H555" t="n">
        <v>1</v>
      </c>
    </row>
    <row r="556">
      <c r="A556" t="inlineStr">
        <is>
          <t>JE</t>
        </is>
      </c>
      <c r="B556" t="inlineStr">
        <is>
          <t>HIC</t>
        </is>
      </c>
      <c r="C556" t="inlineStr">
        <is>
          <t>is_non_us</t>
        </is>
      </c>
      <c r="D556" s="3" t="n">
        <v>2900384.82</v>
      </c>
      <c r="E556" s="3" t="n">
        <v>2900384.82</v>
      </c>
      <c r="F556" s="4" t="n">
        <v>6</v>
      </c>
      <c r="G556" t="n">
        <v>0</v>
      </c>
      <c r="H556" t="n">
        <v>1</v>
      </c>
    </row>
    <row r="557">
      <c r="A557" t="inlineStr">
        <is>
          <t>PK</t>
        </is>
      </c>
      <c r="B557" t="inlineStr">
        <is>
          <t>HIC</t>
        </is>
      </c>
      <c r="C557" t="inlineStr">
        <is>
          <t>is_non_us</t>
        </is>
      </c>
      <c r="D557" s="3" t="n">
        <v>22967.82</v>
      </c>
      <c r="E557" s="3" t="n">
        <v>22967.82</v>
      </c>
      <c r="F557" s="4" t="n">
        <v>1</v>
      </c>
      <c r="G557" t="n">
        <v>0</v>
      </c>
      <c r="H557" t="n">
        <v>1</v>
      </c>
    </row>
    <row r="558">
      <c r="A558" t="inlineStr">
        <is>
          <t>AU</t>
        </is>
      </c>
      <c r="B558" t="inlineStr">
        <is>
          <t>HIC</t>
        </is>
      </c>
      <c r="C558" t="inlineStr">
        <is>
          <t>is_non_us</t>
        </is>
      </c>
      <c r="D558" s="3" t="n">
        <v>203850</v>
      </c>
      <c r="E558" s="3" t="n">
        <v>203850</v>
      </c>
      <c r="F558" s="4" t="n">
        <v>3</v>
      </c>
      <c r="G558" t="n">
        <v>1</v>
      </c>
      <c r="H558" t="n">
        <v>1</v>
      </c>
    </row>
    <row r="559">
      <c r="A559" t="inlineStr">
        <is>
          <t>CA</t>
        </is>
      </c>
      <c r="B559" t="inlineStr">
        <is>
          <t>HIC</t>
        </is>
      </c>
      <c r="C559" t="inlineStr">
        <is>
          <t>is_non_us</t>
        </is>
      </c>
      <c r="D559" s="3" t="n">
        <v>286200</v>
      </c>
      <c r="E559" s="3" t="n">
        <v>286200</v>
      </c>
      <c r="F559" s="4" t="n">
        <v>1</v>
      </c>
      <c r="G559" t="n">
        <v>1</v>
      </c>
      <c r="H559" t="n">
        <v>1</v>
      </c>
    </row>
    <row r="560">
      <c r="A560" t="inlineStr">
        <is>
          <t>CH</t>
        </is>
      </c>
      <c r="B560" t="inlineStr">
        <is>
          <t>HIC</t>
        </is>
      </c>
      <c r="C560" t="inlineStr">
        <is>
          <t>is_non_us</t>
        </is>
      </c>
      <c r="D560" s="3" t="n">
        <v>294840</v>
      </c>
      <c r="E560" s="3" t="n">
        <v>294840</v>
      </c>
      <c r="F560" s="4" t="n">
        <v>1</v>
      </c>
      <c r="G560" t="n">
        <v>1</v>
      </c>
      <c r="H560" t="n">
        <v>1</v>
      </c>
    </row>
    <row r="561">
      <c r="A561" t="inlineStr">
        <is>
          <t>GB</t>
        </is>
      </c>
      <c r="B561" t="inlineStr">
        <is>
          <t>HIC</t>
        </is>
      </c>
      <c r="C561" t="inlineStr">
        <is>
          <t>is_non_us</t>
        </is>
      </c>
      <c r="D561" s="3" t="n">
        <v>163738225212.6865</v>
      </c>
      <c r="E561" s="3" t="n">
        <v>163738225212.6865</v>
      </c>
      <c r="F561" s="4" t="n">
        <v>173171</v>
      </c>
      <c r="G561" t="n">
        <v>1</v>
      </c>
      <c r="H561" t="n">
        <v>1</v>
      </c>
    </row>
    <row r="562">
      <c r="A562" t="inlineStr">
        <is>
          <t>GG</t>
        </is>
      </c>
      <c r="B562" t="inlineStr">
        <is>
          <t>HIC</t>
        </is>
      </c>
      <c r="C562" t="inlineStr">
        <is>
          <t>is_non_us</t>
        </is>
      </c>
      <c r="D562" s="3" t="n">
        <v>119068292.223</v>
      </c>
      <c r="E562" s="3" t="n">
        <v>119068292.223</v>
      </c>
      <c r="F562" s="4" t="n">
        <v>67</v>
      </c>
      <c r="G562" t="n">
        <v>1</v>
      </c>
      <c r="H562" t="n">
        <v>1</v>
      </c>
    </row>
    <row r="563">
      <c r="A563" t="inlineStr">
        <is>
          <t>GI</t>
        </is>
      </c>
      <c r="B563" t="inlineStr">
        <is>
          <t>HIC</t>
        </is>
      </c>
      <c r="C563" t="inlineStr">
        <is>
          <t>is_non_us</t>
        </is>
      </c>
      <c r="D563" s="3" t="n">
        <v>3789439.2</v>
      </c>
      <c r="E563" s="3" t="n">
        <v>3789439.2</v>
      </c>
      <c r="F563" s="4" t="n">
        <v>4</v>
      </c>
      <c r="G563" t="n">
        <v>1</v>
      </c>
      <c r="H563" t="n">
        <v>1</v>
      </c>
    </row>
    <row r="564">
      <c r="A564" t="inlineStr">
        <is>
          <t>HK</t>
        </is>
      </c>
      <c r="B564" t="inlineStr">
        <is>
          <t>HIC</t>
        </is>
      </c>
      <c r="C564" t="inlineStr">
        <is>
          <t>is_non_us</t>
        </is>
      </c>
      <c r="D564" s="3" t="n">
        <v>129600</v>
      </c>
      <c r="E564" s="3" t="n">
        <v>129600</v>
      </c>
      <c r="F564" s="4" t="n">
        <v>2</v>
      </c>
      <c r="G564" t="n">
        <v>1</v>
      </c>
      <c r="H564" t="n">
        <v>1</v>
      </c>
    </row>
    <row r="565">
      <c r="A565" t="inlineStr">
        <is>
          <t>IM</t>
        </is>
      </c>
      <c r="B565" t="inlineStr">
        <is>
          <t>HIC</t>
        </is>
      </c>
      <c r="C565" t="inlineStr">
        <is>
          <t>is_non_us</t>
        </is>
      </c>
      <c r="D565" s="3" t="n">
        <v>268281328.5945</v>
      </c>
      <c r="E565" s="3" t="n">
        <v>268281328.5945</v>
      </c>
      <c r="F565" s="4" t="n">
        <v>184</v>
      </c>
      <c r="G565" t="n">
        <v>1</v>
      </c>
      <c r="H565" t="n">
        <v>1</v>
      </c>
    </row>
    <row r="566">
      <c r="A566" t="inlineStr">
        <is>
          <t>IN</t>
        </is>
      </c>
      <c r="B566" t="inlineStr">
        <is>
          <t>HIC</t>
        </is>
      </c>
      <c r="C566" t="inlineStr">
        <is>
          <t>is_non_us</t>
        </is>
      </c>
      <c r="D566" s="3" t="n">
        <v>126900</v>
      </c>
      <c r="E566" s="3" t="n">
        <v>126900</v>
      </c>
      <c r="F566" s="4" t="n">
        <v>1</v>
      </c>
      <c r="G566" t="n">
        <v>1</v>
      </c>
      <c r="H566" t="n">
        <v>1</v>
      </c>
    </row>
    <row r="567">
      <c r="A567" t="inlineStr">
        <is>
          <t>JE</t>
        </is>
      </c>
      <c r="B567" t="inlineStr">
        <is>
          <t>HIC</t>
        </is>
      </c>
      <c r="C567" t="inlineStr">
        <is>
          <t>is_non_us</t>
        </is>
      </c>
      <c r="D567" s="3" t="n">
        <v>164563378.3935001</v>
      </c>
      <c r="E567" s="3" t="n">
        <v>164563378.3935001</v>
      </c>
      <c r="F567" s="4" t="n">
        <v>179</v>
      </c>
      <c r="G567" t="n">
        <v>1</v>
      </c>
      <c r="H567" t="n">
        <v>1</v>
      </c>
    </row>
    <row r="568">
      <c r="A568" t="inlineStr">
        <is>
          <t>JP</t>
        </is>
      </c>
      <c r="B568" t="inlineStr">
        <is>
          <t>HIC</t>
        </is>
      </c>
      <c r="C568" t="inlineStr">
        <is>
          <t>is_non_us</t>
        </is>
      </c>
      <c r="D568" s="3" t="n">
        <v>372600</v>
      </c>
      <c r="E568" s="3" t="n">
        <v>372600</v>
      </c>
      <c r="F568" s="4" t="n">
        <v>2</v>
      </c>
      <c r="G568" t="n">
        <v>1</v>
      </c>
      <c r="H568" t="n">
        <v>1</v>
      </c>
    </row>
    <row r="569">
      <c r="A569" t="inlineStr">
        <is>
          <t>MK</t>
        </is>
      </c>
      <c r="B569" t="inlineStr">
        <is>
          <t>HIC</t>
        </is>
      </c>
      <c r="C569" t="inlineStr">
        <is>
          <t>is_non_us</t>
        </is>
      </c>
      <c r="D569" s="3" t="n">
        <v>147150</v>
      </c>
      <c r="E569" s="3" t="n">
        <v>147150</v>
      </c>
      <c r="F569" s="4" t="n">
        <v>1</v>
      </c>
      <c r="G569" t="n">
        <v>1</v>
      </c>
      <c r="H569" t="n">
        <v>1</v>
      </c>
    </row>
    <row r="570">
      <c r="A570" t="inlineStr">
        <is>
          <t>SG</t>
        </is>
      </c>
      <c r="B570" t="inlineStr">
        <is>
          <t>HIC</t>
        </is>
      </c>
      <c r="C570" t="inlineStr">
        <is>
          <t>is_non_us</t>
        </is>
      </c>
      <c r="D570" s="3" t="n">
        <v>1285988.4</v>
      </c>
      <c r="E570" s="3" t="n">
        <v>1285988.4</v>
      </c>
      <c r="F570" s="4" t="n">
        <v>5</v>
      </c>
      <c r="G570" t="n">
        <v>1</v>
      </c>
      <c r="H570" t="n">
        <v>1</v>
      </c>
    </row>
    <row r="571">
      <c r="A571" t="inlineStr">
        <is>
          <t>TH</t>
        </is>
      </c>
      <c r="B571" t="inlineStr">
        <is>
          <t>HIC</t>
        </is>
      </c>
      <c r="C571" t="inlineStr">
        <is>
          <t>is_non_us</t>
        </is>
      </c>
      <c r="D571" s="3" t="n">
        <v>27000</v>
      </c>
      <c r="E571" s="3" t="n">
        <v>27000</v>
      </c>
      <c r="F571" s="4" t="n">
        <v>1</v>
      </c>
      <c r="G571" t="n">
        <v>1</v>
      </c>
      <c r="H571" t="n">
        <v>1</v>
      </c>
    </row>
    <row r="572">
      <c r="A572" t="inlineStr">
        <is>
          <t>TW</t>
        </is>
      </c>
      <c r="B572" t="inlineStr">
        <is>
          <t>HIC</t>
        </is>
      </c>
      <c r="C572" t="inlineStr">
        <is>
          <t>is_non_us</t>
        </is>
      </c>
      <c r="D572" s="3" t="n">
        <v>371250</v>
      </c>
      <c r="E572" s="3" t="n">
        <v>371250</v>
      </c>
      <c r="F572" s="4" t="n">
        <v>1</v>
      </c>
      <c r="G572" t="n">
        <v>1</v>
      </c>
      <c r="H572" t="n">
        <v>1</v>
      </c>
    </row>
    <row r="573">
      <c r="A573" t="inlineStr">
        <is>
          <t>ZA</t>
        </is>
      </c>
      <c r="B573" t="inlineStr">
        <is>
          <t>HIC</t>
        </is>
      </c>
      <c r="C573" t="inlineStr">
        <is>
          <t>is_non_us</t>
        </is>
      </c>
      <c r="D573" s="3" t="n">
        <v>2802006</v>
      </c>
      <c r="E573" s="3" t="n">
        <v>2802006</v>
      </c>
      <c r="F573" s="4" t="n">
        <v>3</v>
      </c>
      <c r="G573" t="n">
        <v>1</v>
      </c>
      <c r="H573" t="n">
        <v>1</v>
      </c>
    </row>
    <row r="574">
      <c r="A574" t="inlineStr">
        <is>
          <t>AE</t>
        </is>
      </c>
      <c r="B574" t="inlineStr">
        <is>
          <t>HIG</t>
        </is>
      </c>
      <c r="C574" t="inlineStr">
        <is>
          <t>is_non_us</t>
        </is>
      </c>
      <c r="D574" s="3" t="n">
        <v>970704.7158275546</v>
      </c>
      <c r="E574" s="3" t="n">
        <v>970704.7158275546</v>
      </c>
      <c r="F574" s="4" t="n">
        <v>1</v>
      </c>
      <c r="G574" t="n">
        <v>0</v>
      </c>
      <c r="H574" t="n">
        <v>1</v>
      </c>
    </row>
    <row r="575">
      <c r="A575" t="inlineStr">
        <is>
          <t>BE</t>
        </is>
      </c>
      <c r="B575" t="inlineStr">
        <is>
          <t>HIG</t>
        </is>
      </c>
      <c r="C575" t="inlineStr">
        <is>
          <t>is_non_us</t>
        </is>
      </c>
      <c r="D575" s="3" t="n">
        <v>30238.42243791272</v>
      </c>
      <c r="E575" s="3" t="n">
        <v>30238.42243791272</v>
      </c>
      <c r="F575" s="4" t="n">
        <v>1</v>
      </c>
      <c r="G575" t="n">
        <v>0</v>
      </c>
      <c r="H575" t="n">
        <v>1</v>
      </c>
    </row>
    <row r="576">
      <c r="A576" t="inlineStr">
        <is>
          <t>BR</t>
        </is>
      </c>
      <c r="B576" t="inlineStr">
        <is>
          <t>HIG</t>
        </is>
      </c>
      <c r="C576" t="inlineStr">
        <is>
          <t>is_non_us</t>
        </is>
      </c>
      <c r="D576" s="3" t="n">
        <v>805367.9357391051</v>
      </c>
      <c r="E576" s="3" t="n">
        <v>457144.7374358818</v>
      </c>
      <c r="F576" s="4" t="n">
        <v>2</v>
      </c>
      <c r="G576" t="n">
        <v>0</v>
      </c>
      <c r="H576" t="n">
        <v>1</v>
      </c>
    </row>
    <row r="577">
      <c r="A577" t="inlineStr">
        <is>
          <t>CH</t>
        </is>
      </c>
      <c r="B577" t="inlineStr">
        <is>
          <t>HIG</t>
        </is>
      </c>
      <c r="C577" t="inlineStr">
        <is>
          <t>is_non_us</t>
        </is>
      </c>
      <c r="D577" s="3" t="n">
        <v>71066228.50825071</v>
      </c>
      <c r="E577" s="3" t="n">
        <v>38370910.55070021</v>
      </c>
      <c r="F577" s="4" t="n">
        <v>2</v>
      </c>
      <c r="G577" t="n">
        <v>0</v>
      </c>
      <c r="H577" t="n">
        <v>1</v>
      </c>
    </row>
    <row r="578">
      <c r="A578" t="inlineStr">
        <is>
          <t>ES</t>
        </is>
      </c>
      <c r="B578" t="inlineStr">
        <is>
          <t>HIG</t>
        </is>
      </c>
      <c r="C578" t="inlineStr">
        <is>
          <t>is_non_us</t>
        </is>
      </c>
      <c r="D578" s="3" t="n">
        <v>6924829.565050622</v>
      </c>
      <c r="E578" s="3" t="n">
        <v>6924829.565050622</v>
      </c>
      <c r="F578" s="4" t="n">
        <v>1</v>
      </c>
      <c r="G578" t="n">
        <v>0</v>
      </c>
      <c r="H578" t="n">
        <v>1</v>
      </c>
    </row>
    <row r="579">
      <c r="A579" t="inlineStr">
        <is>
          <t>FR</t>
        </is>
      </c>
      <c r="B579" t="inlineStr">
        <is>
          <t>HIG</t>
        </is>
      </c>
      <c r="C579" t="inlineStr">
        <is>
          <t>is_non_us</t>
        </is>
      </c>
      <c r="D579" s="3" t="n">
        <v>34564144.78369116</v>
      </c>
      <c r="E579" s="3" t="n">
        <v>17282072.39184558</v>
      </c>
      <c r="F579" s="4" t="n">
        <v>1</v>
      </c>
      <c r="G579" t="n">
        <v>0</v>
      </c>
      <c r="H579" t="n">
        <v>1</v>
      </c>
    </row>
    <row r="580">
      <c r="A580" t="inlineStr">
        <is>
          <t>GB</t>
        </is>
      </c>
      <c r="B580" t="inlineStr">
        <is>
          <t>HIG</t>
        </is>
      </c>
      <c r="C580" t="inlineStr">
        <is>
          <t>is_non_us</t>
        </is>
      </c>
      <c r="D580" s="3" t="n">
        <v>16946092.81877061</v>
      </c>
      <c r="E580" s="3" t="n">
        <v>8737202.876743417</v>
      </c>
      <c r="F580" s="4" t="n">
        <v>5</v>
      </c>
      <c r="G580" t="n">
        <v>0</v>
      </c>
      <c r="H580" t="n">
        <v>1</v>
      </c>
    </row>
    <row r="581">
      <c r="A581" t="inlineStr">
        <is>
          <t>GR</t>
        </is>
      </c>
      <c r="B581" t="inlineStr">
        <is>
          <t>HIG</t>
        </is>
      </c>
      <c r="C581" t="inlineStr">
        <is>
          <t>is_non_us</t>
        </is>
      </c>
      <c r="D581" s="3" t="n">
        <v>440880.8156598321</v>
      </c>
      <c r="E581" s="3" t="n">
        <v>440880.8156598321</v>
      </c>
      <c r="F581" s="4" t="n">
        <v>1</v>
      </c>
      <c r="G581" t="n">
        <v>0</v>
      </c>
      <c r="H581" t="n">
        <v>1</v>
      </c>
    </row>
    <row r="582">
      <c r="A582" t="inlineStr">
        <is>
          <t>IL</t>
        </is>
      </c>
      <c r="B582" t="inlineStr">
        <is>
          <t>HIG</t>
        </is>
      </c>
      <c r="C582" t="inlineStr">
        <is>
          <t>is_non_us</t>
        </is>
      </c>
      <c r="D582" s="3" t="n">
        <v>173120.739177033</v>
      </c>
      <c r="E582" s="3" t="n">
        <v>173120.739177033</v>
      </c>
      <c r="F582" s="4" t="n">
        <v>1</v>
      </c>
      <c r="G582" t="n">
        <v>0</v>
      </c>
      <c r="H582" t="n">
        <v>1</v>
      </c>
    </row>
    <row r="583">
      <c r="A583" t="inlineStr">
        <is>
          <t>IT</t>
        </is>
      </c>
      <c r="B583" t="inlineStr">
        <is>
          <t>HIG</t>
        </is>
      </c>
      <c r="C583" t="inlineStr">
        <is>
          <t>is_non_us</t>
        </is>
      </c>
      <c r="D583" s="3" t="n">
        <v>2084027.45734743</v>
      </c>
      <c r="E583" s="3" t="n">
        <v>2084027.45734743</v>
      </c>
      <c r="F583" s="4" t="n">
        <v>2</v>
      </c>
      <c r="G583" t="n">
        <v>0</v>
      </c>
      <c r="H583" t="n">
        <v>1</v>
      </c>
    </row>
    <row r="584">
      <c r="A584" t="inlineStr">
        <is>
          <t>LB</t>
        </is>
      </c>
      <c r="B584" t="inlineStr">
        <is>
          <t>HIG</t>
        </is>
      </c>
      <c r="C584" t="inlineStr">
        <is>
          <t>is_non_us</t>
        </is>
      </c>
      <c r="D584" s="3" t="n">
        <v>1015358.233427097</v>
      </c>
      <c r="E584" s="3" t="n">
        <v>1015358.233427097</v>
      </c>
      <c r="F584" s="4" t="n">
        <v>1</v>
      </c>
      <c r="G584" t="n">
        <v>0</v>
      </c>
      <c r="H584" t="n">
        <v>1</v>
      </c>
    </row>
    <row r="585">
      <c r="A585" t="inlineStr">
        <is>
          <t>MC</t>
        </is>
      </c>
      <c r="B585" t="inlineStr">
        <is>
          <t>HIG</t>
        </is>
      </c>
      <c r="C585" t="inlineStr">
        <is>
          <t>is_non_us</t>
        </is>
      </c>
      <c r="D585" s="3" t="n">
        <v>15508156.22226567</v>
      </c>
      <c r="E585" s="3" t="n">
        <v>7754078.111132835</v>
      </c>
      <c r="F585" s="4" t="n">
        <v>1</v>
      </c>
      <c r="G585" t="n">
        <v>0</v>
      </c>
      <c r="H585" t="n">
        <v>1</v>
      </c>
    </row>
    <row r="586">
      <c r="A586" t="inlineStr">
        <is>
          <t>MX</t>
        </is>
      </c>
      <c r="B586" t="inlineStr">
        <is>
          <t>HIG</t>
        </is>
      </c>
      <c r="C586" t="inlineStr">
        <is>
          <t>is_non_us</t>
        </is>
      </c>
      <c r="D586" s="3" t="n">
        <v>529234.5424871021</v>
      </c>
      <c r="E586" s="3" t="n">
        <v>529234.5424871021</v>
      </c>
      <c r="F586" s="4" t="n">
        <v>3</v>
      </c>
      <c r="G586" t="n">
        <v>0</v>
      </c>
      <c r="H586" t="n">
        <v>1</v>
      </c>
    </row>
    <row r="587">
      <c r="A587" t="inlineStr">
        <is>
          <t>AE</t>
        </is>
      </c>
      <c r="B587" t="inlineStr">
        <is>
          <t>HIG</t>
        </is>
      </c>
      <c r="C587" t="inlineStr">
        <is>
          <t>is_non_us</t>
        </is>
      </c>
      <c r="D587" s="3" t="n">
        <v>1062556002.114713</v>
      </c>
      <c r="E587" s="3" t="n">
        <v>1062556002.114713</v>
      </c>
      <c r="F587" s="4" t="n">
        <v>279</v>
      </c>
      <c r="G587" t="n">
        <v>1</v>
      </c>
      <c r="H587" t="n">
        <v>1</v>
      </c>
    </row>
    <row r="588">
      <c r="A588" t="inlineStr">
        <is>
          <t>AR</t>
        </is>
      </c>
      <c r="B588" t="inlineStr">
        <is>
          <t>HIG</t>
        </is>
      </c>
      <c r="C588" t="inlineStr">
        <is>
          <t>is_non_us</t>
        </is>
      </c>
      <c r="D588" s="3" t="n">
        <v>297023806.1684405</v>
      </c>
      <c r="E588" s="3" t="n">
        <v>189645032.6108413</v>
      </c>
      <c r="F588" s="4" t="n">
        <v>43</v>
      </c>
      <c r="G588" t="n">
        <v>1</v>
      </c>
      <c r="H588" t="n">
        <v>1</v>
      </c>
    </row>
    <row r="589">
      <c r="A589" t="inlineStr">
        <is>
          <t>AT</t>
        </is>
      </c>
      <c r="B589" t="inlineStr">
        <is>
          <t>HIG</t>
        </is>
      </c>
      <c r="C589" t="inlineStr">
        <is>
          <t>is_non_us</t>
        </is>
      </c>
      <c r="D589" s="3" t="n">
        <v>14816298.53194058</v>
      </c>
      <c r="E589" s="3" t="n">
        <v>14816298.53194058</v>
      </c>
      <c r="F589" s="4" t="n">
        <v>5</v>
      </c>
      <c r="G589" t="n">
        <v>1</v>
      </c>
      <c r="H589" t="n">
        <v>1</v>
      </c>
    </row>
    <row r="590">
      <c r="A590" t="inlineStr">
        <is>
          <t>BE</t>
        </is>
      </c>
      <c r="B590" t="inlineStr">
        <is>
          <t>HIG</t>
        </is>
      </c>
      <c r="C590" t="inlineStr">
        <is>
          <t>is_non_us</t>
        </is>
      </c>
      <c r="D590" s="3" t="n">
        <v>240874332.8349634</v>
      </c>
      <c r="E590" s="3" t="n">
        <v>224562076.7794834</v>
      </c>
      <c r="F590" s="4" t="n">
        <v>46</v>
      </c>
      <c r="G590" t="n">
        <v>1</v>
      </c>
      <c r="H590" t="n">
        <v>1</v>
      </c>
    </row>
    <row r="591">
      <c r="A591" t="inlineStr">
        <is>
          <t>BH</t>
        </is>
      </c>
      <c r="B591" t="inlineStr">
        <is>
          <t>HIG</t>
        </is>
      </c>
      <c r="C591" t="inlineStr">
        <is>
          <t>is_non_us</t>
        </is>
      </c>
      <c r="D591" s="3" t="n">
        <v>48758017.15579361</v>
      </c>
      <c r="E591" s="3" t="n">
        <v>24379008.57789681</v>
      </c>
      <c r="F591" s="4" t="n">
        <v>1</v>
      </c>
      <c r="G591" t="n">
        <v>1</v>
      </c>
      <c r="H591" t="n">
        <v>1</v>
      </c>
    </row>
    <row r="592">
      <c r="A592" t="inlineStr">
        <is>
          <t>BL</t>
        </is>
      </c>
      <c r="B592" t="inlineStr">
        <is>
          <t>HIG</t>
        </is>
      </c>
      <c r="C592" t="inlineStr">
        <is>
          <t>is_non_us</t>
        </is>
      </c>
      <c r="D592" s="3" t="n">
        <v>86000.84237127511</v>
      </c>
      <c r="E592" s="3" t="n">
        <v>86000.84237127511</v>
      </c>
      <c r="F592" s="4" t="n">
        <v>1</v>
      </c>
      <c r="G592" t="n">
        <v>1</v>
      </c>
      <c r="H592" t="n">
        <v>1</v>
      </c>
    </row>
    <row r="593">
      <c r="A593" t="inlineStr">
        <is>
          <t>BM</t>
        </is>
      </c>
      <c r="B593" t="inlineStr">
        <is>
          <t>HIG</t>
        </is>
      </c>
      <c r="C593" t="inlineStr">
        <is>
          <t>is_non_us</t>
        </is>
      </c>
      <c r="D593" s="3" t="n">
        <v>2503354.460130264</v>
      </c>
      <c r="E593" s="3" t="n">
        <v>2503354.460130264</v>
      </c>
      <c r="F593" s="4" t="n">
        <v>3</v>
      </c>
      <c r="G593" t="n">
        <v>1</v>
      </c>
      <c r="H593" t="n">
        <v>1</v>
      </c>
    </row>
    <row r="594">
      <c r="A594" t="inlineStr">
        <is>
          <t>BN</t>
        </is>
      </c>
      <c r="B594" t="inlineStr">
        <is>
          <t>HIG</t>
        </is>
      </c>
      <c r="C594" t="inlineStr">
        <is>
          <t>is_non_us</t>
        </is>
      </c>
      <c r="D594" s="3" t="n">
        <v>689718.795409077</v>
      </c>
      <c r="E594" s="3" t="n">
        <v>689718.795409077</v>
      </c>
      <c r="F594" s="4" t="n">
        <v>1</v>
      </c>
      <c r="G594" t="n">
        <v>1</v>
      </c>
      <c r="H594" t="n">
        <v>1</v>
      </c>
    </row>
    <row r="595">
      <c r="A595" t="inlineStr">
        <is>
          <t>BR</t>
        </is>
      </c>
      <c r="B595" t="inlineStr">
        <is>
          <t>HIG</t>
        </is>
      </c>
      <c r="C595" t="inlineStr">
        <is>
          <t>is_non_us</t>
        </is>
      </c>
      <c r="D595" s="3" t="n">
        <v>140763762.7410762</v>
      </c>
      <c r="E595" s="3" t="n">
        <v>121643044.1682938</v>
      </c>
      <c r="F595" s="4" t="n">
        <v>34</v>
      </c>
      <c r="G595" t="n">
        <v>1</v>
      </c>
      <c r="H595" t="n">
        <v>1</v>
      </c>
    </row>
    <row r="596">
      <c r="A596" t="inlineStr">
        <is>
          <t>BS</t>
        </is>
      </c>
      <c r="B596" t="inlineStr">
        <is>
          <t>HIG</t>
        </is>
      </c>
      <c r="C596" t="inlineStr">
        <is>
          <t>is_non_us</t>
        </is>
      </c>
      <c r="D596" s="3" t="n">
        <v>414613.5453447705</v>
      </c>
      <c r="E596" s="3" t="n">
        <v>414613.5453447705</v>
      </c>
      <c r="F596" s="4" t="n">
        <v>4</v>
      </c>
      <c r="G596" t="n">
        <v>1</v>
      </c>
      <c r="H596" t="n">
        <v>1</v>
      </c>
    </row>
    <row r="597">
      <c r="A597" t="inlineStr">
        <is>
          <t>CA</t>
        </is>
      </c>
      <c r="B597" t="inlineStr">
        <is>
          <t>HIG</t>
        </is>
      </c>
      <c r="C597" t="inlineStr">
        <is>
          <t>is_non_us</t>
        </is>
      </c>
      <c r="D597" s="3" t="n">
        <v>10203767.31644391</v>
      </c>
      <c r="E597" s="3" t="n">
        <v>10203767.31644391</v>
      </c>
      <c r="F597" s="4" t="n">
        <v>4</v>
      </c>
      <c r="G597" t="n">
        <v>1</v>
      </c>
      <c r="H597" t="n">
        <v>1</v>
      </c>
    </row>
    <row r="598">
      <c r="A598" t="inlineStr">
        <is>
          <t>CH</t>
        </is>
      </c>
      <c r="B598" t="inlineStr">
        <is>
          <t>HIG</t>
        </is>
      </c>
      <c r="C598" t="inlineStr">
        <is>
          <t>is_non_us</t>
        </is>
      </c>
      <c r="D598" s="3" t="n">
        <v>803168381.2185786</v>
      </c>
      <c r="E598" s="3" t="n">
        <v>605641417.5350478</v>
      </c>
      <c r="F598" s="4" t="n">
        <v>128</v>
      </c>
      <c r="G598" t="n">
        <v>1</v>
      </c>
      <c r="H598" t="n">
        <v>1</v>
      </c>
    </row>
    <row r="599">
      <c r="A599" t="inlineStr">
        <is>
          <t>CL</t>
        </is>
      </c>
      <c r="B599" t="inlineStr">
        <is>
          <t>HIG</t>
        </is>
      </c>
      <c r="C599" t="inlineStr">
        <is>
          <t>is_non_us</t>
        </is>
      </c>
      <c r="D599" s="3" t="n">
        <v>45554605.58973514</v>
      </c>
      <c r="E599" s="3" t="n">
        <v>26818860.09115663</v>
      </c>
      <c r="F599" s="4" t="n">
        <v>7</v>
      </c>
      <c r="G599" t="n">
        <v>1</v>
      </c>
      <c r="H599" t="n">
        <v>1</v>
      </c>
    </row>
    <row r="600">
      <c r="A600" t="inlineStr">
        <is>
          <t>CN</t>
        </is>
      </c>
      <c r="B600" t="inlineStr">
        <is>
          <t>HIG</t>
        </is>
      </c>
      <c r="C600" t="inlineStr">
        <is>
          <t>is_non_us</t>
        </is>
      </c>
      <c r="D600" s="3" t="n">
        <v>3916986.040704582</v>
      </c>
      <c r="E600" s="3" t="n">
        <v>3916986.040704582</v>
      </c>
      <c r="F600" s="4" t="n">
        <v>10</v>
      </c>
      <c r="G600" t="n">
        <v>1</v>
      </c>
      <c r="H600" t="n">
        <v>1</v>
      </c>
    </row>
    <row r="601">
      <c r="A601" t="inlineStr">
        <is>
          <t>CO</t>
        </is>
      </c>
      <c r="B601" t="inlineStr">
        <is>
          <t>HIG</t>
        </is>
      </c>
      <c r="C601" t="inlineStr">
        <is>
          <t>is_non_us</t>
        </is>
      </c>
      <c r="D601" s="3" t="n">
        <v>35952728.71132237</v>
      </c>
      <c r="E601" s="3" t="n">
        <v>35952728.71132237</v>
      </c>
      <c r="F601" s="4" t="n">
        <v>20</v>
      </c>
      <c r="G601" t="n">
        <v>1</v>
      </c>
      <c r="H601" t="n">
        <v>1</v>
      </c>
    </row>
    <row r="602">
      <c r="A602" t="inlineStr">
        <is>
          <t>CR</t>
        </is>
      </c>
      <c r="B602" t="inlineStr">
        <is>
          <t>HIG</t>
        </is>
      </c>
      <c r="C602" t="inlineStr">
        <is>
          <t>is_non_us</t>
        </is>
      </c>
      <c r="D602" s="3" t="n">
        <v>5652499.285488652</v>
      </c>
      <c r="E602" s="3" t="n">
        <v>5652499.285488652</v>
      </c>
      <c r="F602" s="4" t="n">
        <v>3</v>
      </c>
      <c r="G602" t="n">
        <v>1</v>
      </c>
      <c r="H602" t="n">
        <v>1</v>
      </c>
    </row>
    <row r="603">
      <c r="A603" t="inlineStr">
        <is>
          <t>CY</t>
        </is>
      </c>
      <c r="B603" t="inlineStr">
        <is>
          <t>HIG</t>
        </is>
      </c>
      <c r="C603" t="inlineStr">
        <is>
          <t>is_non_us</t>
        </is>
      </c>
      <c r="D603" s="3" t="n">
        <v>18160956.01198129</v>
      </c>
      <c r="E603" s="3" t="n">
        <v>18160956.01198129</v>
      </c>
      <c r="F603" s="4" t="n">
        <v>3</v>
      </c>
      <c r="G603" t="n">
        <v>1</v>
      </c>
      <c r="H603" t="n">
        <v>1</v>
      </c>
    </row>
    <row r="604">
      <c r="A604" t="inlineStr">
        <is>
          <t>CZ</t>
        </is>
      </c>
      <c r="B604" t="inlineStr">
        <is>
          <t>HIG</t>
        </is>
      </c>
      <c r="C604" t="inlineStr">
        <is>
          <t>is_non_us</t>
        </is>
      </c>
      <c r="D604" s="3" t="n">
        <v>3127771.655372374</v>
      </c>
      <c r="E604" s="3" t="n">
        <v>3127771.655372374</v>
      </c>
      <c r="F604" s="4" t="n">
        <v>2</v>
      </c>
      <c r="G604" t="n">
        <v>1</v>
      </c>
      <c r="H604" t="n">
        <v>1</v>
      </c>
    </row>
    <row r="605">
      <c r="A605" t="inlineStr">
        <is>
          <t>DE</t>
        </is>
      </c>
      <c r="B605" t="inlineStr">
        <is>
          <t>HIG</t>
        </is>
      </c>
      <c r="C605" t="inlineStr">
        <is>
          <t>is_non_us</t>
        </is>
      </c>
      <c r="D605" s="3" t="n">
        <v>105331364.3028009</v>
      </c>
      <c r="E605" s="3" t="n">
        <v>86362741.31659472</v>
      </c>
      <c r="F605" s="4" t="n">
        <v>25</v>
      </c>
      <c r="G605" t="n">
        <v>1</v>
      </c>
      <c r="H605" t="n">
        <v>1</v>
      </c>
    </row>
    <row r="606">
      <c r="A606" t="inlineStr">
        <is>
          <t>DK</t>
        </is>
      </c>
      <c r="B606" t="inlineStr">
        <is>
          <t>HIG</t>
        </is>
      </c>
      <c r="C606" t="inlineStr">
        <is>
          <t>is_non_us</t>
        </is>
      </c>
      <c r="D606" s="3" t="n">
        <v>1235330.777128869</v>
      </c>
      <c r="E606" s="3" t="n">
        <v>1235330.777128869</v>
      </c>
      <c r="F606" s="4" t="n">
        <v>2</v>
      </c>
      <c r="G606" t="n">
        <v>1</v>
      </c>
      <c r="H606" t="n">
        <v>1</v>
      </c>
    </row>
    <row r="607">
      <c r="A607" t="inlineStr">
        <is>
          <t>DO</t>
        </is>
      </c>
      <c r="B607" t="inlineStr">
        <is>
          <t>HIG</t>
        </is>
      </c>
      <c r="C607" t="inlineStr">
        <is>
          <t>is_non_us</t>
        </is>
      </c>
      <c r="D607" s="3" t="n">
        <v>42267857.80927065</v>
      </c>
      <c r="E607" s="3" t="n">
        <v>42267857.80927065</v>
      </c>
      <c r="F607" s="4" t="n">
        <v>4</v>
      </c>
      <c r="G607" t="n">
        <v>1</v>
      </c>
      <c r="H607" t="n">
        <v>1</v>
      </c>
    </row>
    <row r="608">
      <c r="A608" t="inlineStr">
        <is>
          <t>EC</t>
        </is>
      </c>
      <c r="B608" t="inlineStr">
        <is>
          <t>HIG</t>
        </is>
      </c>
      <c r="C608" t="inlineStr">
        <is>
          <t>is_non_us</t>
        </is>
      </c>
      <c r="D608" s="3" t="n">
        <v>3658961.581852917</v>
      </c>
      <c r="E608" s="3" t="n">
        <v>3658961.581852917</v>
      </c>
      <c r="F608" s="4" t="n">
        <v>5</v>
      </c>
      <c r="G608" t="n">
        <v>1</v>
      </c>
      <c r="H608" t="n">
        <v>1</v>
      </c>
    </row>
    <row r="609">
      <c r="A609" t="inlineStr">
        <is>
          <t>ES</t>
        </is>
      </c>
      <c r="B609" t="inlineStr">
        <is>
          <t>HIG</t>
        </is>
      </c>
      <c r="C609" t="inlineStr">
        <is>
          <t>is_non_us</t>
        </is>
      </c>
      <c r="D609" s="3" t="n">
        <v>182332952.5866004</v>
      </c>
      <c r="E609" s="3" t="n">
        <v>171472810.9156404</v>
      </c>
      <c r="F609" s="4" t="n">
        <v>53</v>
      </c>
      <c r="G609" t="n">
        <v>1</v>
      </c>
      <c r="H609" t="n">
        <v>1</v>
      </c>
    </row>
    <row r="610">
      <c r="A610" t="inlineStr">
        <is>
          <t>FI</t>
        </is>
      </c>
      <c r="B610" t="inlineStr">
        <is>
          <t>HIG</t>
        </is>
      </c>
      <c r="C610" t="inlineStr">
        <is>
          <t>is_non_us</t>
        </is>
      </c>
      <c r="D610" s="3" t="n">
        <v>420228.3427849395</v>
      </c>
      <c r="E610" s="3" t="n">
        <v>420228.3427849395</v>
      </c>
      <c r="F610" s="4" t="n">
        <v>2</v>
      </c>
      <c r="G610" t="n">
        <v>1</v>
      </c>
      <c r="H610" t="n">
        <v>1</v>
      </c>
    </row>
    <row r="611">
      <c r="A611" t="inlineStr">
        <is>
          <t>FR</t>
        </is>
      </c>
      <c r="B611" t="inlineStr">
        <is>
          <t>HIG</t>
        </is>
      </c>
      <c r="C611" t="inlineStr">
        <is>
          <t>is_non_us</t>
        </is>
      </c>
      <c r="D611" s="3" t="n">
        <v>1578328507.206251</v>
      </c>
      <c r="E611" s="3" t="n">
        <v>1197465775.5506</v>
      </c>
      <c r="F611" s="4" t="n">
        <v>242</v>
      </c>
      <c r="G611" t="n">
        <v>1</v>
      </c>
      <c r="H611" t="n">
        <v>1</v>
      </c>
    </row>
    <row r="612">
      <c r="A612" t="inlineStr">
        <is>
          <t>GB</t>
        </is>
      </c>
      <c r="B612" t="inlineStr">
        <is>
          <t>HIG</t>
        </is>
      </c>
      <c r="C612" t="inlineStr">
        <is>
          <t>is_non_us</t>
        </is>
      </c>
      <c r="D612" s="3" t="n">
        <v>1673508321.017862</v>
      </c>
      <c r="E612" s="3" t="n">
        <v>1328303336.29048</v>
      </c>
      <c r="F612" s="4" t="n">
        <v>267</v>
      </c>
      <c r="G612" t="n">
        <v>1</v>
      </c>
      <c r="H612" t="n">
        <v>1</v>
      </c>
    </row>
    <row r="613">
      <c r="A613" t="inlineStr">
        <is>
          <t>GI</t>
        </is>
      </c>
      <c r="B613" t="inlineStr">
        <is>
          <t>HIG</t>
        </is>
      </c>
      <c r="C613" t="inlineStr">
        <is>
          <t>is_non_us</t>
        </is>
      </c>
      <c r="D613" s="3" t="n">
        <v>87605600.82883313</v>
      </c>
      <c r="E613" s="3" t="n">
        <v>43802800.41441657</v>
      </c>
      <c r="F613" s="4" t="n">
        <v>1</v>
      </c>
      <c r="G613" t="n">
        <v>1</v>
      </c>
      <c r="H613" t="n">
        <v>1</v>
      </c>
    </row>
    <row r="614">
      <c r="A614" t="inlineStr">
        <is>
          <t>GR</t>
        </is>
      </c>
      <c r="B614" t="inlineStr">
        <is>
          <t>HIG</t>
        </is>
      </c>
      <c r="C614" t="inlineStr">
        <is>
          <t>is_non_us</t>
        </is>
      </c>
      <c r="D614" s="3" t="n">
        <v>184847362.4956103</v>
      </c>
      <c r="E614" s="3" t="n">
        <v>159372385.2010887</v>
      </c>
      <c r="F614" s="4" t="n">
        <v>29</v>
      </c>
      <c r="G614" t="n">
        <v>1</v>
      </c>
      <c r="H614" t="n">
        <v>1</v>
      </c>
    </row>
    <row r="615">
      <c r="A615" t="inlineStr">
        <is>
          <t>GT</t>
        </is>
      </c>
      <c r="B615" t="inlineStr">
        <is>
          <t>HIG</t>
        </is>
      </c>
      <c r="C615" t="inlineStr">
        <is>
          <t>is_non_us</t>
        </is>
      </c>
      <c r="D615" s="3" t="n">
        <v>42363434.16718062</v>
      </c>
      <c r="E615" s="3" t="n">
        <v>42363434.16718062</v>
      </c>
      <c r="F615" s="4" t="n">
        <v>4</v>
      </c>
      <c r="G615" t="n">
        <v>1</v>
      </c>
      <c r="H615" t="n">
        <v>1</v>
      </c>
    </row>
    <row r="616">
      <c r="A616" t="inlineStr">
        <is>
          <t>HK</t>
        </is>
      </c>
      <c r="B616" t="inlineStr">
        <is>
          <t>HIG</t>
        </is>
      </c>
      <c r="C616" t="inlineStr">
        <is>
          <t>is_non_us</t>
        </is>
      </c>
      <c r="D616" s="3" t="n">
        <v>53688481.10070479</v>
      </c>
      <c r="E616" s="3" t="n">
        <v>40506921.81130512</v>
      </c>
      <c r="F616" s="4" t="n">
        <v>13</v>
      </c>
      <c r="G616" t="n">
        <v>1</v>
      </c>
      <c r="H616" t="n">
        <v>1</v>
      </c>
    </row>
    <row r="617">
      <c r="A617" t="inlineStr">
        <is>
          <t>HU</t>
        </is>
      </c>
      <c r="B617" t="inlineStr">
        <is>
          <t>HIG</t>
        </is>
      </c>
      <c r="C617" t="inlineStr">
        <is>
          <t>is_non_us</t>
        </is>
      </c>
      <c r="D617" s="3" t="n">
        <v>5006424.162739362</v>
      </c>
      <c r="E617" s="3" t="n">
        <v>5006424.162739362</v>
      </c>
      <c r="F617" s="4" t="n">
        <v>2</v>
      </c>
      <c r="G617" t="n">
        <v>1</v>
      </c>
      <c r="H617" t="n">
        <v>1</v>
      </c>
    </row>
    <row r="618">
      <c r="A618" t="inlineStr">
        <is>
          <t>IE</t>
        </is>
      </c>
      <c r="B618" t="inlineStr">
        <is>
          <t>HIG</t>
        </is>
      </c>
      <c r="C618" t="inlineStr">
        <is>
          <t>is_non_us</t>
        </is>
      </c>
      <c r="D618" s="3" t="n">
        <v>12496403.25886408</v>
      </c>
      <c r="E618" s="3" t="n">
        <v>12496403.25886408</v>
      </c>
      <c r="F618" s="4" t="n">
        <v>3</v>
      </c>
      <c r="G618" t="n">
        <v>1</v>
      </c>
      <c r="H618" t="n">
        <v>1</v>
      </c>
    </row>
    <row r="619">
      <c r="A619" t="inlineStr">
        <is>
          <t>IL</t>
        </is>
      </c>
      <c r="B619" t="inlineStr">
        <is>
          <t>HIG</t>
        </is>
      </c>
      <c r="C619" t="inlineStr">
        <is>
          <t>is_non_us</t>
        </is>
      </c>
      <c r="D619" s="3" t="n">
        <v>31698132.1100163</v>
      </c>
      <c r="E619" s="3" t="n">
        <v>31698132.1100163</v>
      </c>
      <c r="F619" s="4" t="n">
        <v>23</v>
      </c>
      <c r="G619" t="n">
        <v>1</v>
      </c>
      <c r="H619" t="n">
        <v>1</v>
      </c>
    </row>
    <row r="620">
      <c r="A620" t="inlineStr">
        <is>
          <t>IN</t>
        </is>
      </c>
      <c r="B620" t="inlineStr">
        <is>
          <t>HIG</t>
        </is>
      </c>
      <c r="C620" t="inlineStr">
        <is>
          <t>is_non_us</t>
        </is>
      </c>
      <c r="D620" s="3" t="n">
        <v>152562.6513635873</v>
      </c>
      <c r="E620" s="3" t="n">
        <v>152562.6513635873</v>
      </c>
      <c r="F620" s="4" t="n">
        <v>1</v>
      </c>
      <c r="G620" t="n">
        <v>1</v>
      </c>
      <c r="H620" t="n">
        <v>1</v>
      </c>
    </row>
    <row r="621">
      <c r="A621" t="inlineStr">
        <is>
          <t>IS</t>
        </is>
      </c>
      <c r="B621" t="inlineStr">
        <is>
          <t>HIG</t>
        </is>
      </c>
      <c r="C621" t="inlineStr">
        <is>
          <t>is_non_us</t>
        </is>
      </c>
      <c r="D621" s="3" t="n">
        <v>297906.1056875106</v>
      </c>
      <c r="E621" s="3" t="n">
        <v>297906.1056875106</v>
      </c>
      <c r="F621" s="4" t="n">
        <v>1</v>
      </c>
      <c r="G621" t="n">
        <v>1</v>
      </c>
      <c r="H621" t="n">
        <v>1</v>
      </c>
    </row>
    <row r="622">
      <c r="A622" t="inlineStr">
        <is>
          <t>IT</t>
        </is>
      </c>
      <c r="B622" t="inlineStr">
        <is>
          <t>HIG</t>
        </is>
      </c>
      <c r="C622" t="inlineStr">
        <is>
          <t>is_non_us</t>
        </is>
      </c>
      <c r="D622" s="3" t="n">
        <v>436331749.4502795</v>
      </c>
      <c r="E622" s="3" t="n">
        <v>313390123.0342975</v>
      </c>
      <c r="F622" s="4" t="n">
        <v>84</v>
      </c>
      <c r="G622" t="n">
        <v>1</v>
      </c>
      <c r="H622" t="n">
        <v>1</v>
      </c>
    </row>
    <row r="623">
      <c r="A623" t="inlineStr">
        <is>
          <t>JE</t>
        </is>
      </c>
      <c r="B623" t="inlineStr">
        <is>
          <t>HIG</t>
        </is>
      </c>
      <c r="C623" t="inlineStr">
        <is>
          <t>is_non_us</t>
        </is>
      </c>
      <c r="D623" s="3" t="n">
        <v>11243915.83808421</v>
      </c>
      <c r="E623" s="3" t="n">
        <v>11243915.83808421</v>
      </c>
      <c r="F623" s="4" t="n">
        <v>2</v>
      </c>
      <c r="G623" t="n">
        <v>1</v>
      </c>
      <c r="H623" t="n">
        <v>1</v>
      </c>
    </row>
    <row r="624">
      <c r="A624" t="inlineStr">
        <is>
          <t>JO</t>
        </is>
      </c>
      <c r="B624" t="inlineStr">
        <is>
          <t>HIG</t>
        </is>
      </c>
      <c r="C624" t="inlineStr">
        <is>
          <t>is_non_us</t>
        </is>
      </c>
      <c r="D624" s="3" t="n">
        <v>34089.27515079943</v>
      </c>
      <c r="E624" s="3" t="n">
        <v>34089.27515079943</v>
      </c>
      <c r="F624" s="4" t="n">
        <v>1</v>
      </c>
      <c r="G624" t="n">
        <v>1</v>
      </c>
      <c r="H624" t="n">
        <v>1</v>
      </c>
    </row>
    <row r="625">
      <c r="A625" t="inlineStr">
        <is>
          <t>JP</t>
        </is>
      </c>
      <c r="B625" t="inlineStr">
        <is>
          <t>HIG</t>
        </is>
      </c>
      <c r="C625" t="inlineStr">
        <is>
          <t>is_non_us</t>
        </is>
      </c>
      <c r="D625" s="3" t="n">
        <v>247759313.0161406</v>
      </c>
      <c r="E625" s="3" t="n">
        <v>144497318.7397526</v>
      </c>
      <c r="F625" s="4" t="n">
        <v>42</v>
      </c>
      <c r="G625" t="n">
        <v>1</v>
      </c>
      <c r="H625" t="n">
        <v>1</v>
      </c>
    </row>
    <row r="626">
      <c r="A626" t="inlineStr">
        <is>
          <t>KE</t>
        </is>
      </c>
      <c r="B626" t="inlineStr">
        <is>
          <t>HIG</t>
        </is>
      </c>
      <c r="C626" t="inlineStr">
        <is>
          <t>is_non_us</t>
        </is>
      </c>
      <c r="D626" s="3" t="n">
        <v>271222.4913130463</v>
      </c>
      <c r="E626" s="3" t="n">
        <v>271222.4913130463</v>
      </c>
      <c r="F626" s="4" t="n">
        <v>1</v>
      </c>
      <c r="G626" t="n">
        <v>1</v>
      </c>
      <c r="H626" t="n">
        <v>1</v>
      </c>
    </row>
    <row r="627">
      <c r="A627" t="inlineStr">
        <is>
          <t>KR</t>
        </is>
      </c>
      <c r="B627" t="inlineStr">
        <is>
          <t>HIG</t>
        </is>
      </c>
      <c r="C627" t="inlineStr">
        <is>
          <t>is_non_us</t>
        </is>
      </c>
      <c r="D627" s="3" t="n">
        <v>18862468.2982596</v>
      </c>
      <c r="E627" s="3" t="n">
        <v>18862468.2982596</v>
      </c>
      <c r="F627" s="4" t="n">
        <v>22</v>
      </c>
      <c r="G627" t="n">
        <v>1</v>
      </c>
      <c r="H627" t="n">
        <v>1</v>
      </c>
    </row>
    <row r="628">
      <c r="A628" t="inlineStr">
        <is>
          <t>LB</t>
        </is>
      </c>
      <c r="B628" t="inlineStr">
        <is>
          <t>HIG</t>
        </is>
      </c>
      <c r="C628" t="inlineStr">
        <is>
          <t>is_non_us</t>
        </is>
      </c>
      <c r="D628" s="3" t="n">
        <v>34755090.84232997</v>
      </c>
      <c r="E628" s="3" t="n">
        <v>34755090.84232997</v>
      </c>
      <c r="F628" s="4" t="n">
        <v>8</v>
      </c>
      <c r="G628" t="n">
        <v>1</v>
      </c>
      <c r="H628" t="n">
        <v>1</v>
      </c>
    </row>
    <row r="629">
      <c r="A629" t="inlineStr">
        <is>
          <t>LK</t>
        </is>
      </c>
      <c r="B629" t="inlineStr">
        <is>
          <t>HIG</t>
        </is>
      </c>
      <c r="C629" t="inlineStr">
        <is>
          <t>is_non_us</t>
        </is>
      </c>
      <c r="D629" s="3" t="n">
        <v>112110.779343853</v>
      </c>
      <c r="E629" s="3" t="n">
        <v>112110.779343853</v>
      </c>
      <c r="F629" s="4" t="n">
        <v>1</v>
      </c>
      <c r="G629" t="n">
        <v>1</v>
      </c>
      <c r="H629" t="n">
        <v>1</v>
      </c>
    </row>
    <row r="630">
      <c r="A630" t="inlineStr">
        <is>
          <t>LU</t>
        </is>
      </c>
      <c r="B630" t="inlineStr">
        <is>
          <t>HIG</t>
        </is>
      </c>
      <c r="C630" t="inlineStr">
        <is>
          <t>is_non_us</t>
        </is>
      </c>
      <c r="D630" s="3" t="n">
        <v>7386908.295803943</v>
      </c>
      <c r="E630" s="3" t="n">
        <v>7386908.295803943</v>
      </c>
      <c r="F630" s="4" t="n">
        <v>2</v>
      </c>
      <c r="G630" t="n">
        <v>1</v>
      </c>
      <c r="H630" t="n">
        <v>1</v>
      </c>
    </row>
    <row r="631">
      <c r="A631" t="inlineStr">
        <is>
          <t>MA</t>
        </is>
      </c>
      <c r="B631" t="inlineStr">
        <is>
          <t>HIG</t>
        </is>
      </c>
      <c r="C631" t="inlineStr">
        <is>
          <t>is_non_us</t>
        </is>
      </c>
      <c r="D631" s="3" t="n">
        <v>104752861.5100903</v>
      </c>
      <c r="E631" s="3" t="n">
        <v>104464326.9448799</v>
      </c>
      <c r="F631" s="4" t="n">
        <v>9</v>
      </c>
      <c r="G631" t="n">
        <v>1</v>
      </c>
      <c r="H631" t="n">
        <v>1</v>
      </c>
    </row>
    <row r="632">
      <c r="A632" t="inlineStr">
        <is>
          <t>MC</t>
        </is>
      </c>
      <c r="B632" t="inlineStr">
        <is>
          <t>HIG</t>
        </is>
      </c>
      <c r="C632" t="inlineStr">
        <is>
          <t>is_non_us</t>
        </is>
      </c>
      <c r="D632" s="3" t="n">
        <v>92410741.72600748</v>
      </c>
      <c r="E632" s="3" t="n">
        <v>61851873.04191175</v>
      </c>
      <c r="F632" s="4" t="n">
        <v>12</v>
      </c>
      <c r="G632" t="n">
        <v>1</v>
      </c>
      <c r="H632" t="n">
        <v>1</v>
      </c>
    </row>
    <row r="633">
      <c r="A633" t="inlineStr">
        <is>
          <t>MU</t>
        </is>
      </c>
      <c r="B633" t="inlineStr">
        <is>
          <t>HIG</t>
        </is>
      </c>
      <c r="C633" t="inlineStr">
        <is>
          <t>is_non_us</t>
        </is>
      </c>
      <c r="D633" s="3" t="n">
        <v>2789129.059552643</v>
      </c>
      <c r="E633" s="3" t="n">
        <v>2789129.059552643</v>
      </c>
      <c r="F633" s="4" t="n">
        <v>1</v>
      </c>
      <c r="G633" t="n">
        <v>1</v>
      </c>
      <c r="H633" t="n">
        <v>1</v>
      </c>
    </row>
    <row r="634">
      <c r="A634" t="inlineStr">
        <is>
          <t>MX</t>
        </is>
      </c>
      <c r="B634" t="inlineStr">
        <is>
          <t>HIG</t>
        </is>
      </c>
      <c r="C634" t="inlineStr">
        <is>
          <t>is_non_us</t>
        </is>
      </c>
      <c r="D634" s="3" t="n">
        <v>354567766.8301943</v>
      </c>
      <c r="E634" s="3" t="n">
        <v>323321380.5034633</v>
      </c>
      <c r="F634" s="4" t="n">
        <v>90</v>
      </c>
      <c r="G634" t="n">
        <v>1</v>
      </c>
      <c r="H634" t="n">
        <v>1</v>
      </c>
    </row>
    <row r="635">
      <c r="A635" t="inlineStr">
        <is>
          <t>MY</t>
        </is>
      </c>
      <c r="B635" t="inlineStr">
        <is>
          <t>HIG</t>
        </is>
      </c>
      <c r="C635" t="inlineStr">
        <is>
          <t>is_non_us</t>
        </is>
      </c>
      <c r="D635" s="3" t="n">
        <v>477218.3697107356</v>
      </c>
      <c r="E635" s="3" t="n">
        <v>477218.3697107356</v>
      </c>
      <c r="F635" s="4" t="n">
        <v>1</v>
      </c>
      <c r="G635" t="n">
        <v>1</v>
      </c>
      <c r="H635" t="n">
        <v>1</v>
      </c>
    </row>
    <row r="636">
      <c r="A636" t="inlineStr">
        <is>
          <t>NL</t>
        </is>
      </c>
      <c r="B636" t="inlineStr">
        <is>
          <t>HIG</t>
        </is>
      </c>
      <c r="C636" t="inlineStr">
        <is>
          <t>is_non_us</t>
        </is>
      </c>
      <c r="D636" s="3" t="n">
        <v>30942588.55304986</v>
      </c>
      <c r="E636" s="3" t="n">
        <v>23013341.31303199</v>
      </c>
      <c r="F636" s="4" t="n">
        <v>13</v>
      </c>
      <c r="G636" t="n">
        <v>1</v>
      </c>
      <c r="H636" t="n">
        <v>1</v>
      </c>
    </row>
    <row r="637">
      <c r="A637" t="inlineStr">
        <is>
          <t>NO</t>
        </is>
      </c>
      <c r="B637" t="inlineStr">
        <is>
          <t>HIG</t>
        </is>
      </c>
      <c r="C637" t="inlineStr">
        <is>
          <t>is_non_us</t>
        </is>
      </c>
      <c r="D637" s="3" t="n">
        <v>1027479.342383309</v>
      </c>
      <c r="E637" s="3" t="n">
        <v>1027479.342383309</v>
      </c>
      <c r="F637" s="4" t="n">
        <v>2</v>
      </c>
      <c r="G637" t="n">
        <v>1</v>
      </c>
      <c r="H637" t="n">
        <v>1</v>
      </c>
    </row>
    <row r="638">
      <c r="A638" t="inlineStr">
        <is>
          <t>NZ</t>
        </is>
      </c>
      <c r="B638" t="inlineStr">
        <is>
          <t>HIG</t>
        </is>
      </c>
      <c r="C638" t="inlineStr">
        <is>
          <t>is_non_us</t>
        </is>
      </c>
      <c r="D638" s="3" t="n">
        <v>7689415.529716158</v>
      </c>
      <c r="E638" s="3" t="n">
        <v>7689415.529716158</v>
      </c>
      <c r="F638" s="4" t="n">
        <v>5</v>
      </c>
      <c r="G638" t="n">
        <v>1</v>
      </c>
      <c r="H638" t="n">
        <v>1</v>
      </c>
    </row>
    <row r="639">
      <c r="A639" t="inlineStr">
        <is>
          <t>OM</t>
        </is>
      </c>
      <c r="B639" t="inlineStr">
        <is>
          <t>HIG</t>
        </is>
      </c>
      <c r="C639" t="inlineStr">
        <is>
          <t>is_non_us</t>
        </is>
      </c>
      <c r="D639" s="3" t="n">
        <v>4820255.427439487</v>
      </c>
      <c r="E639" s="3" t="n">
        <v>4820255.427439487</v>
      </c>
      <c r="F639" s="4" t="n">
        <v>2</v>
      </c>
      <c r="G639" t="n">
        <v>1</v>
      </c>
      <c r="H639" t="n">
        <v>1</v>
      </c>
    </row>
    <row r="640">
      <c r="A640" t="inlineStr">
        <is>
          <t>PA</t>
        </is>
      </c>
      <c r="B640" t="inlineStr">
        <is>
          <t>HIG</t>
        </is>
      </c>
      <c r="C640" t="inlineStr">
        <is>
          <t>is_non_us</t>
        </is>
      </c>
      <c r="D640" s="3" t="n">
        <v>11643636.33064576</v>
      </c>
      <c r="E640" s="3" t="n">
        <v>11643636.33064576</v>
      </c>
      <c r="F640" s="4" t="n">
        <v>10</v>
      </c>
      <c r="G640" t="n">
        <v>1</v>
      </c>
      <c r="H640" t="n">
        <v>1</v>
      </c>
    </row>
    <row r="641">
      <c r="A641" t="inlineStr">
        <is>
          <t>PE</t>
        </is>
      </c>
      <c r="B641" t="inlineStr">
        <is>
          <t>HIG</t>
        </is>
      </c>
      <c r="C641" t="inlineStr">
        <is>
          <t>is_non_us</t>
        </is>
      </c>
      <c r="D641" s="3" t="n">
        <v>28614229.71915945</v>
      </c>
      <c r="E641" s="3" t="n">
        <v>28614229.71915945</v>
      </c>
      <c r="F641" s="4" t="n">
        <v>11</v>
      </c>
      <c r="G641" t="n">
        <v>1</v>
      </c>
      <c r="H641" t="n">
        <v>1</v>
      </c>
    </row>
    <row r="642">
      <c r="A642" t="inlineStr">
        <is>
          <t>PH</t>
        </is>
      </c>
      <c r="B642" t="inlineStr">
        <is>
          <t>HIG</t>
        </is>
      </c>
      <c r="C642" t="inlineStr">
        <is>
          <t>is_non_us</t>
        </is>
      </c>
      <c r="D642" s="3" t="n">
        <v>170999.1200228638</v>
      </c>
      <c r="E642" s="3" t="n">
        <v>170999.1200228638</v>
      </c>
      <c r="F642" s="4" t="n">
        <v>2</v>
      </c>
      <c r="G642" t="n">
        <v>1</v>
      </c>
      <c r="H642" t="n">
        <v>1</v>
      </c>
    </row>
    <row r="643">
      <c r="A643" t="inlineStr">
        <is>
          <t>PL</t>
        </is>
      </c>
      <c r="B643" t="inlineStr">
        <is>
          <t>HIG</t>
        </is>
      </c>
      <c r="C643" t="inlineStr">
        <is>
          <t>is_non_us</t>
        </is>
      </c>
      <c r="D643" s="3" t="n">
        <v>1299960.830021511</v>
      </c>
      <c r="E643" s="3" t="n">
        <v>1299960.830021511</v>
      </c>
      <c r="F643" s="4" t="n">
        <v>1</v>
      </c>
      <c r="G643" t="n">
        <v>1</v>
      </c>
      <c r="H643" t="n">
        <v>1</v>
      </c>
    </row>
    <row r="644">
      <c r="A644" t="inlineStr">
        <is>
          <t>PR</t>
        </is>
      </c>
      <c r="B644" t="inlineStr">
        <is>
          <t>HIG</t>
        </is>
      </c>
      <c r="C644" t="inlineStr">
        <is>
          <t>is_non_us</t>
        </is>
      </c>
      <c r="D644" s="3" t="n">
        <v>2497497.400682924</v>
      </c>
      <c r="E644" s="3" t="n">
        <v>2497497.400682924</v>
      </c>
      <c r="F644" s="4" t="n">
        <v>3</v>
      </c>
      <c r="G644" t="n">
        <v>1</v>
      </c>
      <c r="H644" t="n">
        <v>1</v>
      </c>
    </row>
    <row r="645">
      <c r="A645" t="inlineStr">
        <is>
          <t>PT</t>
        </is>
      </c>
      <c r="B645" t="inlineStr">
        <is>
          <t>HIG</t>
        </is>
      </c>
      <c r="C645" t="inlineStr">
        <is>
          <t>is_non_us</t>
        </is>
      </c>
      <c r="D645" s="3" t="n">
        <v>94557733.73236924</v>
      </c>
      <c r="E645" s="3" t="n">
        <v>61267457.29695354</v>
      </c>
      <c r="F645" s="4" t="n">
        <v>12</v>
      </c>
      <c r="G645" t="n">
        <v>1</v>
      </c>
      <c r="H645" t="n">
        <v>1</v>
      </c>
    </row>
    <row r="646">
      <c r="A646" t="inlineStr">
        <is>
          <t>QA</t>
        </is>
      </c>
      <c r="B646" t="inlineStr">
        <is>
          <t>HIG</t>
        </is>
      </c>
      <c r="C646" t="inlineStr">
        <is>
          <t>is_non_us</t>
        </is>
      </c>
      <c r="D646" s="3" t="n">
        <v>6466045.215462786</v>
      </c>
      <c r="E646" s="3" t="n">
        <v>6466045.215462786</v>
      </c>
      <c r="F646" s="4" t="n">
        <v>3</v>
      </c>
      <c r="G646" t="n">
        <v>1</v>
      </c>
      <c r="H646" t="n">
        <v>1</v>
      </c>
    </row>
    <row r="647">
      <c r="A647" t="inlineStr">
        <is>
          <t>RS</t>
        </is>
      </c>
      <c r="B647" t="inlineStr">
        <is>
          <t>HIG</t>
        </is>
      </c>
      <c r="C647" t="inlineStr">
        <is>
          <t>is_non_us</t>
        </is>
      </c>
      <c r="D647" s="3" t="n">
        <v>193924.0812888279</v>
      </c>
      <c r="E647" s="3" t="n">
        <v>193924.0812888279</v>
      </c>
      <c r="F647" s="4" t="n">
        <v>1</v>
      </c>
      <c r="G647" t="n">
        <v>1</v>
      </c>
      <c r="H647" t="n">
        <v>1</v>
      </c>
    </row>
    <row r="648">
      <c r="A648" t="inlineStr">
        <is>
          <t>SA</t>
        </is>
      </c>
      <c r="B648" t="inlineStr">
        <is>
          <t>HIG</t>
        </is>
      </c>
      <c r="C648" t="inlineStr">
        <is>
          <t>is_non_us</t>
        </is>
      </c>
      <c r="D648" s="3" t="n">
        <v>33076609.94694421</v>
      </c>
      <c r="E648" s="3" t="n">
        <v>33076609.94694421</v>
      </c>
      <c r="F648" s="4" t="n">
        <v>9</v>
      </c>
      <c r="G648" t="n">
        <v>1</v>
      </c>
      <c r="H648" t="n">
        <v>1</v>
      </c>
    </row>
    <row r="649">
      <c r="A649" t="inlineStr">
        <is>
          <t>SE</t>
        </is>
      </c>
      <c r="B649" t="inlineStr">
        <is>
          <t>HIG</t>
        </is>
      </c>
      <c r="C649" t="inlineStr">
        <is>
          <t>is_non_us</t>
        </is>
      </c>
      <c r="D649" s="3" t="n">
        <v>161014273.9173712</v>
      </c>
      <c r="E649" s="3" t="n">
        <v>55933150.30032652</v>
      </c>
      <c r="F649" s="4" t="n">
        <v>9</v>
      </c>
      <c r="G649" t="n">
        <v>1</v>
      </c>
      <c r="H649" t="n">
        <v>1</v>
      </c>
    </row>
    <row r="650">
      <c r="A650" t="inlineStr">
        <is>
          <t>SG</t>
        </is>
      </c>
      <c r="B650" t="inlineStr">
        <is>
          <t>HIG</t>
        </is>
      </c>
      <c r="C650" t="inlineStr">
        <is>
          <t>is_non_us</t>
        </is>
      </c>
      <c r="D650" s="3" t="n">
        <v>43854299.75360634</v>
      </c>
      <c r="E650" s="3" t="n">
        <v>43854299.75360634</v>
      </c>
      <c r="F650" s="4" t="n">
        <v>8</v>
      </c>
      <c r="G650" t="n">
        <v>1</v>
      </c>
      <c r="H650" t="n">
        <v>1</v>
      </c>
    </row>
    <row r="651">
      <c r="A651" t="inlineStr">
        <is>
          <t>SK</t>
        </is>
      </c>
      <c r="B651" t="inlineStr">
        <is>
          <t>HIG</t>
        </is>
      </c>
      <c r="C651" t="inlineStr">
        <is>
          <t>is_non_us</t>
        </is>
      </c>
      <c r="D651" s="3" t="n">
        <v>2885345.65261211</v>
      </c>
      <c r="E651" s="3" t="n">
        <v>2885345.65261211</v>
      </c>
      <c r="F651" s="4" t="n">
        <v>1</v>
      </c>
      <c r="G651" t="n">
        <v>1</v>
      </c>
      <c r="H651" t="n">
        <v>1</v>
      </c>
    </row>
    <row r="652">
      <c r="A652" t="inlineStr">
        <is>
          <t>SV</t>
        </is>
      </c>
      <c r="B652" t="inlineStr">
        <is>
          <t>HIG</t>
        </is>
      </c>
      <c r="C652" t="inlineStr">
        <is>
          <t>is_non_us</t>
        </is>
      </c>
      <c r="D652" s="3" t="n">
        <v>1863690.037455438</v>
      </c>
      <c r="E652" s="3" t="n">
        <v>1863690.037455438</v>
      </c>
      <c r="F652" s="4" t="n">
        <v>1</v>
      </c>
      <c r="G652" t="n">
        <v>1</v>
      </c>
      <c r="H652" t="n">
        <v>1</v>
      </c>
    </row>
    <row r="653">
      <c r="A653" t="inlineStr">
        <is>
          <t>TH</t>
        </is>
      </c>
      <c r="B653" t="inlineStr">
        <is>
          <t>HIG</t>
        </is>
      </c>
      <c r="C653" t="inlineStr">
        <is>
          <t>is_non_us</t>
        </is>
      </c>
      <c r="D653" s="3" t="n">
        <v>16958916.92641279</v>
      </c>
      <c r="E653" s="3" t="n">
        <v>16577712.35875984</v>
      </c>
      <c r="F653" s="4" t="n">
        <v>6</v>
      </c>
      <c r="G653" t="n">
        <v>1</v>
      </c>
      <c r="H653" t="n">
        <v>1</v>
      </c>
    </row>
    <row r="654">
      <c r="A654" t="inlineStr">
        <is>
          <t>TR</t>
        </is>
      </c>
      <c r="B654" t="inlineStr">
        <is>
          <t>HIG</t>
        </is>
      </c>
      <c r="C654" t="inlineStr">
        <is>
          <t>is_non_us</t>
        </is>
      </c>
      <c r="D654" s="3" t="n">
        <v>488872.346906543</v>
      </c>
      <c r="E654" s="3" t="n">
        <v>488872.346906543</v>
      </c>
      <c r="F654" s="4" t="n">
        <v>2</v>
      </c>
      <c r="G654" t="n">
        <v>1</v>
      </c>
      <c r="H654" t="n">
        <v>1</v>
      </c>
    </row>
    <row r="655">
      <c r="A655" t="inlineStr">
        <is>
          <t>TW</t>
        </is>
      </c>
      <c r="B655" t="inlineStr">
        <is>
          <t>HIG</t>
        </is>
      </c>
      <c r="C655" t="inlineStr">
        <is>
          <t>is_non_us</t>
        </is>
      </c>
      <c r="D655" s="3" t="n">
        <v>12320054.3576167</v>
      </c>
      <c r="E655" s="3" t="n">
        <v>12320054.3576167</v>
      </c>
      <c r="F655" s="4" t="n">
        <v>16</v>
      </c>
      <c r="G655" t="n">
        <v>1</v>
      </c>
      <c r="H655" t="n">
        <v>1</v>
      </c>
    </row>
    <row r="656">
      <c r="A656" t="inlineStr">
        <is>
          <t>UY</t>
        </is>
      </c>
      <c r="B656" t="inlineStr">
        <is>
          <t>HIG</t>
        </is>
      </c>
      <c r="C656" t="inlineStr">
        <is>
          <t>is_non_us</t>
        </is>
      </c>
      <c r="D656" s="3" t="n">
        <v>24804017.72906519</v>
      </c>
      <c r="E656" s="3" t="n">
        <v>24804017.72906519</v>
      </c>
      <c r="F656" s="4" t="n">
        <v>13</v>
      </c>
      <c r="G656" t="n">
        <v>1</v>
      </c>
      <c r="H656" t="n">
        <v>1</v>
      </c>
    </row>
    <row r="657">
      <c r="A657" t="inlineStr">
        <is>
          <t>VE</t>
        </is>
      </c>
      <c r="B657" t="inlineStr">
        <is>
          <t>HIG</t>
        </is>
      </c>
      <c r="C657" t="inlineStr">
        <is>
          <t>is_non_us</t>
        </is>
      </c>
      <c r="D657" s="3" t="n">
        <v>9335023.879721427</v>
      </c>
      <c r="E657" s="3" t="n">
        <v>9335023.879721427</v>
      </c>
      <c r="F657" s="4" t="n">
        <v>6</v>
      </c>
      <c r="G657" t="n">
        <v>1</v>
      </c>
      <c r="H657" t="n">
        <v>1</v>
      </c>
    </row>
    <row r="658">
      <c r="A658" t="inlineStr">
        <is>
          <t>VG</t>
        </is>
      </c>
      <c r="B658" t="inlineStr">
        <is>
          <t>HIG</t>
        </is>
      </c>
      <c r="C658" t="inlineStr">
        <is>
          <t>is_non_us</t>
        </is>
      </c>
      <c r="D658" s="3" t="n">
        <v>270544.4350847636</v>
      </c>
      <c r="E658" s="3" t="n">
        <v>270544.4350847636</v>
      </c>
      <c r="F658" s="4" t="n">
        <v>1</v>
      </c>
      <c r="G658" t="n">
        <v>1</v>
      </c>
      <c r="H658" t="n">
        <v>1</v>
      </c>
    </row>
    <row r="659">
      <c r="A659" t="inlineStr">
        <is>
          <t>VN</t>
        </is>
      </c>
      <c r="B659" t="inlineStr">
        <is>
          <t>HIG</t>
        </is>
      </c>
      <c r="C659" t="inlineStr">
        <is>
          <t>is_non_us</t>
        </is>
      </c>
      <c r="D659" s="3" t="n">
        <v>50767.91167135487</v>
      </c>
      <c r="E659" s="3" t="n">
        <v>50767.91167135487</v>
      </c>
      <c r="F659" s="4" t="n">
        <v>1</v>
      </c>
      <c r="G659" t="n">
        <v>1</v>
      </c>
      <c r="H659" t="n">
        <v>1</v>
      </c>
    </row>
    <row r="660">
      <c r="A660" t="inlineStr">
        <is>
          <t>ZA</t>
        </is>
      </c>
      <c r="B660" t="inlineStr">
        <is>
          <t>HIG</t>
        </is>
      </c>
      <c r="C660" t="inlineStr">
        <is>
          <t>is_non_us</t>
        </is>
      </c>
      <c r="D660" s="3" t="n">
        <v>810787.5118458456</v>
      </c>
      <c r="E660" s="3" t="n">
        <v>810787.5118458456</v>
      </c>
      <c r="F660" s="4" t="n">
        <v>3</v>
      </c>
      <c r="G660" t="n">
        <v>1</v>
      </c>
      <c r="H660" t="n">
        <v>1</v>
      </c>
    </row>
    <row r="661">
      <c r="A661" t="inlineStr">
        <is>
          <t>BE</t>
        </is>
      </c>
      <c r="B661" t="inlineStr">
        <is>
          <t>HSA</t>
        </is>
      </c>
      <c r="C661" t="inlineStr">
        <is>
          <t>is_non_us</t>
        </is>
      </c>
      <c r="D661" s="3" t="n">
        <v>874759.5</v>
      </c>
      <c r="E661" s="3" t="n">
        <v>874759.5</v>
      </c>
      <c r="F661" s="4" t="n">
        <v>4</v>
      </c>
      <c r="G661" t="n">
        <v>0</v>
      </c>
      <c r="H661" t="n">
        <v>1</v>
      </c>
    </row>
    <row r="662">
      <c r="A662" t="inlineStr">
        <is>
          <t>DK</t>
        </is>
      </c>
      <c r="B662" t="inlineStr">
        <is>
          <t>HSA</t>
        </is>
      </c>
      <c r="C662" t="inlineStr">
        <is>
          <t>is_non_us</t>
        </is>
      </c>
      <c r="D662" s="3" t="n">
        <v>83835</v>
      </c>
      <c r="E662" s="3" t="n">
        <v>83835</v>
      </c>
      <c r="F662" s="4" t="n">
        <v>1</v>
      </c>
      <c r="G662" t="n">
        <v>0</v>
      </c>
      <c r="H662" t="n">
        <v>1</v>
      </c>
    </row>
    <row r="663">
      <c r="A663" t="inlineStr">
        <is>
          <t>ES</t>
        </is>
      </c>
      <c r="B663" t="inlineStr">
        <is>
          <t>HSA</t>
        </is>
      </c>
      <c r="C663" t="inlineStr">
        <is>
          <t>is_non_us</t>
        </is>
      </c>
      <c r="D663" s="3" t="n">
        <v>23739416.55</v>
      </c>
      <c r="E663" s="3" t="n">
        <v>23739416.55</v>
      </c>
      <c r="F663" s="4" t="n">
        <v>10</v>
      </c>
      <c r="G663" t="n">
        <v>0</v>
      </c>
      <c r="H663" t="n">
        <v>1</v>
      </c>
    </row>
    <row r="664">
      <c r="A664" t="inlineStr">
        <is>
          <t>FR</t>
        </is>
      </c>
      <c r="B664" t="inlineStr">
        <is>
          <t>HSA</t>
        </is>
      </c>
      <c r="C664" t="inlineStr">
        <is>
          <t>is_non_us</t>
        </is>
      </c>
      <c r="D664" s="3" t="n">
        <v>9340465.080014281</v>
      </c>
      <c r="E664" s="3" t="n">
        <v>9340465.080014281</v>
      </c>
      <c r="F664" s="4" t="n">
        <v>95</v>
      </c>
      <c r="G664" t="n">
        <v>0</v>
      </c>
      <c r="H664" t="n">
        <v>1</v>
      </c>
    </row>
    <row r="665">
      <c r="A665" t="inlineStr">
        <is>
          <t>GR</t>
        </is>
      </c>
      <c r="B665" t="inlineStr">
        <is>
          <t>HSA</t>
        </is>
      </c>
      <c r="C665" t="inlineStr">
        <is>
          <t>is_non_us</t>
        </is>
      </c>
      <c r="D665" s="3" t="n">
        <v>24804736.38</v>
      </c>
      <c r="E665" s="3" t="n">
        <v>24804736.38</v>
      </c>
      <c r="F665" s="4" t="n">
        <v>9</v>
      </c>
      <c r="G665" t="n">
        <v>0</v>
      </c>
      <c r="H665" t="n">
        <v>1</v>
      </c>
    </row>
    <row r="666">
      <c r="A666" t="inlineStr">
        <is>
          <t>HR</t>
        </is>
      </c>
      <c r="B666" t="inlineStr">
        <is>
          <t>HSA</t>
        </is>
      </c>
      <c r="C666" t="inlineStr">
        <is>
          <t>is_non_us</t>
        </is>
      </c>
      <c r="D666" s="3" t="n">
        <v>138855.6</v>
      </c>
      <c r="E666" s="3" t="n">
        <v>138855.6</v>
      </c>
      <c r="F666" s="4" t="n">
        <v>1</v>
      </c>
      <c r="G666" t="n">
        <v>0</v>
      </c>
      <c r="H666" t="n">
        <v>1</v>
      </c>
    </row>
    <row r="667">
      <c r="A667" t="inlineStr">
        <is>
          <t>IE</t>
        </is>
      </c>
      <c r="B667" t="inlineStr">
        <is>
          <t>HSA</t>
        </is>
      </c>
      <c r="C667" t="inlineStr">
        <is>
          <t>is_non_us</t>
        </is>
      </c>
      <c r="D667" s="3" t="n">
        <v>66108224.115</v>
      </c>
      <c r="E667" s="3" t="n">
        <v>66108224.115</v>
      </c>
      <c r="F667" s="4" t="n">
        <v>52</v>
      </c>
      <c r="G667" t="n">
        <v>0</v>
      </c>
      <c r="H667" t="n">
        <v>1</v>
      </c>
    </row>
    <row r="668">
      <c r="A668" t="inlineStr">
        <is>
          <t>IT</t>
        </is>
      </c>
      <c r="B668" t="inlineStr">
        <is>
          <t>HSA</t>
        </is>
      </c>
      <c r="C668" t="inlineStr">
        <is>
          <t>is_non_us</t>
        </is>
      </c>
      <c r="D668" s="3" t="n">
        <v>13343791.5</v>
      </c>
      <c r="E668" s="3" t="n">
        <v>13343791.5</v>
      </c>
      <c r="F668" s="4" t="n">
        <v>4</v>
      </c>
      <c r="G668" t="n">
        <v>0</v>
      </c>
      <c r="H668" t="n">
        <v>1</v>
      </c>
    </row>
    <row r="669">
      <c r="A669" t="inlineStr">
        <is>
          <t>LI</t>
        </is>
      </c>
      <c r="B669" t="inlineStr">
        <is>
          <t>HSA</t>
        </is>
      </c>
      <c r="C669" t="inlineStr">
        <is>
          <t>is_non_us</t>
        </is>
      </c>
      <c r="D669" s="3" t="n">
        <v>3727784.7</v>
      </c>
      <c r="E669" s="3" t="n">
        <v>3727784.7</v>
      </c>
      <c r="F669" s="4" t="n">
        <v>2</v>
      </c>
      <c r="G669" t="n">
        <v>0</v>
      </c>
      <c r="H669" t="n">
        <v>1</v>
      </c>
    </row>
    <row r="670">
      <c r="A670" t="inlineStr">
        <is>
          <t>PL</t>
        </is>
      </c>
      <c r="B670" t="inlineStr">
        <is>
          <t>HSA</t>
        </is>
      </c>
      <c r="C670" t="inlineStr">
        <is>
          <t>is_non_us</t>
        </is>
      </c>
      <c r="D670" s="3" t="n">
        <v>13500</v>
      </c>
      <c r="E670" s="3" t="n">
        <v>13500</v>
      </c>
      <c r="F670" s="4" t="n">
        <v>1</v>
      </c>
      <c r="G670" t="n">
        <v>0</v>
      </c>
      <c r="H670" t="n">
        <v>1</v>
      </c>
    </row>
    <row r="671">
      <c r="A671" t="inlineStr">
        <is>
          <t>PT</t>
        </is>
      </c>
      <c r="B671" t="inlineStr">
        <is>
          <t>HSA</t>
        </is>
      </c>
      <c r="C671" t="inlineStr">
        <is>
          <t>is_non_us</t>
        </is>
      </c>
      <c r="D671" s="3" t="n">
        <v>12093965.55</v>
      </c>
      <c r="E671" s="3" t="n">
        <v>12093965.55</v>
      </c>
      <c r="F671" s="4" t="n">
        <v>3</v>
      </c>
      <c r="G671" t="n">
        <v>0</v>
      </c>
      <c r="H671" t="n">
        <v>1</v>
      </c>
    </row>
    <row r="672">
      <c r="A672" t="inlineStr">
        <is>
          <t>RO</t>
        </is>
      </c>
      <c r="B672" t="inlineStr">
        <is>
          <t>HSA</t>
        </is>
      </c>
      <c r="C672" t="inlineStr">
        <is>
          <t>is_non_us</t>
        </is>
      </c>
      <c r="D672" s="3" t="n">
        <v>115712.55</v>
      </c>
      <c r="E672" s="3" t="n">
        <v>115712.55</v>
      </c>
      <c r="F672" s="4" t="n">
        <v>1</v>
      </c>
      <c r="G672" t="n">
        <v>0</v>
      </c>
      <c r="H672" t="n">
        <v>1</v>
      </c>
    </row>
    <row r="673">
      <c r="A673" t="inlineStr">
        <is>
          <t>SE</t>
        </is>
      </c>
      <c r="B673" t="inlineStr">
        <is>
          <t>HSA</t>
        </is>
      </c>
      <c r="C673" t="inlineStr">
        <is>
          <t>is_non_us</t>
        </is>
      </c>
      <c r="D673" s="3" t="n">
        <v>368177.13</v>
      </c>
      <c r="E673" s="3" t="n">
        <v>368177.13</v>
      </c>
      <c r="F673" s="4" t="n">
        <v>3</v>
      </c>
      <c r="G673" t="n">
        <v>0</v>
      </c>
      <c r="H673" t="n">
        <v>1</v>
      </c>
    </row>
    <row r="674">
      <c r="A674" t="inlineStr">
        <is>
          <t>SL</t>
        </is>
      </c>
      <c r="B674" t="inlineStr">
        <is>
          <t>HSA</t>
        </is>
      </c>
      <c r="C674" t="inlineStr">
        <is>
          <t>is_non_us</t>
        </is>
      </c>
      <c r="D674" s="3" t="n">
        <v>41040</v>
      </c>
      <c r="E674" s="3" t="n">
        <v>41040</v>
      </c>
      <c r="F674" s="4" t="n">
        <v>1</v>
      </c>
      <c r="G674" t="n">
        <v>0</v>
      </c>
      <c r="H674" t="n">
        <v>1</v>
      </c>
    </row>
    <row r="675">
      <c r="A675" t="inlineStr">
        <is>
          <t>AD</t>
        </is>
      </c>
      <c r="B675" t="inlineStr">
        <is>
          <t>HSA</t>
        </is>
      </c>
      <c r="C675" t="inlineStr">
        <is>
          <t>is_non_us</t>
        </is>
      </c>
      <c r="D675" s="3" t="n">
        <v>12706950.6</v>
      </c>
      <c r="E675" s="3" t="n">
        <v>12706950.6</v>
      </c>
      <c r="F675" s="4" t="n">
        <v>5</v>
      </c>
      <c r="G675" t="n">
        <v>1</v>
      </c>
      <c r="H675" t="n">
        <v>1</v>
      </c>
    </row>
    <row r="676">
      <c r="A676" t="inlineStr">
        <is>
          <t>AE</t>
        </is>
      </c>
      <c r="B676" t="inlineStr">
        <is>
          <t>HSA</t>
        </is>
      </c>
      <c r="C676" t="inlineStr">
        <is>
          <t>is_non_us</t>
        </is>
      </c>
      <c r="D676" s="3" t="n">
        <v>12372488.64</v>
      </c>
      <c r="E676" s="3" t="n">
        <v>10176701.22</v>
      </c>
      <c r="F676" s="4" t="n">
        <v>9</v>
      </c>
      <c r="G676" t="n">
        <v>1</v>
      </c>
      <c r="H676" t="n">
        <v>1</v>
      </c>
    </row>
    <row r="677">
      <c r="A677" t="inlineStr">
        <is>
          <t>AT</t>
        </is>
      </c>
      <c r="B677" t="inlineStr">
        <is>
          <t>HSA</t>
        </is>
      </c>
      <c r="C677" t="inlineStr">
        <is>
          <t>is_non_us</t>
        </is>
      </c>
      <c r="D677" s="3" t="n">
        <v>2151184421.128068</v>
      </c>
      <c r="E677" s="3" t="n">
        <v>2118568537.228068</v>
      </c>
      <c r="F677" s="4" t="n">
        <v>2497</v>
      </c>
      <c r="G677" t="n">
        <v>1</v>
      </c>
      <c r="H677" t="n">
        <v>1</v>
      </c>
    </row>
    <row r="678">
      <c r="A678" t="inlineStr">
        <is>
          <t>AU</t>
        </is>
      </c>
      <c r="B678" t="inlineStr">
        <is>
          <t>HSA</t>
        </is>
      </c>
      <c r="C678" t="inlineStr">
        <is>
          <t>is_non_us</t>
        </is>
      </c>
      <c r="D678" s="3" t="n">
        <v>1975431.24</v>
      </c>
      <c r="E678" s="3" t="n">
        <v>1975431.24</v>
      </c>
      <c r="F678" s="4" t="n">
        <v>12</v>
      </c>
      <c r="G678" t="n">
        <v>1</v>
      </c>
      <c r="H678" t="n">
        <v>1</v>
      </c>
    </row>
    <row r="679">
      <c r="A679" t="inlineStr">
        <is>
          <t>BE</t>
        </is>
      </c>
      <c r="B679" t="inlineStr">
        <is>
          <t>HSA</t>
        </is>
      </c>
      <c r="C679" t="inlineStr">
        <is>
          <t>is_non_us</t>
        </is>
      </c>
      <c r="D679" s="3" t="n">
        <v>12703405179.78</v>
      </c>
      <c r="E679" s="3" t="n">
        <v>12028431981.60001</v>
      </c>
      <c r="F679" s="4" t="n">
        <v>6013</v>
      </c>
      <c r="G679" t="n">
        <v>1</v>
      </c>
      <c r="H679" t="n">
        <v>1</v>
      </c>
    </row>
    <row r="680">
      <c r="A680" t="inlineStr">
        <is>
          <t>BG</t>
        </is>
      </c>
      <c r="B680" t="inlineStr">
        <is>
          <t>HSA</t>
        </is>
      </c>
      <c r="C680" t="inlineStr">
        <is>
          <t>is_non_us</t>
        </is>
      </c>
      <c r="D680" s="3" t="n">
        <v>7301907.000000001</v>
      </c>
      <c r="E680" s="3" t="n">
        <v>7301907.000000001</v>
      </c>
      <c r="F680" s="4" t="n">
        <v>6</v>
      </c>
      <c r="G680" t="n">
        <v>1</v>
      </c>
      <c r="H680" t="n">
        <v>1</v>
      </c>
    </row>
    <row r="681">
      <c r="A681" t="inlineStr">
        <is>
          <t>BH</t>
        </is>
      </c>
      <c r="B681" t="inlineStr">
        <is>
          <t>HSA</t>
        </is>
      </c>
      <c r="C681" t="inlineStr">
        <is>
          <t>is_non_us</t>
        </is>
      </c>
      <c r="D681" s="3" t="n">
        <v>250560</v>
      </c>
      <c r="E681" s="3" t="n">
        <v>250560</v>
      </c>
      <c r="F681" s="4" t="n">
        <v>1</v>
      </c>
      <c r="G681" t="n">
        <v>1</v>
      </c>
      <c r="H681" t="n">
        <v>1</v>
      </c>
    </row>
    <row r="682">
      <c r="A682" t="inlineStr">
        <is>
          <t>BR</t>
        </is>
      </c>
      <c r="B682" t="inlineStr">
        <is>
          <t>HSA</t>
        </is>
      </c>
      <c r="C682" t="inlineStr">
        <is>
          <t>is_non_us</t>
        </is>
      </c>
      <c r="D682" s="3" t="n">
        <v>50112486</v>
      </c>
      <c r="E682" s="3" t="n">
        <v>25812486</v>
      </c>
      <c r="F682" s="4" t="n">
        <v>2</v>
      </c>
      <c r="G682" t="n">
        <v>1</v>
      </c>
      <c r="H682" t="n">
        <v>1</v>
      </c>
    </row>
    <row r="683">
      <c r="A683" t="inlineStr">
        <is>
          <t>CA</t>
        </is>
      </c>
      <c r="B683" t="inlineStr">
        <is>
          <t>HSA</t>
        </is>
      </c>
      <c r="C683" t="inlineStr">
        <is>
          <t>is_non_us</t>
        </is>
      </c>
      <c r="D683" s="3" t="n">
        <v>756000</v>
      </c>
      <c r="E683" s="3" t="n">
        <v>756000</v>
      </c>
      <c r="F683" s="4" t="n">
        <v>2</v>
      </c>
      <c r="G683" t="n">
        <v>1</v>
      </c>
      <c r="H683" t="n">
        <v>1</v>
      </c>
    </row>
    <row r="684">
      <c r="A684" t="inlineStr">
        <is>
          <t>CH</t>
        </is>
      </c>
      <c r="B684" t="inlineStr">
        <is>
          <t>HSA</t>
        </is>
      </c>
      <c r="C684" t="inlineStr">
        <is>
          <t>is_non_us</t>
        </is>
      </c>
      <c r="D684" s="3" t="n">
        <v>483349.6800000001</v>
      </c>
      <c r="E684" s="3" t="n">
        <v>483349.6800000001</v>
      </c>
      <c r="F684" s="4" t="n">
        <v>4</v>
      </c>
      <c r="G684" t="n">
        <v>1</v>
      </c>
      <c r="H684" t="n">
        <v>1</v>
      </c>
    </row>
    <row r="685">
      <c r="A685" t="inlineStr">
        <is>
          <t>CL</t>
        </is>
      </c>
      <c r="B685" t="inlineStr">
        <is>
          <t>HSA</t>
        </is>
      </c>
      <c r="C685" t="inlineStr">
        <is>
          <t>is_non_us</t>
        </is>
      </c>
      <c r="D685" s="3" t="n">
        <v>204303.6</v>
      </c>
      <c r="E685" s="3" t="n">
        <v>204303.6</v>
      </c>
      <c r="F685" s="4" t="n">
        <v>1</v>
      </c>
      <c r="G685" t="n">
        <v>1</v>
      </c>
      <c r="H685" t="n">
        <v>1</v>
      </c>
    </row>
    <row r="686">
      <c r="A686" t="inlineStr">
        <is>
          <t>CN</t>
        </is>
      </c>
      <c r="B686" t="inlineStr">
        <is>
          <t>HSA</t>
        </is>
      </c>
      <c r="C686" t="inlineStr">
        <is>
          <t>is_non_us</t>
        </is>
      </c>
      <c r="D686" s="3" t="n">
        <v>1250.64</v>
      </c>
      <c r="E686" s="3" t="n">
        <v>1250.64</v>
      </c>
      <c r="F686" s="4" t="n">
        <v>1</v>
      </c>
      <c r="G686" t="n">
        <v>1</v>
      </c>
      <c r="H686" t="n">
        <v>1</v>
      </c>
    </row>
    <row r="687">
      <c r="A687" t="inlineStr">
        <is>
          <t>CO</t>
        </is>
      </c>
      <c r="B687" t="inlineStr">
        <is>
          <t>HSA</t>
        </is>
      </c>
      <c r="C687" t="inlineStr">
        <is>
          <t>is_non_us</t>
        </is>
      </c>
      <c r="D687" s="3" t="n">
        <v>40267.8</v>
      </c>
      <c r="E687" s="3" t="n">
        <v>40267.8</v>
      </c>
      <c r="F687" s="4" t="n">
        <v>1</v>
      </c>
      <c r="G687" t="n">
        <v>1</v>
      </c>
      <c r="H687" t="n">
        <v>1</v>
      </c>
    </row>
    <row r="688">
      <c r="A688" t="inlineStr">
        <is>
          <t>CR</t>
        </is>
      </c>
      <c r="B688" t="inlineStr">
        <is>
          <t>HSA</t>
        </is>
      </c>
      <c r="C688" t="inlineStr">
        <is>
          <t>is_non_us</t>
        </is>
      </c>
      <c r="D688" s="3" t="n">
        <v>79361.64000000001</v>
      </c>
      <c r="E688" s="3" t="n">
        <v>79361.64000000001</v>
      </c>
      <c r="F688" s="4" t="n">
        <v>1</v>
      </c>
      <c r="G688" t="n">
        <v>1</v>
      </c>
      <c r="H688" t="n">
        <v>1</v>
      </c>
    </row>
    <row r="689">
      <c r="A689" t="inlineStr">
        <is>
          <t>CY</t>
        </is>
      </c>
      <c r="B689" t="inlineStr">
        <is>
          <t>HSA</t>
        </is>
      </c>
      <c r="C689" t="inlineStr">
        <is>
          <t>is_non_us</t>
        </is>
      </c>
      <c r="D689" s="3" t="n">
        <v>5304590.100000001</v>
      </c>
      <c r="E689" s="3" t="n">
        <v>5304590.100000001</v>
      </c>
      <c r="F689" s="4" t="n">
        <v>5</v>
      </c>
      <c r="G689" t="n">
        <v>1</v>
      </c>
      <c r="H689" t="n">
        <v>1</v>
      </c>
    </row>
    <row r="690">
      <c r="A690" t="inlineStr">
        <is>
          <t>CZ</t>
        </is>
      </c>
      <c r="B690" t="inlineStr">
        <is>
          <t>HSA</t>
        </is>
      </c>
      <c r="C690" t="inlineStr">
        <is>
          <t>is_non_us</t>
        </is>
      </c>
      <c r="D690" s="3" t="n">
        <v>45454205.16</v>
      </c>
      <c r="E690" s="3" t="n">
        <v>45454205.16</v>
      </c>
      <c r="F690" s="4" t="n">
        <v>42</v>
      </c>
      <c r="G690" t="n">
        <v>1</v>
      </c>
      <c r="H690" t="n">
        <v>1</v>
      </c>
    </row>
    <row r="691">
      <c r="A691" t="inlineStr">
        <is>
          <t>DE</t>
        </is>
      </c>
      <c r="B691" t="inlineStr">
        <is>
          <t>HSA</t>
        </is>
      </c>
      <c r="C691" t="inlineStr">
        <is>
          <t>is_non_us</t>
        </is>
      </c>
      <c r="D691" s="3" t="n">
        <v>17016495040.01339</v>
      </c>
      <c r="E691" s="3" t="n">
        <v>16932976420.49118</v>
      </c>
      <c r="F691" s="4" t="n">
        <v>21741</v>
      </c>
      <c r="G691" t="n">
        <v>1</v>
      </c>
      <c r="H691" t="n">
        <v>1</v>
      </c>
    </row>
    <row r="692">
      <c r="A692" t="inlineStr">
        <is>
          <t>DK</t>
        </is>
      </c>
      <c r="B692" t="inlineStr">
        <is>
          <t>HSA</t>
        </is>
      </c>
      <c r="C692" t="inlineStr">
        <is>
          <t>is_non_us</t>
        </is>
      </c>
      <c r="D692" s="3" t="n">
        <v>32981391.5925015</v>
      </c>
      <c r="E692" s="3" t="n">
        <v>32183382.29250149</v>
      </c>
      <c r="F692" s="4" t="n">
        <v>91</v>
      </c>
      <c r="G692" t="n">
        <v>1</v>
      </c>
      <c r="H692" t="n">
        <v>1</v>
      </c>
    </row>
    <row r="693">
      <c r="A693" t="inlineStr">
        <is>
          <t>ES</t>
        </is>
      </c>
      <c r="B693" t="inlineStr">
        <is>
          <t>HSA</t>
        </is>
      </c>
      <c r="C693" t="inlineStr">
        <is>
          <t>is_non_us</t>
        </is>
      </c>
      <c r="D693" s="3" t="n">
        <v>12380128063.72457</v>
      </c>
      <c r="E693" s="3" t="n">
        <v>12125405488.84456</v>
      </c>
      <c r="F693" s="4" t="n">
        <v>6534</v>
      </c>
      <c r="G693" t="n">
        <v>1</v>
      </c>
      <c r="H693" t="n">
        <v>1</v>
      </c>
    </row>
    <row r="694">
      <c r="A694" t="inlineStr">
        <is>
          <t>FI</t>
        </is>
      </c>
      <c r="B694" t="inlineStr">
        <is>
          <t>HSA</t>
        </is>
      </c>
      <c r="C694" t="inlineStr">
        <is>
          <t>is_non_us</t>
        </is>
      </c>
      <c r="D694" s="3" t="n">
        <v>14737354.92</v>
      </c>
      <c r="E694" s="3" t="n">
        <v>14737354.92</v>
      </c>
      <c r="F694" s="4" t="n">
        <v>64</v>
      </c>
      <c r="G694" t="n">
        <v>1</v>
      </c>
      <c r="H694" t="n">
        <v>1</v>
      </c>
    </row>
    <row r="695">
      <c r="A695" t="inlineStr">
        <is>
          <t>FR</t>
        </is>
      </c>
      <c r="B695" t="inlineStr">
        <is>
          <t>HSA</t>
        </is>
      </c>
      <c r="C695" t="inlineStr">
        <is>
          <t>is_non_us</t>
        </is>
      </c>
      <c r="D695" s="3" t="n">
        <v>27872584960.47937</v>
      </c>
      <c r="E695" s="3" t="n">
        <v>27294533246.68248</v>
      </c>
      <c r="F695" s="4" t="n">
        <v>27517</v>
      </c>
      <c r="G695" t="n">
        <v>1</v>
      </c>
      <c r="H695" t="n">
        <v>1</v>
      </c>
    </row>
    <row r="696">
      <c r="A696" t="inlineStr">
        <is>
          <t>GB</t>
        </is>
      </c>
      <c r="B696" t="inlineStr">
        <is>
          <t>HSA</t>
        </is>
      </c>
      <c r="C696" t="inlineStr">
        <is>
          <t>is_non_us</t>
        </is>
      </c>
      <c r="D696" s="3" t="n">
        <v>1288819897.488719</v>
      </c>
      <c r="E696" s="3" t="n">
        <v>1265869897.488719</v>
      </c>
      <c r="F696" s="4" t="n">
        <v>526</v>
      </c>
      <c r="G696" t="n">
        <v>1</v>
      </c>
      <c r="H696" t="n">
        <v>1</v>
      </c>
    </row>
    <row r="697">
      <c r="A697" t="inlineStr">
        <is>
          <t>GR</t>
        </is>
      </c>
      <c r="B697" t="inlineStr">
        <is>
          <t>HSA</t>
        </is>
      </c>
      <c r="C697" t="inlineStr">
        <is>
          <t>is_non_us</t>
        </is>
      </c>
      <c r="D697" s="3" t="n">
        <v>66741733.215</v>
      </c>
      <c r="E697" s="3" t="n">
        <v>66741733.215</v>
      </c>
      <c r="F697" s="4" t="n">
        <v>42</v>
      </c>
      <c r="G697" t="n">
        <v>1</v>
      </c>
      <c r="H697" t="n">
        <v>1</v>
      </c>
    </row>
    <row r="698">
      <c r="A698" t="inlineStr">
        <is>
          <t>HK</t>
        </is>
      </c>
      <c r="B698" t="inlineStr">
        <is>
          <t>HSA</t>
        </is>
      </c>
      <c r="C698" t="inlineStr">
        <is>
          <t>is_non_us</t>
        </is>
      </c>
      <c r="D698" s="3" t="n">
        <v>169577608.32</v>
      </c>
      <c r="E698" s="3" t="n">
        <v>90674804.16</v>
      </c>
      <c r="F698" s="4" t="n">
        <v>4</v>
      </c>
      <c r="G698" t="n">
        <v>1</v>
      </c>
      <c r="H698" t="n">
        <v>1</v>
      </c>
    </row>
    <row r="699">
      <c r="A699" t="inlineStr">
        <is>
          <t>HR</t>
        </is>
      </c>
      <c r="B699" t="inlineStr">
        <is>
          <t>HSA</t>
        </is>
      </c>
      <c r="C699" t="inlineStr">
        <is>
          <t>is_non_us</t>
        </is>
      </c>
      <c r="D699" s="3" t="n">
        <v>289612411.9668</v>
      </c>
      <c r="E699" s="3" t="n">
        <v>289612411.9668</v>
      </c>
      <c r="F699" s="4" t="n">
        <v>629</v>
      </c>
      <c r="G699" t="n">
        <v>1</v>
      </c>
      <c r="H699" t="n">
        <v>1</v>
      </c>
    </row>
    <row r="700">
      <c r="A700" t="inlineStr">
        <is>
          <t>HU</t>
        </is>
      </c>
      <c r="B700" t="inlineStr">
        <is>
          <t>HSA</t>
        </is>
      </c>
      <c r="C700" t="inlineStr">
        <is>
          <t>is_non_us</t>
        </is>
      </c>
      <c r="D700" s="3" t="n">
        <v>33457402.08</v>
      </c>
      <c r="E700" s="3" t="n">
        <v>33457402.08</v>
      </c>
      <c r="F700" s="4" t="n">
        <v>116</v>
      </c>
      <c r="G700" t="n">
        <v>1</v>
      </c>
      <c r="H700" t="n">
        <v>1</v>
      </c>
    </row>
    <row r="701">
      <c r="A701" t="inlineStr">
        <is>
          <t>IE</t>
        </is>
      </c>
      <c r="B701" t="inlineStr">
        <is>
          <t>HSA</t>
        </is>
      </c>
      <c r="C701" t="inlineStr">
        <is>
          <t>is_non_us</t>
        </is>
      </c>
      <c r="D701" s="3" t="n">
        <v>7063893426.363998</v>
      </c>
      <c r="E701" s="3" t="n">
        <v>7063893426.363998</v>
      </c>
      <c r="F701" s="4" t="n">
        <v>9242</v>
      </c>
      <c r="G701" t="n">
        <v>1</v>
      </c>
      <c r="H701" t="n">
        <v>1</v>
      </c>
    </row>
    <row r="702">
      <c r="A702" t="inlineStr">
        <is>
          <t>IL</t>
        </is>
      </c>
      <c r="B702" t="inlineStr">
        <is>
          <t>HSA</t>
        </is>
      </c>
      <c r="C702" t="inlineStr">
        <is>
          <t>is_non_us</t>
        </is>
      </c>
      <c r="D702" s="3" t="n">
        <v>5238408.240000001</v>
      </c>
      <c r="E702" s="3" t="n">
        <v>5238408.240000001</v>
      </c>
      <c r="F702" s="4" t="n">
        <v>3</v>
      </c>
      <c r="G702" t="n">
        <v>1</v>
      </c>
      <c r="H702" t="n">
        <v>1</v>
      </c>
    </row>
    <row r="703">
      <c r="A703" t="inlineStr">
        <is>
          <t>IN</t>
        </is>
      </c>
      <c r="B703" t="inlineStr">
        <is>
          <t>HSA</t>
        </is>
      </c>
      <c r="C703" t="inlineStr">
        <is>
          <t>is_non_us</t>
        </is>
      </c>
      <c r="D703" s="3" t="n">
        <v>319140</v>
      </c>
      <c r="E703" s="3" t="n">
        <v>319140</v>
      </c>
      <c r="F703" s="4" t="n">
        <v>2</v>
      </c>
      <c r="G703" t="n">
        <v>1</v>
      </c>
      <c r="H703" t="n">
        <v>1</v>
      </c>
    </row>
    <row r="704">
      <c r="A704" t="inlineStr">
        <is>
          <t>IS</t>
        </is>
      </c>
      <c r="B704" t="inlineStr">
        <is>
          <t>HSA</t>
        </is>
      </c>
      <c r="C704" t="inlineStr">
        <is>
          <t>is_non_us</t>
        </is>
      </c>
      <c r="D704" s="3" t="n">
        <v>2006487.72</v>
      </c>
      <c r="E704" s="3" t="n">
        <v>2006487.72</v>
      </c>
      <c r="F704" s="4" t="n">
        <v>1</v>
      </c>
      <c r="G704" t="n">
        <v>1</v>
      </c>
      <c r="H704" t="n">
        <v>1</v>
      </c>
    </row>
    <row r="705">
      <c r="A705" t="inlineStr">
        <is>
          <t>IT</t>
        </is>
      </c>
      <c r="B705" t="inlineStr">
        <is>
          <t>HSA</t>
        </is>
      </c>
      <c r="C705" t="inlineStr">
        <is>
          <t>is_non_us</t>
        </is>
      </c>
      <c r="D705" s="3" t="n">
        <v>639165885.6249342</v>
      </c>
      <c r="E705" s="3" t="n">
        <v>615340986.9250176</v>
      </c>
      <c r="F705" s="4" t="n">
        <v>745</v>
      </c>
      <c r="G705" t="n">
        <v>1</v>
      </c>
      <c r="H705" t="n">
        <v>1</v>
      </c>
    </row>
    <row r="706">
      <c r="A706" t="inlineStr">
        <is>
          <t>JP</t>
        </is>
      </c>
      <c r="B706" t="inlineStr">
        <is>
          <t>HSA</t>
        </is>
      </c>
      <c r="C706" t="inlineStr">
        <is>
          <t>is_non_us</t>
        </is>
      </c>
      <c r="D706" s="3" t="n">
        <v>27271459.08</v>
      </c>
      <c r="E706" s="3" t="n">
        <v>27271459.08</v>
      </c>
      <c r="F706" s="4" t="n">
        <v>23</v>
      </c>
      <c r="G706" t="n">
        <v>1</v>
      </c>
      <c r="H706" t="n">
        <v>1</v>
      </c>
    </row>
    <row r="707">
      <c r="A707" t="inlineStr">
        <is>
          <t>LI</t>
        </is>
      </c>
      <c r="B707" t="inlineStr">
        <is>
          <t>HSA</t>
        </is>
      </c>
      <c r="C707" t="inlineStr">
        <is>
          <t>is_non_us</t>
        </is>
      </c>
      <c r="D707" s="3" t="n">
        <v>81000</v>
      </c>
      <c r="E707" s="3" t="n">
        <v>81000</v>
      </c>
      <c r="F707" s="4" t="n">
        <v>1</v>
      </c>
      <c r="G707" t="n">
        <v>1</v>
      </c>
      <c r="H707" t="n">
        <v>1</v>
      </c>
    </row>
    <row r="708">
      <c r="A708" t="inlineStr">
        <is>
          <t>LT</t>
        </is>
      </c>
      <c r="B708" t="inlineStr">
        <is>
          <t>HSA</t>
        </is>
      </c>
      <c r="C708" t="inlineStr">
        <is>
          <t>is_non_us</t>
        </is>
      </c>
      <c r="D708" s="3" t="n">
        <v>64800.00000000001</v>
      </c>
      <c r="E708" s="3" t="n">
        <v>32400</v>
      </c>
      <c r="F708" s="4" t="n">
        <v>1</v>
      </c>
      <c r="G708" t="n">
        <v>1</v>
      </c>
      <c r="H708" t="n">
        <v>1</v>
      </c>
    </row>
    <row r="709">
      <c r="A709" t="inlineStr">
        <is>
          <t>LU</t>
        </is>
      </c>
      <c r="B709" t="inlineStr">
        <is>
          <t>HSA</t>
        </is>
      </c>
      <c r="C709" t="inlineStr">
        <is>
          <t>is_non_us</t>
        </is>
      </c>
      <c r="D709" s="3" t="n">
        <v>491557482.3600001</v>
      </c>
      <c r="E709" s="3" t="n">
        <v>491557482.3600001</v>
      </c>
      <c r="F709" s="4" t="n">
        <v>592</v>
      </c>
      <c r="G709" t="n">
        <v>1</v>
      </c>
      <c r="H709" t="n">
        <v>1</v>
      </c>
    </row>
    <row r="710">
      <c r="A710" t="inlineStr">
        <is>
          <t>LV</t>
        </is>
      </c>
      <c r="B710" t="inlineStr">
        <is>
          <t>HSA</t>
        </is>
      </c>
      <c r="C710" t="inlineStr">
        <is>
          <t>is_non_us</t>
        </is>
      </c>
      <c r="D710" s="3" t="n">
        <v>5400</v>
      </c>
      <c r="E710" s="3" t="n">
        <v>5400</v>
      </c>
      <c r="F710" s="4" t="n">
        <v>1</v>
      </c>
      <c r="G710" t="n">
        <v>1</v>
      </c>
      <c r="H710" t="n">
        <v>1</v>
      </c>
    </row>
    <row r="711">
      <c r="A711" t="inlineStr">
        <is>
          <t>MA</t>
        </is>
      </c>
      <c r="B711" t="inlineStr">
        <is>
          <t>HSA</t>
        </is>
      </c>
      <c r="C711" t="inlineStr">
        <is>
          <t>is_non_us</t>
        </is>
      </c>
      <c r="D711" s="3" t="n">
        <v>31281471.7813395</v>
      </c>
      <c r="E711" s="3" t="n">
        <v>31281471.7813395</v>
      </c>
      <c r="F711" s="4" t="n">
        <v>4</v>
      </c>
      <c r="G711" t="n">
        <v>1</v>
      </c>
      <c r="H711" t="n">
        <v>1</v>
      </c>
    </row>
    <row r="712">
      <c r="A712" t="inlineStr">
        <is>
          <t>MC</t>
        </is>
      </c>
      <c r="B712" t="inlineStr">
        <is>
          <t>HSA</t>
        </is>
      </c>
      <c r="C712" t="inlineStr">
        <is>
          <t>is_non_us</t>
        </is>
      </c>
      <c r="D712" s="3" t="n">
        <v>1418462545.428415</v>
      </c>
      <c r="E712" s="3" t="n">
        <v>1341156543.223795</v>
      </c>
      <c r="F712" s="4" t="n">
        <v>634</v>
      </c>
      <c r="G712" t="n">
        <v>1</v>
      </c>
      <c r="H712" t="n">
        <v>1</v>
      </c>
    </row>
    <row r="713">
      <c r="A713" t="inlineStr">
        <is>
          <t>MT</t>
        </is>
      </c>
      <c r="B713" t="inlineStr">
        <is>
          <t>HSA</t>
        </is>
      </c>
      <c r="C713" t="inlineStr">
        <is>
          <t>is_non_us</t>
        </is>
      </c>
      <c r="D713" s="3" t="n">
        <v>5839560.1645245</v>
      </c>
      <c r="E713" s="3" t="n">
        <v>5839560.1645245</v>
      </c>
      <c r="F713" s="4" t="n">
        <v>13</v>
      </c>
      <c r="G713" t="n">
        <v>1</v>
      </c>
      <c r="H713" t="n">
        <v>1</v>
      </c>
    </row>
    <row r="714">
      <c r="A714" t="inlineStr">
        <is>
          <t>MX</t>
        </is>
      </c>
      <c r="B714" t="inlineStr">
        <is>
          <t>HSA</t>
        </is>
      </c>
      <c r="C714" t="inlineStr">
        <is>
          <t>is_non_us</t>
        </is>
      </c>
      <c r="D714" s="3" t="n">
        <v>7107407.640000001</v>
      </c>
      <c r="E714" s="3" t="n">
        <v>7107407.640000001</v>
      </c>
      <c r="F714" s="4" t="n">
        <v>9</v>
      </c>
      <c r="G714" t="n">
        <v>1</v>
      </c>
      <c r="H714" t="n">
        <v>1</v>
      </c>
    </row>
    <row r="715">
      <c r="A715" t="inlineStr">
        <is>
          <t>NL</t>
        </is>
      </c>
      <c r="B715" t="inlineStr">
        <is>
          <t>HSA</t>
        </is>
      </c>
      <c r="C715" t="inlineStr">
        <is>
          <t>is_non_us</t>
        </is>
      </c>
      <c r="D715" s="3" t="n">
        <v>14385652561.29101</v>
      </c>
      <c r="E715" s="3" t="n">
        <v>14050626250.531</v>
      </c>
      <c r="F715" s="4" t="n">
        <v>8631</v>
      </c>
      <c r="G715" t="n">
        <v>1</v>
      </c>
      <c r="H715" t="n">
        <v>1</v>
      </c>
    </row>
    <row r="716">
      <c r="A716" t="inlineStr">
        <is>
          <t>NO</t>
        </is>
      </c>
      <c r="B716" t="inlineStr">
        <is>
          <t>HSA</t>
        </is>
      </c>
      <c r="C716" t="inlineStr">
        <is>
          <t>is_non_us</t>
        </is>
      </c>
      <c r="D716" s="3" t="n">
        <v>58376457.00000001</v>
      </c>
      <c r="E716" s="3" t="n">
        <v>58376457.00000001</v>
      </c>
      <c r="F716" s="4" t="n">
        <v>161</v>
      </c>
      <c r="G716" t="n">
        <v>1</v>
      </c>
      <c r="H716" t="n">
        <v>1</v>
      </c>
    </row>
    <row r="717">
      <c r="A717" t="inlineStr">
        <is>
          <t>NZ</t>
        </is>
      </c>
      <c r="B717" t="inlineStr">
        <is>
          <t>HSA</t>
        </is>
      </c>
      <c r="C717" t="inlineStr">
        <is>
          <t>is_non_us</t>
        </is>
      </c>
      <c r="D717" s="3" t="n">
        <v>384131.16</v>
      </c>
      <c r="E717" s="3" t="n">
        <v>384131.16</v>
      </c>
      <c r="F717" s="4" t="n">
        <v>1</v>
      </c>
      <c r="G717" t="n">
        <v>1</v>
      </c>
      <c r="H717" t="n">
        <v>1</v>
      </c>
    </row>
    <row r="718">
      <c r="A718" t="inlineStr">
        <is>
          <t>PE</t>
        </is>
      </c>
      <c r="B718" t="inlineStr">
        <is>
          <t>HSA</t>
        </is>
      </c>
      <c r="C718" t="inlineStr">
        <is>
          <t>is_non_us</t>
        </is>
      </c>
      <c r="D718" s="3" t="n">
        <v>666900</v>
      </c>
      <c r="E718" s="3" t="n">
        <v>666900</v>
      </c>
      <c r="F718" s="4" t="n">
        <v>1</v>
      </c>
      <c r="G718" t="n">
        <v>1</v>
      </c>
      <c r="H718" t="n">
        <v>1</v>
      </c>
    </row>
    <row r="719">
      <c r="A719" t="inlineStr">
        <is>
          <t>PL</t>
        </is>
      </c>
      <c r="B719" t="inlineStr">
        <is>
          <t>HSA</t>
        </is>
      </c>
      <c r="C719" t="inlineStr">
        <is>
          <t>is_non_us</t>
        </is>
      </c>
      <c r="D719" s="3" t="n">
        <v>7524004.140000001</v>
      </c>
      <c r="E719" s="3" t="n">
        <v>7524004.140000001</v>
      </c>
      <c r="F719" s="4" t="n">
        <v>126</v>
      </c>
      <c r="G719" t="n">
        <v>1</v>
      </c>
      <c r="H719" t="n">
        <v>1</v>
      </c>
    </row>
    <row r="720">
      <c r="A720" t="inlineStr">
        <is>
          <t>PT</t>
        </is>
      </c>
      <c r="B720" t="inlineStr">
        <is>
          <t>HSA</t>
        </is>
      </c>
      <c r="C720" t="inlineStr">
        <is>
          <t>is_non_us</t>
        </is>
      </c>
      <c r="D720" s="3" t="n">
        <v>5624519241.184465</v>
      </c>
      <c r="E720" s="3" t="n">
        <v>5526402293.644466</v>
      </c>
      <c r="F720" s="4" t="n">
        <v>3338</v>
      </c>
      <c r="G720" t="n">
        <v>1</v>
      </c>
      <c r="H720" t="n">
        <v>1</v>
      </c>
    </row>
    <row r="721">
      <c r="A721" t="inlineStr">
        <is>
          <t>RO</t>
        </is>
      </c>
      <c r="B721" t="inlineStr">
        <is>
          <t>HSA</t>
        </is>
      </c>
      <c r="C721" t="inlineStr">
        <is>
          <t>is_non_us</t>
        </is>
      </c>
      <c r="D721" s="3" t="n">
        <v>7989351.840000001</v>
      </c>
      <c r="E721" s="3" t="n">
        <v>7989351.840000001</v>
      </c>
      <c r="F721" s="4" t="n">
        <v>12</v>
      </c>
      <c r="G721" t="n">
        <v>1</v>
      </c>
      <c r="H721" t="n">
        <v>1</v>
      </c>
    </row>
    <row r="722">
      <c r="A722" t="inlineStr">
        <is>
          <t>RS</t>
        </is>
      </c>
      <c r="B722" t="inlineStr">
        <is>
          <t>HSA</t>
        </is>
      </c>
      <c r="C722" t="inlineStr">
        <is>
          <t>is_non_us</t>
        </is>
      </c>
      <c r="D722" s="3" t="n">
        <v>75600</v>
      </c>
      <c r="E722" s="3" t="n">
        <v>75600</v>
      </c>
      <c r="F722" s="4" t="n">
        <v>1</v>
      </c>
      <c r="G722" t="n">
        <v>1</v>
      </c>
      <c r="H722" t="n">
        <v>1</v>
      </c>
    </row>
    <row r="723">
      <c r="A723" t="inlineStr">
        <is>
          <t>RU</t>
        </is>
      </c>
      <c r="B723" t="inlineStr">
        <is>
          <t>HSA</t>
        </is>
      </c>
      <c r="C723" t="inlineStr">
        <is>
          <t>is_non_us</t>
        </is>
      </c>
      <c r="D723" s="3" t="n">
        <v>3114936</v>
      </c>
      <c r="E723" s="3" t="n">
        <v>3114936</v>
      </c>
      <c r="F723" s="4" t="n">
        <v>1</v>
      </c>
      <c r="G723" t="n">
        <v>1</v>
      </c>
      <c r="H723" t="n">
        <v>1</v>
      </c>
    </row>
    <row r="724">
      <c r="A724" t="inlineStr">
        <is>
          <t>SA</t>
        </is>
      </c>
      <c r="B724" t="inlineStr">
        <is>
          <t>HSA</t>
        </is>
      </c>
      <c r="C724" t="inlineStr">
        <is>
          <t>is_non_us</t>
        </is>
      </c>
      <c r="D724" s="3" t="n">
        <v>3968591.76</v>
      </c>
      <c r="E724" s="3" t="n">
        <v>1984295.88</v>
      </c>
      <c r="F724" s="4" t="n">
        <v>1</v>
      </c>
      <c r="G724" t="n">
        <v>1</v>
      </c>
      <c r="H724" t="n">
        <v>1</v>
      </c>
    </row>
    <row r="725">
      <c r="A725" t="inlineStr">
        <is>
          <t>SE</t>
        </is>
      </c>
      <c r="B725" t="inlineStr">
        <is>
          <t>HSA</t>
        </is>
      </c>
      <c r="C725" t="inlineStr">
        <is>
          <t>is_non_us</t>
        </is>
      </c>
      <c r="D725" s="3" t="n">
        <v>122212409.04</v>
      </c>
      <c r="E725" s="3" t="n">
        <v>122212409.04</v>
      </c>
      <c r="F725" s="4" t="n">
        <v>336</v>
      </c>
      <c r="G725" t="n">
        <v>1</v>
      </c>
      <c r="H725" t="n">
        <v>1</v>
      </c>
    </row>
    <row r="726">
      <c r="A726" t="inlineStr">
        <is>
          <t>SG</t>
        </is>
      </c>
      <c r="B726" t="inlineStr">
        <is>
          <t>HSA</t>
        </is>
      </c>
      <c r="C726" t="inlineStr">
        <is>
          <t>is_non_us</t>
        </is>
      </c>
      <c r="D726" s="3" t="n">
        <v>298755</v>
      </c>
      <c r="E726" s="3" t="n">
        <v>298755</v>
      </c>
      <c r="F726" s="4" t="n">
        <v>3</v>
      </c>
      <c r="G726" t="n">
        <v>1</v>
      </c>
      <c r="H726" t="n">
        <v>1</v>
      </c>
    </row>
    <row r="727">
      <c r="A727" t="inlineStr">
        <is>
          <t>SI</t>
        </is>
      </c>
      <c r="B727" t="inlineStr">
        <is>
          <t>HSA</t>
        </is>
      </c>
      <c r="C727" t="inlineStr">
        <is>
          <t>is_non_us</t>
        </is>
      </c>
      <c r="D727" s="3" t="n">
        <v>3216781.08</v>
      </c>
      <c r="E727" s="3" t="n">
        <v>3216781.08</v>
      </c>
      <c r="F727" s="4" t="n">
        <v>12</v>
      </c>
      <c r="G727" t="n">
        <v>1</v>
      </c>
      <c r="H727" t="n">
        <v>1</v>
      </c>
    </row>
    <row r="728">
      <c r="A728" t="inlineStr">
        <is>
          <t>SK</t>
        </is>
      </c>
      <c r="B728" t="inlineStr">
        <is>
          <t>HSA</t>
        </is>
      </c>
      <c r="C728" t="inlineStr">
        <is>
          <t>is_non_us</t>
        </is>
      </c>
      <c r="D728" s="3" t="n">
        <v>110160</v>
      </c>
      <c r="E728" s="3" t="n">
        <v>110160</v>
      </c>
      <c r="F728" s="4" t="n">
        <v>3</v>
      </c>
      <c r="G728" t="n">
        <v>1</v>
      </c>
      <c r="H728" t="n">
        <v>1</v>
      </c>
    </row>
    <row r="729">
      <c r="A729" t="inlineStr">
        <is>
          <t>TN</t>
        </is>
      </c>
      <c r="B729" t="inlineStr">
        <is>
          <t>HSA</t>
        </is>
      </c>
      <c r="C729" t="inlineStr">
        <is>
          <t>is_non_us</t>
        </is>
      </c>
      <c r="D729" s="3" t="n">
        <v>220320</v>
      </c>
      <c r="E729" s="3" t="n">
        <v>220320</v>
      </c>
      <c r="F729" s="4" t="n">
        <v>1</v>
      </c>
      <c r="G729" t="n">
        <v>1</v>
      </c>
      <c r="H729" t="n">
        <v>1</v>
      </c>
    </row>
    <row r="730">
      <c r="A730" t="inlineStr">
        <is>
          <t>TR</t>
        </is>
      </c>
      <c r="B730" t="inlineStr">
        <is>
          <t>HSA</t>
        </is>
      </c>
      <c r="C730" t="inlineStr">
        <is>
          <t>is_non_us</t>
        </is>
      </c>
      <c r="D730" s="3" t="n">
        <v>933228.0000000001</v>
      </c>
      <c r="E730" s="3" t="n">
        <v>933228.0000000001</v>
      </c>
      <c r="F730" s="4" t="n">
        <v>4</v>
      </c>
      <c r="G730" t="n">
        <v>1</v>
      </c>
      <c r="H730" t="n">
        <v>1</v>
      </c>
    </row>
    <row r="731">
      <c r="A731" t="inlineStr">
        <is>
          <t>US</t>
        </is>
      </c>
      <c r="B731" t="inlineStr">
        <is>
          <t>33</t>
        </is>
      </c>
      <c r="C731" t="inlineStr">
        <is>
          <t>is_us_all</t>
        </is>
      </c>
      <c r="D731" s="3" t="n">
        <v>2939741491.911798</v>
      </c>
      <c r="E731" s="3" t="n">
        <v>1771607113.620469</v>
      </c>
      <c r="F731" s="4" t="n">
        <v>305</v>
      </c>
      <c r="G731" t="n">
        <v>0</v>
      </c>
      <c r="H731" t="n">
        <v>1</v>
      </c>
    </row>
    <row r="732">
      <c r="A732" t="inlineStr">
        <is>
          <t>US</t>
        </is>
      </c>
      <c r="B732" t="inlineStr">
        <is>
          <t>33</t>
        </is>
      </c>
      <c r="C732" t="inlineStr">
        <is>
          <t>is_us_all</t>
        </is>
      </c>
      <c r="D732" s="3" t="n">
        <v>392727226.0400802</v>
      </c>
      <c r="E732" s="3" t="n">
        <v>237721948.7435575</v>
      </c>
      <c r="F732" s="4" t="n">
        <v>55</v>
      </c>
      <c r="G732" t="n">
        <v>1</v>
      </c>
      <c r="H732" t="n">
        <v>1</v>
      </c>
    </row>
    <row r="733">
      <c r="A733" t="inlineStr">
        <is>
          <t>US</t>
        </is>
      </c>
      <c r="B733" t="inlineStr">
        <is>
          <t>3624</t>
        </is>
      </c>
      <c r="C733" t="inlineStr">
        <is>
          <t>is_us_all</t>
        </is>
      </c>
      <c r="D733" s="3" t="n">
        <v>3324645</v>
      </c>
      <c r="E733" s="3" t="n">
        <v>3324645</v>
      </c>
      <c r="F733" s="4" t="n">
        <v>3</v>
      </c>
      <c r="G733" t="n">
        <v>1</v>
      </c>
      <c r="H733" t="n">
        <v>1</v>
      </c>
    </row>
    <row r="734">
      <c r="A734" t="inlineStr">
        <is>
          <t>US</t>
        </is>
      </c>
      <c r="B734" t="inlineStr">
        <is>
          <t>HIC</t>
        </is>
      </c>
      <c r="C734" t="inlineStr">
        <is>
          <t>is_us_all</t>
        </is>
      </c>
      <c r="D734" s="3" t="n">
        <v>136350</v>
      </c>
      <c r="E734" s="3" t="n">
        <v>136350</v>
      </c>
      <c r="F734" s="4" t="n">
        <v>1</v>
      </c>
      <c r="G734" t="n">
        <v>0</v>
      </c>
      <c r="H734" t="n">
        <v>1</v>
      </c>
    </row>
    <row r="735">
      <c r="A735" t="inlineStr">
        <is>
          <t>US</t>
        </is>
      </c>
      <c r="B735" t="inlineStr">
        <is>
          <t>HIC</t>
        </is>
      </c>
      <c r="C735" t="inlineStr">
        <is>
          <t>is_us_all</t>
        </is>
      </c>
      <c r="D735" s="3" t="n">
        <v>30570795.9</v>
      </c>
      <c r="E735" s="3" t="n">
        <v>30570795.9</v>
      </c>
      <c r="F735" s="4" t="n">
        <v>31</v>
      </c>
      <c r="G735" t="n">
        <v>1</v>
      </c>
      <c r="H735" t="n">
        <v>1</v>
      </c>
    </row>
    <row r="736">
      <c r="A736" t="inlineStr">
        <is>
          <t>US</t>
        </is>
      </c>
      <c r="B736" t="inlineStr">
        <is>
          <t>HIG</t>
        </is>
      </c>
      <c r="C736" t="inlineStr">
        <is>
          <t>is_us_all</t>
        </is>
      </c>
      <c r="D736" s="3" t="n">
        <v>8090936.363678377</v>
      </c>
      <c r="E736" s="3" t="n">
        <v>7479319.331113447</v>
      </c>
      <c r="F736" s="4" t="n">
        <v>7</v>
      </c>
      <c r="G736" t="n">
        <v>0</v>
      </c>
      <c r="H736" t="n">
        <v>1</v>
      </c>
    </row>
    <row r="737">
      <c r="A737" t="inlineStr">
        <is>
          <t>US</t>
        </is>
      </c>
      <c r="B737" t="inlineStr">
        <is>
          <t>HIG</t>
        </is>
      </c>
      <c r="C737" t="inlineStr">
        <is>
          <t>is_us_all</t>
        </is>
      </c>
      <c r="D737" s="3" t="n">
        <v>1215838558.878958</v>
      </c>
      <c r="E737" s="3" t="n">
        <v>892493048.9270042</v>
      </c>
      <c r="F737" s="4" t="n">
        <v>221</v>
      </c>
      <c r="G737" t="n">
        <v>1</v>
      </c>
      <c r="H737" t="n">
        <v>1</v>
      </c>
    </row>
    <row r="738">
      <c r="A738" t="inlineStr">
        <is>
          <t>US</t>
        </is>
      </c>
      <c r="B738" t="inlineStr">
        <is>
          <t>HSA</t>
        </is>
      </c>
      <c r="C738" t="inlineStr">
        <is>
          <t>is_us_all</t>
        </is>
      </c>
      <c r="D738" s="3" t="n">
        <v>137395384.4015357</v>
      </c>
      <c r="E738" s="3" t="n">
        <v>136305993.8015358</v>
      </c>
      <c r="F738" s="4" t="n">
        <v>76</v>
      </c>
      <c r="G738" t="n">
        <v>1</v>
      </c>
      <c r="H738" t="n">
        <v>1</v>
      </c>
    </row>
  </sheetData>
  <dataValidations count="2">
    <dataValidation sqref="G2:G1048576" showDropDown="0" showInputMessage="0" showErrorMessage="1" allowBlank="0" errorTitle="Invalid SQL flag" error="Paste the unchanged SQL output flags." type="list">
      <formula1>"0,1"</formula1>
    </dataValidation>
    <dataValidation sqref="H2:H1048576" showDropDown="0" showInputMessage="0" showErrorMessage="1" allowBlank="0" errorTitle="Invalid SQL flag" error="Paste the unchanged SQL output flags." type="list">
      <formula1>"1,2"</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M388"/>
  <sheetViews>
    <sheetView showGridLines="0" zoomScale="65" workbookViewId="0">
      <pane xSplit="4" ySplit="7" topLeftCell="E8"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3" customWidth="1" min="3" max="3"/>
    <col width="36" customWidth="1" min="4" max="4"/>
    <col width="16" customWidth="1" min="5" max="5"/>
    <col width="16" customWidth="1" min="6" max="6"/>
    <col width="16" customWidth="1" min="7" max="7"/>
    <col width="16" customWidth="1" min="8" max="8"/>
    <col width="35" customWidth="1" min="9" max="9"/>
    <col width="16" customWidth="1" min="10" max="10"/>
    <col width="16" customWidth="1" min="11" max="11"/>
    <col width="16" customWidth="1" min="12" max="12"/>
    <col width="16" customWidth="1" min="13" max="13"/>
  </cols>
  <sheetData>
    <row r="1" ht="32" customHeight="1">
      <c r="A1" s="1" t="inlineStr">
        <is>
          <t>33 — BSCR working schedules</t>
        </is>
      </c>
    </row>
    <row r="2">
      <c r="A2" t="inlineStr">
        <is>
          <t>Entity</t>
        </is>
      </c>
      <c r="B2" t="inlineStr">
        <is>
          <t>33</t>
        </is>
      </c>
      <c r="D2" t="inlineStr">
        <is>
          <t>Input basis</t>
        </is>
      </c>
      <c r="E2" t="inlineStr">
        <is>
          <t>Current SQL</t>
        </is>
      </c>
      <c r="G2" t="inlineStr">
        <is>
          <t>Coverage</t>
        </is>
      </c>
      <c r="H2" t="str">
        <f>IF(COUNTIFS(BSCRInput[bscr_entity],"33",BSCRInput[region],"ALL",BSCRInput[peril_id],1)=0,"NO INPUT FOR ENTITY","INPUT PRESENT")</f>
        <v>INPUT PRESENT</v>
      </c>
    </row>
    <row r="3">
      <c r="A3" s="5" t="inlineStr">
        <is>
          <t>Green = automatic. Blue = manual, not supplied by SQL. Counts/geocoding use the agreed historical proxy; premiums and EP losses are NOT automatically complete.</t>
        </is>
      </c>
    </row>
    <row r="4"/>
    <row r="5"/>
    <row r="6">
      <c r="B6" t="inlineStr">
        <is>
          <t>Schedule X(a)</t>
        </is>
      </c>
      <c r="E6" t="inlineStr">
        <is>
          <t>Schedule X(b)</t>
        </is>
      </c>
      <c r="H6" t="inlineStr">
        <is>
          <t>Schedule X(c)</t>
        </is>
      </c>
      <c r="K6" t="inlineStr">
        <is>
          <t>Schedule X(f)</t>
        </is>
      </c>
    </row>
    <row r="7"/>
    <row r="8" ht="75" customHeight="1">
      <c r="A8" s="6" t="n"/>
      <c r="B8" s="7" t="inlineStr">
        <is>
          <t>CATASTROPHE RISK RETURN: EP CURVE TOTAL (TABLE 15)</t>
        </is>
      </c>
      <c r="C8" s="7" t="n"/>
      <c r="D8" s="7" t="n"/>
      <c r="E8" s="7" t="n"/>
      <c r="F8" s="7" t="n"/>
      <c r="G8" s="7" t="n"/>
      <c r="H8" s="7" t="n"/>
      <c r="I8" s="7" t="n"/>
      <c r="J8" s="8" t="inlineStr">
        <is>
          <t>Back to instructions</t>
        </is>
      </c>
      <c r="K8" s="9" t="n"/>
      <c r="L8" s="10" t="n"/>
      <c r="M8" s="11" t="n"/>
    </row>
    <row r="9" ht="13.5" customHeight="1">
      <c r="A9" s="12" t="n"/>
      <c r="B9" s="13" t="inlineStr">
        <is>
          <t>33</t>
        </is>
      </c>
      <c r="C9" s="14" t="n"/>
      <c r="D9" s="14" t="n"/>
      <c r="E9" s="14" t="n"/>
      <c r="F9" s="14" t="n"/>
      <c r="G9" s="14" t="n"/>
      <c r="H9" s="14" t="n"/>
      <c r="I9" s="14" t="n"/>
      <c r="J9" s="14" t="n"/>
      <c r="K9" s="15" t="n"/>
      <c r="L9" s="10" t="n"/>
      <c r="M9" s="11" t="n"/>
    </row>
    <row r="10" ht="13.5" customHeight="1">
      <c r="A10" s="12" t="n"/>
      <c r="B10" s="16">
        <f>DATE(2026,1,1)</f>
        <v>46023.0</v>
      </c>
      <c r="D10" s="14" t="n"/>
      <c r="E10" s="14" t="n"/>
      <c r="F10" s="14" t="n"/>
      <c r="G10" s="14" t="n"/>
      <c r="H10" s="14" t="n"/>
      <c r="I10" s="14" t="n"/>
      <c r="J10" s="17" t="inlineStr">
        <is>
          <t>Schedule X(a)</t>
        </is>
      </c>
      <c r="K10" s="15" t="n"/>
      <c r="L10" s="10" t="n"/>
      <c r="M10" s="11" t="n"/>
    </row>
    <row r="11" ht="6.75" customHeight="1">
      <c r="A11" s="12" t="n"/>
      <c r="B11" s="14" t="n"/>
      <c r="C11" s="14" t="n"/>
      <c r="D11" s="14" t="n"/>
      <c r="E11" s="14" t="n"/>
      <c r="F11" s="14" t="n"/>
      <c r="G11" s="14" t="n"/>
      <c r="H11" s="14" t="n"/>
      <c r="I11" s="14" t="n"/>
      <c r="J11" s="14" t="n"/>
      <c r="K11" s="15" t="n"/>
      <c r="L11" s="10" t="n"/>
      <c r="M11" s="11" t="n"/>
    </row>
    <row r="12">
      <c r="A12" s="18" t="n"/>
      <c r="B12" s="19" t="inlineStr">
        <is>
          <t>1. Exceedance probability information:</t>
        </is>
      </c>
      <c r="C12" s="14" t="n"/>
      <c r="D12" s="14" t="n"/>
      <c r="E12" s="14" t="n"/>
      <c r="F12" s="14" t="n"/>
      <c r="G12" s="14" t="n"/>
      <c r="H12" s="14" t="n"/>
      <c r="I12" s="14" t="n"/>
      <c r="J12" s="14" t="n"/>
      <c r="K12" s="15" t="n"/>
      <c r="L12" s="10" t="n"/>
      <c r="M12" s="11" t="n"/>
    </row>
    <row r="13">
      <c r="A13" s="18" t="n"/>
      <c r="B13" s="14" t="n"/>
      <c r="C13" s="14" t="n"/>
      <c r="D13" s="20" t="n"/>
      <c r="E13" s="21" t="inlineStr">
        <is>
          <t xml:space="preserve"> Gross loss</t>
        </is>
      </c>
      <c r="F13" s="22" t="n"/>
      <c r="G13" s="21" t="inlineStr">
        <is>
          <t xml:space="preserve"> Net loss</t>
        </is>
      </c>
      <c r="H13" s="22" t="n"/>
      <c r="I13" s="14" t="n"/>
      <c r="J13" s="14" t="n"/>
      <c r="K13" s="15" t="n"/>
      <c r="L13" s="10" t="n"/>
      <c r="M13" s="11" t="n"/>
    </row>
    <row r="14" ht="55.35" customHeight="1">
      <c r="A14" s="18" t="n"/>
      <c r="B14" s="14" t="n"/>
      <c r="C14" s="14" t="n"/>
      <c r="D14" s="23" t="inlineStr">
        <is>
          <t>Loss Return period (years)</t>
        </is>
      </c>
      <c r="E14" s="24" t="inlineStr">
        <is>
          <t>Gross per occurrence loss TVaR</t>
        </is>
      </c>
      <c r="F14" s="24" t="inlineStr">
        <is>
          <t>Gross aggregate TVaR</t>
        </is>
      </c>
      <c r="G14" s="24" t="inlineStr">
        <is>
          <t>Net per occurrence loss TVaR</t>
        </is>
      </c>
      <c r="H14" s="24" t="inlineStr">
        <is>
          <t xml:space="preserve">Net aggregate TVaR </t>
        </is>
      </c>
      <c r="I14" s="14" t="n"/>
      <c r="J14" s="14" t="n"/>
      <c r="K14" s="15" t="n"/>
      <c r="L14" s="25" t="n"/>
      <c r="M14" s="11" t="n"/>
    </row>
    <row r="15">
      <c r="A15" s="18" t="n"/>
      <c r="B15" s="14" t="n"/>
      <c r="C15" s="14" t="n"/>
      <c r="D15" s="26" t="n"/>
      <c r="E15" s="21" t="inlineStr">
        <is>
          <t xml:space="preserve"> (US$M)</t>
        </is>
      </c>
      <c r="F15" s="21" t="inlineStr">
        <is>
          <t xml:space="preserve"> (US$M)</t>
        </is>
      </c>
      <c r="G15" s="21" t="inlineStr">
        <is>
          <t xml:space="preserve"> (US$M)</t>
        </is>
      </c>
      <c r="H15" s="21" t="inlineStr">
        <is>
          <t xml:space="preserve"> (US$M)</t>
        </is>
      </c>
      <c r="I15" s="14" t="n"/>
      <c r="J15" s="14" t="n"/>
      <c r="K15" s="15" t="n"/>
      <c r="L15" s="25" t="n"/>
      <c r="M15" s="11" t="n"/>
    </row>
    <row r="16">
      <c r="A16" s="18" t="n"/>
      <c r="B16" s="14" t="n"/>
      <c r="C16" s="14" t="n"/>
      <c r="D16" s="27" t="n">
        <v>50</v>
      </c>
      <c r="E16" s="28" t="n"/>
      <c r="F16" s="28" t="n"/>
      <c r="G16" s="28" t="n"/>
      <c r="H16" s="28" t="n"/>
      <c r="I16" s="14" t="n"/>
      <c r="J16" s="14" t="n"/>
      <c r="K16" s="15" t="n"/>
      <c r="L16" s="10" t="n"/>
      <c r="M16" s="11" t="n"/>
    </row>
    <row r="17">
      <c r="A17" s="18" t="n"/>
      <c r="B17" s="14" t="n"/>
      <c r="C17" s="14" t="n"/>
      <c r="D17" s="27" t="n">
        <v>100</v>
      </c>
      <c r="E17" s="29" t="n"/>
      <c r="F17" s="29" t="n"/>
      <c r="G17" s="29" t="n"/>
      <c r="H17" s="29" t="n"/>
      <c r="I17" s="14" t="n"/>
      <c r="J17" s="14" t="n"/>
      <c r="K17" s="15" t="n"/>
      <c r="L17" s="10" t="n"/>
      <c r="M17" s="11" t="n"/>
    </row>
    <row r="18">
      <c r="A18" s="18" t="n"/>
      <c r="B18" s="14" t="n"/>
      <c r="C18" s="14" t="n"/>
      <c r="D18" s="27" t="n">
        <v>250</v>
      </c>
      <c r="E18" s="29" t="n"/>
      <c r="F18" s="29" t="n"/>
      <c r="G18" s="29" t="n"/>
      <c r="H18" s="29" t="n"/>
      <c r="I18" s="14" t="n"/>
      <c r="J18" s="14" t="n"/>
      <c r="K18" s="15" t="n"/>
      <c r="L18" s="10" t="n"/>
      <c r="M18" s="11" t="n"/>
    </row>
    <row r="19">
      <c r="A19" s="18" t="n"/>
      <c r="B19" s="14" t="n"/>
      <c r="C19" s="14" t="n"/>
      <c r="D19" s="27" t="n">
        <v>500</v>
      </c>
      <c r="E19" s="29" t="n"/>
      <c r="F19" s="29" t="n"/>
      <c r="G19" s="29" t="n"/>
      <c r="H19" s="29" t="n"/>
      <c r="I19" s="14" t="n"/>
      <c r="J19" s="14" t="n"/>
      <c r="K19" s="15" t="n"/>
      <c r="L19" s="10" t="n"/>
      <c r="M19" s="11" t="n"/>
    </row>
    <row r="20">
      <c r="A20" s="18" t="n"/>
      <c r="B20" s="14" t="n"/>
      <c r="C20" s="14" t="n"/>
      <c r="D20" s="30" t="n">
        <v>1000</v>
      </c>
      <c r="E20" s="31" t="n"/>
      <c r="F20" s="31" t="n"/>
      <c r="G20" s="31" t="n"/>
      <c r="H20" s="31" t="n"/>
      <c r="I20" s="14" t="n"/>
      <c r="J20" s="14" t="n"/>
      <c r="K20" s="15" t="n"/>
      <c r="L20" s="10" t="n"/>
      <c r="M20" s="11" t="n"/>
    </row>
    <row r="21" ht="6.75" customHeight="1">
      <c r="A21" s="18" t="n"/>
      <c r="B21" s="14" t="n"/>
      <c r="C21" s="14" t="n"/>
      <c r="D21" s="14" t="n"/>
      <c r="E21" s="32" t="n"/>
      <c r="F21" s="32" t="n"/>
      <c r="G21" s="32" t="n"/>
      <c r="H21" s="32" t="n"/>
      <c r="I21" s="14" t="n"/>
      <c r="J21" s="14" t="n"/>
      <c r="K21" s="15" t="n"/>
      <c r="L21" s="10" t="n"/>
      <c r="M21" s="11" t="n"/>
    </row>
    <row r="22" ht="12.95" customHeight="1">
      <c r="A22" s="18" t="n"/>
      <c r="B22" s="14" t="n"/>
      <c r="C22" s="14" t="n"/>
      <c r="D22" s="14" t="n"/>
      <c r="E22" s="21" t="inlineStr">
        <is>
          <t xml:space="preserve"> Gross Loss (US$M)</t>
        </is>
      </c>
      <c r="F22" s="14" t="n"/>
      <c r="G22" s="14" t="n"/>
      <c r="H22" s="14" t="n"/>
      <c r="I22" s="14" t="n"/>
      <c r="J22" s="21" t="inlineStr">
        <is>
          <t xml:space="preserve"> Net Loss (US$M)</t>
        </is>
      </c>
      <c r="K22" s="15" t="n"/>
      <c r="L22" s="10" t="n"/>
      <c r="M22" s="11" t="n"/>
    </row>
    <row r="23">
      <c r="A23" s="18" t="n"/>
      <c r="B23" s="14" t="n"/>
      <c r="C23" s="14" t="n"/>
      <c r="D23" s="33" t="inlineStr">
        <is>
          <t>Annual average aggregate gross loss</t>
        </is>
      </c>
      <c r="E23" s="34" t="n"/>
      <c r="F23" s="14" t="n"/>
      <c r="G23" s="14" t="n"/>
      <c r="H23" s="14" t="n"/>
      <c r="I23" s="33" t="inlineStr">
        <is>
          <t>Annual average aggregate net loss (net of reinstatements terms)</t>
        </is>
      </c>
      <c r="J23" s="34" t="n"/>
      <c r="K23" s="15" t="n"/>
      <c r="L23" s="10" t="n"/>
      <c r="M23" s="11" t="n"/>
    </row>
    <row r="24">
      <c r="A24" s="18" t="n"/>
      <c r="B24" s="14" t="n"/>
      <c r="C24" s="14" t="n"/>
      <c r="D24" s="33" t="n"/>
      <c r="E24" s="14" t="n"/>
      <c r="F24" s="14" t="n"/>
      <c r="G24" s="14" t="n"/>
      <c r="H24" s="14" t="n"/>
      <c r="I24" s="33" t="inlineStr">
        <is>
          <t>Reinstatement terms included in Annual average aggregated net loss</t>
        </is>
      </c>
      <c r="J24" s="34" t="n"/>
      <c r="K24" s="15" t="n"/>
      <c r="L24" s="10" t="n"/>
      <c r="M24" s="11" t="n"/>
    </row>
    <row r="25">
      <c r="A25" s="18" t="n"/>
      <c r="B25" s="14" t="n"/>
      <c r="C25" s="14" t="n"/>
      <c r="D25" s="33" t="inlineStr">
        <is>
          <t>Standard deviation of annual aggregate gross loss</t>
        </is>
      </c>
      <c r="E25" s="34" t="n"/>
      <c r="F25" s="14" t="n"/>
      <c r="G25" s="14" t="n"/>
      <c r="H25" s="14" t="n"/>
      <c r="I25" s="33" t="inlineStr">
        <is>
          <t>Standard deviation of annual aggregate net loss (net of reinstatements terms)</t>
        </is>
      </c>
      <c r="J25" s="34" t="n"/>
      <c r="K25" s="15" t="n"/>
      <c r="L25" s="10" t="n"/>
      <c r="M25" s="11" t="n"/>
    </row>
    <row r="26">
      <c r="A26" s="18" t="n"/>
      <c r="B26" s="14" t="n"/>
      <c r="C26" s="14" t="n"/>
      <c r="D26" s="33" t="n"/>
      <c r="E26" s="32" t="n"/>
      <c r="F26" s="14" t="n"/>
      <c r="G26" s="14" t="n"/>
      <c r="H26" s="14" t="n"/>
      <c r="I26" s="33" t="n"/>
      <c r="J26" s="35" t="n"/>
      <c r="K26" s="15" t="n"/>
      <c r="L26" s="10" t="n"/>
      <c r="M26" s="11" t="n"/>
    </row>
    <row r="27">
      <c r="A27" s="18" t="n"/>
      <c r="B27" s="14" t="n"/>
      <c r="C27" s="14" t="n"/>
      <c r="D27" s="33" t="inlineStr">
        <is>
          <t xml:space="preserve">Total gross statutory property catastrophe premium modelled </t>
        </is>
      </c>
      <c r="E27" s="34" t="n"/>
      <c r="F27" s="14" t="n"/>
      <c r="G27" s="14" t="n"/>
      <c r="H27" s="14" t="n"/>
      <c r="I27" s="33" t="inlineStr">
        <is>
          <t>Total net statutory property catastrophe premium modelled</t>
        </is>
      </c>
      <c r="J27" s="34" t="n"/>
      <c r="K27" s="15" t="n"/>
      <c r="L27" s="10" t="n"/>
      <c r="M27" s="11" t="n"/>
    </row>
    <row r="28">
      <c r="A28" s="18" t="n"/>
      <c r="B28" s="14" t="n"/>
      <c r="C28" s="14" t="n"/>
      <c r="D28" s="33" t="inlineStr">
        <is>
          <t>Total gross all other catastrophe premium modelled</t>
        </is>
      </c>
      <c r="E28" s="36" t="n"/>
      <c r="F28" s="14" t="n"/>
      <c r="G28" s="14" t="n"/>
      <c r="H28" s="14" t="n"/>
      <c r="I28" s="33" t="inlineStr">
        <is>
          <t>Total net all other catastrophe premium modelled</t>
        </is>
      </c>
      <c r="J28" s="36" t="n"/>
      <c r="K28" s="15" t="n"/>
      <c r="L28" s="10" t="n"/>
      <c r="M28" s="11" t="n"/>
    </row>
    <row r="29" ht="6.75" customHeight="1">
      <c r="A29" s="18" t="n"/>
      <c r="B29" s="14" t="n"/>
      <c r="C29" s="14" t="n"/>
      <c r="D29" s="14" t="n"/>
      <c r="E29" s="14" t="n"/>
      <c r="F29" s="14" t="n"/>
      <c r="G29" s="14" t="n"/>
      <c r="H29" s="14" t="n"/>
      <c r="I29" s="14" t="n"/>
      <c r="J29" s="14" t="n"/>
      <c r="K29" s="15" t="n"/>
      <c r="L29" s="10" t="n"/>
      <c r="M29" s="11" t="n"/>
    </row>
    <row r="30">
      <c r="A30" s="18" t="n"/>
      <c r="B30" s="14" t="n"/>
      <c r="C30" s="14" t="n"/>
      <c r="D30" s="33" t="inlineStr">
        <is>
          <t>Total gross statutory property catastrophe limits exposed - modelled</t>
        </is>
      </c>
      <c r="E30" s="34" t="n"/>
      <c r="F30" s="14" t="n"/>
      <c r="G30" s="14" t="n"/>
      <c r="H30" s="14" t="n"/>
      <c r="I30" s="33" t="inlineStr">
        <is>
          <t>Total net statutory property catastrophe limits exposed – modelled</t>
        </is>
      </c>
      <c r="J30" s="34" t="n"/>
      <c r="K30" s="15" t="n"/>
      <c r="L30" s="10" t="n"/>
      <c r="M30" s="11" t="n"/>
    </row>
    <row r="31">
      <c r="A31" s="18" t="n"/>
      <c r="B31" s="14" t="n"/>
      <c r="C31" s="14" t="n"/>
      <c r="D31" s="33" t="inlineStr">
        <is>
          <t>Total gross statutory property catastrophe limits exposed - not modelled</t>
        </is>
      </c>
      <c r="E31" s="34" t="n"/>
      <c r="F31" s="14" t="n"/>
      <c r="G31" s="14" t="n"/>
      <c r="H31" s="14" t="n"/>
      <c r="I31" s="33" t="inlineStr">
        <is>
          <t>Total net statutory property catastrophe limits exposed– not modelled</t>
        </is>
      </c>
      <c r="J31" s="34" t="n"/>
      <c r="K31" s="15" t="n"/>
      <c r="L31" s="10" t="n"/>
      <c r="M31" s="11" t="n"/>
    </row>
    <row r="32">
      <c r="A32" s="18" t="n"/>
      <c r="B32" s="14" t="n"/>
      <c r="C32" s="14" t="n"/>
      <c r="D32" s="33" t="inlineStr">
        <is>
          <t>Total gross all other lines limits exposed - modelled</t>
        </is>
      </c>
      <c r="E32" s="37">
        <f>SUMIFS(BSCRInput[sum_pml],BSCRInput[bscr_entity],"33",BSCRInput[region],"ALL",BSCRInput[peril_id],1,BSCRInput[is_geocoded],1)/1000000</f>
        <v>32417.058604477046</v>
      </c>
      <c r="F32" s="14" t="n"/>
      <c r="G32" s="14" t="n"/>
      <c r="H32" s="14" t="n"/>
      <c r="I32" s="33" t="inlineStr">
        <is>
          <t>Total net all other lines limits exposed – modelled</t>
        </is>
      </c>
      <c r="J32" s="37">
        <f>SUMIFS(BSCRInput[sum_net],BSCRInput[bscr_entity],"33",BSCRInput[region],"ALL",BSCRInput[peril_id],1,BSCRInput[is_geocoded],1)/1000000</f>
        <v>24200.103153517382</v>
      </c>
      <c r="K32" s="15" t="n"/>
      <c r="L32" s="10" t="n"/>
      <c r="M32" s="11" t="n"/>
    </row>
    <row r="33">
      <c r="A33" s="18" t="n"/>
      <c r="B33" s="14" t="n"/>
      <c r="C33" s="14" t="n"/>
      <c r="D33" s="33" t="inlineStr">
        <is>
          <t>Total gross all other lines limits exposed  - not modelled</t>
        </is>
      </c>
      <c r="E33" s="37">
        <f>SUMIFS(BSCRInput[sum_pml],BSCRInput[bscr_entity],"33",BSCRInput[region],"ALL",BSCRInput[peril_id],1,BSCRInput[is_geocoded],0)/1000000</f>
        <v>4295.845357323308</v>
      </c>
      <c r="F33" s="14" t="n"/>
      <c r="G33" s="14" t="n"/>
      <c r="H33" s="14" t="n"/>
      <c r="I33" s="33" t="inlineStr">
        <is>
          <t>Total net all other lines limits exposed - not modelled</t>
        </is>
      </c>
      <c r="J33" s="37">
        <f>SUMIFS(BSCRInput[sum_net],BSCRInput[bscr_entity],"33",BSCRInput[region],"ALL",BSCRInput[peril_id],1,BSCRInput[is_geocoded],0)/1000000</f>
        <v>2757.348022905048</v>
      </c>
      <c r="K33" s="15" t="n"/>
      <c r="L33" s="10" t="n"/>
      <c r="M33" s="11" t="n"/>
    </row>
    <row r="34">
      <c r="A34" s="18" t="n"/>
      <c r="B34" s="14" t="n"/>
      <c r="C34" s="14" t="n"/>
      <c r="D34" s="33" t="inlineStr">
        <is>
          <t>Total gross premium without an occurrence or aggregate limit:</t>
        </is>
      </c>
      <c r="E34" s="34" t="n"/>
      <c r="F34" s="14" t="n"/>
      <c r="G34" s="14" t="n"/>
      <c r="H34" s="14" t="n"/>
      <c r="I34" s="33" t="inlineStr">
        <is>
          <t>Total net premium without an occurrence or aggregate limit</t>
        </is>
      </c>
      <c r="J34" s="34" t="n"/>
      <c r="K34" s="15" t="n"/>
      <c r="L34" s="10" t="n"/>
      <c r="M34" s="11" t="n"/>
    </row>
    <row r="35">
      <c r="A35" s="18" t="n"/>
      <c r="B35" s="14" t="n"/>
      <c r="C35" s="14" t="n"/>
      <c r="D35" s="33" t="inlineStr">
        <is>
          <t>Total gross premium with non determinable Total Insured Value (“TIV”):</t>
        </is>
      </c>
      <c r="E35" s="34" t="n"/>
      <c r="F35" s="14" t="n"/>
      <c r="G35" s="14" t="n"/>
      <c r="H35" s="14" t="n"/>
      <c r="I35" s="33" t="inlineStr">
        <is>
          <t>Total net premium with non-determinable TIV:</t>
        </is>
      </c>
      <c r="J35" s="34" t="n"/>
      <c r="K35" s="15" t="n"/>
      <c r="L35" s="10" t="n"/>
      <c r="M35" s="11" t="n"/>
    </row>
    <row r="36" ht="6.75" customHeight="1">
      <c r="A36" s="18" t="n"/>
      <c r="B36" s="14" t="n"/>
      <c r="C36" s="14" t="n"/>
      <c r="D36" s="14" t="n"/>
      <c r="E36" s="32" t="n"/>
      <c r="F36" s="14" t="n"/>
      <c r="G36" s="14" t="n"/>
      <c r="H36" s="14" t="n"/>
      <c r="I36" s="14" t="n"/>
      <c r="J36" s="14" t="n"/>
      <c r="K36" s="15" t="n"/>
      <c r="L36" s="10" t="n"/>
      <c r="M36" s="11" t="n"/>
    </row>
    <row r="37">
      <c r="A37" s="18" t="n"/>
      <c r="B37" s="19" t="inlineStr">
        <is>
          <t>2. Significant sources of catastrophe risk and associated loss included in the EP Curves</t>
        </is>
      </c>
      <c r="C37" s="14" t="n"/>
      <c r="D37" s="14" t="n"/>
      <c r="E37" s="32" t="n"/>
      <c r="F37" s="14" t="n"/>
      <c r="G37" s="14" t="n"/>
      <c r="H37" s="14" t="n"/>
      <c r="I37" s="14" t="n"/>
      <c r="J37" s="14" t="n"/>
      <c r="K37" s="15" t="n"/>
      <c r="L37" s="10" t="n"/>
      <c r="M37" s="11" t="n"/>
    </row>
    <row r="38">
      <c r="A38" s="18" t="n"/>
      <c r="B38" s="14" t="n"/>
      <c r="C38" s="14" t="n"/>
      <c r="D38" s="33" t="inlineStr">
        <is>
          <t>Allocated loss adjustment expense</t>
        </is>
      </c>
      <c r="E38" s="38" t="n"/>
      <c r="F38" s="39" t="n"/>
      <c r="G38" s="39" t="n"/>
      <c r="H38" s="40" t="str">
        <f>IF(E38="No","If no, why not:","")</f>
        <v/>
      </c>
      <c r="I38" s="41" t="n"/>
      <c r="J38" s="42" t="n"/>
      <c r="K38" s="43" t="n"/>
      <c r="L38" s="10" t="n"/>
      <c r="M38" s="11" t="n"/>
    </row>
    <row r="39">
      <c r="A39" s="18" t="n"/>
      <c r="B39" s="14" t="n"/>
      <c r="C39" s="14" t="n"/>
      <c r="D39" s="33" t="inlineStr">
        <is>
          <t>Property - buildings</t>
        </is>
      </c>
      <c r="E39" s="38" t="n"/>
      <c r="F39" s="39" t="n"/>
      <c r="G39" s="39" t="n"/>
      <c r="H39" s="40" t="str">
        <f>IF(E39="No","If no, why not:","")</f>
        <v/>
      </c>
      <c r="I39" s="41" t="n"/>
      <c r="J39" s="42" t="n"/>
      <c r="K39" s="43" t="n"/>
      <c r="L39" s="10" t="n"/>
      <c r="M39" s="11" t="n"/>
    </row>
    <row r="40">
      <c r="A40" s="18" t="n"/>
      <c r="B40" s="14" t="n"/>
      <c r="C40" s="14" t="n"/>
      <c r="D40" s="33" t="inlineStr">
        <is>
          <t>Property - contents</t>
        </is>
      </c>
      <c r="E40" s="38" t="n"/>
      <c r="F40" s="39" t="n"/>
      <c r="G40" s="39" t="n"/>
      <c r="H40" s="40" t="str">
        <f>IF(E40="No","If no, why not:","")</f>
        <v/>
      </c>
      <c r="I40" s="41" t="n"/>
      <c r="J40" s="42" t="n"/>
      <c r="K40" s="43" t="n"/>
      <c r="L40" s="10" t="n"/>
      <c r="M40" s="11" t="n"/>
    </row>
    <row r="41">
      <c r="A41" s="18" t="n"/>
      <c r="B41" s="14" t="n"/>
      <c r="C41" s="14" t="n"/>
      <c r="D41" s="33" t="inlineStr">
        <is>
          <t>Additional living expenses</t>
        </is>
      </c>
      <c r="E41" s="44" t="n"/>
      <c r="F41" s="39" t="n"/>
      <c r="G41" s="39" t="n"/>
      <c r="H41" s="40" t="str">
        <f>IF(E41="No","If no, why not:","")</f>
        <v/>
      </c>
      <c r="I41" s="41" t="n"/>
      <c r="J41" s="42" t="n"/>
      <c r="K41" s="43" t="n"/>
      <c r="L41" s="10" t="n"/>
      <c r="M41" s="11" t="n"/>
    </row>
    <row r="42">
      <c r="A42" s="18" t="n"/>
      <c r="B42" s="14" t="n"/>
      <c r="C42" s="14" t="n"/>
      <c r="D42" s="33" t="inlineStr">
        <is>
          <t>Business interruption</t>
        </is>
      </c>
      <c r="E42" s="38" t="n"/>
      <c r="F42" s="45" t="n"/>
      <c r="G42" s="46" t="n"/>
      <c r="H42" s="40" t="str">
        <f>IF(E42="No","If no, why not:","")</f>
        <v/>
      </c>
      <c r="I42" s="41" t="n"/>
      <c r="J42" s="42" t="n"/>
      <c r="K42" s="43" t="n"/>
      <c r="L42" s="10" t="n"/>
      <c r="M42" s="11" t="n"/>
    </row>
    <row r="43">
      <c r="A43" s="18" t="n"/>
      <c r="B43" s="14" t="n"/>
      <c r="C43" s="14" t="n"/>
      <c r="D43" s="33" t="inlineStr">
        <is>
          <t>Auto physical damage</t>
        </is>
      </c>
      <c r="E43" s="38" t="n"/>
      <c r="F43" s="45" t="n"/>
      <c r="G43" s="46" t="n"/>
      <c r="H43" s="40" t="str">
        <f>IF(E43="No","If no, why not:","")</f>
        <v/>
      </c>
      <c r="I43" s="41" t="n"/>
      <c r="J43" s="42" t="n"/>
      <c r="K43" s="43" t="n"/>
      <c r="L43" s="10" t="n"/>
      <c r="M43" s="11" t="n"/>
    </row>
    <row r="44">
      <c r="A44" s="18" t="n"/>
      <c r="B44" s="14" t="n"/>
      <c r="C44" s="14" t="n"/>
      <c r="D44" s="33" t="inlineStr">
        <is>
          <t>Worker's compensation</t>
        </is>
      </c>
      <c r="E44" s="38" t="n"/>
      <c r="F44" s="45" t="n"/>
      <c r="G44" s="46" t="n"/>
      <c r="H44" s="40" t="str">
        <f>IF(E44="No","If no, why not:","")</f>
        <v/>
      </c>
      <c r="I44" s="41" t="n"/>
      <c r="J44" s="42" t="n"/>
      <c r="K44" s="43" t="n"/>
      <c r="L44" s="10" t="n"/>
      <c r="M44" s="11" t="n"/>
    </row>
    <row r="45">
      <c r="A45" s="18" t="n"/>
      <c r="B45" s="14" t="n"/>
      <c r="C45" s="14" t="n"/>
      <c r="D45" s="33" t="inlineStr">
        <is>
          <t>Personal accident</t>
        </is>
      </c>
      <c r="E45" s="38" t="n"/>
      <c r="F45" s="45" t="n"/>
      <c r="G45" s="46" t="n"/>
      <c r="H45" s="40" t="str">
        <f>IF(E45="No","If no, why not:","")</f>
        <v/>
      </c>
      <c r="I45" s="41" t="n"/>
      <c r="J45" s="42" t="n"/>
      <c r="K45" s="43" t="n"/>
      <c r="L45" s="10" t="n"/>
      <c r="M45" s="11" t="n"/>
    </row>
    <row r="46">
      <c r="A46" s="18" t="n"/>
      <c r="B46" s="14" t="n"/>
      <c r="C46" s="14" t="n"/>
      <c r="D46" s="33" t="inlineStr">
        <is>
          <t>Life insurance</t>
        </is>
      </c>
      <c r="E46" s="38" t="n"/>
      <c r="F46" s="45" t="n"/>
      <c r="G46" s="46" t="n"/>
      <c r="H46" s="40" t="str">
        <f>IF(E46="No","If no, why not:","")</f>
        <v/>
      </c>
      <c r="I46" s="41" t="n"/>
      <c r="J46" s="42" t="n"/>
      <c r="K46" s="43" t="n"/>
      <c r="L46" s="10" t="n"/>
      <c r="M46" s="11" t="n"/>
    </row>
    <row r="47">
      <c r="A47" s="18" t="n"/>
      <c r="B47" s="14" t="n"/>
      <c r="C47" s="14" t="n"/>
      <c r="D47" s="33" t="inlineStr">
        <is>
          <t>Onshore energy</t>
        </is>
      </c>
      <c r="E47" s="38" t="n"/>
      <c r="F47" s="45" t="n"/>
      <c r="G47" s="46" t="n"/>
      <c r="H47" s="40" t="str">
        <f>IF(E47="No","If no, why not:","")</f>
        <v/>
      </c>
      <c r="I47" s="41" t="n"/>
      <c r="J47" s="42" t="n"/>
      <c r="K47" s="43" t="n"/>
      <c r="L47" s="10" t="n"/>
      <c r="M47" s="11" t="n"/>
    </row>
    <row r="48">
      <c r="A48" s="18" t="n"/>
      <c r="B48" s="14" t="n"/>
      <c r="C48" s="14" t="n"/>
      <c r="D48" s="33" t="inlineStr">
        <is>
          <t>Offshore energy</t>
        </is>
      </c>
      <c r="E48" s="38" t="n"/>
      <c r="F48" s="45" t="n"/>
      <c r="G48" s="46" t="n"/>
      <c r="H48" s="40" t="str">
        <f>IF(E48="No","If no, why not:","")</f>
        <v/>
      </c>
      <c r="I48" s="41" t="n"/>
      <c r="J48" s="42" t="n"/>
      <c r="K48" s="43" t="n"/>
      <c r="L48" s="10" t="n"/>
      <c r="M48" s="11" t="n"/>
    </row>
    <row r="49">
      <c r="A49" s="18" t="n"/>
      <c r="B49" s="14" t="n"/>
      <c r="C49" s="14" t="n"/>
      <c r="D49" s="33" t="inlineStr">
        <is>
          <t>Ocean marine</t>
        </is>
      </c>
      <c r="E49" s="38" t="n"/>
      <c r="F49" s="45" t="n"/>
      <c r="G49" s="46" t="n"/>
      <c r="H49" s="40" t="str">
        <f>IF(E49="No","If no, why not:","")</f>
        <v/>
      </c>
      <c r="I49" s="41" t="n"/>
      <c r="J49" s="42" t="n"/>
      <c r="K49" s="43" t="n"/>
      <c r="L49" s="10" t="n"/>
      <c r="M49" s="11" t="n"/>
    </row>
    <row r="50">
      <c r="A50" s="18" t="n"/>
      <c r="B50" s="14" t="n"/>
      <c r="C50" s="14" t="n"/>
      <c r="D50" s="33" t="inlineStr">
        <is>
          <t>Inland marine</t>
        </is>
      </c>
      <c r="E50" s="38" t="n"/>
      <c r="F50" s="45" t="n"/>
      <c r="G50" s="46" t="n"/>
      <c r="H50" s="40" t="str">
        <f>IF(E50="No","If no, why not:","")</f>
        <v/>
      </c>
      <c r="I50" s="41" t="n"/>
      <c r="J50" s="42" t="n"/>
      <c r="K50" s="43" t="n"/>
      <c r="L50" s="10" t="n"/>
      <c r="M50" s="11" t="n"/>
    </row>
    <row r="51">
      <c r="A51" s="18" t="n"/>
      <c r="B51" s="14" t="n"/>
      <c r="C51" s="14" t="n"/>
      <c r="D51" s="33" t="inlineStr">
        <is>
          <t>Flood</t>
        </is>
      </c>
      <c r="E51" s="38" t="n"/>
      <c r="F51" s="45" t="n"/>
      <c r="G51" s="46" t="n"/>
      <c r="H51" s="40" t="str">
        <f>IF(E51="No","If no, why not:","")</f>
        <v/>
      </c>
      <c r="I51" s="41" t="n"/>
      <c r="J51" s="42" t="n"/>
      <c r="K51" s="43" t="n"/>
      <c r="L51" s="10" t="n"/>
      <c r="M51" s="11" t="n"/>
    </row>
    <row r="52">
      <c r="A52" s="18" t="n"/>
      <c r="B52" s="14" t="n"/>
      <c r="C52" s="14" t="n"/>
      <c r="D52" s="33" t="inlineStr">
        <is>
          <t>Crop</t>
        </is>
      </c>
      <c r="E52" s="38" t="n"/>
      <c r="F52" s="45" t="n"/>
      <c r="G52" s="46" t="n"/>
      <c r="H52" s="40" t="str">
        <f>IF(E52="No","If no, why not:","")</f>
        <v/>
      </c>
      <c r="I52" s="41" t="n"/>
      <c r="J52" s="42" t="n"/>
      <c r="K52" s="43" t="n"/>
      <c r="L52" s="10" t="n"/>
      <c r="M52" s="11" t="n"/>
    </row>
    <row r="53">
      <c r="A53" s="18" t="n"/>
      <c r="B53" s="14" t="n"/>
      <c r="C53" s="14" t="n"/>
      <c r="D53" s="33" t="inlineStr">
        <is>
          <t>Other primary insurance</t>
        </is>
      </c>
      <c r="E53" s="38" t="n"/>
      <c r="F53" s="45" t="n"/>
      <c r="G53" s="46" t="n"/>
      <c r="H53" s="40" t="str">
        <f>IF(E53="No","If no, why not:","")</f>
        <v/>
      </c>
      <c r="I53" s="41" t="n"/>
      <c r="J53" s="42" t="n"/>
      <c r="K53" s="43" t="n"/>
      <c r="L53" s="10" t="n"/>
      <c r="M53" s="11" t="n"/>
    </row>
    <row r="54" ht="6.75" customHeight="1">
      <c r="A54" s="18" t="n"/>
      <c r="B54" s="14" t="n"/>
      <c r="C54" s="14" t="n"/>
      <c r="D54" s="14" t="n"/>
      <c r="E54" s="47" t="n"/>
      <c r="F54" s="40" t="n"/>
      <c r="G54" s="40" t="n"/>
      <c r="H54" s="40" t="n"/>
      <c r="I54" s="48" t="n"/>
      <c r="J54" s="48" t="n"/>
      <c r="K54" s="49" t="n"/>
      <c r="L54" s="10" t="n"/>
      <c r="M54" s="11" t="n"/>
    </row>
    <row r="55">
      <c r="A55" s="18" t="n"/>
      <c r="B55" s="19" t="inlineStr">
        <is>
          <t>3. Assumed reinsurance information:</t>
        </is>
      </c>
      <c r="C55" s="14" t="n"/>
      <c r="D55" s="14" t="n"/>
      <c r="E55" s="47" t="n"/>
      <c r="F55" s="40" t="n"/>
      <c r="G55" s="40" t="n"/>
      <c r="H55" s="40" t="n"/>
      <c r="I55" s="48" t="n"/>
      <c r="J55" s="48" t="n"/>
      <c r="K55" s="49" t="n"/>
      <c r="L55" s="10" t="n"/>
      <c r="M55" s="11" t="n"/>
    </row>
    <row r="56">
      <c r="A56" s="18" t="n"/>
      <c r="B56" s="14" t="n"/>
      <c r="C56" s="14" t="n"/>
      <c r="D56" s="33" t="inlineStr">
        <is>
          <t>Proportional - quota share</t>
        </is>
      </c>
      <c r="E56" s="38" t="n"/>
      <c r="F56" s="45" t="n"/>
      <c r="G56" s="46" t="n"/>
      <c r="H56" s="40" t="str">
        <f>IF(E56="No","If no, why not:","")</f>
        <v/>
      </c>
      <c r="I56" s="41" t="n"/>
      <c r="J56" s="42" t="n"/>
      <c r="K56" s="43" t="n"/>
      <c r="L56" s="10" t="n"/>
      <c r="M56" s="11" t="n"/>
    </row>
    <row r="57">
      <c r="A57" s="18" t="n"/>
      <c r="B57" s="14" t="n"/>
      <c r="C57" s="14" t="n"/>
      <c r="D57" s="33" t="inlineStr">
        <is>
          <t>Proportional - surplus share</t>
        </is>
      </c>
      <c r="E57" s="38" t="n"/>
      <c r="F57" s="45" t="n"/>
      <c r="G57" s="46" t="n"/>
      <c r="H57" s="40" t="str">
        <f>IF(E57="No","If no, why not:","")</f>
        <v/>
      </c>
      <c r="I57" s="41" t="n"/>
      <c r="J57" s="42" t="n"/>
      <c r="K57" s="43" t="n"/>
      <c r="L57" s="10" t="n"/>
      <c r="M57" s="11" t="n"/>
    </row>
    <row r="58">
      <c r="A58" s="18" t="n"/>
      <c r="B58" s="14" t="n"/>
      <c r="C58" s="14" t="n"/>
      <c r="D58" s="33" t="inlineStr">
        <is>
          <t>Non-proportional - catastrophe</t>
        </is>
      </c>
      <c r="E58" s="38" t="n"/>
      <c r="F58" s="45" t="n"/>
      <c r="G58" s="46" t="n"/>
      <c r="H58" s="40" t="str">
        <f>IF(E58="No","If no, why not:","")</f>
        <v/>
      </c>
      <c r="I58" s="41" t="n"/>
      <c r="J58" s="42" t="n"/>
      <c r="K58" s="43" t="n"/>
      <c r="L58" s="10" t="n"/>
      <c r="M58" s="11" t="n"/>
    </row>
    <row r="59">
      <c r="A59" s="18" t="n"/>
      <c r="B59" s="14" t="n"/>
      <c r="C59" s="14" t="n"/>
      <c r="D59" s="33" t="inlineStr">
        <is>
          <t>Non-proportional - per risk</t>
        </is>
      </c>
      <c r="E59" s="38" t="n"/>
      <c r="F59" s="45" t="n"/>
      <c r="G59" s="46" t="n"/>
      <c r="H59" s="40" t="str">
        <f>IF(E59="No","If no, why not:","")</f>
        <v/>
      </c>
      <c r="I59" s="41" t="n"/>
      <c r="J59" s="42" t="n"/>
      <c r="K59" s="43" t="n"/>
      <c r="L59" s="10" t="n"/>
      <c r="M59" s="11" t="n"/>
    </row>
    <row r="60">
      <c r="A60" s="18" t="n"/>
      <c r="B60" s="14" t="n"/>
      <c r="C60" s="14" t="n"/>
      <c r="D60" s="33" t="inlineStr">
        <is>
          <t>Other reinsurance assumed</t>
        </is>
      </c>
      <c r="E60" s="38" t="n"/>
      <c r="F60" s="45" t="n"/>
      <c r="G60" s="46" t="n"/>
      <c r="H60" s="40" t="str">
        <f>IF(E60="No","If no, why not:","")</f>
        <v/>
      </c>
      <c r="I60" s="41" t="n"/>
      <c r="J60" s="42" t="n"/>
      <c r="K60" s="43" t="n"/>
      <c r="L60" s="10" t="n"/>
      <c r="M60" s="11" t="n"/>
    </row>
    <row r="61" ht="6.75" customHeight="1">
      <c r="A61" s="18" t="n"/>
      <c r="B61" s="14" t="n"/>
      <c r="C61" s="14" t="n"/>
      <c r="D61" s="33" t="n"/>
      <c r="E61" s="40" t="n"/>
      <c r="F61" s="40" t="n"/>
      <c r="G61" s="40" t="n"/>
      <c r="H61" s="40" t="n"/>
      <c r="I61" s="50" t="n"/>
      <c r="J61" s="50" t="n"/>
      <c r="K61" s="41" t="n"/>
      <c r="L61" s="10" t="n"/>
      <c r="M61" s="11" t="n"/>
    </row>
    <row r="62">
      <c r="A62" s="18" t="n"/>
      <c r="B62" s="19" t="inlineStr">
        <is>
          <t>4. Pools and assessments information:</t>
        </is>
      </c>
      <c r="C62" s="14" t="n"/>
      <c r="D62" s="33" t="n"/>
      <c r="E62" s="47" t="n"/>
      <c r="F62" s="40" t="n"/>
      <c r="G62" s="40" t="n"/>
      <c r="H62" s="40" t="n"/>
      <c r="I62" s="48" t="n"/>
      <c r="J62" s="48" t="n"/>
      <c r="K62" s="49" t="n"/>
      <c r="L62" s="10" t="n"/>
      <c r="M62" s="11" t="n"/>
    </row>
    <row r="63">
      <c r="A63" s="18" t="n"/>
      <c r="B63" s="51" t="n"/>
      <c r="C63" s="14" t="n"/>
      <c r="D63" s="33" t="inlineStr">
        <is>
          <t>Voluntary pools and/or assessments</t>
        </is>
      </c>
      <c r="E63" s="38" t="n"/>
      <c r="F63" s="45" t="n"/>
      <c r="G63" s="46" t="n"/>
      <c r="H63" s="40" t="str">
        <f>IF(E63="No","If no, why not:","")</f>
        <v/>
      </c>
      <c r="I63" s="41" t="n"/>
      <c r="J63" s="42" t="n"/>
      <c r="K63" s="43" t="n"/>
      <c r="L63" s="10" t="n"/>
      <c r="M63" s="11" t="n"/>
    </row>
    <row r="64">
      <c r="A64" s="18" t="n"/>
      <c r="B64" s="51" t="n"/>
      <c r="C64" s="14" t="n"/>
      <c r="D64" s="33" t="inlineStr">
        <is>
          <t>Involuntary pools and/or assessments</t>
        </is>
      </c>
      <c r="E64" s="38" t="n"/>
      <c r="F64" s="45" t="n"/>
      <c r="G64" s="46" t="n"/>
      <c r="H64" s="40" t="str">
        <f>IF(E64="No","If no, why not:","")</f>
        <v/>
      </c>
      <c r="I64" s="41" t="n"/>
      <c r="J64" s="42" t="n"/>
      <c r="K64" s="43" t="n"/>
      <c r="L64" s="10" t="n"/>
      <c r="M64" s="11" t="n"/>
    </row>
    <row r="65" ht="6.75" customHeight="1">
      <c r="A65" s="18" t="n"/>
      <c r="B65" s="14" t="n"/>
      <c r="C65" s="14" t="n"/>
      <c r="D65" s="33" t="n"/>
      <c r="E65" s="40" t="n"/>
      <c r="F65" s="40" t="n"/>
      <c r="G65" s="40" t="n"/>
      <c r="H65" s="40" t="n"/>
      <c r="I65" s="48" t="n"/>
      <c r="J65" s="48" t="n"/>
      <c r="K65" s="49" t="n"/>
      <c r="L65" s="10" t="n"/>
      <c r="M65" s="11" t="n"/>
    </row>
    <row r="66">
      <c r="A66" s="18" t="n"/>
      <c r="B66" s="19" t="inlineStr">
        <is>
          <t>5. Supplemental perils and model options:</t>
        </is>
      </c>
      <c r="C66" s="14" t="n"/>
      <c r="D66" s="33" t="n"/>
      <c r="E66" s="47" t="n"/>
      <c r="F66" s="40" t="n"/>
      <c r="G66" s="40" t="n"/>
      <c r="H66" s="40" t="n"/>
      <c r="I66" s="48" t="n"/>
      <c r="J66" s="48" t="n"/>
      <c r="K66" s="49" t="n"/>
      <c r="L66" s="10" t="n"/>
      <c r="M66" s="11" t="n"/>
    </row>
    <row r="67">
      <c r="A67" s="18" t="n"/>
      <c r="B67" s="14" t="n"/>
      <c r="C67" s="14" t="n"/>
      <c r="D67" s="33" t="inlineStr">
        <is>
          <t>Fire following</t>
        </is>
      </c>
      <c r="E67" s="38" t="n"/>
      <c r="F67" s="45" t="n"/>
      <c r="G67" s="46" t="n"/>
      <c r="H67" s="40" t="str">
        <f>IF(E67="No","If no, why not:","")</f>
        <v/>
      </c>
      <c r="I67" s="41" t="n"/>
      <c r="J67" s="42" t="n"/>
      <c r="K67" s="43" t="n"/>
      <c r="L67" s="10" t="n"/>
      <c r="M67" s="11" t="n"/>
    </row>
    <row r="68">
      <c r="A68" s="18" t="n"/>
      <c r="B68" s="14" t="n"/>
      <c r="C68" s="14" t="n"/>
      <c r="D68" s="33" t="inlineStr">
        <is>
          <t>Sprinkler leakage</t>
        </is>
      </c>
      <c r="E68" s="38" t="n"/>
      <c r="F68" s="45" t="n"/>
      <c r="G68" s="46" t="n"/>
      <c r="H68" s="40" t="str">
        <f>IF(E68="No","If no, why not:","")</f>
        <v/>
      </c>
      <c r="I68" s="41" t="n"/>
      <c r="J68" s="42" t="n"/>
      <c r="K68" s="43" t="n"/>
      <c r="L68" s="10" t="n"/>
      <c r="M68" s="11" t="n"/>
    </row>
    <row r="69">
      <c r="A69" s="18" t="n"/>
      <c r="B69" s="14" t="n"/>
      <c r="C69" s="14" t="n"/>
      <c r="D69" s="33" t="inlineStr">
        <is>
          <t>Storm surge</t>
        </is>
      </c>
      <c r="E69" s="38" t="n"/>
      <c r="F69" s="45" t="n"/>
      <c r="G69" s="46" t="n"/>
      <c r="H69" s="40" t="str">
        <f>IF(E69="No","If no, why not:","")</f>
        <v/>
      </c>
      <c r="I69" s="41" t="n"/>
      <c r="J69" s="42" t="n"/>
      <c r="K69" s="43" t="n"/>
      <c r="L69" s="10" t="n"/>
      <c r="M69" s="11" t="n"/>
    </row>
    <row r="70">
      <c r="A70" s="18" t="n"/>
      <c r="B70" s="14" t="n"/>
      <c r="C70" s="14" t="n"/>
      <c r="D70" s="33" t="inlineStr">
        <is>
          <t>Demand surge</t>
        </is>
      </c>
      <c r="E70" s="38" t="n"/>
      <c r="F70" s="45" t="n"/>
      <c r="G70" s="46" t="n"/>
      <c r="H70" s="40" t="str">
        <f>IF(E70="No","If no, why not:","")</f>
        <v/>
      </c>
      <c r="I70" s="41" t="n"/>
      <c r="J70" s="42" t="n"/>
      <c r="K70" s="43" t="n"/>
      <c r="L70" s="10" t="n"/>
      <c r="M70" s="11" t="n"/>
    </row>
    <row r="71">
      <c r="A71" s="18" t="n"/>
      <c r="B71" s="14" t="n"/>
      <c r="C71" s="14" t="n"/>
      <c r="D71" s="33" t="inlineStr">
        <is>
          <t>Secondary uncertainty</t>
        </is>
      </c>
      <c r="E71" s="38" t="n"/>
      <c r="F71" s="45" t="n"/>
      <c r="G71" s="46" t="n"/>
      <c r="H71" s="40" t="str">
        <f>IF(E71="No","If no, why not:","")</f>
        <v/>
      </c>
      <c r="I71" s="41" t="n"/>
      <c r="J71" s="42" t="n"/>
      <c r="K71" s="43" t="n"/>
      <c r="L71" s="10" t="n"/>
      <c r="M71" s="11" t="n"/>
    </row>
    <row r="72">
      <c r="A72" s="18" t="n"/>
      <c r="B72" s="14" t="n"/>
      <c r="C72" s="14" t="n"/>
      <c r="D72" s="33" t="inlineStr">
        <is>
          <t>Atlantic multi-decadal oscillation selection</t>
        </is>
      </c>
      <c r="E72" s="38" t="n"/>
      <c r="F72" s="39" t="n"/>
      <c r="G72" s="39" t="n"/>
      <c r="H72" s="40" t="str">
        <f>IF(E72="Long-term frequency","If long-term frequency, why:","")</f>
        <v/>
      </c>
      <c r="I72" s="41" t="n"/>
      <c r="J72" s="42" t="n"/>
      <c r="K72" s="43" t="n"/>
      <c r="L72" s="10" t="n"/>
      <c r="M72" s="11" t="n"/>
    </row>
    <row r="73" ht="6.75" customHeight="1">
      <c r="A73" s="18" t="n"/>
      <c r="B73" s="14" t="n"/>
      <c r="C73" s="14" t="n"/>
      <c r="D73" s="33" t="n"/>
      <c r="E73" s="40" t="n"/>
      <c r="F73" s="40" t="n"/>
      <c r="G73" s="40" t="n"/>
      <c r="H73" s="40" t="n"/>
      <c r="I73" s="48" t="n"/>
      <c r="J73" s="48" t="n"/>
      <c r="K73" s="49" t="n"/>
      <c r="L73" s="10" t="n"/>
      <c r="M73" s="11" t="n"/>
    </row>
    <row r="74">
      <c r="A74" s="18" t="n"/>
      <c r="B74" s="19" t="inlineStr">
        <is>
          <t>6. Other adjustments information:</t>
        </is>
      </c>
      <c r="C74" s="14" t="n"/>
      <c r="D74" s="33" t="n"/>
      <c r="E74" s="47" t="n"/>
      <c r="F74" s="40" t="n"/>
      <c r="G74" s="40" t="n"/>
      <c r="H74" s="40" t="n"/>
      <c r="I74" s="48" t="n"/>
      <c r="J74" s="48" t="n"/>
      <c r="K74" s="49" t="n"/>
      <c r="L74" s="10" t="n"/>
      <c r="M74" s="11" t="n"/>
    </row>
    <row r="75">
      <c r="A75" s="18" t="n"/>
      <c r="B75" s="14" t="n"/>
      <c r="C75" s="14" t="n"/>
      <c r="D75" s="33" t="inlineStr">
        <is>
          <t>Adjustments for exposure data quality</t>
        </is>
      </c>
      <c r="E75" s="38" t="n"/>
      <c r="F75" s="39" t="n"/>
      <c r="G75" s="40" t="n"/>
      <c r="H75" s="40" t="str">
        <f>IF(E75="No","If no, why not:","")</f>
        <v/>
      </c>
      <c r="I75" s="41" t="n"/>
      <c r="J75" s="42" t="n"/>
      <c r="K75" s="43" t="n"/>
      <c r="L75" s="10" t="n"/>
      <c r="M75" s="11" t="n"/>
    </row>
    <row r="76">
      <c r="A76" s="18" t="n"/>
      <c r="B76" s="14" t="n"/>
      <c r="C76" s="14" t="n"/>
      <c r="D76" s="33" t="inlineStr">
        <is>
          <t>Adjustments for insurance to value</t>
        </is>
      </c>
      <c r="E76" s="38" t="n"/>
      <c r="F76" s="39" t="n"/>
      <c r="G76" s="40" t="n"/>
      <c r="H76" s="40" t="str">
        <f>IF(E76="No","If no, why not:","")</f>
        <v/>
      </c>
      <c r="I76" s="41" t="n"/>
      <c r="J76" s="42" t="n"/>
      <c r="K76" s="43" t="n"/>
      <c r="L76" s="10" t="n"/>
      <c r="M76" s="11" t="n"/>
    </row>
    <row r="77">
      <c r="A77" s="18" t="n"/>
      <c r="B77" s="14" t="n"/>
      <c r="C77" s="14" t="n"/>
      <c r="D77" s="33" t="inlineStr">
        <is>
          <t>Adjustments for exposure growth</t>
        </is>
      </c>
      <c r="E77" s="44" t="n"/>
      <c r="F77" s="39" t="n"/>
      <c r="G77" s="40" t="n"/>
      <c r="H77" s="40" t="str">
        <f>IF(E77="No","If no, why not:","")</f>
        <v/>
      </c>
      <c r="I77" s="41" t="n"/>
      <c r="J77" s="42" t="n"/>
      <c r="K77" s="43" t="n"/>
      <c r="L77" s="10" t="n"/>
      <c r="M77" s="11" t="n"/>
    </row>
    <row r="78">
      <c r="A78" s="18" t="n"/>
      <c r="B78" s="14" t="n"/>
      <c r="C78" s="14" t="n"/>
      <c r="D78" s="33" t="inlineStr">
        <is>
          <t>Supplemental losses for non-modelled line of business</t>
        </is>
      </c>
      <c r="E78" s="44" t="n"/>
      <c r="F78" s="39" t="n"/>
      <c r="G78" s="40" t="n"/>
      <c r="H78" s="40" t="str">
        <f>IF(E78="No","If no, why not:","")</f>
        <v/>
      </c>
      <c r="I78" s="41" t="n"/>
      <c r="J78" s="42" t="n"/>
      <c r="K78" s="43" t="n"/>
      <c r="L78" s="10" t="n"/>
      <c r="M78" s="11" t="n"/>
    </row>
    <row r="79">
      <c r="A79" s="18" t="n"/>
      <c r="B79" s="14" t="n"/>
      <c r="C79" s="14" t="n"/>
      <c r="D79" s="33" t="inlineStr">
        <is>
          <t>Adjustments for model deficiencies – severity</t>
        </is>
      </c>
      <c r="E79" s="38" t="n"/>
      <c r="F79" s="46" t="n"/>
      <c r="G79" s="40" t="n"/>
      <c r="H79" s="40" t="str">
        <f>IF(E79="No","If no, why not:","")</f>
        <v/>
      </c>
      <c r="I79" s="41" t="n"/>
      <c r="J79" s="42" t="n"/>
      <c r="K79" s="43" t="n"/>
      <c r="L79" s="10" t="n"/>
      <c r="M79" s="11" t="n"/>
    </row>
    <row r="80">
      <c r="A80" s="18" t="n"/>
      <c r="B80" s="14" t="n"/>
      <c r="C80" s="14" t="n"/>
      <c r="D80" s="33" t="inlineStr">
        <is>
          <t>Adjustments for model deficiencies - frequency</t>
        </is>
      </c>
      <c r="E80" s="38" t="n"/>
      <c r="F80" s="46" t="n"/>
      <c r="G80" s="40" t="n"/>
      <c r="H80" s="40" t="str">
        <f>IF(E80="No","If no, why not:","")</f>
        <v/>
      </c>
      <c r="I80" s="41" t="n"/>
      <c r="J80" s="42" t="n"/>
      <c r="K80" s="43" t="n"/>
      <c r="L80" s="10" t="n"/>
      <c r="M80" s="11" t="n"/>
    </row>
    <row r="81">
      <c r="A81" s="18" t="n"/>
      <c r="B81" s="14" t="n"/>
      <c r="C81" s="14" t="n"/>
      <c r="D81" s="33" t="inlineStr">
        <is>
          <t>Additional demand surge loadings</t>
        </is>
      </c>
      <c r="E81" s="38" t="n"/>
      <c r="F81" s="39" t="n"/>
      <c r="G81" s="40" t="n"/>
      <c r="H81" s="40" t="str">
        <f>IF(E81="No","If no, why not:","")</f>
        <v/>
      </c>
      <c r="I81" s="41" t="n"/>
      <c r="J81" s="42" t="n"/>
      <c r="K81" s="43" t="n"/>
      <c r="L81" s="10" t="n"/>
      <c r="M81" s="11" t="n"/>
    </row>
    <row r="82">
      <c r="A82" s="18" t="n"/>
      <c r="B82" s="14" t="n"/>
      <c r="C82" s="14" t="n"/>
      <c r="D82" s="33" t="inlineStr">
        <is>
          <t>Other factors for prudence</t>
        </is>
      </c>
      <c r="E82" s="38" t="n"/>
      <c r="F82" s="39" t="n"/>
      <c r="G82" s="40" t="n"/>
      <c r="H82" s="40" t="str">
        <f>IF(E82="No","If no, why not:","")</f>
        <v/>
      </c>
      <c r="I82" s="41" t="n"/>
      <c r="J82" s="42" t="n"/>
      <c r="K82" s="43" t="n"/>
      <c r="L82" s="10" t="n"/>
      <c r="M82" s="11" t="n"/>
    </row>
    <row r="83" ht="6.75" customHeight="1">
      <c r="A83" s="18" t="n"/>
      <c r="B83" s="14" t="n"/>
      <c r="C83" s="14" t="n"/>
      <c r="D83" s="14" t="n"/>
      <c r="E83" s="52" t="n"/>
      <c r="F83" s="14" t="n"/>
      <c r="G83" s="53" t="n"/>
      <c r="H83" s="53" t="n"/>
      <c r="I83" s="48" t="n"/>
      <c r="J83" s="48" t="n"/>
      <c r="K83" s="49" t="n"/>
      <c r="L83" s="10" t="n"/>
      <c r="M83" s="11" t="n"/>
    </row>
    <row r="84">
      <c r="A84" s="18" t="n"/>
      <c r="B84" s="14" t="n"/>
      <c r="C84" s="14" t="n"/>
      <c r="D84" s="14" t="n"/>
      <c r="E84" s="14" t="n"/>
      <c r="F84" s="33" t="inlineStr">
        <is>
          <t>Average loading factor applied to ground up loss for all adjustments applied:</t>
        </is>
      </c>
      <c r="G84" s="54" t="n"/>
      <c r="H84" s="39" t="n"/>
      <c r="I84" s="48" t="n"/>
      <c r="J84" s="48" t="n"/>
      <c r="K84" s="49" t="n"/>
      <c r="L84" s="10" t="n"/>
      <c r="M84" s="11" t="n"/>
    </row>
    <row r="85">
      <c r="A85" s="18" t="n"/>
      <c r="B85" s="14" t="n"/>
      <c r="C85" s="14" t="n"/>
      <c r="D85" s="14" t="n"/>
      <c r="E85" s="14" t="n"/>
      <c r="F85" s="33" t="inlineStr">
        <is>
          <t>Is this average loading factor determined analytically or estimated?</t>
        </is>
      </c>
      <c r="G85" s="38" t="n"/>
      <c r="H85" s="39" t="n"/>
      <c r="I85" s="48" t="n"/>
      <c r="J85" s="48" t="n"/>
      <c r="K85" s="49" t="n"/>
      <c r="L85" s="10" t="n"/>
      <c r="M85" s="11" t="n"/>
    </row>
    <row r="86" ht="6.75" customHeight="1">
      <c r="A86" s="18" t="n"/>
      <c r="B86" s="14" t="n"/>
      <c r="C86" s="14" t="n"/>
      <c r="D86" s="14" t="n"/>
      <c r="E86" s="14" t="n"/>
      <c r="F86" s="14" t="n"/>
      <c r="G86" s="39" t="n"/>
      <c r="H86" s="39" t="n"/>
      <c r="I86" s="48" t="n"/>
      <c r="J86" s="48" t="n"/>
      <c r="K86" s="49" t="n"/>
      <c r="L86" s="10" t="n"/>
      <c r="M86" s="11" t="n"/>
    </row>
    <row r="87">
      <c r="A87" s="18" t="n"/>
      <c r="B87" s="14" t="n"/>
      <c r="C87" s="14" t="n"/>
      <c r="D87" s="14" t="n"/>
      <c r="E87" s="14" t="n"/>
      <c r="F87" s="33" t="inlineStr">
        <is>
          <t>Which vendor catastrophe models ("cat model") do you include in this modelling?</t>
        </is>
      </c>
      <c r="G87" s="44" t="n"/>
      <c r="H87" s="39" t="n"/>
      <c r="I87" s="48" t="n"/>
      <c r="J87" s="48" t="n"/>
      <c r="K87" s="49" t="n"/>
      <c r="L87" s="10" t="n"/>
      <c r="M87" s="11" t="n"/>
    </row>
    <row r="88">
      <c r="A88" s="18" t="n"/>
      <c r="B88" s="14" t="n"/>
      <c r="C88" s="14" t="n"/>
      <c r="D88" s="14" t="n"/>
      <c r="E88" s="14" t="n"/>
      <c r="F88" s="33" t="inlineStr">
        <is>
          <t>Which version of the model or version of the region-peril models are used for each vendor catastrophe model as appropriate?</t>
        </is>
      </c>
      <c r="G88" s="55" t="n"/>
      <c r="H88" s="56" t="n"/>
      <c r="I88" s="14" t="n"/>
      <c r="J88" s="14" t="n"/>
      <c r="K88" s="15" t="n"/>
      <c r="L88" s="10" t="n"/>
      <c r="M88" s="11" t="n"/>
    </row>
    <row r="89">
      <c r="A89" s="18" t="n"/>
      <c r="B89" s="14" t="n"/>
      <c r="C89" s="14" t="n"/>
      <c r="D89" s="14" t="n"/>
      <c r="E89" s="14" t="n"/>
      <c r="F89" s="14" t="n"/>
      <c r="G89" s="57" t="n"/>
      <c r="H89" s="58" t="n"/>
      <c r="I89" s="14" t="n"/>
      <c r="J89" s="14" t="n"/>
      <c r="K89" s="15" t="n"/>
      <c r="L89" s="10" t="n"/>
      <c r="M89" s="11" t="n"/>
    </row>
    <row r="90" ht="6.75" customHeight="1">
      <c r="A90" s="59" t="n"/>
      <c r="B90" s="60" t="n"/>
      <c r="C90" s="60" t="n"/>
      <c r="D90" s="60" t="n"/>
      <c r="E90" s="60" t="n"/>
      <c r="F90" s="60" t="n"/>
      <c r="G90" s="61" t="n"/>
      <c r="H90" s="61" t="n"/>
      <c r="I90" s="60" t="n"/>
      <c r="J90" s="60" t="n"/>
      <c r="K90" s="62" t="n"/>
      <c r="L90" s="10" t="n"/>
      <c r="M90" s="11" t="n"/>
    </row>
    <row r="91">
      <c r="A91" s="10" t="n"/>
      <c r="B91" s="10" t="n"/>
      <c r="C91" s="10" t="n"/>
      <c r="D91" s="10" t="n"/>
      <c r="E91" s="10" t="n"/>
      <c r="F91" s="10" t="n"/>
      <c r="G91" s="10" t="n"/>
      <c r="H91" s="10" t="n"/>
      <c r="I91" s="10" t="n"/>
      <c r="J91" s="10" t="n"/>
      <c r="K91" s="10" t="n"/>
      <c r="L91" s="10" t="n"/>
      <c r="M91" s="11" t="n"/>
    </row>
    <row r="92">
      <c r="A92" s="10" t="n"/>
      <c r="B92" s="10" t="n"/>
      <c r="C92" s="10" t="n"/>
      <c r="D92" s="10" t="n"/>
      <c r="E92" s="10" t="n"/>
      <c r="F92" s="10" t="n"/>
      <c r="G92" s="10" t="n"/>
      <c r="H92" s="10" t="n"/>
      <c r="I92" s="10" t="n"/>
      <c r="J92" s="10" t="n"/>
      <c r="K92" s="10" t="n"/>
      <c r="L92" s="10" t="n"/>
      <c r="M92" s="10" t="n"/>
    </row>
    <row r="93"/>
    <row r="94"/>
    <row r="95"/>
    <row r="96"/>
    <row r="97"/>
    <row r="98" ht="75" customHeight="1">
      <c r="A98" s="63" t="n"/>
      <c r="B98" s="7" t="inlineStr">
        <is>
          <t>CATASTROPHE RISK RETURN: EP CURVE INSURANCE (TABLE 15A)</t>
        </is>
      </c>
      <c r="C98" s="64" t="n"/>
      <c r="D98" s="64" t="n"/>
      <c r="E98" s="64" t="n"/>
      <c r="F98" s="64" t="n"/>
      <c r="G98" s="64" t="n"/>
      <c r="H98" s="64" t="n"/>
      <c r="I98" s="64" t="n"/>
      <c r="J98" s="8" t="inlineStr">
        <is>
          <t>Back to instructions</t>
        </is>
      </c>
      <c r="K98" s="65" t="n"/>
      <c r="L98" s="10" t="n"/>
      <c r="M98" s="11" t="n"/>
    </row>
    <row r="99" ht="13.5" customHeight="1">
      <c r="A99" s="18" t="n"/>
      <c r="B99" s="13" t="inlineStr">
        <is>
          <t>33</t>
        </is>
      </c>
      <c r="C99" s="14" t="n"/>
      <c r="D99" s="14" t="n"/>
      <c r="E99" s="14" t="n"/>
      <c r="F99" s="14" t="n"/>
      <c r="G99" s="14" t="n"/>
      <c r="H99" s="14" t="n"/>
      <c r="I99" s="14" t="n"/>
      <c r="J99" s="14" t="n"/>
      <c r="K99" s="15" t="n"/>
      <c r="L99" s="10" t="n"/>
      <c r="M99" s="11" t="n"/>
    </row>
    <row r="100" ht="13.5" customHeight="1">
      <c r="A100" s="18" t="n"/>
      <c r="B100" s="16">
        <f>DATE(2026,1,1)</f>
        <v>46023.0</v>
      </c>
      <c r="C100" s="14" t="n"/>
      <c r="D100" s="14" t="n"/>
      <c r="E100" s="14" t="n"/>
      <c r="F100" s="14" t="n"/>
      <c r="G100" s="14" t="n"/>
      <c r="H100" s="14" t="n"/>
      <c r="I100" s="14" t="n"/>
      <c r="J100" s="17" t="inlineStr">
        <is>
          <t xml:space="preserve">Schedule X(b) </t>
        </is>
      </c>
      <c r="K100" s="15" t="n"/>
      <c r="L100" s="10" t="n"/>
      <c r="M100" s="11" t="n"/>
    </row>
    <row r="101" ht="6.75" customHeight="1">
      <c r="A101" s="18" t="n"/>
      <c r="B101" s="66" t="n"/>
      <c r="C101" s="14" t="n"/>
      <c r="D101" s="14" t="n"/>
      <c r="E101" s="14" t="n"/>
      <c r="F101" s="14" t="n"/>
      <c r="G101" s="14" t="n"/>
      <c r="H101" s="14" t="n"/>
      <c r="I101" s="14" t="n"/>
      <c r="J101" s="14" t="n"/>
      <c r="K101" s="15" t="n"/>
      <c r="L101" s="10" t="n"/>
      <c r="M101" s="11" t="n"/>
    </row>
    <row r="102">
      <c r="A102" s="18" t="n"/>
      <c r="B102" s="67" t="inlineStr">
        <is>
          <t>Note:The EP curve for insurance will be required only when the percentage of net insurance premiums written is greater than 10% of total net premiums written.</t>
        </is>
      </c>
      <c r="C102" s="67" t="n"/>
      <c r="D102" s="67" t="n"/>
      <c r="E102" s="67" t="n"/>
      <c r="F102" s="67" t="n"/>
      <c r="G102" s="67" t="n"/>
      <c r="H102" s="14" t="n"/>
      <c r="I102" s="14" t="n"/>
      <c r="J102" s="14" t="n"/>
      <c r="K102" s="15" t="n"/>
      <c r="L102" s="10" t="n"/>
      <c r="M102" s="11" t="n"/>
    </row>
    <row r="103" ht="6.75" customHeight="1">
      <c r="A103" s="18" t="n"/>
      <c r="B103" s="67" t="n"/>
      <c r="C103" s="67" t="n"/>
      <c r="D103" s="67" t="n"/>
      <c r="E103" s="67" t="n"/>
      <c r="F103" s="67" t="n"/>
      <c r="G103" s="67" t="n"/>
      <c r="H103" s="14" t="n"/>
      <c r="I103" s="14" t="n"/>
      <c r="J103" s="14" t="n"/>
      <c r="K103" s="15" t="n"/>
      <c r="L103" s="10" t="n"/>
      <c r="M103" s="11" t="n"/>
    </row>
    <row r="104">
      <c r="A104" s="18" t="n"/>
      <c r="B104" s="14" t="n"/>
      <c r="C104" s="19" t="inlineStr">
        <is>
          <t>1. Exceedance probability information:</t>
        </is>
      </c>
      <c r="D104" s="14" t="n"/>
      <c r="E104" s="14" t="n"/>
      <c r="F104" s="14" t="n"/>
      <c r="G104" s="14" t="n"/>
      <c r="H104" s="14" t="n"/>
      <c r="I104" s="14" t="n"/>
      <c r="J104" s="14" t="n"/>
      <c r="K104" s="15" t="n"/>
      <c r="L104" s="10" t="n"/>
      <c r="M104" s="11" t="n"/>
    </row>
    <row r="105">
      <c r="A105" s="18" t="n"/>
      <c r="B105" s="14" t="n"/>
      <c r="C105" s="14" t="n"/>
      <c r="D105" s="20" t="n"/>
      <c r="E105" s="21" t="inlineStr">
        <is>
          <t>Gross Loss</t>
        </is>
      </c>
      <c r="F105" s="22" t="n"/>
      <c r="G105" s="21" t="inlineStr">
        <is>
          <t>Net Loss</t>
        </is>
      </c>
      <c r="H105" s="22" t="n"/>
      <c r="I105" s="14" t="n"/>
      <c r="J105" s="14" t="n"/>
      <c r="K105" s="15" t="n"/>
      <c r="L105" s="10" t="n"/>
      <c r="M105" s="11" t="n"/>
    </row>
    <row r="106" ht="42" customHeight="1">
      <c r="A106" s="18" t="n"/>
      <c r="B106" s="14" t="n"/>
      <c r="C106" s="14" t="n"/>
      <c r="D106" s="23" t="inlineStr">
        <is>
          <t>Loss Return period (years)</t>
        </is>
      </c>
      <c r="E106" s="24" t="inlineStr">
        <is>
          <t>Gross per occurrence loss TVaR</t>
        </is>
      </c>
      <c r="F106" s="24" t="inlineStr">
        <is>
          <t>Gross aggregate TVaR</t>
        </is>
      </c>
      <c r="G106" s="68" t="inlineStr">
        <is>
          <t>Net per occurrence loss TVaR</t>
        </is>
      </c>
      <c r="H106" s="69" t="inlineStr">
        <is>
          <t xml:space="preserve">Net aggregate TVaR </t>
        </is>
      </c>
      <c r="I106" s="14" t="n"/>
      <c r="J106" s="14" t="n"/>
      <c r="K106" s="15" t="n"/>
      <c r="L106" s="25" t="n"/>
      <c r="M106" s="11" t="n"/>
    </row>
    <row r="107">
      <c r="A107" s="18" t="n"/>
      <c r="B107" s="14" t="n"/>
      <c r="C107" s="14" t="n"/>
      <c r="D107" s="26" t="n"/>
      <c r="E107" s="70" t="inlineStr">
        <is>
          <t xml:space="preserve"> ($M)</t>
        </is>
      </c>
      <c r="F107" s="70" t="inlineStr">
        <is>
          <t xml:space="preserve"> ($M)</t>
        </is>
      </c>
      <c r="G107" s="70" t="inlineStr">
        <is>
          <t xml:space="preserve"> ($M)</t>
        </is>
      </c>
      <c r="H107" s="70" t="inlineStr">
        <is>
          <t xml:space="preserve"> ($M)</t>
        </is>
      </c>
      <c r="I107" s="14" t="n"/>
      <c r="J107" s="14" t="n"/>
      <c r="K107" s="15" t="n"/>
      <c r="L107" s="25" t="n"/>
      <c r="M107" s="25" t="n"/>
    </row>
    <row r="108">
      <c r="A108" s="18" t="n"/>
      <c r="B108" s="14" t="n"/>
      <c r="C108" s="14" t="n"/>
      <c r="D108" s="27" t="n">
        <v>50</v>
      </c>
      <c r="E108" s="28" t="n"/>
      <c r="F108" s="28" t="n"/>
      <c r="G108" s="28" t="n"/>
      <c r="H108" s="28" t="n"/>
      <c r="I108" s="14" t="n"/>
      <c r="J108" s="14" t="n"/>
      <c r="K108" s="15" t="n"/>
      <c r="L108" s="10" t="n"/>
      <c r="M108" s="11" t="n"/>
    </row>
    <row r="109">
      <c r="A109" s="18" t="n"/>
      <c r="B109" s="14" t="n"/>
      <c r="C109" s="14" t="n"/>
      <c r="D109" s="27" t="n">
        <v>100</v>
      </c>
      <c r="E109" s="28" t="n"/>
      <c r="F109" s="28" t="n"/>
      <c r="G109" s="28" t="n"/>
      <c r="H109" s="28" t="n"/>
      <c r="I109" s="14" t="n"/>
      <c r="J109" s="14" t="n"/>
      <c r="K109" s="15" t="n"/>
      <c r="L109" s="10" t="n"/>
      <c r="M109" s="11" t="n"/>
    </row>
    <row r="110">
      <c r="A110" s="18" t="n"/>
      <c r="B110" s="14" t="n"/>
      <c r="C110" s="14" t="n"/>
      <c r="D110" s="27" t="n">
        <v>250</v>
      </c>
      <c r="E110" s="28" t="n"/>
      <c r="F110" s="28" t="n"/>
      <c r="G110" s="28" t="n"/>
      <c r="H110" s="28" t="n"/>
      <c r="I110" s="14" t="n"/>
      <c r="J110" s="14" t="n"/>
      <c r="K110" s="15" t="n"/>
      <c r="L110" s="10" t="n"/>
      <c r="M110" s="11" t="n"/>
    </row>
    <row r="111">
      <c r="A111" s="18" t="n"/>
      <c r="B111" s="14" t="n"/>
      <c r="C111" s="14" t="n"/>
      <c r="D111" s="27" t="n">
        <v>500</v>
      </c>
      <c r="E111" s="28" t="n"/>
      <c r="F111" s="28" t="n"/>
      <c r="G111" s="28" t="n"/>
      <c r="H111" s="28" t="n"/>
      <c r="I111" s="14" t="n"/>
      <c r="J111" s="14" t="n"/>
      <c r="K111" s="15" t="n"/>
      <c r="L111" s="10" t="n"/>
      <c r="M111" s="11" t="n"/>
    </row>
    <row r="112">
      <c r="A112" s="18" t="n"/>
      <c r="B112" s="14" t="n"/>
      <c r="C112" s="14" t="n"/>
      <c r="D112" s="30" t="n">
        <v>1000</v>
      </c>
      <c r="E112" s="28" t="n"/>
      <c r="F112" s="28" t="n"/>
      <c r="G112" s="28" t="n"/>
      <c r="H112" s="28" t="n"/>
      <c r="I112" s="14" t="n"/>
      <c r="J112" s="14" t="n"/>
      <c r="K112" s="15" t="n"/>
      <c r="L112" s="10" t="n"/>
      <c r="M112" s="11" t="n"/>
    </row>
    <row r="113" ht="6.75" customHeight="1">
      <c r="A113" s="18" t="n"/>
      <c r="B113" s="14" t="n"/>
      <c r="C113" s="14" t="n"/>
      <c r="D113" s="14" t="n"/>
      <c r="E113" s="14" t="n"/>
      <c r="F113" s="14" t="n"/>
      <c r="G113" s="14" t="n"/>
      <c r="H113" s="14" t="n"/>
      <c r="I113" s="14" t="n"/>
      <c r="J113" s="14" t="n"/>
      <c r="K113" s="15" t="n"/>
      <c r="L113" s="10" t="n"/>
      <c r="M113" s="11" t="n"/>
    </row>
    <row r="114">
      <c r="A114" s="18" t="n"/>
      <c r="B114" s="14" t="n"/>
      <c r="C114" s="14" t="n"/>
      <c r="D114" s="14" t="n"/>
      <c r="E114" s="70" t="inlineStr">
        <is>
          <t>Gross Loss ($M)</t>
        </is>
      </c>
      <c r="F114" s="14" t="n"/>
      <c r="G114" s="14" t="n"/>
      <c r="H114" s="14" t="n"/>
      <c r="I114" s="14" t="n"/>
      <c r="J114" s="70" t="inlineStr">
        <is>
          <t>Net Loss ($M)</t>
        </is>
      </c>
      <c r="K114" s="15" t="n"/>
      <c r="L114" s="10" t="n"/>
      <c r="M114" s="11" t="n"/>
    </row>
    <row r="115">
      <c r="A115" s="18" t="n"/>
      <c r="B115" s="14" t="n"/>
      <c r="C115" s="14" t="n"/>
      <c r="D115" s="33" t="inlineStr">
        <is>
          <t xml:space="preserve">Annual average aggregate gross loss </t>
        </is>
      </c>
      <c r="E115" s="28" t="n"/>
      <c r="F115" s="14" t="n"/>
      <c r="G115" s="14" t="n"/>
      <c r="H115" s="14" t="n"/>
      <c r="I115" s="33" t="inlineStr">
        <is>
          <t>Annual average aggregate net loss (net of reinstatements terms)</t>
        </is>
      </c>
      <c r="J115" s="28" t="n"/>
      <c r="K115" s="15" t="n"/>
      <c r="L115" s="10" t="n"/>
      <c r="M115" s="11" t="n"/>
    </row>
    <row r="116">
      <c r="A116" s="18" t="n"/>
      <c r="B116" s="14" t="n"/>
      <c r="C116" s="14" t="n"/>
      <c r="D116" s="33" t="n"/>
      <c r="E116" s="14" t="n"/>
      <c r="F116" s="14" t="n"/>
      <c r="G116" s="14" t="n"/>
      <c r="H116" s="14" t="n"/>
      <c r="I116" s="33" t="inlineStr">
        <is>
          <t>Reinstatement terms included in Annual average aggregated net loss</t>
        </is>
      </c>
      <c r="J116" s="28" t="n"/>
      <c r="K116" s="15" t="n"/>
      <c r="L116" s="10" t="n"/>
      <c r="M116" s="11" t="n"/>
    </row>
    <row r="117">
      <c r="A117" s="18" t="n"/>
      <c r="B117" s="14" t="n"/>
      <c r="C117" s="14" t="n"/>
      <c r="D117" s="33" t="inlineStr">
        <is>
          <t xml:space="preserve">Standard deviation of annual aggregate gross loss </t>
        </is>
      </c>
      <c r="E117" s="28" t="n"/>
      <c r="F117" s="14" t="n"/>
      <c r="G117" s="14" t="n"/>
      <c r="H117" s="14" t="n"/>
      <c r="I117" s="33" t="inlineStr">
        <is>
          <t>Standard deviation of annual aggregate net loss (net of reinstatements terms)</t>
        </is>
      </c>
      <c r="J117" s="28" t="n"/>
      <c r="K117" s="15" t="n"/>
      <c r="L117" s="10" t="n"/>
      <c r="M117" s="11" t="n"/>
    </row>
    <row r="118" ht="6.75" customHeight="1">
      <c r="A118" s="18" t="n"/>
      <c r="B118" s="14" t="n"/>
      <c r="C118" s="14" t="n"/>
      <c r="D118" s="33" t="n"/>
      <c r="E118" s="71" t="n"/>
      <c r="F118" s="14" t="n"/>
      <c r="G118" s="14" t="n"/>
      <c r="H118" s="14" t="n"/>
      <c r="I118" s="33" t="n"/>
      <c r="J118" s="35" t="n"/>
      <c r="K118" s="15" t="n"/>
      <c r="L118" s="10" t="n"/>
      <c r="M118" s="11" t="n"/>
    </row>
    <row r="119">
      <c r="A119" s="18" t="n"/>
      <c r="B119" s="14" t="n"/>
      <c r="C119" s="14" t="n"/>
      <c r="D119" s="33" t="inlineStr">
        <is>
          <t xml:space="preserve">Total gross statutory property catastrophe premium modelled </t>
        </is>
      </c>
      <c r="E119" s="34" t="n"/>
      <c r="F119" s="14" t="n"/>
      <c r="G119" s="14" t="n"/>
      <c r="H119" s="14" t="n"/>
      <c r="I119" s="33" t="inlineStr">
        <is>
          <t>Total net statutory property catastrophe premium modelled</t>
        </is>
      </c>
      <c r="J119" s="34" t="n"/>
      <c r="K119" s="15" t="n"/>
      <c r="L119" s="10" t="n"/>
      <c r="M119" s="11" t="n"/>
    </row>
    <row r="120">
      <c r="A120" s="18" t="n"/>
      <c r="B120" s="14" t="n"/>
      <c r="C120" s="14" t="n"/>
      <c r="D120" s="33" t="inlineStr">
        <is>
          <t xml:space="preserve">Total gross all other catastrophe premium modelled </t>
        </is>
      </c>
      <c r="E120" s="36" t="n"/>
      <c r="F120" s="14" t="n"/>
      <c r="G120" s="14" t="n"/>
      <c r="H120" s="14" t="n"/>
      <c r="I120" s="33" t="inlineStr">
        <is>
          <t>Total net all other catastrophe premium modelled</t>
        </is>
      </c>
      <c r="J120" s="36" t="n"/>
      <c r="K120" s="15" t="n"/>
      <c r="L120" s="10" t="n"/>
      <c r="M120" s="11" t="n"/>
    </row>
    <row r="121" ht="6.75" customHeight="1">
      <c r="A121" s="18" t="n"/>
      <c r="B121" s="14" t="n"/>
      <c r="C121" s="14" t="n"/>
      <c r="D121" s="14" t="n"/>
      <c r="E121" s="14" t="n"/>
      <c r="F121" s="14" t="n"/>
      <c r="G121" s="14" t="n"/>
      <c r="H121" s="14" t="n"/>
      <c r="I121" s="14" t="n"/>
      <c r="J121" s="14" t="n"/>
      <c r="K121" s="15" t="n"/>
      <c r="L121" s="10" t="n"/>
      <c r="M121" s="11" t="n"/>
    </row>
    <row r="122">
      <c r="A122" s="18" t="n"/>
      <c r="B122" s="14" t="n"/>
      <c r="C122" s="14" t="n"/>
      <c r="D122" s="33" t="inlineStr">
        <is>
          <t>Total gross statutory property catastrophe limits exposed - modelled</t>
        </is>
      </c>
      <c r="E122" s="34" t="n"/>
      <c r="F122" s="14" t="n"/>
      <c r="G122" s="14" t="n"/>
      <c r="H122" s="14" t="n"/>
      <c r="I122" s="33" t="inlineStr">
        <is>
          <t>Total net statutory property catastrophe limits exposed – modelled</t>
        </is>
      </c>
      <c r="J122" s="34" t="n"/>
      <c r="K122" s="15" t="n"/>
      <c r="L122" s="10" t="n"/>
      <c r="M122" s="11" t="n"/>
    </row>
    <row r="123">
      <c r="A123" s="18" t="n"/>
      <c r="B123" s="14" t="n"/>
      <c r="C123" s="14" t="n"/>
      <c r="D123" s="33" t="inlineStr">
        <is>
          <t>Total gross statutory property catastrophe limits exposed - not modelled</t>
        </is>
      </c>
      <c r="E123" s="34" t="n"/>
      <c r="F123" s="14" t="n"/>
      <c r="G123" s="14" t="n"/>
      <c r="H123" s="14" t="n"/>
      <c r="I123" s="33" t="inlineStr">
        <is>
          <t>Total net statutory property catastrophe limits exposed– not modelled</t>
        </is>
      </c>
      <c r="J123" s="34" t="n"/>
      <c r="K123" s="15" t="n"/>
      <c r="L123" s="10" t="n"/>
      <c r="M123" s="11" t="n"/>
    </row>
    <row r="124">
      <c r="A124" s="18" t="n"/>
      <c r="B124" s="14" t="n"/>
      <c r="C124" s="14" t="n"/>
      <c r="D124" s="33" t="inlineStr">
        <is>
          <t>Total gross all other lines limits exposed- modelled</t>
        </is>
      </c>
      <c r="E124" s="37">
        <f>SUMIFS(BSCRInput[sum_pml],BSCRInput[bscr_entity],"33",BSCRInput[region],"ALL",BSCRInput[peril_id],1,BSCRInput[is_geocoded],1)/1000000</f>
        <v>32417.058604477046</v>
      </c>
      <c r="F124" s="14" t="n"/>
      <c r="G124" s="14" t="n"/>
      <c r="H124" s="14" t="n"/>
      <c r="I124" s="33" t="inlineStr">
        <is>
          <t>Total net all other lines limits exposed – modelled</t>
        </is>
      </c>
      <c r="J124" s="37">
        <f>SUMIFS(BSCRInput[sum_net],BSCRInput[bscr_entity],"33",BSCRInput[region],"ALL",BSCRInput[peril_id],1,BSCRInput[is_geocoded],1)/1000000</f>
        <v>24200.103153517382</v>
      </c>
      <c r="K124" s="15" t="n"/>
      <c r="L124" s="10" t="n"/>
      <c r="M124" s="11" t="n"/>
    </row>
    <row r="125">
      <c r="A125" s="18" t="n"/>
      <c r="B125" s="14" t="n"/>
      <c r="C125" s="14" t="n"/>
      <c r="D125" s="33" t="inlineStr">
        <is>
          <t>Total gross all other lines limits exposed - not modelled</t>
        </is>
      </c>
      <c r="E125" s="37">
        <f>SUMIFS(BSCRInput[sum_pml],BSCRInput[bscr_entity],"33",BSCRInput[region],"ALL",BSCRInput[peril_id],1,BSCRInput[is_geocoded],0)/1000000</f>
        <v>4295.845357323308</v>
      </c>
      <c r="F125" s="14" t="n"/>
      <c r="G125" s="14" t="n"/>
      <c r="H125" s="14" t="n"/>
      <c r="I125" s="33" t="inlineStr">
        <is>
          <t>Total net all other lines limits exposed - not modelled</t>
        </is>
      </c>
      <c r="J125" s="37">
        <f>SUMIFS(BSCRInput[sum_net],BSCRInput[bscr_entity],"33",BSCRInput[region],"ALL",BSCRInput[peril_id],1,BSCRInput[is_geocoded],0)/1000000</f>
        <v>2757.348022905048</v>
      </c>
      <c r="K125" s="15" t="n"/>
      <c r="L125" s="10" t="n"/>
      <c r="M125" s="11" t="n"/>
    </row>
    <row r="126">
      <c r="A126" s="18" t="n"/>
      <c r="B126" s="14" t="n"/>
      <c r="C126" s="14" t="n"/>
      <c r="D126" s="33" t="inlineStr">
        <is>
          <t>Total gross premium without an occurrence or aggregate limit</t>
        </is>
      </c>
      <c r="E126" s="34" t="n"/>
      <c r="F126" s="14" t="n"/>
      <c r="G126" s="14" t="n"/>
      <c r="H126" s="14" t="n"/>
      <c r="I126" s="33" t="inlineStr">
        <is>
          <t>Total net premium without an occurrence or aggregate limit</t>
        </is>
      </c>
      <c r="J126" s="34" t="n"/>
      <c r="K126" s="15" t="n"/>
      <c r="L126" s="10" t="n"/>
      <c r="M126" s="11" t="n"/>
    </row>
    <row r="127">
      <c r="A127" s="18" t="n"/>
      <c r="B127" s="14" t="n"/>
      <c r="C127" s="14" t="n"/>
      <c r="D127" s="33" t="inlineStr">
        <is>
          <t>Total gross premium with non determinable Total Insured Value (“TIV”)</t>
        </is>
      </c>
      <c r="E127" s="34" t="n"/>
      <c r="F127" s="14" t="n"/>
      <c r="G127" s="14" t="n"/>
      <c r="H127" s="14" t="n"/>
      <c r="I127" s="33" t="inlineStr">
        <is>
          <t>Total net premium with non-determinable TIV:</t>
        </is>
      </c>
      <c r="J127" s="34" t="n"/>
      <c r="K127" s="15" t="n"/>
      <c r="L127" s="10" t="n"/>
      <c r="M127" s="11" t="n"/>
    </row>
    <row r="128" ht="6.75" customHeight="1">
      <c r="A128" s="18" t="n"/>
      <c r="B128" s="14" t="n"/>
      <c r="C128" s="14" t="n"/>
      <c r="D128" s="14" t="n"/>
      <c r="E128" s="14" t="n"/>
      <c r="F128" s="14" t="n"/>
      <c r="G128" s="14" t="n"/>
      <c r="H128" s="14" t="n"/>
      <c r="I128" s="14" t="n"/>
      <c r="J128" s="71" t="n"/>
      <c r="K128" s="15" t="n"/>
      <c r="L128" s="10" t="n"/>
      <c r="M128" s="11" t="n"/>
    </row>
    <row r="129">
      <c r="A129" s="18" t="n"/>
      <c r="B129" s="14" t="n"/>
      <c r="C129" s="19" t="inlineStr">
        <is>
          <t>2. Significant sources of catastrophe risk and associated loss included in the EP Curves:</t>
        </is>
      </c>
      <c r="D129" s="14" t="n"/>
      <c r="E129" s="14" t="n"/>
      <c r="F129" s="14" t="n"/>
      <c r="G129" s="14" t="n"/>
      <c r="H129" s="14" t="n"/>
      <c r="I129" s="48" t="n"/>
      <c r="J129" s="72" t="n"/>
      <c r="K129" s="49" t="n"/>
      <c r="L129" s="10" t="n"/>
      <c r="M129" s="11" t="n"/>
    </row>
    <row r="130">
      <c r="A130" s="18" t="n"/>
      <c r="B130" s="14" t="n"/>
      <c r="C130" s="14" t="n"/>
      <c r="D130" s="33" t="inlineStr">
        <is>
          <t>Allocated loss adjustment expense</t>
        </is>
      </c>
      <c r="E130" s="38" t="n"/>
      <c r="F130" s="39" t="n"/>
      <c r="G130" s="39" t="n"/>
      <c r="H130" s="73" t="str">
        <f>IF(E130="No","If no, why not:","")</f>
        <v/>
      </c>
      <c r="I130" s="41" t="n"/>
      <c r="J130" s="42" t="n"/>
      <c r="K130" s="43" t="n"/>
      <c r="L130" s="10" t="n"/>
      <c r="M130" s="11" t="n"/>
    </row>
    <row r="131">
      <c r="A131" s="18" t="n"/>
      <c r="B131" s="14" t="n"/>
      <c r="C131" s="14" t="n"/>
      <c r="D131" s="33" t="inlineStr">
        <is>
          <t>Property - buildings</t>
        </is>
      </c>
      <c r="E131" s="38" t="n"/>
      <c r="F131" s="39" t="n"/>
      <c r="G131" s="39" t="n"/>
      <c r="H131" s="73" t="str">
        <f>IF(E131="No","If no, why not:","")</f>
        <v/>
      </c>
      <c r="I131" s="41" t="n"/>
      <c r="J131" s="42" t="n"/>
      <c r="K131" s="43" t="n"/>
      <c r="L131" s="10" t="n"/>
      <c r="M131" s="11" t="n"/>
    </row>
    <row r="132">
      <c r="A132" s="18" t="n"/>
      <c r="B132" s="14" t="n"/>
      <c r="C132" s="14" t="n"/>
      <c r="D132" s="33" t="inlineStr">
        <is>
          <t>Property - contents</t>
        </is>
      </c>
      <c r="E132" s="38" t="n"/>
      <c r="F132" s="39" t="n"/>
      <c r="G132" s="39" t="n"/>
      <c r="H132" s="73" t="str">
        <f>IF(E132="No","If no, why not:","")</f>
        <v/>
      </c>
      <c r="I132" s="41" t="n"/>
      <c r="J132" s="42" t="n"/>
      <c r="K132" s="43" t="n"/>
      <c r="L132" s="10" t="n"/>
      <c r="M132" s="11" t="n"/>
    </row>
    <row r="133">
      <c r="A133" s="18" t="n"/>
      <c r="B133" s="14" t="n"/>
      <c r="C133" s="14" t="n"/>
      <c r="D133" s="33" t="inlineStr">
        <is>
          <t>Additional living expenses</t>
        </is>
      </c>
      <c r="E133" s="44" t="n"/>
      <c r="F133" s="39" t="n"/>
      <c r="G133" s="39" t="n"/>
      <c r="H133" s="73" t="str">
        <f>IF(E133="No","If no, why not:","")</f>
        <v/>
      </c>
      <c r="I133" s="41" t="n"/>
      <c r="J133" s="42" t="n"/>
      <c r="K133" s="43" t="n"/>
      <c r="L133" s="10" t="n"/>
      <c r="M133" s="11" t="n"/>
    </row>
    <row r="134">
      <c r="A134" s="18" t="n"/>
      <c r="B134" s="14" t="n"/>
      <c r="C134" s="14" t="n"/>
      <c r="D134" s="33" t="inlineStr">
        <is>
          <t>Business interruption</t>
        </is>
      </c>
      <c r="E134" s="38" t="n"/>
      <c r="F134" s="45" t="n"/>
      <c r="G134" s="46" t="n"/>
      <c r="H134" s="73" t="str">
        <f>IF(E134="No","If no, why not:","")</f>
        <v/>
      </c>
      <c r="I134" s="41" t="n"/>
      <c r="J134" s="42" t="n"/>
      <c r="K134" s="43" t="n"/>
      <c r="L134" s="10" t="n"/>
      <c r="M134" s="11" t="n"/>
    </row>
    <row r="135">
      <c r="A135" s="18" t="n"/>
      <c r="B135" s="14" t="n"/>
      <c r="C135" s="14" t="n"/>
      <c r="D135" s="33" t="inlineStr">
        <is>
          <t>Auto physical damage</t>
        </is>
      </c>
      <c r="E135" s="38" t="n"/>
      <c r="F135" s="45" t="n"/>
      <c r="G135" s="46" t="n"/>
      <c r="H135" s="73" t="str">
        <f>IF(E135="No","If no, why not:","")</f>
        <v/>
      </c>
      <c r="I135" s="41" t="n"/>
      <c r="J135" s="42" t="n"/>
      <c r="K135" s="43" t="n"/>
      <c r="L135" s="10" t="n"/>
      <c r="M135" s="11" t="n"/>
    </row>
    <row r="136">
      <c r="A136" s="18" t="n"/>
      <c r="B136" s="14" t="n"/>
      <c r="C136" s="14" t="n"/>
      <c r="D136" s="33" t="inlineStr">
        <is>
          <t>Worker's compensation</t>
        </is>
      </c>
      <c r="E136" s="38" t="n"/>
      <c r="F136" s="45" t="n"/>
      <c r="G136" s="46" t="n"/>
      <c r="H136" s="73" t="str">
        <f>IF(E136="No","If no, why not:","")</f>
        <v/>
      </c>
      <c r="I136" s="41" t="n"/>
      <c r="J136" s="42" t="n"/>
      <c r="K136" s="43" t="n"/>
      <c r="L136" s="10" t="n"/>
      <c r="M136" s="11" t="n"/>
    </row>
    <row r="137">
      <c r="A137" s="18" t="n"/>
      <c r="B137" s="14" t="n"/>
      <c r="C137" s="14" t="n"/>
      <c r="D137" s="33" t="inlineStr">
        <is>
          <t>Personal accident</t>
        </is>
      </c>
      <c r="E137" s="38" t="n"/>
      <c r="F137" s="45" t="n"/>
      <c r="G137" s="46" t="n"/>
      <c r="H137" s="73" t="str">
        <f>IF(E137="No","If no, why not:","")</f>
        <v/>
      </c>
      <c r="I137" s="41" t="n"/>
      <c r="J137" s="42" t="n"/>
      <c r="K137" s="43" t="n"/>
      <c r="L137" s="10" t="n"/>
      <c r="M137" s="11" t="n"/>
    </row>
    <row r="138">
      <c r="A138" s="18" t="n"/>
      <c r="B138" s="14" t="n"/>
      <c r="C138" s="14" t="n"/>
      <c r="D138" s="33" t="inlineStr">
        <is>
          <t>Life insurance</t>
        </is>
      </c>
      <c r="E138" s="38" t="n"/>
      <c r="F138" s="45" t="n"/>
      <c r="G138" s="46" t="n"/>
      <c r="H138" s="73" t="str">
        <f>IF(E138="No","If no, why not:","")</f>
        <v/>
      </c>
      <c r="I138" s="41" t="n"/>
      <c r="J138" s="42" t="n"/>
      <c r="K138" s="43" t="n"/>
      <c r="L138" s="10" t="n"/>
      <c r="M138" s="11" t="n"/>
    </row>
    <row r="139">
      <c r="A139" s="18" t="n"/>
      <c r="B139" s="14" t="n"/>
      <c r="C139" s="14" t="n"/>
      <c r="D139" s="33" t="inlineStr">
        <is>
          <t>Onshore Energy</t>
        </is>
      </c>
      <c r="E139" s="38" t="n"/>
      <c r="F139" s="45" t="n"/>
      <c r="G139" s="46" t="n"/>
      <c r="H139" s="73" t="str">
        <f>IF(E139="No","If no, why not:","")</f>
        <v/>
      </c>
      <c r="I139" s="41" t="n"/>
      <c r="J139" s="42" t="n"/>
      <c r="K139" s="43" t="n"/>
      <c r="L139" s="10" t="n"/>
      <c r="M139" s="11" t="n"/>
    </row>
    <row r="140">
      <c r="A140" s="18" t="n"/>
      <c r="B140" s="14" t="n"/>
      <c r="C140" s="14" t="n"/>
      <c r="D140" s="33" t="inlineStr">
        <is>
          <t>Offshore Energy</t>
        </is>
      </c>
      <c r="E140" s="38" t="n"/>
      <c r="F140" s="45" t="n"/>
      <c r="G140" s="46" t="n"/>
      <c r="H140" s="73" t="str">
        <f>IF(E140="No","If no, why not:","")</f>
        <v/>
      </c>
      <c r="I140" s="41" t="n"/>
      <c r="J140" s="42" t="n"/>
      <c r="K140" s="43" t="n"/>
      <c r="L140" s="10" t="n"/>
      <c r="M140" s="11" t="n"/>
    </row>
    <row r="141">
      <c r="A141" s="18" t="n"/>
      <c r="B141" s="14" t="n"/>
      <c r="C141" s="14" t="n"/>
      <c r="D141" s="33" t="inlineStr">
        <is>
          <t>Ocean marine</t>
        </is>
      </c>
      <c r="E141" s="38" t="n"/>
      <c r="F141" s="45" t="n"/>
      <c r="G141" s="46" t="n"/>
      <c r="H141" s="73" t="str">
        <f>IF(E141="No","If no, why not:","")</f>
        <v/>
      </c>
      <c r="I141" s="41" t="n"/>
      <c r="J141" s="42" t="n"/>
      <c r="K141" s="43" t="n"/>
      <c r="L141" s="10" t="n"/>
      <c r="M141" s="11" t="n"/>
    </row>
    <row r="142">
      <c r="A142" s="18" t="n"/>
      <c r="B142" s="14" t="n"/>
      <c r="C142" s="14" t="n"/>
      <c r="D142" s="33" t="inlineStr">
        <is>
          <t>Inland marine</t>
        </is>
      </c>
      <c r="E142" s="38" t="n"/>
      <c r="F142" s="45" t="n"/>
      <c r="G142" s="46" t="n"/>
      <c r="H142" s="73" t="str">
        <f>IF(E142="No","If no, why not:","")</f>
        <v/>
      </c>
      <c r="I142" s="41" t="n"/>
      <c r="J142" s="42" t="n"/>
      <c r="K142" s="43" t="n"/>
      <c r="L142" s="10" t="n"/>
      <c r="M142" s="11" t="n"/>
    </row>
    <row r="143">
      <c r="A143" s="18" t="n"/>
      <c r="B143" s="14" t="n"/>
      <c r="C143" s="14" t="n"/>
      <c r="D143" s="33" t="inlineStr">
        <is>
          <t>Flood</t>
        </is>
      </c>
      <c r="E143" s="38" t="n"/>
      <c r="F143" s="45" t="n"/>
      <c r="G143" s="46" t="n"/>
      <c r="H143" s="73" t="str">
        <f>IF(E143="No","If no, why not:","")</f>
        <v/>
      </c>
      <c r="I143" s="41" t="n"/>
      <c r="J143" s="42" t="n"/>
      <c r="K143" s="43" t="n"/>
      <c r="L143" s="10" t="n"/>
      <c r="M143" s="11" t="n"/>
    </row>
    <row r="144">
      <c r="A144" s="18" t="n"/>
      <c r="B144" s="14" t="n"/>
      <c r="C144" s="14" t="n"/>
      <c r="D144" s="33" t="inlineStr">
        <is>
          <t>Crop</t>
        </is>
      </c>
      <c r="E144" s="38" t="n"/>
      <c r="F144" s="45" t="n"/>
      <c r="G144" s="46" t="n"/>
      <c r="H144" s="73" t="str">
        <f>IF(E144="No","If no, why not:","")</f>
        <v/>
      </c>
      <c r="I144" s="41" t="n"/>
      <c r="J144" s="42" t="n"/>
      <c r="K144" s="43" t="n"/>
      <c r="L144" s="10" t="n"/>
      <c r="M144" s="11" t="n"/>
    </row>
    <row r="145">
      <c r="A145" s="18" t="n"/>
      <c r="B145" s="14" t="n"/>
      <c r="C145" s="14" t="n"/>
      <c r="D145" s="33" t="inlineStr">
        <is>
          <t>Other primary insurance</t>
        </is>
      </c>
      <c r="E145" s="38" t="n"/>
      <c r="F145" s="45" t="n"/>
      <c r="G145" s="46" t="n"/>
      <c r="H145" s="73" t="str">
        <f>IF(E145="No","If no, why not:","")</f>
        <v/>
      </c>
      <c r="I145" s="41" t="n"/>
      <c r="J145" s="42" t="n"/>
      <c r="K145" s="43" t="n"/>
      <c r="L145" s="10" t="n"/>
      <c r="M145" s="11" t="n"/>
    </row>
    <row r="146" ht="6.75" customHeight="1">
      <c r="A146" s="18" t="n"/>
      <c r="B146" s="14" t="n"/>
      <c r="C146" s="14" t="n"/>
      <c r="D146" s="14" t="n"/>
      <c r="E146" s="39" t="n"/>
      <c r="F146" s="39" t="n"/>
      <c r="G146" s="39" t="n"/>
      <c r="H146" s="73" t="n"/>
      <c r="I146" s="74" t="n"/>
      <c r="J146" s="74" t="n"/>
      <c r="K146" s="75" t="n"/>
      <c r="L146" s="10" t="n"/>
      <c r="M146" s="11" t="n"/>
    </row>
    <row r="147">
      <c r="A147" s="18" t="n"/>
      <c r="B147" s="14" t="n"/>
      <c r="C147" s="19" t="inlineStr">
        <is>
          <t>3. Assumed reinsurance information:</t>
        </is>
      </c>
      <c r="D147" s="14" t="n"/>
      <c r="E147" s="39" t="n"/>
      <c r="F147" s="39" t="n"/>
      <c r="G147" s="39" t="n"/>
      <c r="H147" s="73" t="n"/>
      <c r="I147" s="74" t="n"/>
      <c r="J147" s="74" t="n"/>
      <c r="K147" s="75" t="n"/>
      <c r="L147" s="10" t="n"/>
      <c r="M147" s="11" t="n"/>
    </row>
    <row r="148">
      <c r="A148" s="18" t="n"/>
      <c r="B148" s="14" t="n"/>
      <c r="C148" s="14" t="n"/>
      <c r="D148" s="33" t="inlineStr">
        <is>
          <t>Proportional - quota share</t>
        </is>
      </c>
      <c r="E148" s="38" t="n"/>
      <c r="F148" s="45" t="n"/>
      <c r="G148" s="46" t="n"/>
      <c r="H148" s="73" t="str">
        <f>IF(E148="No","If no, why not:","")</f>
        <v/>
      </c>
      <c r="I148" s="41" t="n"/>
      <c r="J148" s="42" t="n"/>
      <c r="K148" s="43" t="n"/>
      <c r="L148" s="10" t="n"/>
      <c r="M148" s="11" t="n"/>
    </row>
    <row r="149">
      <c r="A149" s="18" t="n"/>
      <c r="B149" s="14" t="n"/>
      <c r="C149" s="14" t="n"/>
      <c r="D149" s="33" t="inlineStr">
        <is>
          <t>Proportional - surplus share</t>
        </is>
      </c>
      <c r="E149" s="38" t="n"/>
      <c r="F149" s="45" t="n"/>
      <c r="G149" s="46" t="n"/>
      <c r="H149" s="73" t="str">
        <f>IF(E149="No","If no, why not:","")</f>
        <v/>
      </c>
      <c r="I149" s="41" t="n"/>
      <c r="J149" s="42" t="n"/>
      <c r="K149" s="43" t="n"/>
      <c r="L149" s="10" t="n"/>
      <c r="M149" s="11" t="n"/>
    </row>
    <row r="150">
      <c r="A150" s="18" t="n"/>
      <c r="B150" s="14" t="n"/>
      <c r="C150" s="14" t="n"/>
      <c r="D150" s="33" t="inlineStr">
        <is>
          <t>Non-proportional - catastrophe</t>
        </is>
      </c>
      <c r="E150" s="38" t="n"/>
      <c r="F150" s="45" t="n"/>
      <c r="G150" s="46" t="n"/>
      <c r="H150" s="73" t="str">
        <f>IF(E150="No","If no, why not:","")</f>
        <v/>
      </c>
      <c r="I150" s="41" t="n"/>
      <c r="J150" s="42" t="n"/>
      <c r="K150" s="43" t="n"/>
      <c r="L150" s="10" t="n"/>
      <c r="M150" s="11" t="n"/>
    </row>
    <row r="151">
      <c r="A151" s="18" t="n"/>
      <c r="B151" s="14" t="n"/>
      <c r="C151" s="14" t="n"/>
      <c r="D151" s="33" t="inlineStr">
        <is>
          <t>Non-proportional - per risk</t>
        </is>
      </c>
      <c r="E151" s="38" t="n"/>
      <c r="F151" s="45" t="n"/>
      <c r="G151" s="46" t="n"/>
      <c r="H151" s="73" t="str">
        <f>IF(E151="No","If no, why not:","")</f>
        <v/>
      </c>
      <c r="I151" s="41" t="n"/>
      <c r="J151" s="42" t="n"/>
      <c r="K151" s="43" t="n"/>
      <c r="L151" s="10" t="n"/>
      <c r="M151" s="11" t="n"/>
    </row>
    <row r="152">
      <c r="A152" s="18" t="n"/>
      <c r="B152" s="14" t="n"/>
      <c r="C152" s="14" t="n"/>
      <c r="D152" s="33" t="inlineStr">
        <is>
          <t>Other reinsurance assumed</t>
        </is>
      </c>
      <c r="E152" s="38" t="n"/>
      <c r="F152" s="45" t="n"/>
      <c r="G152" s="46" t="n"/>
      <c r="H152" s="73" t="str">
        <f>IF(E152="No","If no, why not:","")</f>
        <v/>
      </c>
      <c r="I152" s="41" t="n"/>
      <c r="J152" s="42" t="n"/>
      <c r="K152" s="43" t="n"/>
      <c r="L152" s="10" t="n"/>
      <c r="M152" s="11" t="n"/>
    </row>
    <row r="153" ht="6.75" customHeight="1">
      <c r="A153" s="18" t="n"/>
      <c r="B153" s="14" t="n"/>
      <c r="C153" s="14" t="n"/>
      <c r="D153" s="33" t="n"/>
      <c r="E153" s="39" t="n"/>
      <c r="F153" s="39" t="n"/>
      <c r="G153" s="39" t="n"/>
      <c r="H153" s="73" t="n"/>
      <c r="I153" s="50" t="n"/>
      <c r="J153" s="50" t="n"/>
      <c r="K153" s="41" t="n"/>
      <c r="L153" s="10" t="n"/>
      <c r="M153" s="11" t="n"/>
    </row>
    <row r="154">
      <c r="A154" s="18" t="n"/>
      <c r="B154" s="14" t="n"/>
      <c r="C154" s="19" t="inlineStr">
        <is>
          <t>4. Pools and assessments information:</t>
        </is>
      </c>
      <c r="D154" s="33" t="n"/>
      <c r="E154" s="39" t="n"/>
      <c r="F154" s="39" t="n"/>
      <c r="G154" s="39" t="n"/>
      <c r="H154" s="73" t="n"/>
      <c r="I154" s="74" t="n"/>
      <c r="J154" s="74" t="n"/>
      <c r="K154" s="75" t="n"/>
      <c r="L154" s="10" t="n"/>
      <c r="M154" s="11" t="n"/>
    </row>
    <row r="155">
      <c r="A155" s="18" t="n"/>
      <c r="B155" s="14" t="n"/>
      <c r="C155" s="51" t="n"/>
      <c r="D155" s="33" t="inlineStr">
        <is>
          <t>Voluntary pools and/or assessments</t>
        </is>
      </c>
      <c r="E155" s="38" t="n"/>
      <c r="F155" s="45" t="n"/>
      <c r="G155" s="46" t="n"/>
      <c r="H155" s="73" t="str">
        <f>IF(E155="No","If no, why not:","")</f>
        <v/>
      </c>
      <c r="I155" s="41" t="n"/>
      <c r="J155" s="42" t="n"/>
      <c r="K155" s="43" t="n"/>
      <c r="L155" s="10" t="n"/>
      <c r="M155" s="11" t="n"/>
    </row>
    <row r="156">
      <c r="A156" s="18" t="n"/>
      <c r="B156" s="14" t="n"/>
      <c r="C156" s="51" t="n"/>
      <c r="D156" s="33" t="inlineStr">
        <is>
          <t>Involuntary pools and/or assessments</t>
        </is>
      </c>
      <c r="E156" s="38" t="n"/>
      <c r="F156" s="45" t="n"/>
      <c r="G156" s="46" t="n"/>
      <c r="H156" s="73" t="str">
        <f>IF(E156="No","If no, why not:","")</f>
        <v/>
      </c>
      <c r="I156" s="41" t="n"/>
      <c r="J156" s="42" t="n"/>
      <c r="K156" s="43" t="n"/>
      <c r="L156" s="10" t="n"/>
      <c r="M156" s="11" t="n"/>
    </row>
    <row r="157" ht="6.75" customHeight="1">
      <c r="A157" s="18" t="n"/>
      <c r="B157" s="14" t="n"/>
      <c r="C157" s="14" t="n"/>
      <c r="D157" s="33" t="n"/>
      <c r="E157" s="39" t="n"/>
      <c r="F157" s="39" t="n"/>
      <c r="G157" s="39" t="n"/>
      <c r="H157" s="73" t="n"/>
      <c r="I157" s="74" t="n"/>
      <c r="J157" s="74" t="n"/>
      <c r="K157" s="75" t="n"/>
      <c r="L157" s="10" t="n"/>
      <c r="M157" s="11" t="n"/>
    </row>
    <row r="158">
      <c r="A158" s="18" t="n"/>
      <c r="B158" s="14" t="n"/>
      <c r="C158" s="19" t="inlineStr">
        <is>
          <t>5. Supplemental perils and model options:</t>
        </is>
      </c>
      <c r="D158" s="33" t="n"/>
      <c r="E158" s="39" t="n"/>
      <c r="F158" s="39" t="n"/>
      <c r="G158" s="39" t="n"/>
      <c r="H158" s="73" t="n"/>
      <c r="I158" s="74" t="n"/>
      <c r="J158" s="74" t="n"/>
      <c r="K158" s="75" t="n"/>
      <c r="L158" s="10" t="n"/>
      <c r="M158" s="11" t="n"/>
    </row>
    <row r="159">
      <c r="A159" s="18" t="n"/>
      <c r="B159" s="14" t="n"/>
      <c r="C159" s="14" t="n"/>
      <c r="D159" s="33" t="inlineStr">
        <is>
          <t>Fire following</t>
        </is>
      </c>
      <c r="E159" s="38" t="n"/>
      <c r="F159" s="45" t="n"/>
      <c r="G159" s="46" t="n"/>
      <c r="H159" s="73" t="str">
        <f>IF(E159="No","If no, why not:","")</f>
        <v/>
      </c>
      <c r="I159" s="41" t="n"/>
      <c r="J159" s="42" t="n"/>
      <c r="K159" s="43" t="n"/>
      <c r="L159" s="10" t="n"/>
      <c r="M159" s="11" t="n"/>
    </row>
    <row r="160">
      <c r="A160" s="18" t="n"/>
      <c r="B160" s="14" t="n"/>
      <c r="C160" s="14" t="n"/>
      <c r="D160" s="33" t="inlineStr">
        <is>
          <t>Sprinkler leakage</t>
        </is>
      </c>
      <c r="E160" s="38" t="n"/>
      <c r="F160" s="45" t="n"/>
      <c r="G160" s="46" t="n"/>
      <c r="H160" s="73" t="str">
        <f>IF(E160="No","If no, why not:","")</f>
        <v/>
      </c>
      <c r="I160" s="41" t="n"/>
      <c r="J160" s="42" t="n"/>
      <c r="K160" s="43" t="n"/>
      <c r="L160" s="10" t="n"/>
      <c r="M160" s="11" t="n"/>
    </row>
    <row r="161">
      <c r="A161" s="18" t="n"/>
      <c r="B161" s="14" t="n"/>
      <c r="C161" s="14" t="n"/>
      <c r="D161" s="33" t="inlineStr">
        <is>
          <t>Storm surge</t>
        </is>
      </c>
      <c r="E161" s="38" t="n"/>
      <c r="F161" s="45" t="n"/>
      <c r="G161" s="46" t="n"/>
      <c r="H161" s="73" t="str">
        <f>IF(E161="No","If no, why not:","")</f>
        <v/>
      </c>
      <c r="I161" s="41" t="n"/>
      <c r="J161" s="42" t="n"/>
      <c r="K161" s="43" t="n"/>
      <c r="L161" s="10" t="n"/>
      <c r="M161" s="11" t="n"/>
    </row>
    <row r="162">
      <c r="A162" s="18" t="n"/>
      <c r="B162" s="14" t="n"/>
      <c r="C162" s="14" t="n"/>
      <c r="D162" s="33" t="inlineStr">
        <is>
          <t>Demand surge</t>
        </is>
      </c>
      <c r="E162" s="38" t="n"/>
      <c r="F162" s="45" t="n"/>
      <c r="G162" s="46" t="n"/>
      <c r="H162" s="73" t="str">
        <f>IF(E162="No","If no, why not:","")</f>
        <v/>
      </c>
      <c r="I162" s="41" t="n"/>
      <c r="J162" s="42" t="n"/>
      <c r="K162" s="43" t="n"/>
      <c r="L162" s="10" t="n"/>
      <c r="M162" s="11" t="n"/>
    </row>
    <row r="163">
      <c r="A163" s="18" t="n"/>
      <c r="B163" s="14" t="n"/>
      <c r="C163" s="14" t="n"/>
      <c r="D163" s="33" t="inlineStr">
        <is>
          <t>Secondary uncertainty</t>
        </is>
      </c>
      <c r="E163" s="38" t="n"/>
      <c r="F163" s="45" t="n"/>
      <c r="G163" s="46" t="n"/>
      <c r="H163" s="73" t="str">
        <f>IF(E163="No","If no, why not:","")</f>
        <v/>
      </c>
      <c r="I163" s="41" t="n"/>
      <c r="J163" s="42" t="n"/>
      <c r="K163" s="43" t="n"/>
      <c r="L163" s="10" t="n"/>
      <c r="M163" s="11" t="n"/>
    </row>
    <row r="164">
      <c r="A164" s="18" t="n"/>
      <c r="B164" s="14" t="n"/>
      <c r="C164" s="14" t="n"/>
      <c r="D164" s="33" t="inlineStr">
        <is>
          <t>Atlantic multi-decadal oscillation selection</t>
        </is>
      </c>
      <c r="E164" s="38" t="n"/>
      <c r="F164" s="39" t="n"/>
      <c r="G164" s="39" t="n"/>
      <c r="H164" s="73" t="str">
        <f>IF(E164="Long-term frequency","If long-term frequency, why:","")</f>
        <v/>
      </c>
      <c r="I164" s="41" t="n"/>
      <c r="J164" s="42" t="n"/>
      <c r="K164" s="43" t="n"/>
      <c r="L164" s="10" t="n"/>
      <c r="M164" s="11" t="n"/>
    </row>
    <row r="165" ht="6.75" customHeight="1">
      <c r="A165" s="18" t="n"/>
      <c r="B165" s="14" t="n"/>
      <c r="C165" s="14" t="n"/>
      <c r="D165" s="33" t="n"/>
      <c r="E165" s="39" t="n"/>
      <c r="F165" s="39" t="n"/>
      <c r="G165" s="39" t="n"/>
      <c r="H165" s="73" t="n"/>
      <c r="I165" s="74" t="n"/>
      <c r="J165" s="74" t="n"/>
      <c r="K165" s="75" t="n"/>
      <c r="L165" s="10" t="n"/>
      <c r="M165" s="11" t="n"/>
    </row>
    <row r="166">
      <c r="A166" s="18" t="n"/>
      <c r="B166" s="14" t="n"/>
      <c r="C166" s="19" t="inlineStr">
        <is>
          <t>6. Other adjustments information:</t>
        </is>
      </c>
      <c r="D166" s="33" t="n"/>
      <c r="E166" s="39" t="n"/>
      <c r="F166" s="39" t="n"/>
      <c r="G166" s="39" t="n"/>
      <c r="H166" s="73" t="n"/>
      <c r="I166" s="74" t="n"/>
      <c r="J166" s="74" t="n"/>
      <c r="K166" s="75" t="n"/>
      <c r="L166" s="10" t="n"/>
      <c r="M166" s="11" t="n"/>
    </row>
    <row r="167">
      <c r="A167" s="18" t="n"/>
      <c r="B167" s="14" t="n"/>
      <c r="C167" s="14" t="n"/>
      <c r="D167" s="33" t="inlineStr">
        <is>
          <t>Adjustments for exposure data quality</t>
        </is>
      </c>
      <c r="E167" s="38" t="n"/>
      <c r="F167" s="39" t="n"/>
      <c r="G167" s="39" t="n"/>
      <c r="H167" s="73" t="str">
        <f>IF(E167="No","If no, why not:","")</f>
        <v/>
      </c>
      <c r="I167" s="41" t="n"/>
      <c r="J167" s="42" t="n"/>
      <c r="K167" s="43" t="n"/>
      <c r="L167" s="10" t="n"/>
      <c r="M167" s="11" t="n"/>
    </row>
    <row r="168">
      <c r="A168" s="18" t="n"/>
      <c r="B168" s="14" t="n"/>
      <c r="C168" s="14" t="n"/>
      <c r="D168" s="33" t="inlineStr">
        <is>
          <t>Adjustments for insurance to value</t>
        </is>
      </c>
      <c r="E168" s="38" t="n"/>
      <c r="F168" s="39" t="n"/>
      <c r="G168" s="39" t="n"/>
      <c r="H168" s="73" t="str">
        <f>IF(E168="No","If no, why not:","")</f>
        <v/>
      </c>
      <c r="I168" s="41" t="n"/>
      <c r="J168" s="42" t="n"/>
      <c r="K168" s="43" t="n"/>
      <c r="L168" s="10" t="n"/>
      <c r="M168" s="11" t="n"/>
    </row>
    <row r="169">
      <c r="A169" s="18" t="n"/>
      <c r="B169" s="14" t="n"/>
      <c r="C169" s="14" t="n"/>
      <c r="D169" s="33" t="inlineStr">
        <is>
          <t>Adjustments for exposure growth</t>
        </is>
      </c>
      <c r="E169" s="44" t="n"/>
      <c r="F169" s="39" t="n"/>
      <c r="G169" s="39" t="n"/>
      <c r="H169" s="73" t="str">
        <f>IF(E169="No","If no, why not:","")</f>
        <v/>
      </c>
      <c r="I169" s="41" t="n"/>
      <c r="J169" s="42" t="n"/>
      <c r="K169" s="43" t="n"/>
      <c r="L169" s="10" t="n"/>
      <c r="M169" s="11" t="n"/>
    </row>
    <row r="170">
      <c r="A170" s="18" t="n"/>
      <c r="B170" s="14" t="n"/>
      <c r="C170" s="14" t="n"/>
      <c r="D170" s="33" t="inlineStr">
        <is>
          <t>Supplemental losses for non-modelled line of business</t>
        </is>
      </c>
      <c r="E170" s="44" t="n"/>
      <c r="F170" s="39" t="n"/>
      <c r="G170" s="39" t="n"/>
      <c r="H170" s="73" t="str">
        <f>IF(E170="No","If no, why not:","")</f>
        <v/>
      </c>
      <c r="I170" s="41" t="n"/>
      <c r="J170" s="42" t="n"/>
      <c r="K170" s="43" t="n"/>
      <c r="L170" s="10" t="n"/>
      <c r="M170" s="11" t="n"/>
    </row>
    <row r="171">
      <c r="A171" s="18" t="n"/>
      <c r="B171" s="14" t="n"/>
      <c r="C171" s="14" t="n"/>
      <c r="D171" s="33" t="inlineStr">
        <is>
          <t>Adjustments for model deficiencies – severity</t>
        </is>
      </c>
      <c r="E171" s="38" t="n"/>
      <c r="F171" s="46" t="n"/>
      <c r="G171" s="39" t="n"/>
      <c r="H171" s="73" t="str">
        <f>IF(E171="No","If no, why not:","")</f>
        <v/>
      </c>
      <c r="I171" s="41" t="n"/>
      <c r="J171" s="42" t="n"/>
      <c r="K171" s="43" t="n"/>
      <c r="L171" s="10" t="n"/>
      <c r="M171" s="11" t="n"/>
    </row>
    <row r="172">
      <c r="A172" s="18" t="n"/>
      <c r="B172" s="14" t="n"/>
      <c r="C172" s="14" t="n"/>
      <c r="D172" s="33" t="inlineStr">
        <is>
          <t>Adjustments for model deficiencies - frequency</t>
        </is>
      </c>
      <c r="E172" s="38" t="n"/>
      <c r="F172" s="46" t="n"/>
      <c r="G172" s="39" t="n"/>
      <c r="H172" s="73" t="str">
        <f>IF(E172="No","If no, why not:","")</f>
        <v/>
      </c>
      <c r="I172" s="41" t="n"/>
      <c r="J172" s="42" t="n"/>
      <c r="K172" s="43" t="n"/>
      <c r="L172" s="10" t="n"/>
      <c r="M172" s="11" t="n"/>
    </row>
    <row r="173">
      <c r="A173" s="18" t="n"/>
      <c r="B173" s="14" t="n"/>
      <c r="C173" s="14" t="n"/>
      <c r="D173" s="33" t="inlineStr">
        <is>
          <t>Additional demand surge loadings</t>
        </is>
      </c>
      <c r="E173" s="38" t="n"/>
      <c r="F173" s="39" t="n"/>
      <c r="G173" s="39" t="n"/>
      <c r="H173" s="73" t="str">
        <f>IF(E173="No","If no, why not:","")</f>
        <v/>
      </c>
      <c r="I173" s="41" t="n"/>
      <c r="J173" s="42" t="n"/>
      <c r="K173" s="43" t="n"/>
      <c r="L173" s="10" t="n"/>
      <c r="M173" s="11" t="n"/>
    </row>
    <row r="174">
      <c r="A174" s="18" t="n"/>
      <c r="B174" s="14" t="n"/>
      <c r="C174" s="14" t="n"/>
      <c r="D174" s="33" t="inlineStr">
        <is>
          <t>Other factors for prudence</t>
        </is>
      </c>
      <c r="E174" s="38" t="n"/>
      <c r="F174" s="39" t="n"/>
      <c r="G174" s="39" t="n"/>
      <c r="H174" s="73" t="str">
        <f>IF(E174="No","If no, why not:","")</f>
        <v/>
      </c>
      <c r="I174" s="41" t="n"/>
      <c r="J174" s="42" t="n"/>
      <c r="K174" s="43" t="n"/>
      <c r="L174" s="10" t="n"/>
      <c r="M174" s="11" t="n"/>
    </row>
    <row r="175" ht="6.75" customHeight="1">
      <c r="A175" s="18" t="n"/>
      <c r="B175" s="14" t="n"/>
      <c r="C175" s="14" t="n"/>
      <c r="D175" s="14" t="n"/>
      <c r="E175" s="73" t="n"/>
      <c r="F175" s="73" t="n"/>
      <c r="G175" s="76" t="n"/>
      <c r="H175" s="76" t="n"/>
      <c r="I175" s="48" t="n"/>
      <c r="J175" s="48" t="n"/>
      <c r="K175" s="49" t="n"/>
      <c r="L175" s="10" t="n"/>
      <c r="M175" s="11" t="n"/>
    </row>
    <row r="176">
      <c r="A176" s="18" t="n"/>
      <c r="B176" s="14" t="n"/>
      <c r="C176" s="14" t="n"/>
      <c r="D176" s="14" t="n"/>
      <c r="E176" s="73" t="n"/>
      <c r="F176" s="33" t="inlineStr">
        <is>
          <t>Average loading factor applied to ground up loss for all adjustments applied</t>
        </is>
      </c>
      <c r="G176" s="77" t="n"/>
      <c r="H176" s="76" t="n"/>
      <c r="I176" s="48" t="n"/>
      <c r="J176" s="48" t="n"/>
      <c r="K176" s="49" t="n"/>
      <c r="L176" s="10" t="n"/>
      <c r="M176" s="11" t="n"/>
    </row>
    <row r="177">
      <c r="A177" s="18" t="n"/>
      <c r="B177" s="14" t="n"/>
      <c r="C177" s="14" t="n"/>
      <c r="D177" s="14" t="n"/>
      <c r="E177" s="73" t="n"/>
      <c r="F177" s="33" t="inlineStr">
        <is>
          <t>Is this average loading factor determined analytically or estimated?</t>
        </is>
      </c>
      <c r="G177" s="78" t="n"/>
      <c r="H177" s="76" t="n"/>
      <c r="I177" s="48" t="n"/>
      <c r="J177" s="48" t="n"/>
      <c r="K177" s="49" t="n"/>
      <c r="L177" s="10" t="n"/>
      <c r="M177" s="11" t="n"/>
    </row>
    <row r="178" ht="6.75" customHeight="1">
      <c r="A178" s="18" t="n"/>
      <c r="B178" s="14" t="n"/>
      <c r="C178" s="14" t="n"/>
      <c r="D178" s="14" t="n"/>
      <c r="E178" s="73" t="n"/>
      <c r="F178" s="79" t="n"/>
      <c r="G178" s="76" t="n"/>
      <c r="H178" s="76" t="n"/>
      <c r="I178" s="48" t="n"/>
      <c r="J178" s="48" t="n"/>
      <c r="K178" s="49" t="n"/>
      <c r="L178" s="10" t="n"/>
      <c r="M178" s="11" t="n"/>
    </row>
    <row r="179">
      <c r="A179" s="18" t="n"/>
      <c r="B179" s="14" t="n"/>
      <c r="C179" s="14" t="n"/>
      <c r="D179" s="14" t="n"/>
      <c r="E179" s="73" t="n"/>
      <c r="F179" s="33" t="inlineStr">
        <is>
          <t>Which cat model do you include in this modelling?</t>
        </is>
      </c>
      <c r="G179" s="80" t="n"/>
      <c r="H179" s="76" t="n"/>
      <c r="I179" s="48" t="n"/>
      <c r="J179" s="48" t="n"/>
      <c r="K179" s="49" t="n"/>
      <c r="L179" s="10" t="n"/>
      <c r="M179" s="11" t="n"/>
    </row>
    <row r="180">
      <c r="A180" s="18" t="n"/>
      <c r="B180" s="14" t="n"/>
      <c r="C180" s="14" t="n"/>
      <c r="D180" s="14" t="n"/>
      <c r="E180" s="73" t="n"/>
      <c r="F180" s="33" t="inlineStr">
        <is>
          <t>Which version of the model or version of the region-peril models are used for each cat model as appropriate?</t>
        </is>
      </c>
      <c r="G180" s="81" t="n"/>
      <c r="H180" s="56" t="n"/>
      <c r="I180" s="14" t="n"/>
      <c r="J180" s="14" t="n"/>
      <c r="K180" s="15" t="n"/>
      <c r="L180" s="10" t="n"/>
      <c r="M180" s="11" t="n"/>
    </row>
    <row r="181">
      <c r="A181" s="18" t="n"/>
      <c r="B181" s="14" t="n"/>
      <c r="C181" s="14" t="n"/>
      <c r="D181" s="14" t="n"/>
      <c r="E181" s="73" t="n"/>
      <c r="F181" s="73" t="n"/>
      <c r="G181" s="57" t="n"/>
      <c r="H181" s="58" t="n"/>
      <c r="I181" s="14" t="n"/>
      <c r="J181" s="14" t="n"/>
      <c r="K181" s="15" t="n"/>
      <c r="L181" s="10" t="n"/>
      <c r="M181" s="11" t="n"/>
    </row>
    <row r="182" ht="6.75" customHeight="1">
      <c r="A182" s="59" t="n"/>
      <c r="B182" s="60" t="n"/>
      <c r="C182" s="60" t="n"/>
      <c r="D182" s="60" t="n"/>
      <c r="E182" s="60" t="n"/>
      <c r="F182" s="60" t="n"/>
      <c r="G182" s="82" t="n"/>
      <c r="H182" s="82" t="n"/>
      <c r="I182" s="60" t="n"/>
      <c r="J182" s="60" t="n"/>
      <c r="K182" s="62" t="n"/>
      <c r="L182" s="10" t="n"/>
      <c r="M182" s="11" t="n"/>
    </row>
    <row r="183"/>
    <row r="184"/>
    <row r="185"/>
    <row r="186"/>
    <row r="187"/>
    <row r="188" ht="75" customHeight="1">
      <c r="A188" s="83" t="n"/>
      <c r="B188" s="84" t="inlineStr">
        <is>
          <t>CATASTROPHE RISK RETURN: EXCEEDANCE PROBABILITY  (EP) CURVE  FOR REGIONS-PERILS (TABLE 15B)</t>
        </is>
      </c>
      <c r="C188" s="85" t="n"/>
      <c r="D188" s="85" t="n"/>
      <c r="E188" s="85" t="n"/>
      <c r="F188" s="85" t="n"/>
      <c r="G188" s="8" t="inlineStr">
        <is>
          <t>Back to instructions</t>
        </is>
      </c>
      <c r="H188" s="86" t="n"/>
      <c r="I188" s="87" t="n"/>
      <c r="J188" s="11" t="n"/>
      <c r="K188" s="11" t="n"/>
      <c r="L188" s="11" t="n"/>
      <c r="M188" s="11" t="n"/>
    </row>
    <row r="189" ht="13.5" customHeight="1">
      <c r="A189" s="88" t="n"/>
      <c r="B189" s="89" t="inlineStr">
        <is>
          <t>33</t>
        </is>
      </c>
      <c r="C189" s="90" t="n"/>
      <c r="D189" s="90" t="n"/>
      <c r="E189" s="90" t="n"/>
      <c r="F189" s="90" t="n"/>
      <c r="G189" s="90" t="n"/>
      <c r="H189" s="91" t="n"/>
      <c r="I189" s="92" t="n"/>
      <c r="J189" s="92" t="n"/>
      <c r="K189" s="92" t="n"/>
      <c r="L189" s="92" t="n"/>
      <c r="M189" s="92" t="n"/>
    </row>
    <row r="190" ht="13.5" customHeight="1">
      <c r="A190" s="88" t="n"/>
      <c r="B190" s="93">
        <f>DATE(2026,1,1)</f>
        <v>46023.0</v>
      </c>
      <c r="D190" s="90" t="n"/>
      <c r="E190" s="90" t="n"/>
      <c r="F190" s="90" t="n"/>
      <c r="G190" s="94" t="inlineStr">
        <is>
          <t>SCHEDULE X(c)</t>
        </is>
      </c>
      <c r="H190" s="91" t="n"/>
      <c r="I190" s="92" t="n"/>
      <c r="J190" s="92" t="n"/>
      <c r="K190" s="92" t="n"/>
      <c r="L190" s="92" t="n"/>
      <c r="M190" s="92" t="n"/>
    </row>
    <row r="191" ht="6.75" customHeight="1">
      <c r="A191" s="95" t="n"/>
      <c r="B191" s="90" t="n"/>
      <c r="C191" s="90" t="n"/>
      <c r="D191" s="90" t="n"/>
      <c r="E191" s="90" t="n"/>
      <c r="F191" s="90" t="n"/>
      <c r="G191" s="90" t="n"/>
      <c r="H191" s="90" t="n"/>
      <c r="I191" s="92" t="n"/>
      <c r="J191" s="92" t="n"/>
      <c r="K191" s="92" t="n"/>
      <c r="L191" s="92" t="n"/>
      <c r="M191" s="92" t="n"/>
    </row>
    <row r="192" ht="16.7" customHeight="1">
      <c r="A192" s="96" t="n"/>
      <c r="B192" s="90" t="n"/>
      <c r="C192" s="97" t="inlineStr">
        <is>
          <t>Provide Exceedance Probability information on the following perils in the templates provided below.</t>
        </is>
      </c>
      <c r="H192" s="98" t="n"/>
      <c r="I192" s="92" t="n"/>
      <c r="J192" s="92" t="n"/>
      <c r="K192" s="92" t="n"/>
      <c r="L192" s="92" t="n"/>
      <c r="M192" s="92" t="n"/>
    </row>
    <row r="193" ht="6.75" customHeight="1">
      <c r="A193" s="95" t="n"/>
      <c r="B193" s="90" t="n"/>
      <c r="C193" s="90" t="n"/>
      <c r="D193" s="90" t="n"/>
      <c r="E193" s="90" t="n"/>
      <c r="F193" s="90" t="n"/>
      <c r="G193" s="90" t="n"/>
      <c r="H193" s="90" t="n"/>
      <c r="I193" s="92" t="n"/>
      <c r="J193" s="92" t="n"/>
      <c r="K193" s="92" t="n"/>
      <c r="L193" s="92" t="n"/>
      <c r="M193" s="92" t="n"/>
    </row>
    <row r="194" ht="16.5" customHeight="1">
      <c r="A194" s="95" t="n"/>
      <c r="B194" s="94" t="inlineStr">
        <is>
          <t>a)</t>
        </is>
      </c>
      <c r="C194" s="99" t="inlineStr">
        <is>
          <t>EP CURVE ATLANTIC BASIN HURRICANE</t>
        </is>
      </c>
      <c r="D194" s="90" t="n"/>
      <c r="E194" s="90" t="n"/>
      <c r="F194" s="90" t="n"/>
      <c r="G194" s="90" t="n"/>
      <c r="H194" s="90" t="n"/>
      <c r="I194" s="100" t="n"/>
      <c r="J194" s="92" t="n"/>
      <c r="K194" s="92" t="n"/>
      <c r="L194" s="92" t="n"/>
      <c r="M194" s="92" t="n"/>
    </row>
    <row r="195" ht="6.75" customHeight="1">
      <c r="A195" s="95" t="n"/>
      <c r="B195" s="94" t="n"/>
      <c r="C195" s="99" t="n"/>
      <c r="D195" s="90" t="n"/>
      <c r="E195" s="90" t="n"/>
      <c r="F195" s="90" t="n"/>
      <c r="G195" s="90" t="n"/>
      <c r="H195" s="90" t="n"/>
      <c r="I195" s="92" t="n"/>
      <c r="J195" s="92" t="n"/>
      <c r="K195" s="92" t="n"/>
      <c r="L195" s="92" t="n"/>
      <c r="M195" s="92" t="n"/>
    </row>
    <row r="196" ht="16.5" customHeight="1">
      <c r="A196" s="95" t="n"/>
      <c r="B196" s="101" t="n"/>
      <c r="C196" s="90" t="inlineStr">
        <is>
          <t>Which model(s) is used for  EP Curve Atlantic basin hurricane</t>
        </is>
      </c>
      <c r="D196" s="90" t="n"/>
      <c r="E196" s="90" t="n"/>
      <c r="F196" s="102" t="n"/>
      <c r="G196" s="90" t="n"/>
      <c r="H196" s="90" t="n"/>
      <c r="I196" s="92" t="n"/>
      <c r="J196" s="103" t="n"/>
      <c r="K196" s="92" t="n"/>
      <c r="L196" s="92" t="n"/>
      <c r="M196" s="92" t="n"/>
    </row>
    <row r="197" ht="16.5" customHeight="1">
      <c r="A197" s="95" t="n"/>
      <c r="B197" s="101" t="n"/>
      <c r="C197" s="90" t="inlineStr">
        <is>
          <t>Indicate the model version</t>
        </is>
      </c>
      <c r="D197" s="90" t="n"/>
      <c r="E197" s="90" t="n"/>
      <c r="F197" s="104" t="n"/>
      <c r="G197" s="90" t="n"/>
      <c r="H197" s="90" t="n"/>
      <c r="I197" s="92" t="n"/>
      <c r="J197" s="103" t="n"/>
      <c r="K197" s="92" t="n"/>
      <c r="L197" s="92" t="n"/>
      <c r="M197" s="92" t="n"/>
    </row>
    <row r="198" ht="6.75" customHeight="1">
      <c r="A198" s="95" t="n"/>
      <c r="B198" s="101" t="n"/>
      <c r="C198" s="90" t="n"/>
      <c r="D198" s="90" t="n"/>
      <c r="E198" s="90" t="n"/>
      <c r="F198" s="90" t="n"/>
      <c r="G198" s="90" t="n"/>
      <c r="H198" s="90" t="n"/>
      <c r="I198" s="92" t="n"/>
      <c r="J198" s="92" t="n"/>
      <c r="K198" s="105" t="n"/>
      <c r="L198" s="105" t="n"/>
      <c r="M198" s="105" t="n"/>
    </row>
    <row r="199" ht="17.25" customHeight="1">
      <c r="A199" s="106" t="n"/>
      <c r="B199" s="101" t="n"/>
      <c r="C199" s="107" t="inlineStr">
        <is>
          <t>Exceedance probability information:</t>
        </is>
      </c>
      <c r="D199" s="107" t="n"/>
      <c r="E199" s="90" t="n"/>
      <c r="F199" s="90" t="n"/>
      <c r="G199" s="90" t="n"/>
      <c r="H199" s="90" t="n"/>
      <c r="I199" s="92" t="n"/>
      <c r="J199" s="92" t="n"/>
      <c r="K199" s="92" t="n"/>
      <c r="L199" s="92" t="n"/>
      <c r="M199" s="92" t="n"/>
    </row>
    <row r="200" ht="16.5" customHeight="1">
      <c r="A200" s="95" t="n"/>
      <c r="B200" s="101" t="n"/>
      <c r="C200" s="108" t="n"/>
      <c r="D200" s="109" t="inlineStr">
        <is>
          <t xml:space="preserve"> Gross loss</t>
        </is>
      </c>
      <c r="E200" s="110" t="n"/>
      <c r="F200" s="111" t="inlineStr">
        <is>
          <t xml:space="preserve"> Net loss</t>
        </is>
      </c>
      <c r="G200" s="112" t="n"/>
      <c r="H200" s="90" t="n"/>
      <c r="I200" s="92" t="n"/>
      <c r="J200" s="92" t="n"/>
      <c r="K200" s="92" t="n"/>
      <c r="L200" s="92" t="n"/>
      <c r="M200" s="92" t="n"/>
    </row>
    <row r="201" ht="33" customHeight="1">
      <c r="A201" s="95" t="n"/>
      <c r="B201" s="101" t="n"/>
      <c r="C201" s="113" t="inlineStr">
        <is>
          <t>Loss Return period (years)</t>
        </is>
      </c>
      <c r="D201" s="114" t="inlineStr">
        <is>
          <t>Gross per occurrence loss TVaR</t>
        </is>
      </c>
      <c r="E201" s="115" t="inlineStr">
        <is>
          <t xml:space="preserve">Gross aggregate 
TVaR </t>
        </is>
      </c>
      <c r="F201" s="115" t="inlineStr">
        <is>
          <t>Net per occurrence loss TVaR</t>
        </is>
      </c>
      <c r="G201" s="116" t="inlineStr">
        <is>
          <t>Net aggregate
TVaR</t>
        </is>
      </c>
      <c r="H201" s="90" t="n"/>
      <c r="I201" s="92" t="n"/>
      <c r="J201" s="92" t="n"/>
      <c r="K201" s="92" t="n"/>
      <c r="L201" s="92" t="n"/>
      <c r="M201" s="92" t="n"/>
    </row>
    <row r="202" ht="16.5" customHeight="1">
      <c r="A202" s="95" t="n"/>
      <c r="B202" s="101" t="n"/>
      <c r="C202" s="117" t="n"/>
      <c r="D202" s="118" t="inlineStr">
        <is>
          <t xml:space="preserve"> ($M)</t>
        </is>
      </c>
      <c r="E202" s="118" t="inlineStr">
        <is>
          <t>($M)</t>
        </is>
      </c>
      <c r="F202" s="118" t="inlineStr">
        <is>
          <t>($M)</t>
        </is>
      </c>
      <c r="G202" s="119" t="inlineStr">
        <is>
          <t xml:space="preserve"> ($M)</t>
        </is>
      </c>
      <c r="H202" s="90" t="n"/>
      <c r="I202" s="92" t="n"/>
      <c r="J202" s="92" t="n"/>
      <c r="K202" s="92" t="n"/>
      <c r="L202" s="92" t="n"/>
      <c r="M202" s="92" t="n"/>
    </row>
    <row r="203" ht="16.5" customHeight="1">
      <c r="A203" s="95" t="n"/>
      <c r="B203" s="101" t="n"/>
      <c r="C203" s="120" t="n">
        <v>50</v>
      </c>
      <c r="D203" s="121" t="n"/>
      <c r="E203" s="121" t="n"/>
      <c r="F203" s="121" t="n"/>
      <c r="G203" s="121" t="n"/>
      <c r="H203" s="90" t="n"/>
      <c r="I203" s="92" t="n"/>
      <c r="J203" s="92" t="n"/>
      <c r="K203" s="92" t="n"/>
      <c r="L203" s="92" t="n"/>
      <c r="M203" s="92" t="n"/>
    </row>
    <row r="204" ht="16.5" customHeight="1">
      <c r="A204" s="95" t="n"/>
      <c r="B204" s="101" t="n"/>
      <c r="C204" s="120" t="n">
        <v>100</v>
      </c>
      <c r="D204" s="121" t="n"/>
      <c r="E204" s="121" t="n"/>
      <c r="F204" s="121" t="n"/>
      <c r="G204" s="121" t="n"/>
      <c r="H204" s="90" t="n"/>
      <c r="I204" s="92" t="n"/>
      <c r="J204" s="92" t="n"/>
      <c r="K204" s="92" t="n"/>
      <c r="L204" s="92" t="n"/>
      <c r="M204" s="92" t="n"/>
    </row>
    <row r="205" ht="16.5" customHeight="1">
      <c r="A205" s="95" t="n"/>
      <c r="B205" s="101" t="n"/>
      <c r="C205" s="120" t="n">
        <v>250</v>
      </c>
      <c r="D205" s="121" t="n"/>
      <c r="E205" s="121" t="n"/>
      <c r="F205" s="121" t="n"/>
      <c r="G205" s="121" t="n"/>
      <c r="H205" s="90" t="n"/>
      <c r="I205" s="92" t="n"/>
      <c r="J205" s="92" t="n"/>
      <c r="K205" s="92" t="n"/>
      <c r="L205" s="92" t="n"/>
      <c r="M205" s="92" t="n"/>
    </row>
    <row r="206" ht="16.5" customHeight="1">
      <c r="A206" s="95" t="n"/>
      <c r="B206" s="101" t="n"/>
      <c r="C206" s="120" t="n">
        <v>500</v>
      </c>
      <c r="D206" s="121" t="n"/>
      <c r="E206" s="121" t="n"/>
      <c r="F206" s="121" t="n"/>
      <c r="G206" s="121" t="n"/>
      <c r="H206" s="90" t="n"/>
      <c r="I206" s="92" t="n"/>
      <c r="J206" s="92" t="n"/>
      <c r="K206" s="92" t="n"/>
      <c r="L206" s="92" t="n"/>
      <c r="M206" s="92" t="n"/>
    </row>
    <row r="207" ht="17.25" customHeight="1">
      <c r="A207" s="95" t="n"/>
      <c r="B207" s="101" t="n"/>
      <c r="C207" s="122" t="n">
        <v>1000</v>
      </c>
      <c r="D207" s="121" t="n"/>
      <c r="E207" s="121" t="n"/>
      <c r="F207" s="121" t="n"/>
      <c r="G207" s="121" t="n"/>
      <c r="H207" s="90" t="n"/>
      <c r="I207" s="92" t="n"/>
      <c r="J207" s="92" t="n"/>
      <c r="K207" s="92" t="n"/>
      <c r="L207" s="92" t="n"/>
      <c r="M207" s="92" t="n"/>
    </row>
    <row r="208" ht="6.75" customHeight="1">
      <c r="A208" s="95" t="n"/>
      <c r="B208" s="101" t="n"/>
      <c r="C208" s="90" t="n"/>
      <c r="D208" s="123" t="n"/>
      <c r="E208" s="123" t="n"/>
      <c r="F208" s="123" t="n"/>
      <c r="G208" s="123" t="n"/>
      <c r="H208" s="90" t="n"/>
      <c r="I208" s="92" t="n"/>
      <c r="J208" s="92" t="n"/>
      <c r="K208" s="92" t="n"/>
      <c r="L208" s="92" t="n"/>
      <c r="M208" s="92" t="n"/>
    </row>
    <row r="209" ht="27.2" customHeight="1">
      <c r="A209" s="124" t="n"/>
      <c r="B209" s="101" t="n"/>
      <c r="C209" s="125" t="inlineStr">
        <is>
          <t>Exposure to Atlantic Basin Hurricane</t>
        </is>
      </c>
      <c r="D209" s="110" t="n"/>
      <c r="E209" s="126" t="inlineStr">
        <is>
          <t>Gross</t>
        </is>
      </c>
      <c r="F209" s="127" t="inlineStr">
        <is>
          <t>Net</t>
        </is>
      </c>
      <c r="G209" s="123" t="n"/>
      <c r="H209" s="90" t="n"/>
      <c r="I209" s="92" t="n"/>
      <c r="J209" s="92" t="n"/>
      <c r="K209" s="92" t="n"/>
      <c r="L209" s="92" t="n"/>
      <c r="M209" s="92" t="n"/>
    </row>
    <row r="210" ht="16.5" customHeight="1">
      <c r="A210" s="124" t="n"/>
      <c r="B210" s="101" t="n"/>
      <c r="C210" s="128" t="n"/>
      <c r="D210" s="129" t="n"/>
      <c r="E210" s="118" t="inlineStr">
        <is>
          <t xml:space="preserve"> ($M)</t>
        </is>
      </c>
      <c r="F210" s="119" t="inlineStr">
        <is>
          <t xml:space="preserve"> ($M)</t>
        </is>
      </c>
      <c r="G210" s="123" t="n"/>
      <c r="H210" s="90" t="n"/>
      <c r="I210" s="92" t="n"/>
      <c r="J210" s="92" t="n"/>
      <c r="K210" s="92" t="n"/>
      <c r="L210" s="92" t="n"/>
      <c r="M210" s="92" t="n"/>
    </row>
    <row r="211" ht="16.5" customHeight="1">
      <c r="A211" s="124" t="n"/>
      <c r="B211" s="101" t="n"/>
      <c r="C211" s="130" t="inlineStr">
        <is>
          <t>Total statutory property catastrophe premium</t>
        </is>
      </c>
      <c r="D211" s="131" t="n"/>
      <c r="E211" s="121" t="n"/>
      <c r="F211" s="132" t="n"/>
      <c r="G211" s="123" t="n"/>
      <c r="H211" s="90" t="n"/>
      <c r="I211" s="92" t="n"/>
      <c r="J211" s="92" t="n"/>
      <c r="K211" s="92" t="n"/>
      <c r="L211" s="92" t="n"/>
      <c r="M211" s="92" t="n"/>
    </row>
    <row r="212" ht="16.5" customHeight="1">
      <c r="A212" s="124" t="n"/>
      <c r="B212" s="101" t="n"/>
      <c r="C212" s="130" t="inlineStr">
        <is>
          <t>Total all other statutory premium</t>
        </is>
      </c>
      <c r="D212" s="131" t="n"/>
      <c r="E212" s="133" t="n"/>
      <c r="F212" s="134" t="n"/>
      <c r="G212" s="123" t="n"/>
      <c r="H212" s="90" t="n"/>
      <c r="I212" s="92" t="n"/>
      <c r="J212" s="92" t="n"/>
      <c r="K212" s="92" t="n"/>
      <c r="L212" s="92" t="n"/>
      <c r="M212" s="92" t="n"/>
    </row>
    <row r="213" ht="16.5" customHeight="1">
      <c r="A213" s="124" t="n"/>
      <c r="B213" s="101" t="n"/>
      <c r="C213" s="130" t="inlineStr">
        <is>
          <t>Total statutory property catastrophe limits</t>
        </is>
      </c>
      <c r="D213" s="131" t="n"/>
      <c r="E213" s="133" t="n"/>
      <c r="F213" s="134" t="n"/>
      <c r="G213" s="123" t="n"/>
      <c r="H213" s="90" t="n"/>
      <c r="I213" s="92" t="n"/>
      <c r="J213" s="92" t="n"/>
      <c r="K213" s="92" t="n"/>
      <c r="L213" s="92" t="n"/>
      <c r="M213" s="92" t="n"/>
    </row>
    <row r="214" ht="17.25" customHeight="1">
      <c r="A214" s="124" t="n"/>
      <c r="B214" s="101" t="n"/>
      <c r="C214" s="135" t="inlineStr">
        <is>
          <t>Total all other statutory limits</t>
        </is>
      </c>
      <c r="D214" s="136" t="n"/>
      <c r="E214" s="137">
        <f>SUMIFS(BSCRInput[sum_pml],BSCRInput[bscr_entity],"33",BSCRInput[region],"is_nahu",BSCRInput[peril_id],2)/1000000</f>
        <v>3363.098497502896</v>
      </c>
      <c r="F214" s="138">
        <f>SUMIFS(BSCRInput[sum_net],BSCRInput[bscr_entity],"33",BSCRInput[region],"is_nahu",BSCRInput[peril_id],2)/1000000</f>
        <v>2039.9588419150443</v>
      </c>
      <c r="G214" s="123" t="n"/>
      <c r="H214" s="90" t="n"/>
      <c r="I214" s="92" t="n"/>
      <c r="J214" s="92" t="n"/>
      <c r="K214" s="92" t="n"/>
      <c r="L214" s="92" t="n"/>
      <c r="M214" s="92" t="n"/>
    </row>
    <row r="215" ht="6.75" customHeight="1">
      <c r="A215" s="95" t="n"/>
      <c r="B215" s="101" t="n"/>
      <c r="C215" s="90" t="n"/>
      <c r="D215" s="123" t="n"/>
      <c r="E215" s="123" t="n"/>
      <c r="F215" s="123" t="n"/>
      <c r="G215" s="123" t="n"/>
      <c r="H215" s="90" t="n"/>
      <c r="I215" s="92" t="n"/>
      <c r="J215" s="92" t="n"/>
      <c r="K215" s="92" t="n"/>
      <c r="L215" s="92" t="n"/>
      <c r="M215" s="92" t="n"/>
    </row>
    <row r="216" ht="16.5" customHeight="1">
      <c r="A216" s="95" t="n"/>
      <c r="B216" s="94" t="inlineStr">
        <is>
          <t>b)</t>
        </is>
      </c>
      <c r="C216" s="99" t="inlineStr">
        <is>
          <t>EP CURVE NORTH AMERICAN EARTHQUAKE</t>
        </is>
      </c>
      <c r="D216" s="90" t="n"/>
      <c r="E216" s="90" t="n"/>
      <c r="F216" s="139" t="n"/>
      <c r="G216" s="90" t="n"/>
      <c r="H216" s="90" t="n"/>
      <c r="I216" s="100" t="n"/>
      <c r="J216" s="92" t="n"/>
      <c r="K216" s="92" t="n"/>
      <c r="L216" s="92" t="n"/>
      <c r="M216" s="92" t="n"/>
    </row>
    <row r="217" ht="6.75" customHeight="1">
      <c r="A217" s="95" t="n"/>
      <c r="B217" s="94" t="n"/>
      <c r="C217" s="99" t="n"/>
      <c r="D217" s="90" t="n"/>
      <c r="E217" s="90" t="n"/>
      <c r="F217" s="90" t="n"/>
      <c r="G217" s="90" t="n"/>
      <c r="H217" s="90" t="n"/>
      <c r="I217" s="92" t="n"/>
      <c r="J217" s="92" t="n"/>
      <c r="K217" s="92" t="n"/>
      <c r="L217" s="92" t="n"/>
      <c r="M217" s="92" t="n"/>
    </row>
    <row r="218" ht="16.5" customHeight="1">
      <c r="A218" s="95" t="n"/>
      <c r="B218" s="101" t="n"/>
      <c r="C218" s="90" t="inlineStr">
        <is>
          <t>Which model(s) is used for  EP Curve North American earthquake</t>
        </is>
      </c>
      <c r="D218" s="90" t="n"/>
      <c r="E218" s="90" t="n"/>
      <c r="F218" s="102" t="n"/>
      <c r="G218" s="90" t="n"/>
      <c r="H218" s="90" t="n"/>
      <c r="I218" s="92" t="n"/>
      <c r="J218" s="103" t="n"/>
      <c r="K218" s="92" t="n"/>
      <c r="L218" s="92" t="n"/>
      <c r="M218" s="92" t="n"/>
    </row>
    <row r="219" ht="16.5" customHeight="1">
      <c r="A219" s="95" t="n"/>
      <c r="B219" s="101" t="n"/>
      <c r="C219" s="90" t="inlineStr">
        <is>
          <t>Indicate the model version</t>
        </is>
      </c>
      <c r="D219" s="90" t="n"/>
      <c r="E219" s="90" t="n"/>
      <c r="F219" s="104" t="n"/>
      <c r="G219" s="90" t="n"/>
      <c r="H219" s="90" t="n"/>
      <c r="I219" s="92" t="n"/>
      <c r="J219" s="103" t="n"/>
      <c r="K219" s="92" t="n"/>
      <c r="L219" s="92" t="n"/>
      <c r="M219" s="92" t="n"/>
    </row>
    <row r="220" ht="6.75" customHeight="1">
      <c r="A220" s="95" t="n"/>
      <c r="B220" s="101" t="n"/>
      <c r="C220" s="90" t="n"/>
      <c r="D220" s="90" t="n"/>
      <c r="E220" s="90" t="n"/>
      <c r="F220" s="90" t="n"/>
      <c r="G220" s="90" t="n"/>
      <c r="H220" s="90" t="n"/>
      <c r="I220" s="92" t="n"/>
      <c r="J220" s="92" t="n"/>
      <c r="K220" s="92" t="n"/>
      <c r="L220" s="92" t="n"/>
      <c r="M220" s="92" t="n"/>
    </row>
    <row r="221" ht="17.25" customHeight="1">
      <c r="A221" s="95" t="n"/>
      <c r="B221" s="101" t="n"/>
      <c r="C221" s="107" t="inlineStr">
        <is>
          <t>Exceedance probability information:</t>
        </is>
      </c>
      <c r="D221" s="107" t="n"/>
      <c r="E221" s="90" t="n"/>
      <c r="F221" s="90" t="n"/>
      <c r="G221" s="90" t="n"/>
      <c r="H221" s="90" t="n"/>
      <c r="I221" s="92" t="n"/>
      <c r="J221" s="92" t="n"/>
      <c r="K221" s="92" t="n"/>
      <c r="L221" s="92" t="n"/>
      <c r="M221" s="92" t="n"/>
    </row>
    <row r="222" ht="16.5" customHeight="1">
      <c r="A222" s="95" t="n"/>
      <c r="B222" s="101" t="n"/>
      <c r="C222" s="108" t="n"/>
      <c r="D222" s="109" t="inlineStr">
        <is>
          <t xml:space="preserve"> Gross loss</t>
        </is>
      </c>
      <c r="E222" s="110" t="n"/>
      <c r="F222" s="111" t="inlineStr">
        <is>
          <t xml:space="preserve"> Net loss</t>
        </is>
      </c>
      <c r="G222" s="112" t="n"/>
      <c r="H222" s="90" t="n"/>
      <c r="I222" s="92" t="n"/>
      <c r="J222" s="92" t="n"/>
      <c r="K222" s="92" t="n"/>
      <c r="L222" s="92" t="n"/>
      <c r="M222" s="92" t="n"/>
    </row>
    <row r="223" ht="33" customHeight="1">
      <c r="A223" s="95" t="n"/>
      <c r="B223" s="101" t="n"/>
      <c r="C223" s="113" t="inlineStr">
        <is>
          <t>Loss Return period (years)</t>
        </is>
      </c>
      <c r="D223" s="114" t="inlineStr">
        <is>
          <t>Gross per occurrence loss TVaR</t>
        </is>
      </c>
      <c r="E223" s="115" t="inlineStr">
        <is>
          <t xml:space="preserve">Gross aggregate 
TVaR </t>
        </is>
      </c>
      <c r="F223" s="115" t="inlineStr">
        <is>
          <t>Net per occurrence loss TVaR</t>
        </is>
      </c>
      <c r="G223" s="116" t="inlineStr">
        <is>
          <t>Net aggregate
TVaR</t>
        </is>
      </c>
      <c r="H223" s="90" t="n"/>
      <c r="I223" s="92" t="n"/>
      <c r="J223" s="92" t="n"/>
      <c r="K223" s="92" t="n"/>
      <c r="L223" s="92" t="n"/>
      <c r="M223" s="92" t="n"/>
    </row>
    <row r="224" ht="16.5" customHeight="1">
      <c r="A224" s="95" t="n"/>
      <c r="B224" s="101" t="n"/>
      <c r="C224" s="117" t="n"/>
      <c r="D224" s="118" t="inlineStr">
        <is>
          <t xml:space="preserve"> ($M)</t>
        </is>
      </c>
      <c r="E224" s="118" t="inlineStr">
        <is>
          <t>($M)</t>
        </is>
      </c>
      <c r="F224" s="118" t="inlineStr">
        <is>
          <t>($M)</t>
        </is>
      </c>
      <c r="G224" s="119" t="inlineStr">
        <is>
          <t xml:space="preserve"> ($M)</t>
        </is>
      </c>
      <c r="H224" s="90" t="n"/>
      <c r="I224" s="92" t="n"/>
      <c r="J224" s="92" t="n"/>
      <c r="K224" s="92" t="n"/>
      <c r="L224" s="92" t="n"/>
      <c r="M224" s="92" t="n"/>
    </row>
    <row r="225" ht="16.5" customHeight="1">
      <c r="A225" s="95" t="n"/>
      <c r="B225" s="101" t="n"/>
      <c r="C225" s="120" t="n">
        <v>50</v>
      </c>
      <c r="D225" s="121" t="n"/>
      <c r="E225" s="121" t="n"/>
      <c r="F225" s="121" t="n"/>
      <c r="G225" s="121" t="n"/>
      <c r="H225" s="90" t="n"/>
      <c r="I225" s="92" t="n"/>
      <c r="J225" s="92" t="n"/>
      <c r="K225" s="92" t="n"/>
      <c r="L225" s="92" t="n"/>
      <c r="M225" s="92" t="n"/>
    </row>
    <row r="226" ht="16.5" customHeight="1">
      <c r="A226" s="95" t="n"/>
      <c r="B226" s="101" t="n"/>
      <c r="C226" s="120" t="n">
        <v>100</v>
      </c>
      <c r="D226" s="121" t="n"/>
      <c r="E226" s="121" t="n"/>
      <c r="F226" s="121" t="n"/>
      <c r="G226" s="121" t="n"/>
      <c r="H226" s="90" t="n"/>
      <c r="I226" s="92" t="n"/>
      <c r="J226" s="92" t="n"/>
      <c r="K226" s="92" t="n"/>
      <c r="L226" s="92" t="n"/>
      <c r="M226" s="92" t="n"/>
    </row>
    <row r="227" ht="16.5" customHeight="1">
      <c r="A227" s="95" t="n"/>
      <c r="B227" s="101" t="n"/>
      <c r="C227" s="120" t="n">
        <v>250</v>
      </c>
      <c r="D227" s="121" t="n"/>
      <c r="E227" s="121" t="n"/>
      <c r="F227" s="121" t="n"/>
      <c r="G227" s="121" t="n"/>
      <c r="H227" s="90" t="n"/>
      <c r="I227" s="92" t="n"/>
      <c r="J227" s="92" t="n"/>
      <c r="K227" s="92" t="n"/>
      <c r="L227" s="92" t="n"/>
      <c r="M227" s="92" t="n"/>
    </row>
    <row r="228" ht="16.5" customHeight="1">
      <c r="A228" s="95" t="n"/>
      <c r="B228" s="101" t="n"/>
      <c r="C228" s="120" t="n">
        <v>500</v>
      </c>
      <c r="D228" s="121" t="n"/>
      <c r="E228" s="121" t="n"/>
      <c r="F228" s="121" t="n"/>
      <c r="G228" s="121" t="n"/>
      <c r="H228" s="90" t="n"/>
      <c r="I228" s="92" t="n"/>
      <c r="J228" s="92" t="n"/>
      <c r="K228" s="92" t="n"/>
      <c r="L228" s="92" t="n"/>
      <c r="M228" s="92" t="n"/>
    </row>
    <row r="229" ht="17.25" customHeight="1">
      <c r="A229" s="95" t="n"/>
      <c r="B229" s="101" t="n"/>
      <c r="C229" s="122" t="n">
        <v>1000</v>
      </c>
      <c r="D229" s="121" t="n"/>
      <c r="E229" s="121" t="n"/>
      <c r="F229" s="121" t="n"/>
      <c r="G229" s="121" t="n"/>
      <c r="H229" s="90" t="n"/>
      <c r="I229" s="92" t="n"/>
      <c r="J229" s="92" t="n"/>
      <c r="K229" s="92" t="n"/>
      <c r="L229" s="92" t="n"/>
      <c r="M229" s="92" t="n"/>
    </row>
    <row r="230" ht="6.75" customHeight="1">
      <c r="A230" s="95" t="n"/>
      <c r="B230" s="101" t="n"/>
      <c r="C230" s="90" t="n"/>
      <c r="D230" s="123" t="n"/>
      <c r="E230" s="123" t="n"/>
      <c r="F230" s="123" t="n"/>
      <c r="G230" s="123" t="n"/>
      <c r="H230" s="90" t="n"/>
      <c r="I230" s="92" t="n"/>
      <c r="J230" s="92" t="n"/>
      <c r="K230" s="92" t="n"/>
      <c r="L230" s="92" t="n"/>
      <c r="M230" s="92" t="n"/>
    </row>
    <row r="231" ht="27.2" customHeight="1">
      <c r="A231" s="124" t="n"/>
      <c r="B231" s="101" t="n"/>
      <c r="C231" s="125" t="inlineStr">
        <is>
          <t>Exposure to North American Earthquake</t>
        </is>
      </c>
      <c r="D231" s="110" t="n"/>
      <c r="E231" s="126" t="inlineStr">
        <is>
          <t>Gross</t>
        </is>
      </c>
      <c r="F231" s="127" t="inlineStr">
        <is>
          <t>Net</t>
        </is>
      </c>
      <c r="G231" s="123" t="n"/>
      <c r="H231" s="90" t="n"/>
      <c r="I231" s="92" t="n"/>
      <c r="J231" s="92" t="n"/>
      <c r="K231" s="92" t="n"/>
      <c r="L231" s="92" t="n"/>
      <c r="M231" s="92" t="n"/>
    </row>
    <row r="232" ht="16.5" customHeight="1">
      <c r="A232" s="124" t="n"/>
      <c r="B232" s="101" t="n"/>
      <c r="C232" s="128" t="n"/>
      <c r="D232" s="129" t="n"/>
      <c r="E232" s="118" t="inlineStr">
        <is>
          <t xml:space="preserve"> ($M)</t>
        </is>
      </c>
      <c r="F232" s="119" t="inlineStr">
        <is>
          <t xml:space="preserve"> ($M)</t>
        </is>
      </c>
      <c r="G232" s="123" t="n"/>
      <c r="H232" s="90" t="n"/>
      <c r="I232" s="92" t="n"/>
      <c r="J232" s="92" t="n"/>
      <c r="K232" s="92" t="n"/>
      <c r="L232" s="92" t="n"/>
      <c r="M232" s="92" t="n"/>
    </row>
    <row r="233" ht="16.5" customHeight="1">
      <c r="A233" s="124" t="n"/>
      <c r="B233" s="101" t="n"/>
      <c r="C233" s="130" t="inlineStr">
        <is>
          <t>Total statutory property catastrophe premium</t>
        </is>
      </c>
      <c r="D233" s="131" t="n"/>
      <c r="E233" s="121" t="n"/>
      <c r="F233" s="132" t="n"/>
      <c r="G233" s="123" t="n"/>
      <c r="H233" s="90" t="n"/>
      <c r="I233" s="92" t="n"/>
      <c r="J233" s="92" t="n"/>
      <c r="K233" s="92" t="n"/>
      <c r="L233" s="92" t="n"/>
      <c r="M233" s="92" t="n"/>
    </row>
    <row r="234" ht="16.5" customHeight="1">
      <c r="A234" s="124" t="n"/>
      <c r="B234" s="101" t="n"/>
      <c r="C234" s="130" t="inlineStr">
        <is>
          <t>Total all other statutory premium</t>
        </is>
      </c>
      <c r="D234" s="131" t="n"/>
      <c r="E234" s="133" t="n"/>
      <c r="F234" s="134" t="n"/>
      <c r="G234" s="123" t="n"/>
      <c r="H234" s="90" t="n"/>
      <c r="I234" s="92" t="n"/>
      <c r="J234" s="92" t="n"/>
      <c r="K234" s="92" t="n"/>
      <c r="L234" s="92" t="n"/>
      <c r="M234" s="92" t="n"/>
    </row>
    <row r="235" ht="16.5" customHeight="1">
      <c r="A235" s="124" t="n"/>
      <c r="B235" s="101" t="n"/>
      <c r="C235" s="130" t="inlineStr">
        <is>
          <t>Total statutory property catastrophe limits</t>
        </is>
      </c>
      <c r="D235" s="131" t="n"/>
      <c r="E235" s="133" t="n"/>
      <c r="F235" s="134" t="n"/>
      <c r="G235" s="123" t="n"/>
      <c r="H235" s="90" t="n"/>
      <c r="I235" s="92" t="n"/>
      <c r="J235" s="92" t="n"/>
      <c r="K235" s="92" t="n"/>
      <c r="L235" s="92" t="n"/>
      <c r="M235" s="92" t="n"/>
    </row>
    <row r="236" ht="17.25" customHeight="1">
      <c r="A236" s="124" t="n"/>
      <c r="B236" s="101" t="n"/>
      <c r="C236" s="135" t="inlineStr">
        <is>
          <t>Total all other statutory limits</t>
        </is>
      </c>
      <c r="D236" s="136" t="n"/>
      <c r="E236" s="137">
        <f>SUMIFS(BSCRInput[sum_pml],BSCRInput[bscr_entity],"33",BSCRInput[region],"is_na_eq",BSCRInput[peril_id],1)/1000000</f>
        <v>313.6852715218752</v>
      </c>
      <c r="F236" s="138">
        <f>SUMIFS(BSCRInput[sum_net],BSCRInput[bscr_entity],"33",BSCRInput[region],"is_na_eq",BSCRInput[peril_id],1)/1000000</f>
        <v>170.88963664420115</v>
      </c>
      <c r="G236" s="123" t="n"/>
      <c r="H236" s="90" t="n"/>
      <c r="I236" s="92" t="n"/>
      <c r="J236" s="92" t="n"/>
      <c r="K236" s="92" t="n"/>
      <c r="L236" s="92" t="n"/>
      <c r="M236" s="92" t="n"/>
    </row>
    <row r="237" ht="6.75" customHeight="1">
      <c r="A237" s="95" t="n"/>
      <c r="B237" s="101" t="n"/>
      <c r="C237" s="90" t="n"/>
      <c r="D237" s="90" t="n"/>
      <c r="E237" s="90" t="n"/>
      <c r="F237" s="90" t="n"/>
      <c r="G237" s="90" t="n"/>
      <c r="H237" s="90" t="n"/>
      <c r="I237" s="92" t="n"/>
      <c r="J237" s="92" t="n"/>
      <c r="K237" s="92" t="n"/>
      <c r="L237" s="92" t="n"/>
      <c r="M237" s="92" t="n"/>
    </row>
    <row r="238" ht="16.5" customHeight="1">
      <c r="A238" s="95" t="n"/>
      <c r="B238" s="94" t="inlineStr">
        <is>
          <t>c)</t>
        </is>
      </c>
      <c r="C238" s="99" t="inlineStr">
        <is>
          <t>EP CURVE EUROPEAN WINDSTORM</t>
        </is>
      </c>
      <c r="D238" s="90" t="n"/>
      <c r="E238" s="90" t="n"/>
      <c r="F238" s="139" t="n"/>
      <c r="G238" s="90" t="n"/>
      <c r="H238" s="90" t="n"/>
      <c r="I238" s="100" t="n"/>
      <c r="J238" s="92" t="n"/>
      <c r="K238" s="92" t="n"/>
      <c r="L238" s="92" t="n"/>
      <c r="M238" s="92" t="n"/>
    </row>
    <row r="239" ht="6.75" customHeight="1">
      <c r="A239" s="95" t="n"/>
      <c r="B239" s="101" t="n"/>
      <c r="C239" s="90" t="n"/>
      <c r="D239" s="90" t="n"/>
      <c r="E239" s="90" t="n"/>
      <c r="F239" s="90" t="n"/>
      <c r="G239" s="90" t="n"/>
      <c r="H239" s="90" t="n"/>
      <c r="I239" s="92" t="n"/>
      <c r="J239" s="92" t="n"/>
      <c r="K239" s="92" t="n"/>
      <c r="L239" s="92" t="n"/>
      <c r="M239" s="92" t="n"/>
    </row>
    <row r="240" ht="16.5" customHeight="1">
      <c r="A240" s="95" t="n"/>
      <c r="B240" s="101" t="n"/>
      <c r="C240" s="90" t="inlineStr">
        <is>
          <t>Which model(s) is used for  EP Curve European windstorm</t>
        </is>
      </c>
      <c r="D240" s="90" t="n"/>
      <c r="E240" s="90" t="n"/>
      <c r="F240" s="102" t="n"/>
      <c r="G240" s="90" t="n"/>
      <c r="H240" s="90" t="n"/>
      <c r="I240" s="92" t="n"/>
      <c r="J240" s="103" t="n"/>
      <c r="K240" s="92" t="n"/>
      <c r="L240" s="92" t="n"/>
      <c r="M240" s="92" t="n"/>
    </row>
    <row r="241" ht="16.5" customHeight="1">
      <c r="A241" s="95" t="n"/>
      <c r="B241" s="101" t="n"/>
      <c r="C241" s="90" t="inlineStr">
        <is>
          <t>Indicate the model version</t>
        </is>
      </c>
      <c r="D241" s="90" t="n"/>
      <c r="E241" s="90" t="n"/>
      <c r="F241" s="104" t="n"/>
      <c r="G241" s="90" t="n"/>
      <c r="H241" s="90" t="n"/>
      <c r="I241" s="92" t="n"/>
      <c r="J241" s="103" t="n"/>
      <c r="K241" s="92" t="n"/>
      <c r="L241" s="92" t="n"/>
      <c r="M241" s="92" t="n"/>
    </row>
    <row r="242" ht="6.75" customHeight="1">
      <c r="A242" s="95" t="n"/>
      <c r="B242" s="101" t="n"/>
      <c r="C242" s="90" t="n"/>
      <c r="D242" s="90" t="n"/>
      <c r="E242" s="90" t="n"/>
      <c r="F242" s="90" t="n"/>
      <c r="G242" s="90" t="n"/>
      <c r="H242" s="90" t="n"/>
      <c r="I242" s="92" t="n"/>
      <c r="J242" s="92" t="n"/>
      <c r="K242" s="92" t="n"/>
      <c r="L242" s="92" t="n"/>
      <c r="M242" s="92" t="n"/>
    </row>
    <row r="243" ht="17.25" customHeight="1">
      <c r="A243" s="95" t="n"/>
      <c r="B243" s="101" t="n"/>
      <c r="C243" s="107" t="inlineStr">
        <is>
          <t>Exceedance probability information:</t>
        </is>
      </c>
      <c r="D243" s="107" t="n"/>
      <c r="E243" s="90" t="n"/>
      <c r="F243" s="90" t="n"/>
      <c r="G243" s="90" t="n"/>
      <c r="H243" s="90" t="n"/>
      <c r="I243" s="92" t="n"/>
      <c r="J243" s="92" t="n"/>
      <c r="K243" s="92" t="n"/>
      <c r="L243" s="92" t="n"/>
      <c r="M243" s="92" t="n"/>
    </row>
    <row r="244" ht="16.5" customHeight="1">
      <c r="A244" s="95" t="n"/>
      <c r="B244" s="101" t="n"/>
      <c r="C244" s="108" t="n"/>
      <c r="D244" s="109" t="inlineStr">
        <is>
          <t xml:space="preserve"> Gross loss</t>
        </is>
      </c>
      <c r="E244" s="110" t="n"/>
      <c r="F244" s="111" t="inlineStr">
        <is>
          <t xml:space="preserve"> Net loss</t>
        </is>
      </c>
      <c r="G244" s="112" t="n"/>
      <c r="H244" s="90" t="n"/>
      <c r="I244" s="92" t="n"/>
      <c r="J244" s="92" t="n"/>
      <c r="K244" s="92" t="n"/>
      <c r="L244" s="92" t="n"/>
      <c r="M244" s="92" t="n"/>
    </row>
    <row r="245" ht="33" customHeight="1">
      <c r="A245" s="95" t="n"/>
      <c r="B245" s="101" t="n"/>
      <c r="C245" s="113" t="inlineStr">
        <is>
          <t>Loss Return period (years)</t>
        </is>
      </c>
      <c r="D245" s="114" t="inlineStr">
        <is>
          <t>Gross per occurrence loss TVaR</t>
        </is>
      </c>
      <c r="E245" s="115" t="inlineStr">
        <is>
          <t xml:space="preserve">Gross aggregate 
TVaR </t>
        </is>
      </c>
      <c r="F245" s="115" t="inlineStr">
        <is>
          <t>Net per occurrence loss TVaR</t>
        </is>
      </c>
      <c r="G245" s="116" t="inlineStr">
        <is>
          <t>Net aggregate
TVaR</t>
        </is>
      </c>
      <c r="H245" s="90" t="n"/>
      <c r="I245" s="92" t="n"/>
      <c r="J245" s="92" t="n"/>
      <c r="K245" s="92" t="n"/>
      <c r="L245" s="92" t="n"/>
      <c r="M245" s="92" t="n"/>
    </row>
    <row r="246" ht="16.5" customHeight="1">
      <c r="A246" s="95" t="n"/>
      <c r="B246" s="101" t="n"/>
      <c r="C246" s="117" t="n"/>
      <c r="D246" s="118" t="inlineStr">
        <is>
          <t xml:space="preserve"> ($M)</t>
        </is>
      </c>
      <c r="E246" s="118" t="inlineStr">
        <is>
          <t>($M)</t>
        </is>
      </c>
      <c r="F246" s="118" t="inlineStr">
        <is>
          <t>($M)</t>
        </is>
      </c>
      <c r="G246" s="119" t="inlineStr">
        <is>
          <t xml:space="preserve"> ($M)</t>
        </is>
      </c>
      <c r="H246" s="90" t="n"/>
      <c r="I246" s="92" t="n"/>
      <c r="J246" s="92" t="n"/>
      <c r="K246" s="92" t="n"/>
      <c r="L246" s="92" t="n"/>
      <c r="M246" s="92" t="n"/>
    </row>
    <row r="247" ht="16.5" customHeight="1">
      <c r="A247" s="95" t="n"/>
      <c r="B247" s="101" t="n"/>
      <c r="C247" s="120" t="n">
        <v>50</v>
      </c>
      <c r="D247" s="121" t="n"/>
      <c r="E247" s="121" t="n"/>
      <c r="F247" s="121" t="n"/>
      <c r="G247" s="121" t="n"/>
      <c r="H247" s="90" t="n"/>
      <c r="I247" s="92" t="n"/>
      <c r="J247" s="92" t="n"/>
      <c r="K247" s="92" t="n"/>
      <c r="L247" s="92" t="n"/>
      <c r="M247" s="92" t="n"/>
    </row>
    <row r="248" ht="16.5" customHeight="1">
      <c r="A248" s="95" t="n"/>
      <c r="B248" s="101" t="n"/>
      <c r="C248" s="120" t="n">
        <v>100</v>
      </c>
      <c r="D248" s="121" t="n"/>
      <c r="E248" s="121" t="n"/>
      <c r="F248" s="121" t="n"/>
      <c r="G248" s="121" t="n"/>
      <c r="H248" s="90" t="n"/>
      <c r="I248" s="92" t="n"/>
      <c r="J248" s="92" t="n"/>
      <c r="K248" s="92" t="n"/>
      <c r="L248" s="92" t="n"/>
      <c r="M248" s="92" t="n"/>
    </row>
    <row r="249" ht="16.5" customHeight="1">
      <c r="A249" s="95" t="n"/>
      <c r="B249" s="101" t="n"/>
      <c r="C249" s="120" t="n">
        <v>250</v>
      </c>
      <c r="D249" s="121" t="n"/>
      <c r="E249" s="121" t="n"/>
      <c r="F249" s="121" t="n"/>
      <c r="G249" s="121" t="n"/>
      <c r="H249" s="90" t="n"/>
      <c r="I249" s="92" t="n"/>
      <c r="J249" s="92" t="n"/>
      <c r="K249" s="92" t="n"/>
      <c r="L249" s="92" t="n"/>
      <c r="M249" s="92" t="n"/>
    </row>
    <row r="250" ht="16.5" customHeight="1">
      <c r="A250" s="95" t="n"/>
      <c r="B250" s="101" t="n"/>
      <c r="C250" s="120" t="n">
        <v>500</v>
      </c>
      <c r="D250" s="121" t="n"/>
      <c r="E250" s="121" t="n"/>
      <c r="F250" s="121" t="n"/>
      <c r="G250" s="121" t="n"/>
      <c r="H250" s="90" t="n"/>
      <c r="I250" s="92" t="n"/>
      <c r="J250" s="92" t="n"/>
      <c r="K250" s="92" t="n"/>
      <c r="L250" s="92" t="n"/>
      <c r="M250" s="92" t="n"/>
    </row>
    <row r="251" ht="17.25" customHeight="1">
      <c r="A251" s="95" t="n"/>
      <c r="B251" s="101" t="n"/>
      <c r="C251" s="122" t="n">
        <v>1000</v>
      </c>
      <c r="D251" s="121" t="n"/>
      <c r="E251" s="121" t="n"/>
      <c r="F251" s="121" t="n"/>
      <c r="G251" s="121" t="n"/>
      <c r="H251" s="90" t="n"/>
      <c r="I251" s="92" t="n"/>
      <c r="J251" s="92" t="n"/>
      <c r="K251" s="92" t="n"/>
      <c r="L251" s="92" t="n"/>
      <c r="M251" s="92" t="n"/>
    </row>
    <row r="252" ht="6.75" customHeight="1">
      <c r="A252" s="95" t="n"/>
      <c r="B252" s="101" t="n"/>
      <c r="C252" s="90" t="n"/>
      <c r="D252" s="123" t="n"/>
      <c r="E252" s="123" t="n"/>
      <c r="F252" s="123" t="n"/>
      <c r="G252" s="123" t="n"/>
      <c r="H252" s="90" t="n"/>
      <c r="I252" s="92" t="n"/>
      <c r="J252" s="92" t="n"/>
      <c r="K252" s="92" t="n"/>
      <c r="L252" s="92" t="n"/>
      <c r="M252" s="92" t="n"/>
    </row>
    <row r="253" ht="27.2" customHeight="1">
      <c r="A253" s="124" t="n"/>
      <c r="B253" s="101" t="n"/>
      <c r="C253" s="125" t="inlineStr">
        <is>
          <t>Exposure to European Windstorm</t>
        </is>
      </c>
      <c r="D253" s="110" t="n"/>
      <c r="E253" s="126" t="inlineStr">
        <is>
          <t>Gross</t>
        </is>
      </c>
      <c r="F253" s="127" t="inlineStr">
        <is>
          <t>Net</t>
        </is>
      </c>
      <c r="G253" s="123" t="n"/>
      <c r="H253" s="90" t="n"/>
      <c r="I253" s="92" t="n"/>
      <c r="J253" s="92" t="n"/>
      <c r="K253" s="92" t="n"/>
      <c r="L253" s="92" t="n"/>
      <c r="M253" s="92" t="n"/>
    </row>
    <row r="254" ht="16.5" customHeight="1">
      <c r="A254" s="124" t="n"/>
      <c r="B254" s="101" t="n"/>
      <c r="C254" s="128" t="n"/>
      <c r="D254" s="129" t="n"/>
      <c r="E254" s="118" t="inlineStr">
        <is>
          <t xml:space="preserve"> ($M)</t>
        </is>
      </c>
      <c r="F254" s="119" t="inlineStr">
        <is>
          <t xml:space="preserve"> ($M)</t>
        </is>
      </c>
      <c r="G254" s="123" t="n"/>
      <c r="H254" s="90" t="n"/>
      <c r="I254" s="92" t="n"/>
      <c r="J254" s="92" t="n"/>
      <c r="K254" s="92" t="n"/>
      <c r="L254" s="92" t="n"/>
      <c r="M254" s="92" t="n"/>
    </row>
    <row r="255" ht="16.5" customHeight="1">
      <c r="A255" s="124" t="n"/>
      <c r="B255" s="101" t="n"/>
      <c r="C255" s="130" t="inlineStr">
        <is>
          <t>Total statutory property catastrophe premium</t>
        </is>
      </c>
      <c r="D255" s="131" t="n"/>
      <c r="E255" s="121" t="n"/>
      <c r="F255" s="132" t="n"/>
      <c r="G255" s="123" t="n"/>
      <c r="H255" s="90" t="n"/>
      <c r="I255" s="92" t="n"/>
      <c r="J255" s="92" t="n"/>
      <c r="K255" s="92" t="n"/>
      <c r="L255" s="92" t="n"/>
      <c r="M255" s="92" t="n"/>
    </row>
    <row r="256" ht="16.5" customHeight="1">
      <c r="A256" s="124" t="n"/>
      <c r="B256" s="101" t="n"/>
      <c r="C256" s="130" t="inlineStr">
        <is>
          <t>Total all other statutory premium</t>
        </is>
      </c>
      <c r="D256" s="131" t="n"/>
      <c r="E256" s="133" t="n"/>
      <c r="F256" s="134" t="n"/>
      <c r="G256" s="123" t="n"/>
      <c r="H256" s="90" t="n"/>
      <c r="I256" s="92" t="n"/>
      <c r="J256" s="92" t="n"/>
      <c r="K256" s="92" t="n"/>
      <c r="L256" s="92" t="n"/>
      <c r="M256" s="92" t="n"/>
    </row>
    <row r="257" ht="16.5" customHeight="1">
      <c r="A257" s="124" t="n"/>
      <c r="B257" s="101" t="n"/>
      <c r="C257" s="130" t="inlineStr">
        <is>
          <t>Total statutory property catastrophe limits</t>
        </is>
      </c>
      <c r="D257" s="131" t="n"/>
      <c r="E257" s="133" t="n"/>
      <c r="F257" s="134" t="n"/>
      <c r="G257" s="123" t="n"/>
      <c r="H257" s="90" t="n"/>
      <c r="I257" s="92" t="n"/>
      <c r="J257" s="92" t="n"/>
      <c r="K257" s="92" t="n"/>
      <c r="L257" s="92" t="n"/>
      <c r="M257" s="92" t="n"/>
    </row>
    <row r="258" ht="17.25" customHeight="1">
      <c r="A258" s="124" t="n"/>
      <c r="B258" s="101" t="n"/>
      <c r="C258" s="135" t="inlineStr">
        <is>
          <t>Total all other statutory limits</t>
        </is>
      </c>
      <c r="D258" s="136" t="n"/>
      <c r="E258" s="137">
        <f>SUMIFS(BSCRInput[sum_pml],BSCRInput[bscr_entity],"33",BSCRInput[region],"is_eu",BSCRInput[peril_id],2)/1000000</f>
        <v>21149.32723995016</v>
      </c>
      <c r="F258" s="138">
        <f>SUMIFS(BSCRInput[sum_net],BSCRInput[bscr_entity],"33",BSCRInput[region],"is_eu",BSCRInput[peril_id],2)/1000000</f>
        <v>16439.316477127046</v>
      </c>
      <c r="G258" s="123" t="n"/>
      <c r="H258" s="90" t="n"/>
      <c r="I258" s="92" t="n"/>
      <c r="J258" s="92" t="n"/>
      <c r="K258" s="92" t="n"/>
      <c r="L258" s="92" t="n"/>
      <c r="M258" s="92" t="n"/>
    </row>
    <row r="259" ht="6.75" customHeight="1">
      <c r="A259" s="95" t="n"/>
      <c r="B259" s="101" t="n"/>
      <c r="C259" s="90" t="n"/>
      <c r="D259" s="90" t="n"/>
      <c r="E259" s="90" t="n"/>
      <c r="F259" s="90" t="n"/>
      <c r="G259" s="90" t="n"/>
      <c r="H259" s="90" t="n"/>
      <c r="I259" s="92" t="n"/>
      <c r="J259" s="92" t="n"/>
      <c r="K259" s="92" t="n"/>
      <c r="L259" s="92" t="n"/>
      <c r="M259" s="92" t="n"/>
    </row>
    <row r="260" ht="16.5" customHeight="1">
      <c r="A260" s="95" t="n"/>
      <c r="B260" s="94" t="inlineStr">
        <is>
          <t>d)</t>
        </is>
      </c>
      <c r="C260" s="99" t="inlineStr">
        <is>
          <t>EP CURVE JAPANESE EARTH QUAKE</t>
        </is>
      </c>
      <c r="D260" s="90" t="n"/>
      <c r="E260" s="90" t="n"/>
      <c r="F260" s="139" t="n"/>
      <c r="G260" s="90" t="n"/>
      <c r="H260" s="90" t="n"/>
      <c r="I260" s="100" t="n"/>
      <c r="J260" s="92" t="n"/>
      <c r="K260" s="92" t="n"/>
      <c r="L260" s="92" t="n"/>
      <c r="M260" s="92" t="n"/>
    </row>
    <row r="261" ht="6.75" customHeight="1">
      <c r="A261" s="95" t="n"/>
      <c r="B261" s="101" t="n"/>
      <c r="C261" s="90" t="n"/>
      <c r="D261" s="90" t="n"/>
      <c r="E261" s="90" t="n"/>
      <c r="F261" s="90" t="n"/>
      <c r="G261" s="90" t="n"/>
      <c r="H261" s="90" t="n"/>
      <c r="I261" s="92" t="n"/>
      <c r="J261" s="92" t="n"/>
      <c r="K261" s="92" t="n"/>
      <c r="L261" s="92" t="n"/>
      <c r="M261" s="92" t="n"/>
    </row>
    <row r="262" ht="16.5" customHeight="1">
      <c r="A262" s="95" t="n"/>
      <c r="B262" s="101" t="n"/>
      <c r="C262" s="90" t="inlineStr">
        <is>
          <t>Which model(s) is used for  EP Curve Japanese earthquake</t>
        </is>
      </c>
      <c r="D262" s="90" t="n"/>
      <c r="E262" s="90" t="n"/>
      <c r="F262" s="102" t="n"/>
      <c r="G262" s="90" t="n"/>
      <c r="H262" s="90" t="n"/>
      <c r="I262" s="92" t="n"/>
      <c r="J262" s="103" t="n"/>
      <c r="K262" s="92" t="n"/>
      <c r="L262" s="92" t="n"/>
      <c r="M262" s="92" t="n"/>
    </row>
    <row r="263" ht="16.5" customHeight="1">
      <c r="A263" s="95" t="n"/>
      <c r="B263" s="101" t="n"/>
      <c r="C263" s="95" t="inlineStr">
        <is>
          <t>Indicate the model version</t>
        </is>
      </c>
      <c r="D263" s="90" t="n"/>
      <c r="E263" s="90" t="n"/>
      <c r="F263" s="104" t="n"/>
      <c r="G263" s="90" t="n"/>
      <c r="H263" s="90" t="n"/>
      <c r="I263" s="92" t="n"/>
      <c r="J263" s="103" t="n"/>
      <c r="K263" s="92" t="n"/>
      <c r="L263" s="92" t="n"/>
      <c r="M263" s="92" t="n"/>
    </row>
    <row r="264" ht="6.75" customHeight="1">
      <c r="A264" s="95" t="n"/>
      <c r="B264" s="101" t="n"/>
      <c r="C264" s="90" t="n"/>
      <c r="D264" s="90" t="n"/>
      <c r="E264" s="90" t="n"/>
      <c r="F264" s="90" t="n"/>
      <c r="G264" s="90" t="n"/>
      <c r="H264" s="90" t="n"/>
      <c r="I264" s="92" t="n"/>
      <c r="J264" s="92" t="n"/>
      <c r="K264" s="92" t="n"/>
      <c r="L264" s="92" t="n"/>
      <c r="M264" s="92" t="n"/>
    </row>
    <row r="265" ht="17.25" customHeight="1">
      <c r="A265" s="95" t="n"/>
      <c r="B265" s="101" t="n"/>
      <c r="C265" s="107" t="inlineStr">
        <is>
          <t>Exceedance probability information:</t>
        </is>
      </c>
      <c r="D265" s="107" t="n"/>
      <c r="E265" s="90" t="n"/>
      <c r="F265" s="90" t="n"/>
      <c r="G265" s="90" t="n"/>
      <c r="H265" s="90" t="n"/>
      <c r="I265" s="92" t="n"/>
      <c r="J265" s="92" t="n"/>
      <c r="K265" s="92" t="n"/>
      <c r="L265" s="92" t="n"/>
      <c r="M265" s="92" t="n"/>
    </row>
    <row r="266" ht="16.5" customHeight="1">
      <c r="A266" s="95" t="n"/>
      <c r="B266" s="101" t="n"/>
      <c r="C266" s="108" t="n"/>
      <c r="D266" s="109" t="inlineStr">
        <is>
          <t xml:space="preserve"> Gross loss</t>
        </is>
      </c>
      <c r="E266" s="110" t="n"/>
      <c r="F266" s="111" t="inlineStr">
        <is>
          <t xml:space="preserve"> Net loss</t>
        </is>
      </c>
      <c r="G266" s="112" t="n"/>
      <c r="H266" s="90" t="n"/>
      <c r="I266" s="92" t="n"/>
      <c r="J266" s="92" t="n"/>
      <c r="K266" s="92" t="n"/>
      <c r="L266" s="92" t="n"/>
      <c r="M266" s="92" t="n"/>
    </row>
    <row r="267" ht="33" customHeight="1">
      <c r="A267" s="95" t="n"/>
      <c r="B267" s="101" t="n"/>
      <c r="C267" s="113" t="inlineStr">
        <is>
          <t>Loss Return period (years)</t>
        </is>
      </c>
      <c r="D267" s="114" t="inlineStr">
        <is>
          <t>Gross per occurrence loss TVaR</t>
        </is>
      </c>
      <c r="E267" s="115" t="inlineStr">
        <is>
          <t xml:space="preserve">Gross aggregate 
TVaR </t>
        </is>
      </c>
      <c r="F267" s="115" t="inlineStr">
        <is>
          <t>Net per occurrence loss TVaR</t>
        </is>
      </c>
      <c r="G267" s="116" t="inlineStr">
        <is>
          <t>Net aggregate
TVaR</t>
        </is>
      </c>
      <c r="H267" s="90" t="n"/>
      <c r="I267" s="92" t="n"/>
      <c r="J267" s="92" t="n"/>
      <c r="K267" s="92" t="n"/>
      <c r="L267" s="92" t="n"/>
      <c r="M267" s="92" t="n"/>
    </row>
    <row r="268" ht="16.5" customHeight="1">
      <c r="A268" s="95" t="n"/>
      <c r="B268" s="101" t="n"/>
      <c r="C268" s="117" t="n"/>
      <c r="D268" s="118" t="inlineStr">
        <is>
          <t xml:space="preserve"> ($M)</t>
        </is>
      </c>
      <c r="E268" s="118" t="inlineStr">
        <is>
          <t>($M)</t>
        </is>
      </c>
      <c r="F268" s="118" t="inlineStr">
        <is>
          <t>($M)</t>
        </is>
      </c>
      <c r="G268" s="119" t="inlineStr">
        <is>
          <t xml:space="preserve"> ($M)</t>
        </is>
      </c>
      <c r="H268" s="90" t="n"/>
      <c r="I268" s="92" t="n"/>
      <c r="J268" s="92" t="n"/>
      <c r="K268" s="92" t="n"/>
      <c r="L268" s="92" t="n"/>
      <c r="M268" s="92" t="n"/>
    </row>
    <row r="269" ht="16.5" customHeight="1">
      <c r="A269" s="95" t="n"/>
      <c r="B269" s="101" t="n"/>
      <c r="C269" s="120" t="n">
        <v>50</v>
      </c>
      <c r="D269" s="121" t="n"/>
      <c r="E269" s="121" t="n"/>
      <c r="F269" s="121" t="n"/>
      <c r="G269" s="121" t="n"/>
      <c r="H269" s="90" t="n"/>
      <c r="I269" s="92" t="n"/>
      <c r="J269" s="92" t="n"/>
      <c r="K269" s="92" t="n"/>
      <c r="L269" s="92" t="n"/>
      <c r="M269" s="92" t="n"/>
    </row>
    <row r="270" ht="16.5" customHeight="1">
      <c r="A270" s="95" t="n"/>
      <c r="B270" s="101" t="n"/>
      <c r="C270" s="120" t="n">
        <v>100</v>
      </c>
      <c r="D270" s="121" t="n"/>
      <c r="E270" s="121" t="n"/>
      <c r="F270" s="121" t="n"/>
      <c r="G270" s="121" t="n"/>
      <c r="H270" s="90" t="n"/>
      <c r="I270" s="92" t="n"/>
      <c r="J270" s="92" t="n"/>
      <c r="K270" s="92" t="n"/>
      <c r="L270" s="92" t="n"/>
      <c r="M270" s="92" t="n"/>
    </row>
    <row r="271" ht="16.5" customHeight="1">
      <c r="A271" s="95" t="n"/>
      <c r="B271" s="101" t="n"/>
      <c r="C271" s="120" t="n">
        <v>250</v>
      </c>
      <c r="D271" s="121" t="n"/>
      <c r="E271" s="121" t="n"/>
      <c r="F271" s="121" t="n"/>
      <c r="G271" s="121" t="n"/>
      <c r="H271" s="90" t="n"/>
      <c r="I271" s="92" t="n"/>
      <c r="J271" s="92" t="n"/>
      <c r="K271" s="92" t="n"/>
      <c r="L271" s="92" t="n"/>
      <c r="M271" s="92" t="n"/>
    </row>
    <row r="272" ht="16.5" customHeight="1">
      <c r="A272" s="95" t="n"/>
      <c r="B272" s="101" t="n"/>
      <c r="C272" s="120" t="n">
        <v>500</v>
      </c>
      <c r="D272" s="121" t="n"/>
      <c r="E272" s="121" t="n"/>
      <c r="F272" s="121" t="n"/>
      <c r="G272" s="121" t="n"/>
      <c r="H272" s="90" t="n"/>
      <c r="I272" s="92" t="n"/>
      <c r="J272" s="92" t="n"/>
      <c r="K272" s="92" t="n"/>
      <c r="L272" s="92" t="n"/>
      <c r="M272" s="92" t="n"/>
    </row>
    <row r="273" ht="17.25" customHeight="1">
      <c r="A273" s="95" t="n"/>
      <c r="B273" s="101" t="n"/>
      <c r="C273" s="122" t="n">
        <v>1000</v>
      </c>
      <c r="D273" s="121" t="n"/>
      <c r="E273" s="121" t="n"/>
      <c r="F273" s="121" t="n"/>
      <c r="G273" s="121" t="n"/>
      <c r="H273" s="90" t="n"/>
      <c r="I273" s="92" t="n"/>
      <c r="J273" s="92" t="n"/>
      <c r="K273" s="92" t="n"/>
      <c r="L273" s="92" t="n"/>
      <c r="M273" s="92" t="n"/>
    </row>
    <row r="274" ht="6.75" customHeight="1">
      <c r="A274" s="95" t="n"/>
      <c r="B274" s="101" t="n"/>
      <c r="C274" s="90" t="n"/>
      <c r="D274" s="123" t="n"/>
      <c r="E274" s="123" t="n"/>
      <c r="F274" s="123" t="n"/>
      <c r="G274" s="123" t="n"/>
      <c r="H274" s="90" t="n"/>
      <c r="I274" s="92" t="n"/>
      <c r="J274" s="92" t="n"/>
      <c r="K274" s="92" t="n"/>
      <c r="L274" s="92" t="n"/>
      <c r="M274" s="92" t="n"/>
    </row>
    <row r="275" ht="27.2" customHeight="1">
      <c r="A275" s="124" t="n"/>
      <c r="B275" s="101" t="n"/>
      <c r="C275" s="125" t="inlineStr">
        <is>
          <t>Exposure to Japanese Earthquake</t>
        </is>
      </c>
      <c r="D275" s="110" t="n"/>
      <c r="E275" s="126" t="inlineStr">
        <is>
          <t>Gross</t>
        </is>
      </c>
      <c r="F275" s="127" t="inlineStr">
        <is>
          <t>Net</t>
        </is>
      </c>
      <c r="G275" s="123" t="n"/>
      <c r="H275" s="90" t="n"/>
      <c r="I275" s="92" t="n"/>
      <c r="J275" s="92" t="n"/>
      <c r="K275" s="92" t="n"/>
      <c r="L275" s="92" t="n"/>
      <c r="M275" s="92" t="n"/>
    </row>
    <row r="276" ht="16.5" customHeight="1">
      <c r="A276" s="124" t="n"/>
      <c r="B276" s="101" t="n"/>
      <c r="C276" s="128" t="n"/>
      <c r="D276" s="129" t="n"/>
      <c r="E276" s="118" t="inlineStr">
        <is>
          <t xml:space="preserve"> ($M)</t>
        </is>
      </c>
      <c r="F276" s="119" t="inlineStr">
        <is>
          <t xml:space="preserve"> ($M)</t>
        </is>
      </c>
      <c r="G276" s="123" t="n"/>
      <c r="H276" s="90" t="n"/>
      <c r="I276" s="92" t="n"/>
      <c r="J276" s="92" t="n"/>
      <c r="K276" s="92" t="n"/>
      <c r="L276" s="92" t="n"/>
      <c r="M276" s="92" t="n"/>
    </row>
    <row r="277" ht="16.5" customHeight="1">
      <c r="A277" s="124" t="n"/>
      <c r="B277" s="101" t="n"/>
      <c r="C277" s="130" t="inlineStr">
        <is>
          <t>Total statutory property catastrophe premium</t>
        </is>
      </c>
      <c r="D277" s="131" t="n"/>
      <c r="E277" s="121" t="n"/>
      <c r="F277" s="132" t="n"/>
      <c r="G277" s="123" t="n"/>
      <c r="H277" s="90" t="n"/>
      <c r="I277" s="92" t="n"/>
      <c r="J277" s="92" t="n"/>
      <c r="K277" s="92" t="n"/>
      <c r="L277" s="92" t="n"/>
      <c r="M277" s="92" t="n"/>
    </row>
    <row r="278" ht="16.5" customHeight="1">
      <c r="A278" s="124" t="n"/>
      <c r="B278" s="101" t="n"/>
      <c r="C278" s="130" t="inlineStr">
        <is>
          <t>Total all other statutory premium</t>
        </is>
      </c>
      <c r="D278" s="131" t="n"/>
      <c r="E278" s="140" t="n"/>
      <c r="F278" s="141" t="n"/>
      <c r="G278" s="123" t="n"/>
      <c r="H278" s="90" t="n"/>
      <c r="I278" s="92" t="n"/>
      <c r="J278" s="92" t="n"/>
      <c r="K278" s="92" t="n"/>
      <c r="L278" s="92" t="n"/>
      <c r="M278" s="92" t="n"/>
    </row>
    <row r="279" ht="16.5" customHeight="1">
      <c r="A279" s="124" t="n"/>
      <c r="B279" s="101" t="n"/>
      <c r="C279" s="130" t="inlineStr">
        <is>
          <t>Total statutory property catastrophe limits</t>
        </is>
      </c>
      <c r="D279" s="131" t="n"/>
      <c r="E279" s="133" t="n"/>
      <c r="F279" s="134" t="n"/>
      <c r="G279" s="123" t="n"/>
      <c r="H279" s="90" t="n"/>
      <c r="I279" s="92" t="n"/>
      <c r="J279" s="92" t="n"/>
      <c r="K279" s="92" t="n"/>
      <c r="L279" s="92" t="n"/>
      <c r="M279" s="92" t="n"/>
    </row>
    <row r="280" ht="17.25" customHeight="1">
      <c r="A280" s="124" t="n"/>
      <c r="B280" s="101" t="n"/>
      <c r="C280" s="135" t="inlineStr">
        <is>
          <t>Total all other statutory limits</t>
        </is>
      </c>
      <c r="D280" s="136" t="n"/>
      <c r="E280" s="137">
        <f>SUMIFS(BSCRInput[sum_pml],BSCRInput[bscr_entity],"33",BSCRInput[region],"is_jp_eq",BSCRInput[peril_id],1)/1000000</f>
        <v>112.84241611595233</v>
      </c>
      <c r="F280" s="138">
        <f>SUMIFS(BSCRInput[sum_net],BSCRInput[bscr_entity],"33",BSCRInput[region],"is_jp_eq",BSCRInput[peril_id],1)/1000000</f>
        <v>64.18940984705543</v>
      </c>
      <c r="G280" s="123" t="n"/>
      <c r="H280" s="90" t="n"/>
      <c r="I280" s="92" t="n"/>
      <c r="J280" s="92" t="n"/>
      <c r="K280" s="92" t="n"/>
      <c r="L280" s="92" t="n"/>
      <c r="M280" s="92" t="n"/>
    </row>
    <row r="281" ht="6.75" customHeight="1">
      <c r="A281" s="95" t="n"/>
      <c r="B281" s="101" t="n"/>
      <c r="C281" s="90" t="n"/>
      <c r="D281" s="90" t="n"/>
      <c r="E281" s="90" t="n"/>
      <c r="F281" s="90" t="n"/>
      <c r="G281" s="90" t="n"/>
      <c r="H281" s="90" t="n"/>
      <c r="I281" s="92" t="n"/>
      <c r="J281" s="92" t="n"/>
      <c r="K281" s="92" t="n"/>
      <c r="L281" s="92" t="n"/>
      <c r="M281" s="92" t="n"/>
    </row>
    <row r="282" ht="16.5" customHeight="1">
      <c r="A282" s="95" t="n"/>
      <c r="B282" s="94" t="inlineStr">
        <is>
          <t>e)</t>
        </is>
      </c>
      <c r="C282" s="99" t="inlineStr">
        <is>
          <t>EP CURVE JAPANESE TYPHOON</t>
        </is>
      </c>
      <c r="D282" s="90" t="n"/>
      <c r="E282" s="90" t="n"/>
      <c r="F282" s="139" t="n"/>
      <c r="G282" s="90" t="n"/>
      <c r="H282" s="90" t="n"/>
      <c r="I282" s="100" t="n"/>
      <c r="J282" s="92" t="n"/>
      <c r="K282" s="92" t="n"/>
      <c r="L282" s="92" t="n"/>
      <c r="M282" s="92" t="n"/>
    </row>
    <row r="283" ht="6.75" customHeight="1">
      <c r="A283" s="95" t="n"/>
      <c r="B283" s="101" t="n"/>
      <c r="C283" s="90" t="n"/>
      <c r="D283" s="90" t="n"/>
      <c r="E283" s="90" t="n"/>
      <c r="F283" s="90" t="n"/>
      <c r="G283" s="90" t="n"/>
      <c r="H283" s="90" t="n"/>
      <c r="I283" s="92" t="n"/>
      <c r="J283" s="92" t="n"/>
      <c r="K283" s="92" t="n"/>
      <c r="L283" s="92" t="n"/>
      <c r="M283" s="92" t="n"/>
    </row>
    <row r="284" ht="16.5" customHeight="1">
      <c r="A284" s="95" t="n"/>
      <c r="B284" s="101" t="n"/>
      <c r="C284" s="90" t="inlineStr">
        <is>
          <t xml:space="preserve">Which model(s) is used for  EP Curve Japanese typhoon </t>
        </is>
      </c>
      <c r="D284" s="90" t="n"/>
      <c r="E284" s="90" t="n"/>
      <c r="F284" s="102" t="n"/>
      <c r="G284" s="90" t="n"/>
      <c r="H284" s="90" t="n"/>
      <c r="I284" s="92" t="n"/>
      <c r="J284" s="103" t="n"/>
      <c r="K284" s="92" t="n"/>
      <c r="L284" s="92" t="n"/>
      <c r="M284" s="92" t="n"/>
    </row>
    <row r="285" ht="16.5" customHeight="1">
      <c r="A285" s="95" t="n"/>
      <c r="B285" s="101" t="n"/>
      <c r="C285" s="95" t="inlineStr">
        <is>
          <t>Indicate the model version</t>
        </is>
      </c>
      <c r="D285" s="90" t="n"/>
      <c r="E285" s="90" t="n"/>
      <c r="F285" s="104" t="n"/>
      <c r="G285" s="90" t="n"/>
      <c r="H285" s="90" t="n"/>
      <c r="I285" s="92" t="n"/>
      <c r="J285" s="103" t="n"/>
      <c r="K285" s="92" t="n"/>
      <c r="L285" s="92" t="n"/>
      <c r="M285" s="92" t="n"/>
    </row>
    <row r="286" ht="6.75" customHeight="1">
      <c r="A286" s="95" t="n"/>
      <c r="B286" s="101" t="n"/>
      <c r="C286" s="90" t="n"/>
      <c r="D286" s="90" t="n"/>
      <c r="E286" s="90" t="n"/>
      <c r="F286" s="90" t="n"/>
      <c r="G286" s="90" t="n"/>
      <c r="H286" s="90" t="n"/>
      <c r="I286" s="92" t="n"/>
      <c r="J286" s="92" t="n"/>
      <c r="K286" s="92" t="n"/>
      <c r="L286" s="92" t="n"/>
      <c r="M286" s="92" t="n"/>
    </row>
    <row r="287" ht="17.25" customHeight="1">
      <c r="A287" s="95" t="n"/>
      <c r="B287" s="101" t="n"/>
      <c r="C287" s="107" t="inlineStr">
        <is>
          <t>Exceedance probability information:</t>
        </is>
      </c>
      <c r="D287" s="107" t="n"/>
      <c r="E287" s="90" t="n"/>
      <c r="F287" s="90" t="n"/>
      <c r="G287" s="90" t="n"/>
      <c r="H287" s="90" t="n"/>
      <c r="I287" s="92" t="n"/>
      <c r="J287" s="92" t="n"/>
      <c r="K287" s="92" t="n"/>
      <c r="L287" s="92" t="n"/>
      <c r="M287" s="92" t="n"/>
    </row>
    <row r="288" ht="17.25" customHeight="1">
      <c r="A288" s="95" t="n"/>
      <c r="B288" s="101" t="n"/>
      <c r="C288" s="108" t="n"/>
      <c r="D288" s="142" t="inlineStr">
        <is>
          <t xml:space="preserve"> Gross loss</t>
        </is>
      </c>
      <c r="E288" s="143" t="n"/>
      <c r="F288" s="111" t="inlineStr">
        <is>
          <t xml:space="preserve"> Net loss</t>
        </is>
      </c>
      <c r="G288" s="112" t="n"/>
      <c r="H288" s="90" t="n"/>
      <c r="I288" s="92" t="n"/>
      <c r="J288" s="92" t="n"/>
      <c r="K288" s="92" t="n"/>
      <c r="L288" s="92" t="n"/>
      <c r="M288" s="92" t="n"/>
    </row>
    <row r="289" ht="33" customHeight="1">
      <c r="A289" s="95" t="n"/>
      <c r="B289" s="101" t="n"/>
      <c r="C289" s="144" t="inlineStr">
        <is>
          <t>Loss Return period (years)</t>
        </is>
      </c>
      <c r="D289" s="114" t="inlineStr">
        <is>
          <t>Gross per occurrence loss TVaR</t>
        </is>
      </c>
      <c r="E289" s="115" t="inlineStr">
        <is>
          <t xml:space="preserve">Gross aggregate 
TVaR </t>
        </is>
      </c>
      <c r="F289" s="145" t="inlineStr">
        <is>
          <t>Net per occurrence loss TVaR</t>
        </is>
      </c>
      <c r="G289" s="116" t="inlineStr">
        <is>
          <t>Net aggregate
TVaR</t>
        </is>
      </c>
      <c r="H289" s="90" t="n"/>
      <c r="I289" s="92" t="n"/>
      <c r="J289" s="92" t="n"/>
      <c r="K289" s="92" t="n"/>
      <c r="L289" s="92" t="n"/>
      <c r="M289" s="92" t="n"/>
    </row>
    <row r="290" ht="16.5" customHeight="1">
      <c r="A290" s="95" t="n"/>
      <c r="B290" s="101" t="n"/>
      <c r="C290" s="117" t="n"/>
      <c r="D290" s="118" t="inlineStr">
        <is>
          <t xml:space="preserve"> ($M)</t>
        </is>
      </c>
      <c r="E290" s="118" t="inlineStr">
        <is>
          <t>($M)</t>
        </is>
      </c>
      <c r="F290" s="118" t="inlineStr">
        <is>
          <t>($M)</t>
        </is>
      </c>
      <c r="G290" s="119" t="inlineStr">
        <is>
          <t xml:space="preserve"> ($M)</t>
        </is>
      </c>
      <c r="H290" s="90" t="n"/>
      <c r="I290" s="92" t="n"/>
      <c r="J290" s="92" t="n"/>
      <c r="K290" s="92" t="n"/>
      <c r="L290" s="92" t="n"/>
      <c r="M290" s="92" t="n"/>
    </row>
    <row r="291" ht="16.5" customHeight="1">
      <c r="A291" s="95" t="n"/>
      <c r="B291" s="101" t="n"/>
      <c r="C291" s="120" t="n">
        <v>50</v>
      </c>
      <c r="D291" s="121" t="n"/>
      <c r="E291" s="121" t="n"/>
      <c r="F291" s="121" t="n"/>
      <c r="G291" s="121" t="n"/>
      <c r="H291" s="90" t="n"/>
      <c r="I291" s="92" t="n"/>
      <c r="J291" s="92" t="n"/>
      <c r="K291" s="92" t="n"/>
      <c r="L291" s="92" t="n"/>
      <c r="M291" s="92" t="n"/>
    </row>
    <row r="292" ht="16.5" customHeight="1">
      <c r="A292" s="95" t="n"/>
      <c r="B292" s="101" t="n"/>
      <c r="C292" s="120" t="n">
        <v>100</v>
      </c>
      <c r="D292" s="121" t="n"/>
      <c r="E292" s="121" t="n"/>
      <c r="F292" s="121" t="n"/>
      <c r="G292" s="121" t="n"/>
      <c r="H292" s="90" t="n"/>
      <c r="I292" s="92" t="n"/>
      <c r="J292" s="92" t="n"/>
      <c r="K292" s="92" t="n"/>
      <c r="L292" s="92" t="n"/>
      <c r="M292" s="92" t="n"/>
    </row>
    <row r="293" ht="16.5" customHeight="1">
      <c r="A293" s="95" t="n"/>
      <c r="B293" s="101" t="n"/>
      <c r="C293" s="120" t="n">
        <v>250</v>
      </c>
      <c r="D293" s="121" t="n"/>
      <c r="E293" s="121" t="n"/>
      <c r="F293" s="121" t="n"/>
      <c r="G293" s="121" t="n"/>
      <c r="H293" s="90" t="n"/>
      <c r="I293" s="92" t="n"/>
      <c r="J293" s="92" t="n"/>
      <c r="K293" s="92" t="n"/>
      <c r="L293" s="92" t="n"/>
      <c r="M293" s="92" t="n"/>
    </row>
    <row r="294" ht="16.5" customHeight="1">
      <c r="A294" s="95" t="n"/>
      <c r="B294" s="101" t="n"/>
      <c r="C294" s="120" t="n">
        <v>500</v>
      </c>
      <c r="D294" s="121" t="n"/>
      <c r="E294" s="121" t="n"/>
      <c r="F294" s="121" t="n"/>
      <c r="G294" s="121" t="n"/>
      <c r="H294" s="90" t="n"/>
      <c r="I294" s="92" t="n"/>
      <c r="J294" s="92" t="n"/>
      <c r="K294" s="92" t="n"/>
      <c r="L294" s="92" t="n"/>
      <c r="M294" s="92" t="n"/>
    </row>
    <row r="295" ht="17.25" customHeight="1">
      <c r="A295" s="95" t="n"/>
      <c r="B295" s="101" t="n"/>
      <c r="C295" s="122" t="n">
        <v>1000</v>
      </c>
      <c r="D295" s="121" t="n"/>
      <c r="E295" s="121" t="n"/>
      <c r="F295" s="121" t="n"/>
      <c r="G295" s="121" t="n"/>
      <c r="H295" s="90" t="n"/>
      <c r="I295" s="92" t="n"/>
      <c r="J295" s="92" t="n"/>
      <c r="K295" s="92" t="n"/>
      <c r="L295" s="92" t="n"/>
      <c r="M295" s="92" t="n"/>
    </row>
    <row r="296" ht="6.75" customHeight="1">
      <c r="A296" s="95" t="n"/>
      <c r="B296" s="90" t="n"/>
      <c r="C296" s="90" t="n"/>
      <c r="D296" s="123" t="n"/>
      <c r="E296" s="123" t="n"/>
      <c r="F296" s="123" t="n"/>
      <c r="G296" s="123" t="n"/>
      <c r="H296" s="90" t="n"/>
      <c r="I296" s="92" t="n"/>
      <c r="J296" s="92" t="n"/>
      <c r="K296" s="92" t="n"/>
      <c r="L296" s="92" t="n"/>
      <c r="M296" s="92" t="n"/>
    </row>
    <row r="297" ht="27.2" customHeight="1">
      <c r="A297" s="124" t="n"/>
      <c r="B297" s="90" t="n"/>
      <c r="C297" s="125" t="inlineStr">
        <is>
          <t>Exposure to Japanese Typhoon</t>
        </is>
      </c>
      <c r="D297" s="110" t="n"/>
      <c r="E297" s="126" t="inlineStr">
        <is>
          <t>Gross</t>
        </is>
      </c>
      <c r="F297" s="127" t="inlineStr">
        <is>
          <t>Net</t>
        </is>
      </c>
      <c r="G297" s="123" t="n"/>
      <c r="H297" s="90" t="n"/>
      <c r="I297" s="92" t="n"/>
      <c r="J297" s="92" t="n"/>
      <c r="K297" s="92" t="n"/>
      <c r="L297" s="92" t="n"/>
      <c r="M297" s="92" t="n"/>
    </row>
    <row r="298" ht="16.5" customHeight="1">
      <c r="A298" s="124" t="n"/>
      <c r="B298" s="90" t="n"/>
      <c r="C298" s="128" t="n"/>
      <c r="D298" s="129" t="n"/>
      <c r="E298" s="118" t="inlineStr">
        <is>
          <t xml:space="preserve"> ($M)</t>
        </is>
      </c>
      <c r="F298" s="119" t="inlineStr">
        <is>
          <t xml:space="preserve"> ($M)</t>
        </is>
      </c>
      <c r="G298" s="123" t="n"/>
      <c r="H298" s="90" t="n"/>
      <c r="I298" s="92" t="n"/>
      <c r="J298" s="92" t="n"/>
      <c r="K298" s="92" t="n"/>
      <c r="L298" s="92" t="n"/>
      <c r="M298" s="92" t="n"/>
    </row>
    <row r="299" ht="16.5" customHeight="1">
      <c r="A299" s="124" t="n"/>
      <c r="B299" s="90" t="n"/>
      <c r="C299" s="130" t="inlineStr">
        <is>
          <t>Total statutory property catastrophe premium</t>
        </is>
      </c>
      <c r="D299" s="131" t="n"/>
      <c r="E299" s="121" t="n"/>
      <c r="F299" s="132" t="n"/>
      <c r="G299" s="123" t="n"/>
      <c r="H299" s="90" t="n"/>
      <c r="I299" s="92" t="n"/>
      <c r="J299" s="92" t="n"/>
      <c r="K299" s="92" t="n"/>
      <c r="L299" s="92" t="n"/>
      <c r="M299" s="92" t="n"/>
    </row>
    <row r="300" ht="16.5" customHeight="1">
      <c r="A300" s="124" t="n"/>
      <c r="B300" s="90" t="n"/>
      <c r="C300" s="130" t="inlineStr">
        <is>
          <t>Total all other statutory premium</t>
        </is>
      </c>
      <c r="D300" s="131" t="n"/>
      <c r="E300" s="140" t="n"/>
      <c r="F300" s="141" t="n"/>
      <c r="G300" s="123" t="n"/>
      <c r="H300" s="90" t="n"/>
      <c r="I300" s="92" t="n"/>
      <c r="J300" s="92" t="n"/>
      <c r="K300" s="92" t="n"/>
      <c r="L300" s="92" t="n"/>
      <c r="M300" s="92" t="n"/>
    </row>
    <row r="301" ht="16.5" customHeight="1">
      <c r="A301" s="124" t="n"/>
      <c r="B301" s="90" t="n"/>
      <c r="C301" s="130" t="inlineStr">
        <is>
          <t>Total statutory property catastrophe limits</t>
        </is>
      </c>
      <c r="D301" s="131" t="n"/>
      <c r="E301" s="133" t="n"/>
      <c r="F301" s="134" t="n"/>
      <c r="G301" s="123" t="n"/>
      <c r="H301" s="90" t="n"/>
      <c r="I301" s="92" t="n"/>
      <c r="J301" s="92" t="n"/>
      <c r="K301" s="92" t="n"/>
      <c r="L301" s="92" t="n"/>
      <c r="M301" s="92" t="n"/>
    </row>
    <row r="302" ht="17.25" customHeight="1">
      <c r="A302" s="124" t="n"/>
      <c r="B302" s="90" t="n"/>
      <c r="C302" s="135" t="inlineStr">
        <is>
          <t>Total all other statutory limits</t>
        </is>
      </c>
      <c r="D302" s="136" t="n"/>
      <c r="E302" s="137">
        <f>SUMIFS(BSCRInput[sum_pml],BSCRInput[bscr_entity],"33",BSCRInput[region],"is_jp",BSCRInput[peril_id],2)/1000000</f>
        <v>112.84241611595233</v>
      </c>
      <c r="F302" s="138">
        <f>SUMIFS(BSCRInput[sum_net],BSCRInput[bscr_entity],"33",BSCRInput[region],"is_jp",BSCRInput[peril_id],2)/1000000</f>
        <v>64.18940984705542</v>
      </c>
      <c r="G302" s="123" t="n"/>
      <c r="H302" s="90" t="n"/>
      <c r="I302" s="92" t="n"/>
      <c r="J302" s="92" t="n"/>
      <c r="K302" s="92" t="n"/>
      <c r="L302" s="92" t="n"/>
      <c r="M302" s="92" t="n"/>
    </row>
    <row r="303" ht="6.75" customHeight="1">
      <c r="A303" s="146" t="n"/>
      <c r="B303" s="14" t="n"/>
      <c r="C303" s="14" t="n"/>
      <c r="D303" s="14" t="n"/>
      <c r="E303" s="14" t="n"/>
      <c r="F303" s="14" t="n"/>
      <c r="G303" s="14" t="n"/>
      <c r="H303" s="14" t="n"/>
      <c r="I303" s="92" t="n"/>
      <c r="J303" s="92" t="n"/>
      <c r="K303" s="92" t="n"/>
      <c r="L303" s="92" t="n"/>
      <c r="M303" s="92" t="n"/>
    </row>
    <row r="304"/>
    <row r="305"/>
    <row r="306"/>
    <row r="307"/>
    <row r="308"/>
    <row r="309" ht="72.75" customHeight="1">
      <c r="A309" s="63" t="n"/>
      <c r="B309" s="147" t="inlineStr">
        <is>
          <t>CATASTROPHE RISK RETURN: DATA  ANALYSIS (TABLE 15E)</t>
        </is>
      </c>
      <c r="C309" s="64" t="n"/>
      <c r="D309" s="64" t="n"/>
      <c r="E309" s="64" t="n"/>
      <c r="F309" s="64" t="n"/>
      <c r="G309" s="64" t="n"/>
      <c r="H309" s="64" t="n"/>
      <c r="I309" s="64" t="n"/>
      <c r="J309" s="64" t="inlineStr">
        <is>
          <t>Back to instructions</t>
        </is>
      </c>
      <c r="K309" s="64" t="n"/>
      <c r="L309" s="64" t="n"/>
      <c r="M309" s="8" t="n"/>
    </row>
    <row r="310" ht="16.5" customHeight="1">
      <c r="A310" s="88" t="n"/>
      <c r="B310" s="148" t="inlineStr">
        <is>
          <t>33</t>
        </is>
      </c>
      <c r="C310" s="149" t="n"/>
      <c r="D310" s="90" t="n"/>
      <c r="E310" s="90" t="n"/>
      <c r="F310" s="90" t="n"/>
      <c r="G310" s="90" t="n"/>
      <c r="H310" s="90" t="n"/>
      <c r="I310" s="90" t="n"/>
      <c r="J310" s="90" t="n"/>
      <c r="K310" s="90" t="n"/>
      <c r="L310" s="90" t="n"/>
      <c r="M310" s="90" t="n"/>
    </row>
    <row r="311" ht="16.5" customHeight="1">
      <c r="A311" s="88" t="n"/>
      <c r="B311" s="150">
        <f>DATE(2026,1,1)</f>
        <v>46023.0</v>
      </c>
      <c r="E311" s="90" t="n"/>
      <c r="F311" s="90" t="n"/>
      <c r="G311" s="90" t="n"/>
      <c r="H311" s="90" t="n"/>
      <c r="I311" s="90" t="n"/>
      <c r="J311" s="90" t="n"/>
      <c r="K311" s="90" t="n"/>
      <c r="L311" s="151" t="n"/>
      <c r="M311" s="94" t="inlineStr">
        <is>
          <t>Schedule X(f)</t>
        </is>
      </c>
    </row>
    <row r="312" ht="9.199999999999999" customHeight="1">
      <c r="A312" s="152" t="n"/>
      <c r="B312" s="153" t="n"/>
      <c r="C312" s="154" t="n"/>
      <c r="D312" s="154" t="n"/>
      <c r="E312" s="154" t="n"/>
      <c r="F312" s="154" t="n"/>
      <c r="G312" s="154" t="n"/>
      <c r="H312" s="154" t="n"/>
      <c r="I312" s="154" t="n"/>
      <c r="J312" s="154" t="n"/>
      <c r="K312" s="154" t="n"/>
      <c r="L312" s="154" t="n"/>
      <c r="M312" s="154" t="n"/>
    </row>
    <row r="313" ht="15.75" customHeight="1">
      <c r="A313" s="152" t="n"/>
      <c r="B313" s="155" t="n">
        <v>1</v>
      </c>
      <c r="C313" s="155" t="inlineStr">
        <is>
          <t>For all contracts written by the insurance group, provide splits of those that are:</t>
        </is>
      </c>
      <c r="D313" s="154" t="n"/>
      <c r="E313" s="154" t="n"/>
      <c r="F313" s="154" t="n"/>
      <c r="G313" s="154" t="n"/>
      <c r="H313" s="154" t="n"/>
      <c r="I313" s="154" t="n"/>
      <c r="J313" s="154" t="n"/>
      <c r="K313" s="154" t="n"/>
      <c r="L313" s="154" t="n"/>
      <c r="M313" s="154" t="n"/>
    </row>
    <row r="314" ht="9.199999999999999" customHeight="1">
      <c r="A314" s="152" t="n"/>
      <c r="B314" s="155" t="n"/>
      <c r="C314" s="154" t="n"/>
      <c r="D314" s="154" t="n"/>
      <c r="E314" s="154" t="n"/>
      <c r="F314" s="154" t="n"/>
      <c r="G314" s="154" t="n"/>
      <c r="H314" s="154" t="n"/>
      <c r="I314" s="154" t="n"/>
      <c r="J314" s="154" t="n"/>
      <c r="K314" s="154" t="n"/>
      <c r="L314" s="154" t="n"/>
      <c r="M314" s="154" t="n"/>
    </row>
    <row r="315" ht="26.85" customHeight="1">
      <c r="A315" s="152" t="n"/>
      <c r="B315" s="155" t="n"/>
      <c r="C315" s="154" t="n"/>
      <c r="D315" s="154" t="n"/>
      <c r="E315" s="156" t="inlineStr">
        <is>
          <t>U.S. specific contracts - all exposures</t>
        </is>
      </c>
      <c r="F315" s="157" t="n"/>
      <c r="G315" s="22" t="n"/>
      <c r="H315" s="156" t="inlineStr">
        <is>
          <t>All other contracts - all exposures</t>
        </is>
      </c>
      <c r="I315" s="157" t="n"/>
      <c r="J315" s="22" t="n"/>
      <c r="K315" s="156" t="inlineStr">
        <is>
          <t>Total</t>
        </is>
      </c>
      <c r="L315" s="157" t="n"/>
      <c r="M315" s="22" t="n"/>
    </row>
    <row r="316" ht="31.5" customHeight="1">
      <c r="A316" s="152" t="n"/>
      <c r="B316" s="155" t="n"/>
      <c r="C316" s="154" t="n"/>
      <c r="D316" s="154" t="n"/>
      <c r="E316" s="158" t="inlineStr">
        <is>
          <t>Contract count</t>
        </is>
      </c>
      <c r="F316" s="158" t="inlineStr">
        <is>
          <t xml:space="preserve">Gross limit provided </t>
        </is>
      </c>
      <c r="G316" s="158" t="inlineStr">
        <is>
          <t>Net limit provided</t>
        </is>
      </c>
      <c r="H316" s="158" t="inlineStr">
        <is>
          <t>Contract count</t>
        </is>
      </c>
      <c r="I316" s="158" t="inlineStr">
        <is>
          <t xml:space="preserve">Gross limit provided </t>
        </is>
      </c>
      <c r="J316" s="158" t="inlineStr">
        <is>
          <t>Net limit provided</t>
        </is>
      </c>
      <c r="K316" s="158" t="inlineStr">
        <is>
          <t>Contract count</t>
        </is>
      </c>
      <c r="L316" s="158" t="inlineStr">
        <is>
          <t xml:space="preserve">Gross limit provided </t>
        </is>
      </c>
      <c r="M316" s="158" t="inlineStr">
        <is>
          <t>Net limit provided</t>
        </is>
      </c>
    </row>
    <row r="317" ht="15.75" customHeight="1">
      <c r="A317" s="152" t="n"/>
      <c r="B317" s="155" t="n"/>
      <c r="C317" s="154" t="n"/>
      <c r="D317" s="154" t="n"/>
      <c r="E317" s="159" t="n"/>
      <c r="F317" s="158" t="inlineStr">
        <is>
          <t>($M)</t>
        </is>
      </c>
      <c r="G317" s="158" t="inlineStr">
        <is>
          <t>($M)</t>
        </is>
      </c>
      <c r="H317" s="159" t="n"/>
      <c r="I317" s="158" t="inlineStr">
        <is>
          <t>($M)</t>
        </is>
      </c>
      <c r="J317" s="158" t="inlineStr">
        <is>
          <t>($M)</t>
        </is>
      </c>
      <c r="K317" s="159" t="n"/>
      <c r="L317" s="158" t="inlineStr">
        <is>
          <t>($M)</t>
        </is>
      </c>
      <c r="M317" s="158" t="inlineStr">
        <is>
          <t>($M)</t>
        </is>
      </c>
    </row>
    <row r="318" ht="15.75" customHeight="1">
      <c r="A318" s="152" t="n"/>
      <c r="B318" s="155" t="n"/>
      <c r="C318" s="154" t="n"/>
      <c r="D318" s="160" t="inlineStr">
        <is>
          <t>modellable</t>
        </is>
      </c>
      <c r="E318" s="161">
        <f>SUMIFS(BSCRInput[count_policies],BSCRInput[bscr_entity],"33",BSCRInput[region],"ALL",BSCRInput[peril_id],1,BSCRInput[is_geocoded],1,BSCRInput[cntrycode],"US")</f>
        <v>55.0</v>
      </c>
      <c r="F318" s="162">
        <f>SUMIFS(BSCRInput[sum_pml],BSCRInput[bscr_entity],"33",BSCRInput[region],"ALL",BSCRInput[peril_id],1,BSCRInput[is_geocoded],1,BSCRInput[cntrycode],"US")/1000000</f>
        <v>392.72722604008027</v>
      </c>
      <c r="G318" s="162">
        <f>SUMIFS(BSCRInput[sum_net],BSCRInput[bscr_entity],"33",BSCRInput[region],"ALL",BSCRInput[peril_id],1,BSCRInput[is_geocoded],1,BSCRInput[cntrycode],"US")/1000000</f>
        <v>237.72194874355748</v>
      </c>
      <c r="H318" s="161">
        <f>(SUMIFS(BSCRInput[count_policies],BSCRInput[bscr_entity],"33",BSCRInput[region],"ALL",BSCRInput[peril_id],1,BSCRInput[is_geocoded],1)-SUMIFS(BSCRInput[count_policies],BSCRInput[bscr_entity],"33",BSCRInput[region],"ALL",BSCRInput[peril_id],1,BSCRInput[is_geocoded],1,BSCRInput[cntrycode],"US"))</f>
        <v>4541.0</v>
      </c>
      <c r="I318" s="162">
        <f>(SUMIFS(BSCRInput[sum_pml],BSCRInput[bscr_entity],"33",BSCRInput[region],"ALL",BSCRInput[peril_id],1,BSCRInput[is_geocoded],1)-SUMIFS(BSCRInput[sum_pml],BSCRInput[bscr_entity],"33",BSCRInput[region],"ALL",BSCRInput[peril_id],1,BSCRInput[is_geocoded],1,BSCRInput[cntrycode],"US"))/1000000</f>
        <v>32024.331378436967</v>
      </c>
      <c r="J318" s="162">
        <f>(SUMIFS(BSCRInput[sum_net],BSCRInput[bscr_entity],"33",BSCRInput[region],"ALL",BSCRInput[peril_id],1,BSCRInput[is_geocoded],1)-SUMIFS(BSCRInput[sum_net],BSCRInput[bscr_entity],"33",BSCRInput[region],"ALL",BSCRInput[peril_id],1,BSCRInput[is_geocoded],1,BSCRInput[cntrycode],"US"))/1000000</f>
        <v>23962.38120477383</v>
      </c>
      <c r="K318" s="163">
        <f>SUMIFS(BSCRInput[count_policies],BSCRInput[bscr_entity],"33",BSCRInput[region],"ALL",BSCRInput[peril_id],1,BSCRInput[is_geocoded],1)</f>
        <v>4596.0</v>
      </c>
      <c r="L318" s="164">
        <f>SUMIFS(BSCRInput[sum_pml],BSCRInput[bscr_entity],"33",BSCRInput[region],"ALL",BSCRInput[peril_id],1,BSCRInput[is_geocoded],1)/1000000</f>
        <v>32417.058604477046</v>
      </c>
      <c r="M318" s="164">
        <f>SUMIFS(BSCRInput[sum_net],BSCRInput[bscr_entity],"33",BSCRInput[region],"ALL",BSCRInput[peril_id],1,BSCRInput[is_geocoded],1)/1000000</f>
        <v>24200.103153517382</v>
      </c>
    </row>
    <row r="319" ht="15.75" customHeight="1">
      <c r="A319" s="152" t="n"/>
      <c r="B319" s="155" t="n"/>
      <c r="C319" s="154" t="n"/>
      <c r="D319" s="160" t="inlineStr">
        <is>
          <t>Not modellable</t>
        </is>
      </c>
      <c r="E319" s="161">
        <f>SUMIFS(BSCRInput[count_policies],BSCRInput[bscr_entity],"33",BSCRInput[region],"ALL",BSCRInput[peril_id],1,BSCRInput[is_geocoded],0,BSCRInput[cntrycode],"US")</f>
        <v>305.0</v>
      </c>
      <c r="F319" s="162">
        <f>SUMIFS(BSCRInput[sum_pml],BSCRInput[bscr_entity],"33",BSCRInput[region],"ALL",BSCRInput[peril_id],1,BSCRInput[is_geocoded],0,BSCRInput[cntrycode],"US")/1000000</f>
        <v>2939.7414919117987</v>
      </c>
      <c r="G319" s="162">
        <f>SUMIFS(BSCRInput[sum_net],BSCRInput[bscr_entity],"33",BSCRInput[region],"ALL",BSCRInput[peril_id],1,BSCRInput[is_geocoded],0,BSCRInput[cntrycode],"US")/1000000</f>
        <v>1771.6071136204694</v>
      </c>
      <c r="H319" s="161">
        <f>(SUMIFS(BSCRInput[count_policies],BSCRInput[bscr_entity],"33",BSCRInput[region],"ALL",BSCRInput[peril_id],1,BSCRInput[is_geocoded],0)-SUMIFS(BSCRInput[count_policies],BSCRInput[bscr_entity],"33",BSCRInput[region],"ALL",BSCRInput[peril_id],1,BSCRInput[is_geocoded],0,BSCRInput[cntrycode],"US"))</f>
        <v>220.0</v>
      </c>
      <c r="I319" s="162">
        <f>(SUMIFS(BSCRInput[sum_pml],BSCRInput[bscr_entity],"33",BSCRInput[region],"ALL",BSCRInput[peril_id],1,BSCRInput[is_geocoded],0)-SUMIFS(BSCRInput[sum_pml],BSCRInput[bscr_entity],"33",BSCRInput[region],"ALL",BSCRInput[peril_id],1,BSCRInput[is_geocoded],0,BSCRInput[cntrycode],"US"))/1000000</f>
        <v>1356.1038654115096</v>
      </c>
      <c r="J319" s="162">
        <f>(SUMIFS(BSCRInput[sum_net],BSCRInput[bscr_entity],"33",BSCRInput[region],"ALL",BSCRInput[peril_id],1,BSCRInput[is_geocoded],0)-SUMIFS(BSCRInput[sum_net],BSCRInput[bscr_entity],"33",BSCRInput[region],"ALL",BSCRInput[peril_id],1,BSCRInput[is_geocoded],0,BSCRInput[cntrycode],"US"))/1000000</f>
        <v>985.7409092845786</v>
      </c>
      <c r="K319" s="163">
        <f>SUMIFS(BSCRInput[count_policies],BSCRInput[bscr_entity],"33",BSCRInput[region],"ALL",BSCRInput[peril_id],1,BSCRInput[is_geocoded],0)</f>
        <v>525.0</v>
      </c>
      <c r="L319" s="164">
        <f>SUMIFS(BSCRInput[sum_pml],BSCRInput[bscr_entity],"33",BSCRInput[region],"ALL",BSCRInput[peril_id],1,BSCRInput[is_geocoded],0)/1000000</f>
        <v>4295.845357323308</v>
      </c>
      <c r="M319" s="164">
        <f>SUMIFS(BSCRInput[sum_net],BSCRInput[bscr_entity],"33",BSCRInput[region],"ALL",BSCRInput[peril_id],1,BSCRInput[is_geocoded],0)/1000000</f>
        <v>2757.348022905048</v>
      </c>
    </row>
    <row r="320" ht="15.75" customHeight="1">
      <c r="A320" s="152" t="n"/>
      <c r="B320" s="155" t="n"/>
      <c r="C320" s="154" t="n"/>
      <c r="D320" s="160" t="inlineStr">
        <is>
          <t>Total</t>
        </is>
      </c>
      <c r="E320" s="165">
        <f>SUMIFS(BSCRInput[count_policies],BSCRInput[bscr_entity],"33",BSCRInput[region],"ALL",BSCRInput[peril_id],1,BSCRInput[cntrycode],"US")</f>
        <v>360.0</v>
      </c>
      <c r="F320" s="166">
        <f>SUMIFS(BSCRInput[sum_pml],BSCRInput[bscr_entity],"33",BSCRInput[region],"ALL",BSCRInput[peril_id],1,BSCRInput[cntrycode],"US")/1000000</f>
        <v>3332.4687179518787</v>
      </c>
      <c r="G320" s="166">
        <f>SUMIFS(BSCRInput[sum_net],BSCRInput[bscr_entity],"33",BSCRInput[region],"ALL",BSCRInput[peril_id],1,BSCRInput[cntrycode],"US")/1000000</f>
        <v>2009.3290623640269</v>
      </c>
      <c r="H320" s="165">
        <f>(SUMIFS(BSCRInput[count_policies],BSCRInput[bscr_entity],"33",BSCRInput[region],"ALL",BSCRInput[peril_id],1)-SUMIFS(BSCRInput[count_policies],BSCRInput[bscr_entity],"33",BSCRInput[region],"ALL",BSCRInput[peril_id],1,BSCRInput[cntrycode],"US"))</f>
        <v>4761.0</v>
      </c>
      <c r="I320" s="166">
        <f>(SUMIFS(BSCRInput[sum_pml],BSCRInput[bscr_entity],"33",BSCRInput[region],"ALL",BSCRInput[peril_id],1)-SUMIFS(BSCRInput[sum_pml],BSCRInput[bscr_entity],"33",BSCRInput[region],"ALL",BSCRInput[peril_id],1,BSCRInput[cntrycode],"US"))/1000000</f>
        <v>33380.43524384848</v>
      </c>
      <c r="J320" s="166">
        <f>(SUMIFS(BSCRInput[sum_net],BSCRInput[bscr_entity],"33",BSCRInput[region],"ALL",BSCRInput[peril_id],1)-SUMIFS(BSCRInput[sum_net],BSCRInput[bscr_entity],"33",BSCRInput[region],"ALL",BSCRInput[peril_id],1,BSCRInput[cntrycode],"US"))/1000000</f>
        <v>24948.122114058406</v>
      </c>
      <c r="K320" s="165">
        <f>SUMIFS(BSCRInput[count_policies],BSCRInput[bscr_entity],"33",BSCRInput[region],"ALL",BSCRInput[peril_id],1)</f>
        <v>5121.0</v>
      </c>
      <c r="L320" s="166">
        <f>SUMIFS(BSCRInput[sum_pml],BSCRInput[bscr_entity],"33",BSCRInput[region],"ALL",BSCRInput[peril_id],1)/1000000</f>
        <v>36712.90396180035</v>
      </c>
      <c r="M320" s="166">
        <f>SUMIFS(BSCRInput[sum_net],BSCRInput[bscr_entity],"33",BSCRInput[region],"ALL",BSCRInput[peril_id],1)/1000000</f>
        <v>26957.451176422433</v>
      </c>
    </row>
    <row r="321" ht="9.199999999999999" customHeight="1">
      <c r="A321" s="152" t="n"/>
      <c r="B321" s="155" t="n"/>
      <c r="C321" s="154" t="n"/>
      <c r="D321" s="154" t="n"/>
      <c r="E321" s="154" t="n"/>
      <c r="F321" s="154" t="n"/>
      <c r="G321" s="154" t="n"/>
      <c r="H321" s="154" t="n"/>
      <c r="I321" s="154" t="n"/>
      <c r="J321" s="154" t="n"/>
      <c r="K321" s="154" t="n"/>
      <c r="L321" s="154" t="n"/>
      <c r="M321" s="154" t="n"/>
    </row>
    <row r="322" ht="15.75" customHeight="1">
      <c r="A322" s="152" t="n"/>
      <c r="B322" s="155" t="n">
        <v>2</v>
      </c>
      <c r="C322" s="155" t="inlineStr">
        <is>
          <t>For those contracts that are written by the insurance group that may be modelled, provide splits of those that are:</t>
        </is>
      </c>
      <c r="D322" s="154" t="n"/>
      <c r="E322" s="154" t="n"/>
      <c r="F322" s="154" t="n"/>
      <c r="G322" s="154" t="n"/>
      <c r="H322" s="154" t="n"/>
      <c r="I322" s="154" t="n"/>
      <c r="J322" s="154" t="n"/>
      <c r="K322" s="154" t="n"/>
      <c r="L322" s="167" t="n"/>
      <c r="M322" s="167" t="n"/>
    </row>
    <row r="323" ht="9.199999999999999" customHeight="1">
      <c r="A323" s="152" t="n"/>
      <c r="B323" s="155" t="n"/>
      <c r="C323" s="154" t="n"/>
      <c r="D323" s="154" t="n"/>
      <c r="E323" s="154" t="n"/>
      <c r="F323" s="154" t="n"/>
      <c r="G323" s="154" t="n"/>
      <c r="H323" s="154" t="n"/>
      <c r="I323" s="154" t="n"/>
      <c r="J323" s="154" t="n"/>
      <c r="K323" s="154" t="n"/>
      <c r="L323" s="154" t="n"/>
      <c r="M323" s="154" t="n"/>
    </row>
    <row r="324" ht="27.2" customHeight="1">
      <c r="A324" s="152" t="n"/>
      <c r="B324" s="155" t="n"/>
      <c r="C324" s="154" t="n"/>
      <c r="D324" s="154" t="n"/>
      <c r="E324" s="156" t="str">
        <f>+E315</f>
        <v>U.S. specific contracts - all exposures</v>
      </c>
      <c r="F324" s="157" t="n"/>
      <c r="G324" s="22" t="n"/>
      <c r="H324" s="156" t="str">
        <f>+H315</f>
        <v>All other contracts - all exposures</v>
      </c>
      <c r="I324" s="157" t="n"/>
      <c r="J324" s="22" t="n"/>
      <c r="K324" s="156" t="inlineStr">
        <is>
          <t>Total</t>
        </is>
      </c>
      <c r="L324" s="157" t="n"/>
      <c r="M324" s="22" t="n"/>
    </row>
    <row r="325" ht="31.5" customHeight="1">
      <c r="A325" s="152" t="n"/>
      <c r="B325" s="155" t="n"/>
      <c r="C325" s="154" t="n"/>
      <c r="D325" s="154" t="n"/>
      <c r="E325" s="158" t="inlineStr">
        <is>
          <t>Contract count</t>
        </is>
      </c>
      <c r="F325" s="158" t="inlineStr">
        <is>
          <t xml:space="preserve">Gross limit provided </t>
        </is>
      </c>
      <c r="G325" s="158" t="inlineStr">
        <is>
          <t>Net limit provided</t>
        </is>
      </c>
      <c r="H325" s="158" t="inlineStr">
        <is>
          <t>Contract count</t>
        </is>
      </c>
      <c r="I325" s="158" t="inlineStr">
        <is>
          <t xml:space="preserve">Gross limit provided </t>
        </is>
      </c>
      <c r="J325" s="158" t="inlineStr">
        <is>
          <t>Net limit provided</t>
        </is>
      </c>
      <c r="K325" s="158" t="inlineStr">
        <is>
          <t>Contract count</t>
        </is>
      </c>
      <c r="L325" s="158" t="inlineStr">
        <is>
          <t xml:space="preserve">Gross limit provided </t>
        </is>
      </c>
      <c r="M325" s="158" t="inlineStr">
        <is>
          <t>Net limit provided</t>
        </is>
      </c>
    </row>
    <row r="326" ht="15.75" customHeight="1">
      <c r="A326" s="152" t="n"/>
      <c r="B326" s="155" t="n"/>
      <c r="C326" s="154" t="n"/>
      <c r="D326" s="154" t="n"/>
      <c r="E326" s="159" t="n"/>
      <c r="F326" s="158" t="inlineStr">
        <is>
          <t>($M)</t>
        </is>
      </c>
      <c r="G326" s="158" t="inlineStr">
        <is>
          <t>($M)</t>
        </is>
      </c>
      <c r="H326" s="159" t="n"/>
      <c r="I326" s="158" t="inlineStr">
        <is>
          <t>($M)</t>
        </is>
      </c>
      <c r="J326" s="158" t="inlineStr">
        <is>
          <t>($M)</t>
        </is>
      </c>
      <c r="K326" s="159" t="n"/>
      <c r="L326" s="158" t="inlineStr">
        <is>
          <t>($M)</t>
        </is>
      </c>
      <c r="M326" s="158" t="inlineStr">
        <is>
          <t>($M)</t>
        </is>
      </c>
    </row>
    <row r="327" ht="15.75" customHeight="1">
      <c r="A327" s="152" t="n"/>
      <c r="B327" s="155" t="n"/>
      <c r="C327" s="154" t="n"/>
      <c r="D327" s="160" t="inlineStr">
        <is>
          <t>modelled</t>
        </is>
      </c>
      <c r="E327" s="161">
        <f>SUMIFS(BSCRInput[count_policies],BSCRInput[bscr_entity],"33",BSCRInput[region],"ALL",BSCRInput[peril_id],1,BSCRInput[is_geocoded],1,BSCRInput[cntrycode],"US")</f>
        <v>55.0</v>
      </c>
      <c r="F327" s="162">
        <f>SUMIFS(BSCRInput[sum_pml],BSCRInput[bscr_entity],"33",BSCRInput[region],"ALL",BSCRInput[peril_id],1,BSCRInput[is_geocoded],1,BSCRInput[cntrycode],"US")/1000000</f>
        <v>392.72722604008027</v>
      </c>
      <c r="G327" s="162">
        <f>SUMIFS(BSCRInput[sum_net],BSCRInput[bscr_entity],"33",BSCRInput[region],"ALL",BSCRInput[peril_id],1,BSCRInput[is_geocoded],1,BSCRInput[cntrycode],"US")/1000000</f>
        <v>237.72194874355748</v>
      </c>
      <c r="H327" s="161">
        <f>(SUMIFS(BSCRInput[count_policies],BSCRInput[bscr_entity],"33",BSCRInput[region],"ALL",BSCRInput[peril_id],1,BSCRInput[is_geocoded],1)-SUMIFS(BSCRInput[count_policies],BSCRInput[bscr_entity],"33",BSCRInput[region],"ALL",BSCRInput[peril_id],1,BSCRInput[is_geocoded],1,BSCRInput[cntrycode],"US"))</f>
        <v>4541.0</v>
      </c>
      <c r="I327" s="162">
        <f>(SUMIFS(BSCRInput[sum_pml],BSCRInput[bscr_entity],"33",BSCRInput[region],"ALL",BSCRInput[peril_id],1,BSCRInput[is_geocoded],1)-SUMIFS(BSCRInput[sum_pml],BSCRInput[bscr_entity],"33",BSCRInput[region],"ALL",BSCRInput[peril_id],1,BSCRInput[is_geocoded],1,BSCRInput[cntrycode],"US"))/1000000</f>
        <v>32024.331378436967</v>
      </c>
      <c r="J327" s="162">
        <f>(SUMIFS(BSCRInput[sum_net],BSCRInput[bscr_entity],"33",BSCRInput[region],"ALL",BSCRInput[peril_id],1,BSCRInput[is_geocoded],1)-SUMIFS(BSCRInput[sum_net],BSCRInput[bscr_entity],"33",BSCRInput[region],"ALL",BSCRInput[peril_id],1,BSCRInput[is_geocoded],1,BSCRInput[cntrycode],"US"))/1000000</f>
        <v>23962.38120477383</v>
      </c>
      <c r="K327" s="163">
        <f>SUMIFS(BSCRInput[count_policies],BSCRInput[bscr_entity],"33",BSCRInput[region],"ALL",BSCRInput[peril_id],1,BSCRInput[is_geocoded],1)</f>
        <v>4596.0</v>
      </c>
      <c r="L327" s="164">
        <f>SUMIFS(BSCRInput[sum_pml],BSCRInput[bscr_entity],"33",BSCRInput[region],"ALL",BSCRInput[peril_id],1,BSCRInput[is_geocoded],1)/1000000</f>
        <v>32417.058604477046</v>
      </c>
      <c r="M327" s="164">
        <f>SUMIFS(BSCRInput[sum_net],BSCRInput[bscr_entity],"33",BSCRInput[region],"ALL",BSCRInput[peril_id],1,BSCRInput[is_geocoded],1)/1000000</f>
        <v>24200.103153517382</v>
      </c>
    </row>
    <row r="328" ht="15.75" customHeight="1">
      <c r="A328" s="152" t="n"/>
      <c r="B328" s="155" t="n"/>
      <c r="C328" s="154" t="n"/>
      <c r="D328" s="160" t="inlineStr">
        <is>
          <t>Not modelled</t>
        </is>
      </c>
      <c r="E328" s="161">
        <f>SUMIFS(BSCRInput[count_policies],BSCRInput[bscr_entity],"33",BSCRInput[region],"ALL",BSCRInput[peril_id],1,BSCRInput[is_geocoded],0,BSCRInput[cntrycode],"US")</f>
        <v>305.0</v>
      </c>
      <c r="F328" s="162">
        <f>SUMIFS(BSCRInput[sum_pml],BSCRInput[bscr_entity],"33",BSCRInput[region],"ALL",BSCRInput[peril_id],1,BSCRInput[is_geocoded],0,BSCRInput[cntrycode],"US")/1000000</f>
        <v>2939.7414919117987</v>
      </c>
      <c r="G328" s="162">
        <f>SUMIFS(BSCRInput[sum_net],BSCRInput[bscr_entity],"33",BSCRInput[region],"ALL",BSCRInput[peril_id],1,BSCRInput[is_geocoded],0,BSCRInput[cntrycode],"US")/1000000</f>
        <v>1771.6071136204694</v>
      </c>
      <c r="H328" s="161">
        <f>(SUMIFS(BSCRInput[count_policies],BSCRInput[bscr_entity],"33",BSCRInput[region],"ALL",BSCRInput[peril_id],1,BSCRInput[is_geocoded],0)-SUMIFS(BSCRInput[count_policies],BSCRInput[bscr_entity],"33",BSCRInput[region],"ALL",BSCRInput[peril_id],1,BSCRInput[is_geocoded],0,BSCRInput[cntrycode],"US"))</f>
        <v>220.0</v>
      </c>
      <c r="I328" s="162">
        <f>(SUMIFS(BSCRInput[sum_pml],BSCRInput[bscr_entity],"33",BSCRInput[region],"ALL",BSCRInput[peril_id],1,BSCRInput[is_geocoded],0)-SUMIFS(BSCRInput[sum_pml],BSCRInput[bscr_entity],"33",BSCRInput[region],"ALL",BSCRInput[peril_id],1,BSCRInput[is_geocoded],0,BSCRInput[cntrycode],"US"))/1000000</f>
        <v>1356.1038654115096</v>
      </c>
      <c r="J328" s="162">
        <f>(SUMIFS(BSCRInput[sum_net],BSCRInput[bscr_entity],"33",BSCRInput[region],"ALL",BSCRInput[peril_id],1,BSCRInput[is_geocoded],0)-SUMIFS(BSCRInput[sum_net],BSCRInput[bscr_entity],"33",BSCRInput[region],"ALL",BSCRInput[peril_id],1,BSCRInput[is_geocoded],0,BSCRInput[cntrycode],"US"))/1000000</f>
        <v>985.7409092845786</v>
      </c>
      <c r="K328" s="163">
        <f>SUMIFS(BSCRInput[count_policies],BSCRInput[bscr_entity],"33",BSCRInput[region],"ALL",BSCRInput[peril_id],1,BSCRInput[is_geocoded],0)</f>
        <v>525.0</v>
      </c>
      <c r="L328" s="164">
        <f>SUMIFS(BSCRInput[sum_pml],BSCRInput[bscr_entity],"33",BSCRInput[region],"ALL",BSCRInput[peril_id],1,BSCRInput[is_geocoded],0)/1000000</f>
        <v>4295.845357323308</v>
      </c>
      <c r="M328" s="164">
        <f>SUMIFS(BSCRInput[sum_net],BSCRInput[bscr_entity],"33",BSCRInput[region],"ALL",BSCRInput[peril_id],1,BSCRInput[is_geocoded],0)/1000000</f>
        <v>2757.348022905048</v>
      </c>
    </row>
    <row r="329" ht="15.75" customHeight="1">
      <c r="A329" s="152" t="n"/>
      <c r="B329" s="155" t="n"/>
      <c r="C329" s="154" t="n"/>
      <c r="D329" s="160" t="inlineStr">
        <is>
          <t>Total</t>
        </is>
      </c>
      <c r="E329" s="165">
        <f>SUMIFS(BSCRInput[count_policies],BSCRInput[bscr_entity],"33",BSCRInput[region],"ALL",BSCRInput[peril_id],1,BSCRInput[cntrycode],"US")</f>
        <v>360.0</v>
      </c>
      <c r="F329" s="166">
        <f>SUMIFS(BSCRInput[sum_pml],BSCRInput[bscr_entity],"33",BSCRInput[region],"ALL",BSCRInput[peril_id],1,BSCRInput[cntrycode],"US")/1000000</f>
        <v>3332.4687179518787</v>
      </c>
      <c r="G329" s="166">
        <f>SUMIFS(BSCRInput[sum_net],BSCRInput[bscr_entity],"33",BSCRInput[region],"ALL",BSCRInput[peril_id],1,BSCRInput[cntrycode],"US")/1000000</f>
        <v>2009.3290623640269</v>
      </c>
      <c r="H329" s="165">
        <f>(SUMIFS(BSCRInput[count_policies],BSCRInput[bscr_entity],"33",BSCRInput[region],"ALL",BSCRInput[peril_id],1)-SUMIFS(BSCRInput[count_policies],BSCRInput[bscr_entity],"33",BSCRInput[region],"ALL",BSCRInput[peril_id],1,BSCRInput[cntrycode],"US"))</f>
        <v>4761.0</v>
      </c>
      <c r="I329" s="166">
        <f>(SUMIFS(BSCRInput[sum_pml],BSCRInput[bscr_entity],"33",BSCRInput[region],"ALL",BSCRInput[peril_id],1)-SUMIFS(BSCRInput[sum_pml],BSCRInput[bscr_entity],"33",BSCRInput[region],"ALL",BSCRInput[peril_id],1,BSCRInput[cntrycode],"US"))/1000000</f>
        <v>33380.43524384848</v>
      </c>
      <c r="J329" s="166">
        <f>(SUMIFS(BSCRInput[sum_net],BSCRInput[bscr_entity],"33",BSCRInput[region],"ALL",BSCRInput[peril_id],1)-SUMIFS(BSCRInput[sum_net],BSCRInput[bscr_entity],"33",BSCRInput[region],"ALL",BSCRInput[peril_id],1,BSCRInput[cntrycode],"US"))/1000000</f>
        <v>24948.122114058406</v>
      </c>
      <c r="K329" s="165">
        <f>SUMIFS(BSCRInput[count_policies],BSCRInput[bscr_entity],"33",BSCRInput[region],"ALL",BSCRInput[peril_id],1)</f>
        <v>5121.0</v>
      </c>
      <c r="L329" s="166">
        <f>SUMIFS(BSCRInput[sum_pml],BSCRInput[bscr_entity],"33",BSCRInput[region],"ALL",BSCRInput[peril_id],1)/1000000</f>
        <v>36712.90396180035</v>
      </c>
      <c r="M329" s="166">
        <f>SUMIFS(BSCRInput[sum_net],BSCRInput[bscr_entity],"33",BSCRInput[region],"ALL",BSCRInput[peril_id],1)/1000000</f>
        <v>26957.451176422433</v>
      </c>
    </row>
    <row r="330" ht="9.199999999999999" customHeight="1">
      <c r="A330" s="152" t="n"/>
      <c r="B330" s="155" t="n"/>
      <c r="C330" s="154" t="n"/>
      <c r="D330" s="160" t="n"/>
      <c r="E330" s="154" t="n"/>
      <c r="F330" s="154" t="n"/>
      <c r="G330" s="154" t="n"/>
      <c r="H330" s="154" t="n"/>
      <c r="I330" s="154" t="n"/>
      <c r="J330" s="154" t="n"/>
      <c r="K330" s="154" t="n"/>
      <c r="L330" s="154" t="n"/>
      <c r="M330" s="154" t="n"/>
    </row>
    <row r="331" ht="15.75" customHeight="1">
      <c r="A331" s="152" t="n"/>
      <c r="B331" s="155" t="n">
        <v>3</v>
      </c>
      <c r="C331" s="155" t="inlineStr">
        <is>
          <t>For those contracts that are written by the insurance group that are modelled, provide splits of those that are:</t>
        </is>
      </c>
      <c r="D331" s="160" t="n"/>
      <c r="E331" s="154" t="n"/>
      <c r="F331" s="154" t="n"/>
      <c r="G331" s="154" t="n"/>
      <c r="H331" s="154" t="n"/>
      <c r="I331" s="154" t="n"/>
      <c r="J331" s="154" t="n"/>
      <c r="K331" s="154" t="n"/>
      <c r="L331" s="154" t="n"/>
      <c r="M331" s="154" t="n"/>
    </row>
    <row r="332" ht="9.199999999999999" customHeight="1">
      <c r="A332" s="152" t="n"/>
      <c r="B332" s="155" t="n"/>
      <c r="C332" s="154" t="n"/>
      <c r="D332" s="160" t="n"/>
      <c r="E332" s="154" t="n"/>
      <c r="F332" s="154" t="n"/>
      <c r="G332" s="154" t="n"/>
      <c r="H332" s="154" t="n"/>
      <c r="I332" s="154" t="n"/>
      <c r="J332" s="154" t="n"/>
      <c r="K332" s="154" t="n"/>
      <c r="L332" s="154" t="n"/>
      <c r="M332" s="154" t="n"/>
    </row>
    <row r="333" ht="27.2" customHeight="1">
      <c r="A333" s="152" t="n"/>
      <c r="B333" s="155" t="n"/>
      <c r="C333" s="154" t="n"/>
      <c r="D333" s="160" t="n"/>
      <c r="E333" s="156" t="str">
        <f>+E315</f>
        <v>U.S. specific contracts - all exposures</v>
      </c>
      <c r="F333" s="157" t="n"/>
      <c r="G333" s="22" t="n"/>
      <c r="H333" s="156" t="str">
        <f>+H315</f>
        <v>All other contracts - all exposures</v>
      </c>
      <c r="I333" s="157" t="n"/>
      <c r="J333" s="22" t="n"/>
      <c r="K333" s="156" t="inlineStr">
        <is>
          <t>Total</t>
        </is>
      </c>
      <c r="L333" s="157" t="n"/>
      <c r="M333" s="22" t="n"/>
    </row>
    <row r="334" ht="31.5" customHeight="1">
      <c r="A334" s="152" t="n"/>
      <c r="B334" s="155" t="n"/>
      <c r="C334" s="154" t="n"/>
      <c r="D334" s="154" t="n"/>
      <c r="E334" s="158" t="inlineStr">
        <is>
          <t>Contract count</t>
        </is>
      </c>
      <c r="F334" s="158" t="inlineStr">
        <is>
          <t xml:space="preserve">Gross limit provided </t>
        </is>
      </c>
      <c r="G334" s="158" t="inlineStr">
        <is>
          <t>Net limit provided</t>
        </is>
      </c>
      <c r="H334" s="158" t="inlineStr">
        <is>
          <t>Contract count</t>
        </is>
      </c>
      <c r="I334" s="158" t="inlineStr">
        <is>
          <t xml:space="preserve">Gross limit provided </t>
        </is>
      </c>
      <c r="J334" s="158" t="inlineStr">
        <is>
          <t>Net limit provided</t>
        </is>
      </c>
      <c r="K334" s="158" t="inlineStr">
        <is>
          <t>Contract count</t>
        </is>
      </c>
      <c r="L334" s="158" t="inlineStr">
        <is>
          <t xml:space="preserve">Gross limit provided </t>
        </is>
      </c>
      <c r="M334" s="158" t="inlineStr">
        <is>
          <t>Net limit provided</t>
        </is>
      </c>
    </row>
    <row r="335" ht="15.75" customHeight="1">
      <c r="A335" s="152" t="n"/>
      <c r="B335" s="155" t="n"/>
      <c r="C335" s="154" t="n"/>
      <c r="D335" s="154" t="n"/>
      <c r="E335" s="159" t="n"/>
      <c r="F335" s="158" t="inlineStr">
        <is>
          <t>($M)</t>
        </is>
      </c>
      <c r="G335" s="158" t="inlineStr">
        <is>
          <t>($M)</t>
        </is>
      </c>
      <c r="H335" s="159" t="n"/>
      <c r="I335" s="158" t="inlineStr">
        <is>
          <t>($M)</t>
        </is>
      </c>
      <c r="J335" s="158" t="inlineStr">
        <is>
          <t>($M)</t>
        </is>
      </c>
      <c r="K335" s="159" t="n"/>
      <c r="L335" s="158" t="inlineStr">
        <is>
          <t>($M)</t>
        </is>
      </c>
      <c r="M335" s="158" t="inlineStr">
        <is>
          <t>($M)</t>
        </is>
      </c>
    </row>
    <row r="336" ht="15.75" customHeight="1">
      <c r="A336" s="152" t="n"/>
      <c r="B336" s="155" t="n"/>
      <c r="C336" s="154" t="n"/>
      <c r="D336" s="160" t="inlineStr">
        <is>
          <t>Detailed exposure data</t>
        </is>
      </c>
      <c r="E336" s="161">
        <f>SUMIFS(BSCRInput[count_policies],BSCRInput[bscr_entity],"33",BSCRInput[region],"ALL",BSCRInput[peril_id],1,BSCRInput[is_geocoded],1,BSCRInput[cntrycode],"US")</f>
        <v>55.0</v>
      </c>
      <c r="F336" s="162">
        <f>SUMIFS(BSCRInput[sum_pml],BSCRInput[bscr_entity],"33",BSCRInput[region],"ALL",BSCRInput[peril_id],1,BSCRInput[is_geocoded],1,BSCRInput[cntrycode],"US")/1000000</f>
        <v>392.72722604008027</v>
      </c>
      <c r="G336" s="162">
        <f>SUMIFS(BSCRInput[sum_net],BSCRInput[bscr_entity],"33",BSCRInput[region],"ALL",BSCRInput[peril_id],1,BSCRInput[is_geocoded],1,BSCRInput[cntrycode],"US")/1000000</f>
        <v>237.72194874355748</v>
      </c>
      <c r="H336" s="161">
        <f>(SUMIFS(BSCRInput[count_policies],BSCRInput[bscr_entity],"33",BSCRInput[region],"ALL",BSCRInput[peril_id],1,BSCRInput[is_geocoded],1)-SUMIFS(BSCRInput[count_policies],BSCRInput[bscr_entity],"33",BSCRInput[region],"ALL",BSCRInput[peril_id],1,BSCRInput[is_geocoded],1,BSCRInput[cntrycode],"US"))</f>
        <v>4541.0</v>
      </c>
      <c r="I336" s="162">
        <f>(SUMIFS(BSCRInput[sum_pml],BSCRInput[bscr_entity],"33",BSCRInput[region],"ALL",BSCRInput[peril_id],1,BSCRInput[is_geocoded],1)-SUMIFS(BSCRInput[sum_pml],BSCRInput[bscr_entity],"33",BSCRInput[region],"ALL",BSCRInput[peril_id],1,BSCRInput[is_geocoded],1,BSCRInput[cntrycode],"US"))/1000000</f>
        <v>32024.331378436967</v>
      </c>
      <c r="J336" s="162">
        <f>(SUMIFS(BSCRInput[sum_net],BSCRInput[bscr_entity],"33",BSCRInput[region],"ALL",BSCRInput[peril_id],1,BSCRInput[is_geocoded],1)-SUMIFS(BSCRInput[sum_net],BSCRInput[bscr_entity],"33",BSCRInput[region],"ALL",BSCRInput[peril_id],1,BSCRInput[is_geocoded],1,BSCRInput[cntrycode],"US"))/1000000</f>
        <v>23962.38120477383</v>
      </c>
      <c r="K336" s="163">
        <f>SUMIFS(BSCRInput[count_policies],BSCRInput[bscr_entity],"33",BSCRInput[region],"ALL",BSCRInput[peril_id],1,BSCRInput[is_geocoded],1)</f>
        <v>4596.0</v>
      </c>
      <c r="L336" s="164">
        <f>SUMIFS(BSCRInput[sum_pml],BSCRInput[bscr_entity],"33",BSCRInput[region],"ALL",BSCRInput[peril_id],1,BSCRInput[is_geocoded],1)/1000000</f>
        <v>32417.058604477046</v>
      </c>
      <c r="M336" s="164">
        <f>SUMIFS(BSCRInput[sum_net],BSCRInput[bscr_entity],"33",BSCRInput[region],"ALL",BSCRInput[peril_id],1,BSCRInput[is_geocoded],1)/1000000</f>
        <v>24200.103153517382</v>
      </c>
    </row>
    <row r="337" ht="15.75" customHeight="1">
      <c r="A337" s="152" t="n"/>
      <c r="B337" s="155" t="n"/>
      <c r="C337" s="154" t="n"/>
      <c r="D337" s="160" t="inlineStr">
        <is>
          <t>Aggregate exposure data</t>
        </is>
      </c>
      <c r="E337" s="161">
        <f>0</f>
        <v>0.0</v>
      </c>
      <c r="F337" s="162">
        <f>0</f>
        <v>0.0</v>
      </c>
      <c r="G337" s="162">
        <f>0</f>
        <v>0.0</v>
      </c>
      <c r="H337" s="161">
        <f>0</f>
        <v>0.0</v>
      </c>
      <c r="I337" s="162">
        <f>0</f>
        <v>0.0</v>
      </c>
      <c r="J337" s="162">
        <f>0</f>
        <v>0.0</v>
      </c>
      <c r="K337" s="163">
        <f>0</f>
        <v>0.0</v>
      </c>
      <c r="L337" s="164">
        <f>0</f>
        <v>0.0</v>
      </c>
      <c r="M337" s="164">
        <f>0</f>
        <v>0.0</v>
      </c>
    </row>
    <row r="338" ht="42.75" customHeight="1">
      <c r="A338" s="152" t="n"/>
      <c r="B338" s="155" t="n"/>
      <c r="C338" s="168" t="n"/>
      <c r="D338" s="43" t="n"/>
      <c r="E338" s="161">
        <f>0</f>
        <v>0.0</v>
      </c>
      <c r="F338" s="162">
        <f>0</f>
        <v>0.0</v>
      </c>
      <c r="G338" s="162">
        <f>0</f>
        <v>0.0</v>
      </c>
      <c r="H338" s="161">
        <f>0</f>
        <v>0.0</v>
      </c>
      <c r="I338" s="162">
        <f>0</f>
        <v>0.0</v>
      </c>
      <c r="J338" s="162">
        <f>0</f>
        <v>0.0</v>
      </c>
      <c r="K338" s="163">
        <f>0</f>
        <v>0.0</v>
      </c>
      <c r="L338" s="164">
        <f>0</f>
        <v>0.0</v>
      </c>
      <c r="M338" s="164">
        <f>0</f>
        <v>0.0</v>
      </c>
    </row>
    <row r="339" ht="27.2" customHeight="1">
      <c r="A339" s="152" t="n"/>
      <c r="B339" s="155" t="n"/>
      <c r="C339" s="168" t="n"/>
      <c r="D339" s="43" t="n"/>
      <c r="E339" s="161">
        <f>0</f>
        <v>0.0</v>
      </c>
      <c r="F339" s="162">
        <f>0</f>
        <v>0.0</v>
      </c>
      <c r="G339" s="162">
        <f>0</f>
        <v>0.0</v>
      </c>
      <c r="H339" s="161">
        <f>0</f>
        <v>0.0</v>
      </c>
      <c r="I339" s="162">
        <f>0</f>
        <v>0.0</v>
      </c>
      <c r="J339" s="162">
        <f>0</f>
        <v>0.0</v>
      </c>
      <c r="K339" s="163">
        <f>0</f>
        <v>0.0</v>
      </c>
      <c r="L339" s="164">
        <f>0</f>
        <v>0.0</v>
      </c>
      <c r="M339" s="164">
        <f>0</f>
        <v>0.0</v>
      </c>
    </row>
    <row r="340" ht="15.75" customHeight="1">
      <c r="A340" s="152" t="n"/>
      <c r="B340" s="155" t="n"/>
      <c r="C340" s="154" t="n"/>
      <c r="D340" s="160" t="inlineStr">
        <is>
          <t>Other</t>
        </is>
      </c>
      <c r="E340" s="161">
        <f>0</f>
        <v>0.0</v>
      </c>
      <c r="F340" s="162">
        <f>0</f>
        <v>0.0</v>
      </c>
      <c r="G340" s="162">
        <f>0</f>
        <v>0.0</v>
      </c>
      <c r="H340" s="161">
        <f>0</f>
        <v>0.0</v>
      </c>
      <c r="I340" s="162">
        <f>0</f>
        <v>0.0</v>
      </c>
      <c r="J340" s="162">
        <f>0</f>
        <v>0.0</v>
      </c>
      <c r="K340" s="163">
        <f>0</f>
        <v>0.0</v>
      </c>
      <c r="L340" s="164">
        <f>0</f>
        <v>0.0</v>
      </c>
      <c r="M340" s="164">
        <f>0</f>
        <v>0.0</v>
      </c>
    </row>
    <row r="341" ht="15.75" customHeight="1">
      <c r="A341" s="152" t="n"/>
      <c r="B341" s="155" t="n"/>
      <c r="C341" s="154" t="n"/>
      <c r="D341" s="160" t="inlineStr">
        <is>
          <t>Total</t>
        </is>
      </c>
      <c r="E341" s="165">
        <f>SUMIFS(BSCRInput[count_policies],BSCRInput[bscr_entity],"33",BSCRInput[region],"ALL",BSCRInput[peril_id],1,BSCRInput[is_geocoded],1,BSCRInput[cntrycode],"US")</f>
        <v>55.0</v>
      </c>
      <c r="F341" s="169">
        <f>SUMIFS(BSCRInput[sum_pml],BSCRInput[bscr_entity],"33",BSCRInput[region],"ALL",BSCRInput[peril_id],1,BSCRInput[is_geocoded],1,BSCRInput[cntrycode],"US")/1000000</f>
        <v>392.72722604008027</v>
      </c>
      <c r="G341" s="169">
        <f>SUMIFS(BSCRInput[sum_net],BSCRInput[bscr_entity],"33",BSCRInput[region],"ALL",BSCRInput[peril_id],1,BSCRInput[is_geocoded],1,BSCRInput[cntrycode],"US")/1000000</f>
        <v>237.72194874355748</v>
      </c>
      <c r="H341" s="170">
        <f>(SUMIFS(BSCRInput[count_policies],BSCRInput[bscr_entity],"33",BSCRInput[region],"ALL",BSCRInput[peril_id],1,BSCRInput[is_geocoded],1)-SUMIFS(BSCRInput[count_policies],BSCRInput[bscr_entity],"33",BSCRInput[region],"ALL",BSCRInput[peril_id],1,BSCRInput[is_geocoded],1,BSCRInput[cntrycode],"US"))</f>
        <v>4541.0</v>
      </c>
      <c r="I341" s="169">
        <f>(SUMIFS(BSCRInput[sum_pml],BSCRInput[bscr_entity],"33",BSCRInput[region],"ALL",BSCRInput[peril_id],1,BSCRInput[is_geocoded],1)-SUMIFS(BSCRInput[sum_pml],BSCRInput[bscr_entity],"33",BSCRInput[region],"ALL",BSCRInput[peril_id],1,BSCRInput[is_geocoded],1,BSCRInput[cntrycode],"US"))/1000000</f>
        <v>32024.331378436967</v>
      </c>
      <c r="J341" s="166">
        <f>(SUMIFS(BSCRInput[sum_net],BSCRInput[bscr_entity],"33",BSCRInput[region],"ALL",BSCRInput[peril_id],1,BSCRInput[is_geocoded],1)-SUMIFS(BSCRInput[sum_net],BSCRInput[bscr_entity],"33",BSCRInput[region],"ALL",BSCRInput[peril_id],1,BSCRInput[is_geocoded],1,BSCRInput[cntrycode],"US"))/1000000</f>
        <v>23962.38120477383</v>
      </c>
      <c r="K341" s="165">
        <f>SUMIFS(BSCRInput[count_policies],BSCRInput[bscr_entity],"33",BSCRInput[region],"ALL",BSCRInput[peril_id],1,BSCRInput[is_geocoded],1)</f>
        <v>4596.0</v>
      </c>
      <c r="L341" s="166">
        <f>SUMIFS(BSCRInput[sum_pml],BSCRInput[bscr_entity],"33",BSCRInput[region],"ALL",BSCRInput[peril_id],1,BSCRInput[is_geocoded],1)/1000000</f>
        <v>32417.058604477046</v>
      </c>
      <c r="M341" s="166">
        <f>SUMIFS(BSCRInput[sum_net],BSCRInput[bscr_entity],"33",BSCRInput[region],"ALL",BSCRInput[peril_id],1,BSCRInput[is_geocoded],1)/1000000</f>
        <v>24200.103153517382</v>
      </c>
    </row>
    <row r="342" ht="9.199999999999999" customHeight="1">
      <c r="A342" s="152" t="n"/>
      <c r="B342" s="155" t="n"/>
      <c r="C342" s="154" t="n"/>
      <c r="D342" s="160" t="n"/>
      <c r="E342" s="167" t="n"/>
      <c r="F342" s="167" t="n"/>
      <c r="G342" s="167" t="n"/>
      <c r="H342" s="154" t="n"/>
      <c r="I342" s="154" t="n"/>
      <c r="J342" s="154" t="n"/>
      <c r="K342" s="154" t="n"/>
      <c r="L342" s="154" t="n"/>
      <c r="M342" s="154" t="n"/>
    </row>
    <row r="343" ht="15.75" customHeight="1">
      <c r="A343" s="152" t="n"/>
      <c r="B343" s="155" t="n"/>
      <c r="C343" s="154" t="inlineStr">
        <is>
          <t>If other is selected, describe the methodology as appropriate:</t>
        </is>
      </c>
      <c r="D343" s="154" t="n"/>
      <c r="E343" s="167" t="n"/>
      <c r="F343" s="167" t="n"/>
      <c r="G343" s="167" t="n"/>
      <c r="H343" s="154" t="n"/>
      <c r="I343" s="154" t="n"/>
      <c r="J343" s="154" t="n"/>
      <c r="K343" s="154" t="n"/>
      <c r="L343" s="154" t="n"/>
      <c r="M343" s="154" t="n"/>
    </row>
    <row r="344" ht="15.75" customHeight="1">
      <c r="A344" s="152" t="n"/>
      <c r="B344" s="155" t="n"/>
      <c r="C344" s="171" t="n"/>
      <c r="D344" s="45" t="n"/>
      <c r="E344" s="45" t="n"/>
      <c r="F344" s="45" t="n"/>
      <c r="G344" s="45" t="n"/>
      <c r="H344" s="45" t="n"/>
      <c r="I344" s="45" t="n"/>
      <c r="J344" s="45" t="n"/>
      <c r="K344" s="45" t="n"/>
      <c r="L344" s="45" t="n"/>
      <c r="M344" s="46" t="n"/>
    </row>
    <row r="345" ht="9.199999999999999" customHeight="1">
      <c r="A345" s="152" t="n"/>
      <c r="B345" s="155" t="n"/>
      <c r="C345" s="154" t="n"/>
      <c r="D345" s="154" t="n"/>
      <c r="E345" s="154" t="n"/>
      <c r="F345" s="154" t="n"/>
      <c r="G345" s="154" t="n"/>
      <c r="H345" s="154" t="n"/>
      <c r="I345" s="154" t="n"/>
      <c r="J345" s="154" t="n"/>
      <c r="K345" s="154" t="n"/>
      <c r="L345" s="154" t="n"/>
      <c r="M345" s="154" t="n"/>
    </row>
    <row r="346" ht="15.75" customHeight="1">
      <c r="A346" s="152" t="n"/>
      <c r="B346" s="155" t="n">
        <v>4</v>
      </c>
      <c r="C346" s="155" t="inlineStr">
        <is>
          <t xml:space="preserve">For those contracts that are written by the insurance group that may be modelled (but are not modelled), provide splits of those that are: </t>
        </is>
      </c>
      <c r="D346" s="154" t="n"/>
      <c r="E346" s="154" t="n"/>
      <c r="F346" s="154" t="n"/>
      <c r="G346" s="154" t="n"/>
      <c r="H346" s="154" t="n"/>
      <c r="I346" s="154" t="n"/>
      <c r="J346" s="154" t="n"/>
      <c r="K346" s="154" t="n"/>
      <c r="L346" s="154" t="n"/>
      <c r="M346" s="154" t="n"/>
    </row>
    <row r="347" ht="9.199999999999999" customHeight="1">
      <c r="A347" s="152" t="n"/>
      <c r="B347" s="155" t="n"/>
      <c r="C347" s="154" t="n"/>
      <c r="D347" s="154" t="n"/>
      <c r="E347" s="154" t="n"/>
      <c r="F347" s="154" t="n"/>
      <c r="G347" s="154" t="n"/>
      <c r="H347" s="154" t="n"/>
      <c r="I347" s="154" t="n"/>
      <c r="J347" s="154" t="n"/>
      <c r="K347" s="154" t="n"/>
      <c r="L347" s="154" t="n"/>
      <c r="M347" s="154" t="n"/>
    </row>
    <row r="348" ht="25.5" customHeight="1">
      <c r="A348" s="152" t="n"/>
      <c r="B348" s="155" t="n"/>
      <c r="C348" s="154" t="n"/>
      <c r="D348" s="154" t="n"/>
      <c r="E348" s="156" t="str">
        <f>+E315</f>
        <v>U.S. specific contracts - all exposures</v>
      </c>
      <c r="F348" s="157" t="n"/>
      <c r="G348" s="22" t="n"/>
      <c r="H348" s="156" t="str">
        <f>+H315</f>
        <v>All other contracts - all exposures</v>
      </c>
      <c r="I348" s="157" t="n"/>
      <c r="J348" s="22" t="n"/>
      <c r="K348" s="156" t="inlineStr">
        <is>
          <t>Total</t>
        </is>
      </c>
      <c r="L348" s="157" t="n"/>
      <c r="M348" s="22" t="n"/>
    </row>
    <row r="349" ht="31.5" customHeight="1">
      <c r="A349" s="152" t="n"/>
      <c r="B349" s="155" t="n"/>
      <c r="C349" s="154" t="n"/>
      <c r="D349" s="154" t="n"/>
      <c r="E349" s="158" t="inlineStr">
        <is>
          <t>Contract count</t>
        </is>
      </c>
      <c r="F349" s="158" t="inlineStr">
        <is>
          <t xml:space="preserve">Gross limit provided </t>
        </is>
      </c>
      <c r="G349" s="158" t="inlineStr">
        <is>
          <t>Net limit provided</t>
        </is>
      </c>
      <c r="H349" s="158" t="inlineStr">
        <is>
          <t>Contract count</t>
        </is>
      </c>
      <c r="I349" s="158" t="inlineStr">
        <is>
          <t xml:space="preserve">Gross limit provided </t>
        </is>
      </c>
      <c r="J349" s="158" t="inlineStr">
        <is>
          <t>Net limit provided</t>
        </is>
      </c>
      <c r="K349" s="158" t="inlineStr">
        <is>
          <t>Contract count</t>
        </is>
      </c>
      <c r="L349" s="158" t="inlineStr">
        <is>
          <t xml:space="preserve">Gross limit provided </t>
        </is>
      </c>
      <c r="M349" s="158" t="inlineStr">
        <is>
          <t>Net limit provided</t>
        </is>
      </c>
    </row>
    <row r="350" ht="15.75" customHeight="1">
      <c r="A350" s="152" t="n"/>
      <c r="B350" s="155" t="n"/>
      <c r="C350" s="154" t="n"/>
      <c r="D350" s="154" t="n"/>
      <c r="E350" s="159" t="n"/>
      <c r="F350" s="158" t="inlineStr">
        <is>
          <t>($M)</t>
        </is>
      </c>
      <c r="G350" s="158" t="inlineStr">
        <is>
          <t>($M)</t>
        </is>
      </c>
      <c r="H350" s="159" t="n"/>
      <c r="I350" s="158" t="inlineStr">
        <is>
          <t>($M)</t>
        </is>
      </c>
      <c r="J350" s="158" t="inlineStr">
        <is>
          <t>($M)</t>
        </is>
      </c>
      <c r="K350" s="159" t="n"/>
      <c r="L350" s="158" t="inlineStr">
        <is>
          <t>($M)</t>
        </is>
      </c>
      <c r="M350" s="158" t="inlineStr">
        <is>
          <t>($M)</t>
        </is>
      </c>
    </row>
    <row r="351" ht="15.75" customHeight="1">
      <c r="A351" s="152" t="n"/>
      <c r="B351" s="155" t="n"/>
      <c r="C351" s="154" t="n"/>
      <c r="D351" s="160" t="inlineStr">
        <is>
          <t>Data deficient</t>
        </is>
      </c>
      <c r="E351" s="161">
        <f>SUMIFS(BSCRInput[count_policies],BSCRInput[bscr_entity],"33",BSCRInput[region],"ALL",BSCRInput[peril_id],1,BSCRInput[is_geocoded],0,BSCRInput[cntrycode],"US")</f>
        <v>305.0</v>
      </c>
      <c r="F351" s="162">
        <f>SUMIFS(BSCRInput[sum_pml],BSCRInput[bscr_entity],"33",BSCRInput[region],"ALL",BSCRInput[peril_id],1,BSCRInput[is_geocoded],0,BSCRInput[cntrycode],"US")/1000000</f>
        <v>2939.7414919117987</v>
      </c>
      <c r="G351" s="162">
        <f>SUMIFS(BSCRInput[sum_net],BSCRInput[bscr_entity],"33",BSCRInput[region],"ALL",BSCRInput[peril_id],1,BSCRInput[is_geocoded],0,BSCRInput[cntrycode],"US")/1000000</f>
        <v>1771.6071136204694</v>
      </c>
      <c r="H351" s="161">
        <f>(SUMIFS(BSCRInput[count_policies],BSCRInput[bscr_entity],"33",BSCRInput[region],"ALL",BSCRInput[peril_id],1,BSCRInput[is_geocoded],0)-SUMIFS(BSCRInput[count_policies],BSCRInput[bscr_entity],"33",BSCRInput[region],"ALL",BSCRInput[peril_id],1,BSCRInput[is_geocoded],0,BSCRInput[cntrycode],"US"))</f>
        <v>220.0</v>
      </c>
      <c r="I351" s="162">
        <f>(SUMIFS(BSCRInput[sum_pml],BSCRInput[bscr_entity],"33",BSCRInput[region],"ALL",BSCRInput[peril_id],1,BSCRInput[is_geocoded],0)-SUMIFS(BSCRInput[sum_pml],BSCRInput[bscr_entity],"33",BSCRInput[region],"ALL",BSCRInput[peril_id],1,BSCRInput[is_geocoded],0,BSCRInput[cntrycode],"US"))/1000000</f>
        <v>1356.1038654115096</v>
      </c>
      <c r="J351" s="162">
        <f>(SUMIFS(BSCRInput[sum_net],BSCRInput[bscr_entity],"33",BSCRInput[region],"ALL",BSCRInput[peril_id],1,BSCRInput[is_geocoded],0)-SUMIFS(BSCRInput[sum_net],BSCRInput[bscr_entity],"33",BSCRInput[region],"ALL",BSCRInput[peril_id],1,BSCRInput[is_geocoded],0,BSCRInput[cntrycode],"US"))/1000000</f>
        <v>985.7409092845786</v>
      </c>
      <c r="K351" s="163">
        <f>SUMIFS(BSCRInput[count_policies],BSCRInput[bscr_entity],"33",BSCRInput[region],"ALL",BSCRInput[peril_id],1,BSCRInput[is_geocoded],0)</f>
        <v>525.0</v>
      </c>
      <c r="L351" s="164">
        <f>SUMIFS(BSCRInput[sum_pml],BSCRInput[bscr_entity],"33",BSCRInput[region],"ALL",BSCRInput[peril_id],1,BSCRInput[is_geocoded],0)/1000000</f>
        <v>4295.845357323308</v>
      </c>
      <c r="M351" s="164">
        <f>SUMIFS(BSCRInput[sum_net],BSCRInput[bscr_entity],"33",BSCRInput[region],"ALL",BSCRInput[peril_id],1,BSCRInput[is_geocoded],0)/1000000</f>
        <v>2757.348022905048</v>
      </c>
    </row>
    <row r="352" ht="15.75" customHeight="1">
      <c r="A352" s="152" t="n"/>
      <c r="B352" s="155" t="n"/>
      <c r="C352" s="154" t="n"/>
      <c r="D352" s="160" t="inlineStr">
        <is>
          <t>Model deficient</t>
        </is>
      </c>
      <c r="E352" s="161">
        <f>0</f>
        <v>0.0</v>
      </c>
      <c r="F352" s="162">
        <f>0</f>
        <v>0.0</v>
      </c>
      <c r="G352" s="162">
        <f>0</f>
        <v>0.0</v>
      </c>
      <c r="H352" s="161">
        <f>0</f>
        <v>0.0</v>
      </c>
      <c r="I352" s="162">
        <f>0</f>
        <v>0.0</v>
      </c>
      <c r="J352" s="162">
        <f>0</f>
        <v>0.0</v>
      </c>
      <c r="K352" s="163">
        <f>0</f>
        <v>0.0</v>
      </c>
      <c r="L352" s="164">
        <f>0</f>
        <v>0.0</v>
      </c>
      <c r="M352" s="164">
        <f>0</f>
        <v>0.0</v>
      </c>
    </row>
    <row r="353" ht="15.75" customHeight="1">
      <c r="A353" s="152" t="n"/>
      <c r="B353" s="155" t="n"/>
      <c r="C353" s="154" t="n"/>
      <c r="D353" s="160" t="inlineStr">
        <is>
          <t>Other</t>
        </is>
      </c>
      <c r="E353" s="161">
        <f>0</f>
        <v>0.0</v>
      </c>
      <c r="F353" s="162">
        <f>0</f>
        <v>0.0</v>
      </c>
      <c r="G353" s="162">
        <f>0</f>
        <v>0.0</v>
      </c>
      <c r="H353" s="161">
        <f>0</f>
        <v>0.0</v>
      </c>
      <c r="I353" s="162">
        <f>0</f>
        <v>0.0</v>
      </c>
      <c r="J353" s="162">
        <f>0</f>
        <v>0.0</v>
      </c>
      <c r="K353" s="163">
        <f>0</f>
        <v>0.0</v>
      </c>
      <c r="L353" s="164">
        <f>0</f>
        <v>0.0</v>
      </c>
      <c r="M353" s="164">
        <f>0</f>
        <v>0.0</v>
      </c>
    </row>
    <row r="354" ht="16.5" customHeight="1">
      <c r="A354" s="152" t="n"/>
      <c r="B354" s="155" t="n"/>
      <c r="C354" s="154" t="n"/>
      <c r="D354" s="160" t="inlineStr">
        <is>
          <t>Total</t>
        </is>
      </c>
      <c r="E354" s="165">
        <f>SUMIFS(BSCRInput[count_policies],BSCRInput[bscr_entity],"33",BSCRInput[region],"ALL",BSCRInput[peril_id],1,BSCRInput[is_geocoded],0,BSCRInput[cntrycode],"US")</f>
        <v>305.0</v>
      </c>
      <c r="F354" s="166">
        <f>SUMIFS(BSCRInput[sum_pml],BSCRInput[bscr_entity],"33",BSCRInput[region],"ALL",BSCRInput[peril_id],1,BSCRInput[is_geocoded],0,BSCRInput[cntrycode],"US")/1000000</f>
        <v>2939.7414919117987</v>
      </c>
      <c r="G354" s="166">
        <f>SUMIFS(BSCRInput[sum_net],BSCRInput[bscr_entity],"33",BSCRInput[region],"ALL",BSCRInput[peril_id],1,BSCRInput[is_geocoded],0,BSCRInput[cntrycode],"US")/1000000</f>
        <v>1771.6071136204694</v>
      </c>
      <c r="H354" s="165">
        <f>(SUMIFS(BSCRInput[count_policies],BSCRInput[bscr_entity],"33",BSCRInput[region],"ALL",BSCRInput[peril_id],1,BSCRInput[is_geocoded],0)-SUMIFS(BSCRInput[count_policies],BSCRInput[bscr_entity],"33",BSCRInput[region],"ALL",BSCRInput[peril_id],1,BSCRInput[is_geocoded],0,BSCRInput[cntrycode],"US"))</f>
        <v>220.0</v>
      </c>
      <c r="I354" s="166">
        <f>(SUMIFS(BSCRInput[sum_pml],BSCRInput[bscr_entity],"33",BSCRInput[region],"ALL",BSCRInput[peril_id],1,BSCRInput[is_geocoded],0)-SUMIFS(BSCRInput[sum_pml],BSCRInput[bscr_entity],"33",BSCRInput[region],"ALL",BSCRInput[peril_id],1,BSCRInput[is_geocoded],0,BSCRInput[cntrycode],"US"))/1000000</f>
        <v>1356.1038654115096</v>
      </c>
      <c r="J354" s="166">
        <f>(SUMIFS(BSCRInput[sum_net],BSCRInput[bscr_entity],"33",BSCRInput[region],"ALL",BSCRInput[peril_id],1,BSCRInput[is_geocoded],0)-SUMIFS(BSCRInput[sum_net],BSCRInput[bscr_entity],"33",BSCRInput[region],"ALL",BSCRInput[peril_id],1,BSCRInput[is_geocoded],0,BSCRInput[cntrycode],"US"))/1000000</f>
        <v>985.7409092845786</v>
      </c>
      <c r="K354" s="165">
        <f>SUMIFS(BSCRInput[count_policies],BSCRInput[bscr_entity],"33",BSCRInput[region],"ALL",BSCRInput[peril_id],1,BSCRInput[is_geocoded],0)</f>
        <v>525.0</v>
      </c>
      <c r="L354" s="166">
        <f>SUMIFS(BSCRInput[sum_pml],BSCRInput[bscr_entity],"33",BSCRInput[region],"ALL",BSCRInput[peril_id],1,BSCRInput[is_geocoded],0)/1000000</f>
        <v>4295.845357323308</v>
      </c>
      <c r="M354" s="166">
        <f>SUMIFS(BSCRInput[sum_net],BSCRInput[bscr_entity],"33",BSCRInput[region],"ALL",BSCRInput[peril_id],1,BSCRInput[is_geocoded],0)/1000000</f>
        <v>2757.348022905048</v>
      </c>
    </row>
    <row r="355" ht="9.199999999999999" customHeight="1">
      <c r="A355" s="152" t="n"/>
      <c r="B355" s="155" t="n"/>
      <c r="C355" s="154" t="n"/>
      <c r="D355" s="154" t="n"/>
      <c r="E355" s="154" t="n"/>
      <c r="F355" s="154" t="n"/>
      <c r="G355" s="154" t="n"/>
      <c r="H355" s="154" t="n"/>
      <c r="I355" s="154" t="n"/>
      <c r="J355" s="154" t="n"/>
      <c r="K355" s="154" t="n"/>
      <c r="L355" s="154" t="n"/>
      <c r="M355" s="154" t="n"/>
    </row>
    <row r="356" ht="15.75" customHeight="1">
      <c r="A356" s="152" t="n"/>
      <c r="B356" s="155" t="n"/>
      <c r="C356" s="154" t="inlineStr">
        <is>
          <t>If other is selected, describe the reasons for not modelling the contract(s):</t>
        </is>
      </c>
      <c r="D356" s="154" t="n"/>
      <c r="E356" s="167" t="n"/>
      <c r="F356" s="167" t="n"/>
      <c r="G356" s="167" t="n"/>
      <c r="H356" s="154" t="n"/>
      <c r="I356" s="154" t="n"/>
      <c r="J356" s="154" t="n"/>
      <c r="K356" s="154" t="n"/>
      <c r="L356" s="154" t="n"/>
      <c r="M356" s="154" t="n"/>
    </row>
    <row r="357" ht="15.75" customHeight="1">
      <c r="A357" s="152" t="n"/>
      <c r="B357" s="155" t="n"/>
      <c r="C357" s="171" t="n"/>
      <c r="D357" s="45" t="n"/>
      <c r="E357" s="45" t="n"/>
      <c r="F357" s="45" t="n"/>
      <c r="G357" s="45" t="n"/>
      <c r="H357" s="45" t="n"/>
      <c r="I357" s="45" t="n"/>
      <c r="J357" s="45" t="n"/>
      <c r="K357" s="45" t="n"/>
      <c r="L357" s="45" t="n"/>
      <c r="M357" s="46" t="n"/>
    </row>
    <row r="358" ht="9.199999999999999" customHeight="1">
      <c r="A358" s="152" t="n"/>
      <c r="B358" s="155" t="n"/>
      <c r="C358" s="154" t="n"/>
      <c r="D358" s="154" t="n"/>
      <c r="E358" s="154" t="n"/>
      <c r="F358" s="154" t="n"/>
      <c r="G358" s="154" t="n"/>
      <c r="H358" s="154" t="n"/>
      <c r="I358" s="154" t="n"/>
      <c r="J358" s="154" t="n"/>
      <c r="K358" s="154" t="n"/>
      <c r="L358" s="154" t="n"/>
      <c r="M358" s="154" t="n"/>
    </row>
    <row r="359" ht="30" customHeight="1">
      <c r="A359" s="152" t="n"/>
      <c r="B359" s="172" t="n">
        <v>5</v>
      </c>
      <c r="C359" s="173" t="inlineStr">
        <is>
          <t>For contracts that are written by the insurance group that may be modelled (but are not modelled), describe what the members of the insurance group do from an accumulation perspective.</t>
        </is>
      </c>
    </row>
    <row r="360" ht="9.199999999999999" customHeight="1">
      <c r="A360" s="152" t="n"/>
      <c r="B360" s="155" t="n"/>
      <c r="C360" s="154" t="n"/>
      <c r="D360" s="154" t="n"/>
      <c r="E360" s="154" t="n"/>
      <c r="F360" s="154" t="n"/>
      <c r="G360" s="154" t="n"/>
      <c r="H360" s="154" t="n"/>
      <c r="I360" s="154" t="n"/>
      <c r="J360" s="154" t="n"/>
      <c r="K360" s="154" t="n"/>
      <c r="L360" s="154" t="n"/>
      <c r="M360" s="154" t="n"/>
    </row>
    <row r="361" ht="18" customHeight="1">
      <c r="A361" s="152" t="n"/>
      <c r="B361" s="155" t="n"/>
      <c r="C361" s="171" t="n"/>
      <c r="D361" s="45" t="n"/>
      <c r="E361" s="45" t="n"/>
      <c r="F361" s="45" t="n"/>
      <c r="G361" s="45" t="n"/>
      <c r="H361" s="45" t="n"/>
      <c r="I361" s="45" t="n"/>
      <c r="J361" s="45" t="n"/>
      <c r="K361" s="45" t="n"/>
      <c r="L361" s="45" t="n"/>
      <c r="M361" s="46" t="n"/>
    </row>
    <row r="362" ht="9.199999999999999" customHeight="1">
      <c r="A362" s="152" t="n"/>
      <c r="B362" s="155" t="n"/>
      <c r="C362" s="154" t="n"/>
      <c r="D362" s="154" t="n"/>
      <c r="E362" s="154" t="n"/>
      <c r="F362" s="154" t="n"/>
      <c r="G362" s="154" t="n"/>
      <c r="H362" s="154" t="n"/>
      <c r="I362" s="154" t="n"/>
      <c r="J362" s="154" t="n"/>
      <c r="K362" s="154" t="n"/>
      <c r="L362" s="154" t="n"/>
      <c r="M362" s="154" t="n"/>
    </row>
    <row r="363" ht="15.75" customHeight="1">
      <c r="A363" s="152" t="n"/>
      <c r="B363" s="155" t="n">
        <v>6</v>
      </c>
      <c r="C363" s="155" t="inlineStr">
        <is>
          <t>For contracts that are written by the insurance group that are unable to be modelled, provide splits of those that are:</t>
        </is>
      </c>
      <c r="D363" s="154" t="n"/>
      <c r="E363" s="154" t="n"/>
      <c r="F363" s="154" t="n"/>
      <c r="G363" s="154" t="n"/>
      <c r="H363" s="154" t="n"/>
      <c r="I363" s="154" t="n"/>
      <c r="J363" s="154" t="n"/>
      <c r="K363" s="154" t="n"/>
      <c r="L363" s="154" t="n"/>
      <c r="M363" s="154" t="n"/>
    </row>
    <row r="364" ht="9.199999999999999" customHeight="1">
      <c r="A364" s="152" t="n"/>
      <c r="B364" s="155" t="n"/>
      <c r="C364" s="154" t="n"/>
      <c r="D364" s="154" t="n"/>
      <c r="E364" s="154" t="n"/>
      <c r="F364" s="154" t="n"/>
      <c r="G364" s="154" t="n"/>
      <c r="H364" s="154" t="n"/>
      <c r="I364" s="154" t="n"/>
      <c r="J364" s="154" t="n"/>
      <c r="K364" s="154" t="n"/>
      <c r="L364" s="154" t="n"/>
      <c r="M364" s="154" t="n"/>
    </row>
    <row r="365" ht="21.75" customHeight="1">
      <c r="A365" s="152" t="n"/>
      <c r="B365" s="155" t="n"/>
      <c r="C365" s="154" t="n"/>
      <c r="D365" s="154" t="n"/>
      <c r="E365" s="156" t="str">
        <f>+E315</f>
        <v>U.S. specific contracts - all exposures</v>
      </c>
      <c r="F365" s="157" t="n"/>
      <c r="G365" s="22" t="n"/>
      <c r="H365" s="156" t="str">
        <f>+H315</f>
        <v>All other contracts - all exposures</v>
      </c>
      <c r="I365" s="157" t="n"/>
      <c r="J365" s="22" t="n"/>
      <c r="K365" s="156" t="inlineStr">
        <is>
          <t>Total</t>
        </is>
      </c>
      <c r="L365" s="157" t="n"/>
      <c r="M365" s="22" t="n"/>
    </row>
    <row r="366" ht="31.5" customHeight="1">
      <c r="A366" s="152" t="n"/>
      <c r="B366" s="155" t="n"/>
      <c r="C366" s="154" t="n"/>
      <c r="D366" s="154" t="n"/>
      <c r="E366" s="158" t="inlineStr">
        <is>
          <t>Contract count</t>
        </is>
      </c>
      <c r="F366" s="158" t="inlineStr">
        <is>
          <t xml:space="preserve">Gross limit provided </t>
        </is>
      </c>
      <c r="G366" s="158" t="inlineStr">
        <is>
          <t>Net limit provided</t>
        </is>
      </c>
      <c r="H366" s="158" t="inlineStr">
        <is>
          <t>Contract count</t>
        </is>
      </c>
      <c r="I366" s="158" t="inlineStr">
        <is>
          <t xml:space="preserve">Gross limit provided </t>
        </is>
      </c>
      <c r="J366" s="158" t="inlineStr">
        <is>
          <t>Net limit provided</t>
        </is>
      </c>
      <c r="K366" s="158" t="inlineStr">
        <is>
          <t>Contract count</t>
        </is>
      </c>
      <c r="L366" s="158" t="inlineStr">
        <is>
          <t xml:space="preserve">Gross limit provided </t>
        </is>
      </c>
      <c r="M366" s="158" t="inlineStr">
        <is>
          <t>Net limit provided</t>
        </is>
      </c>
    </row>
    <row r="367" ht="17.25" customHeight="1">
      <c r="A367" s="152" t="n"/>
      <c r="B367" s="155" t="n"/>
      <c r="C367" s="154" t="n"/>
      <c r="D367" s="154" t="n"/>
      <c r="E367" s="159" t="n"/>
      <c r="F367" s="158" t="inlineStr">
        <is>
          <t>($M)</t>
        </is>
      </c>
      <c r="G367" s="158" t="inlineStr">
        <is>
          <t>($M)</t>
        </is>
      </c>
      <c r="H367" s="159" t="n"/>
      <c r="I367" s="158" t="inlineStr">
        <is>
          <t>($M)</t>
        </is>
      </c>
      <c r="J367" s="158" t="inlineStr">
        <is>
          <t>($M)</t>
        </is>
      </c>
      <c r="K367" s="159" t="n"/>
      <c r="L367" s="158" t="inlineStr">
        <is>
          <t>($M)</t>
        </is>
      </c>
      <c r="M367" s="158" t="inlineStr">
        <is>
          <t>($M)</t>
        </is>
      </c>
    </row>
    <row r="368" ht="15.75" customHeight="1">
      <c r="A368" s="152" t="n"/>
      <c r="B368" s="155" t="n"/>
      <c r="C368" s="154" t="n"/>
      <c r="D368" s="160" t="inlineStr">
        <is>
          <t>Data deficient</t>
        </is>
      </c>
      <c r="E368" s="161">
        <f>SUMIFS(BSCRInput[count_policies],BSCRInput[bscr_entity],"33",BSCRInput[region],"ALL",BSCRInput[peril_id],1,BSCRInput[is_geocoded],0,BSCRInput[cntrycode],"US")</f>
        <v>305.0</v>
      </c>
      <c r="F368" s="162">
        <f>SUMIFS(BSCRInput[sum_pml],BSCRInput[bscr_entity],"33",BSCRInput[region],"ALL",BSCRInput[peril_id],1,BSCRInput[is_geocoded],0,BSCRInput[cntrycode],"US")/1000000</f>
        <v>2939.7414919117987</v>
      </c>
      <c r="G368" s="162">
        <f>SUMIFS(BSCRInput[sum_net],BSCRInput[bscr_entity],"33",BSCRInput[region],"ALL",BSCRInput[peril_id],1,BSCRInput[is_geocoded],0,BSCRInput[cntrycode],"US")/1000000</f>
        <v>1771.6071136204694</v>
      </c>
      <c r="H368" s="161">
        <f>(SUMIFS(BSCRInput[count_policies],BSCRInput[bscr_entity],"33",BSCRInput[region],"ALL",BSCRInput[peril_id],1,BSCRInput[is_geocoded],0)-SUMIFS(BSCRInput[count_policies],BSCRInput[bscr_entity],"33",BSCRInput[region],"ALL",BSCRInput[peril_id],1,BSCRInput[is_geocoded],0,BSCRInput[cntrycode],"US"))</f>
        <v>220.0</v>
      </c>
      <c r="I368" s="162">
        <f>(SUMIFS(BSCRInput[sum_pml],BSCRInput[bscr_entity],"33",BSCRInput[region],"ALL",BSCRInput[peril_id],1,BSCRInput[is_geocoded],0)-SUMIFS(BSCRInput[sum_pml],BSCRInput[bscr_entity],"33",BSCRInput[region],"ALL",BSCRInput[peril_id],1,BSCRInput[is_geocoded],0,BSCRInput[cntrycode],"US"))/1000000</f>
        <v>1356.1038654115096</v>
      </c>
      <c r="J368" s="162">
        <f>(SUMIFS(BSCRInput[sum_net],BSCRInput[bscr_entity],"33",BSCRInput[region],"ALL",BSCRInput[peril_id],1,BSCRInput[is_geocoded],0)-SUMIFS(BSCRInput[sum_net],BSCRInput[bscr_entity],"33",BSCRInput[region],"ALL",BSCRInput[peril_id],1,BSCRInput[is_geocoded],0,BSCRInput[cntrycode],"US"))/1000000</f>
        <v>985.7409092845786</v>
      </c>
      <c r="K368" s="174">
        <f>SUMIFS(BSCRInput[count_policies],BSCRInput[bscr_entity],"33",BSCRInput[region],"ALL",BSCRInput[peril_id],1,BSCRInput[is_geocoded],0)</f>
        <v>525.0</v>
      </c>
      <c r="L368" s="175">
        <f>SUMIFS(BSCRInput[sum_pml],BSCRInput[bscr_entity],"33",BSCRInput[region],"ALL",BSCRInput[peril_id],1,BSCRInput[is_geocoded],0)/1000000</f>
        <v>4295.845357323308</v>
      </c>
      <c r="M368" s="176">
        <f>SUMIFS(BSCRInput[sum_net],BSCRInput[bscr_entity],"33",BSCRInput[region],"ALL",BSCRInput[peril_id],1,BSCRInput[is_geocoded],0)/1000000</f>
        <v>2757.348022905048</v>
      </c>
    </row>
    <row r="369" ht="15.75" customHeight="1">
      <c r="A369" s="152" t="n"/>
      <c r="B369" s="155" t="n"/>
      <c r="C369" s="154" t="n"/>
      <c r="D369" s="160" t="inlineStr">
        <is>
          <t>No catastrophe model exists</t>
        </is>
      </c>
      <c r="E369" s="161">
        <f>0</f>
        <v>0.0</v>
      </c>
      <c r="F369" s="162">
        <f>0</f>
        <v>0.0</v>
      </c>
      <c r="G369" s="162">
        <f>0</f>
        <v>0.0</v>
      </c>
      <c r="H369" s="161">
        <f>0</f>
        <v>0.0</v>
      </c>
      <c r="I369" s="162">
        <f>0</f>
        <v>0.0</v>
      </c>
      <c r="J369" s="162">
        <f>0</f>
        <v>0.0</v>
      </c>
      <c r="K369" s="177">
        <f>0</f>
        <v>0.0</v>
      </c>
      <c r="L369" s="164">
        <f>0</f>
        <v>0.0</v>
      </c>
      <c r="M369" s="178">
        <f>0</f>
        <v>0.0</v>
      </c>
    </row>
    <row r="370" ht="15.75" customHeight="1">
      <c r="A370" s="152" t="n"/>
      <c r="B370" s="155" t="n"/>
      <c r="C370" s="154" t="n"/>
      <c r="D370" s="160" t="inlineStr">
        <is>
          <t>Model deficient</t>
        </is>
      </c>
      <c r="E370" s="161">
        <f>0</f>
        <v>0.0</v>
      </c>
      <c r="F370" s="162">
        <f>0</f>
        <v>0.0</v>
      </c>
      <c r="G370" s="162">
        <f>0</f>
        <v>0.0</v>
      </c>
      <c r="H370" s="161">
        <f>0</f>
        <v>0.0</v>
      </c>
      <c r="I370" s="162">
        <f>0</f>
        <v>0.0</v>
      </c>
      <c r="J370" s="162">
        <f>0</f>
        <v>0.0</v>
      </c>
      <c r="K370" s="177">
        <f>0</f>
        <v>0.0</v>
      </c>
      <c r="L370" s="164">
        <f>0</f>
        <v>0.0</v>
      </c>
      <c r="M370" s="178">
        <f>0</f>
        <v>0.0</v>
      </c>
    </row>
    <row r="371" ht="15.75" customHeight="1">
      <c r="A371" s="152" t="n"/>
      <c r="B371" s="155" t="n"/>
      <c r="C371" s="154" t="n"/>
      <c r="D371" s="160" t="inlineStr">
        <is>
          <t>Other</t>
        </is>
      </c>
      <c r="E371" s="161">
        <f>0</f>
        <v>0.0</v>
      </c>
      <c r="F371" s="162">
        <f>0</f>
        <v>0.0</v>
      </c>
      <c r="G371" s="162">
        <f>0</f>
        <v>0.0</v>
      </c>
      <c r="H371" s="161">
        <f>0</f>
        <v>0.0</v>
      </c>
      <c r="I371" s="162">
        <f>0</f>
        <v>0.0</v>
      </c>
      <c r="J371" s="162">
        <f>0</f>
        <v>0.0</v>
      </c>
      <c r="K371" s="177">
        <f>0</f>
        <v>0.0</v>
      </c>
      <c r="L371" s="164">
        <f>0</f>
        <v>0.0</v>
      </c>
      <c r="M371" s="178">
        <f>0</f>
        <v>0.0</v>
      </c>
    </row>
    <row r="372" ht="15.75" customHeight="1">
      <c r="A372" s="152" t="n"/>
      <c r="B372" s="155" t="n"/>
      <c r="C372" s="154" t="n"/>
      <c r="D372" s="160" t="inlineStr">
        <is>
          <t>Total</t>
        </is>
      </c>
      <c r="E372" s="165">
        <f>SUMIFS(BSCRInput[count_policies],BSCRInput[bscr_entity],"33",BSCRInput[region],"ALL",BSCRInput[peril_id],1,BSCRInput[is_geocoded],0,BSCRInput[cntrycode],"US")</f>
        <v>305.0</v>
      </c>
      <c r="F372" s="166">
        <f>SUMIFS(BSCRInput[sum_pml],BSCRInput[bscr_entity],"33",BSCRInput[region],"ALL",BSCRInput[peril_id],1,BSCRInput[is_geocoded],0,BSCRInput[cntrycode],"US")/1000000</f>
        <v>2939.7414919117987</v>
      </c>
      <c r="G372" s="166">
        <f>SUMIFS(BSCRInput[sum_net],BSCRInput[bscr_entity],"33",BSCRInput[region],"ALL",BSCRInput[peril_id],1,BSCRInput[is_geocoded],0,BSCRInput[cntrycode],"US")/1000000</f>
        <v>1771.6071136204694</v>
      </c>
      <c r="H372" s="165">
        <f>(SUMIFS(BSCRInput[count_policies],BSCRInput[bscr_entity],"33",BSCRInput[region],"ALL",BSCRInput[peril_id],1,BSCRInput[is_geocoded],0)-SUMIFS(BSCRInput[count_policies],BSCRInput[bscr_entity],"33",BSCRInput[region],"ALL",BSCRInput[peril_id],1,BSCRInput[is_geocoded],0,BSCRInput[cntrycode],"US"))</f>
        <v>220.0</v>
      </c>
      <c r="I372" s="166">
        <f>(SUMIFS(BSCRInput[sum_pml],BSCRInput[bscr_entity],"33",BSCRInput[region],"ALL",BSCRInput[peril_id],1,BSCRInput[is_geocoded],0)-SUMIFS(BSCRInput[sum_pml],BSCRInput[bscr_entity],"33",BSCRInput[region],"ALL",BSCRInput[peril_id],1,BSCRInput[is_geocoded],0,BSCRInput[cntrycode],"US"))/1000000</f>
        <v>1356.1038654115096</v>
      </c>
      <c r="J372" s="166">
        <f>(SUMIFS(BSCRInput[sum_net],BSCRInput[bscr_entity],"33",BSCRInput[region],"ALL",BSCRInput[peril_id],1,BSCRInput[is_geocoded],0)-SUMIFS(BSCRInput[sum_net],BSCRInput[bscr_entity],"33",BSCRInput[region],"ALL",BSCRInput[peril_id],1,BSCRInput[is_geocoded],0,BSCRInput[cntrycode],"US"))/1000000</f>
        <v>985.7409092845786</v>
      </c>
      <c r="K372" s="165">
        <f>SUMIFS(BSCRInput[count_policies],BSCRInput[bscr_entity],"33",BSCRInput[region],"ALL",BSCRInput[peril_id],1,BSCRInput[is_geocoded],0)</f>
        <v>525.0</v>
      </c>
      <c r="L372" s="166">
        <f>SUMIFS(BSCRInput[sum_pml],BSCRInput[bscr_entity],"33",BSCRInput[region],"ALL",BSCRInput[peril_id],1,BSCRInput[is_geocoded],0)/1000000</f>
        <v>4295.845357323308</v>
      </c>
      <c r="M372" s="166">
        <f>SUMIFS(BSCRInput[sum_net],BSCRInput[bscr_entity],"33",BSCRInput[region],"ALL",BSCRInput[peril_id],1,BSCRInput[is_geocoded],0)/1000000</f>
        <v>2757.348022905048</v>
      </c>
    </row>
    <row r="373" ht="9.199999999999999" customHeight="1">
      <c r="A373" s="152" t="n"/>
      <c r="B373" s="155" t="n"/>
      <c r="C373" s="154" t="n"/>
      <c r="D373" s="154" t="n"/>
      <c r="E373" s="154" t="n"/>
      <c r="F373" s="154" t="n"/>
      <c r="G373" s="154" t="n"/>
      <c r="H373" s="154" t="n"/>
      <c r="I373" s="154" t="n"/>
      <c r="J373" s="154" t="n"/>
      <c r="K373" s="154" t="n"/>
      <c r="L373" s="154" t="n"/>
      <c r="M373" s="154" t="n"/>
    </row>
    <row r="374" ht="15.75" customHeight="1">
      <c r="A374" s="152" t="n"/>
      <c r="B374" s="155" t="n"/>
      <c r="C374" s="154" t="inlineStr">
        <is>
          <t>If other is selected, describe the reasons for not modelling the contract(s):</t>
        </is>
      </c>
      <c r="D374" s="154" t="n"/>
      <c r="E374" s="167" t="n"/>
      <c r="F374" s="167" t="n"/>
      <c r="G374" s="167" t="n"/>
      <c r="H374" s="154" t="n"/>
      <c r="I374" s="154" t="n"/>
      <c r="J374" s="154" t="n"/>
      <c r="K374" s="154" t="n"/>
      <c r="L374" s="154" t="n"/>
      <c r="M374" s="154" t="n"/>
    </row>
    <row r="375" ht="15.75" customHeight="1">
      <c r="A375" s="152" t="n"/>
      <c r="B375" s="155" t="n"/>
      <c r="C375" s="171" t="n"/>
      <c r="D375" s="179" t="n"/>
      <c r="E375" s="179" t="n"/>
      <c r="F375" s="179" t="n"/>
      <c r="G375" s="179" t="n"/>
      <c r="H375" s="179" t="n"/>
      <c r="I375" s="179" t="n"/>
      <c r="J375" s="179" t="n"/>
      <c r="K375" s="179" t="n"/>
      <c r="L375" s="179" t="n"/>
      <c r="M375" s="56" t="n"/>
    </row>
    <row r="376" ht="6.75" customHeight="1">
      <c r="A376" s="152" t="n"/>
      <c r="B376" s="155" t="n"/>
      <c r="C376" s="57" t="n"/>
      <c r="D376" s="180" t="n"/>
      <c r="E376" s="180" t="n"/>
      <c r="F376" s="180" t="n"/>
      <c r="G376" s="180" t="n"/>
      <c r="H376" s="180" t="n"/>
      <c r="I376" s="180" t="n"/>
      <c r="J376" s="180" t="n"/>
      <c r="K376" s="180" t="n"/>
      <c r="L376" s="180" t="n"/>
      <c r="M376" s="58" t="n"/>
    </row>
    <row r="377" ht="9.199999999999999" customHeight="1">
      <c r="A377" s="152" t="n"/>
      <c r="B377" s="155" t="n"/>
      <c r="C377" s="181" t="n"/>
      <c r="D377" s="181" t="n"/>
      <c r="E377" s="181" t="n"/>
      <c r="F377" s="181" t="n"/>
      <c r="G377" s="181" t="n"/>
      <c r="H377" s="181" t="n"/>
      <c r="I377" s="181" t="n"/>
      <c r="J377" s="181" t="n"/>
      <c r="K377" s="181" t="n"/>
      <c r="L377" s="181" t="n"/>
      <c r="M377" s="181" t="n"/>
    </row>
    <row r="378" ht="15.75" customHeight="1">
      <c r="A378" s="152" t="n"/>
      <c r="B378" s="155" t="n">
        <v>7</v>
      </c>
      <c r="C378" s="155" t="inlineStr">
        <is>
          <t>What percentage of total net premiums written represents contracts with no limits?</t>
        </is>
      </c>
      <c r="D378" s="154" t="n"/>
      <c r="E378" s="154" t="n"/>
      <c r="F378" s="154" t="n"/>
      <c r="G378" s="154" t="n"/>
      <c r="H378" s="154" t="n"/>
      <c r="I378" s="182" t="n"/>
      <c r="J378" s="154" t="n"/>
      <c r="K378" s="154" t="n"/>
      <c r="L378" s="154" t="n"/>
      <c r="M378" s="154" t="n"/>
    </row>
    <row r="379" ht="9.199999999999999" customHeight="1">
      <c r="A379" s="152" t="n"/>
      <c r="B379" s="155" t="n"/>
      <c r="C379" s="154" t="n"/>
      <c r="D379" s="154" t="n"/>
      <c r="E379" s="154" t="n"/>
      <c r="F379" s="154" t="n"/>
      <c r="G379" s="154" t="n"/>
      <c r="H379" s="154" t="n"/>
      <c r="I379" s="154" t="n"/>
      <c r="J379" s="154" t="n"/>
      <c r="K379" s="154" t="n"/>
      <c r="L379" s="154" t="n"/>
      <c r="M379" s="154" t="n"/>
    </row>
    <row r="380" ht="15.75" customHeight="1">
      <c r="A380" s="152" t="n"/>
      <c r="B380" s="155" t="n">
        <v>8</v>
      </c>
      <c r="C380" s="155" t="inlineStr">
        <is>
          <t>For contracts that are written by the insurance group that are not modellable, describe what the members of the insurance group do from an accumulation perspective.</t>
        </is>
      </c>
      <c r="D380" s="154" t="n"/>
      <c r="E380" s="154" t="n"/>
      <c r="F380" s="154" t="n"/>
      <c r="G380" s="154" t="n"/>
      <c r="H380" s="154" t="n"/>
      <c r="I380" s="154" t="n"/>
      <c r="J380" s="154" t="n"/>
      <c r="K380" s="154" t="n"/>
      <c r="L380" s="154" t="n"/>
      <c r="M380" s="154" t="n"/>
    </row>
    <row r="381" ht="9.199999999999999" customHeight="1">
      <c r="A381" s="152" t="n"/>
      <c r="B381" s="155" t="n"/>
      <c r="C381" s="154" t="n"/>
      <c r="D381" s="154" t="n"/>
      <c r="E381" s="154" t="n"/>
      <c r="F381" s="154" t="n"/>
      <c r="G381" s="154" t="n"/>
      <c r="H381" s="154" t="n"/>
      <c r="I381" s="154" t="n"/>
      <c r="J381" s="154" t="n"/>
      <c r="K381" s="154" t="n"/>
      <c r="L381" s="154" t="n"/>
      <c r="M381" s="154" t="n"/>
    </row>
    <row r="382" ht="15.6" customHeight="1">
      <c r="A382" s="152" t="n"/>
      <c r="B382" s="155" t="n"/>
      <c r="C382" s="183" t="n"/>
      <c r="D382" s="45" t="n"/>
      <c r="E382" s="45" t="n"/>
      <c r="F382" s="45" t="n"/>
      <c r="G382" s="45" t="n"/>
      <c r="H382" s="45" t="n"/>
      <c r="I382" s="45" t="n"/>
      <c r="J382" s="45" t="n"/>
      <c r="K382" s="45" t="n"/>
      <c r="L382" s="45" t="n"/>
      <c r="M382" s="46" t="n"/>
    </row>
    <row r="383" ht="9.199999999999999" customHeight="1">
      <c r="A383" s="152" t="n"/>
      <c r="B383" s="155" t="n"/>
      <c r="C383" s="154" t="n"/>
      <c r="D383" s="154" t="n"/>
      <c r="E383" s="154" t="n"/>
      <c r="F383" s="154" t="n"/>
      <c r="G383" s="154" t="n"/>
      <c r="H383" s="154" t="n"/>
      <c r="I383" s="154" t="n"/>
      <c r="J383" s="154" t="n"/>
      <c r="K383" s="154" t="n"/>
      <c r="L383" s="154" t="n"/>
      <c r="M383" s="154" t="n"/>
    </row>
    <row r="384" ht="27.2" customHeight="1">
      <c r="A384" s="152" t="n"/>
      <c r="B384" s="184" t="n">
        <v>9</v>
      </c>
      <c r="C384" s="185" t="inlineStr">
        <is>
          <t>If there are contracts that are written by the insurance group that have no occurrence limits or where TIV has not been included in the exposure in the above exhibits, describe how this exposure is included in the above data.</t>
        </is>
      </c>
      <c r="M384" s="185" t="n"/>
    </row>
    <row r="385" ht="9.199999999999999" customHeight="1">
      <c r="A385" s="152" t="n"/>
      <c r="B385" s="155" t="n"/>
      <c r="C385" s="154" t="n"/>
      <c r="D385" s="154" t="n"/>
      <c r="E385" s="154" t="n"/>
      <c r="F385" s="154" t="n"/>
      <c r="G385" s="154" t="n"/>
      <c r="H385" s="154" t="n"/>
      <c r="I385" s="154" t="n"/>
      <c r="J385" s="154" t="n"/>
      <c r="K385" s="154" t="n"/>
      <c r="L385" s="154" t="n"/>
      <c r="M385" s="154" t="n"/>
    </row>
    <row r="386" ht="13.5" customHeight="1">
      <c r="A386" s="152" t="n"/>
      <c r="B386" s="155" t="n"/>
      <c r="C386" s="171" t="n"/>
      <c r="D386" s="45" t="n"/>
      <c r="E386" s="45" t="n"/>
      <c r="F386" s="45" t="n"/>
      <c r="G386" s="45" t="n"/>
      <c r="H386" s="45" t="n"/>
      <c r="I386" s="45" t="n"/>
      <c r="J386" s="45" t="n"/>
      <c r="K386" s="45" t="n"/>
      <c r="L386" s="45" t="n"/>
      <c r="M386" s="46" t="n"/>
    </row>
    <row r="387" ht="9.199999999999999" customHeight="1">
      <c r="A387" s="186" t="n"/>
      <c r="B387" s="187" t="n"/>
      <c r="C387" s="188" t="n"/>
      <c r="D387" s="188" t="n"/>
      <c r="E387" s="188" t="n"/>
      <c r="F387" s="188" t="n"/>
      <c r="G387" s="188" t="n"/>
      <c r="H387" s="188" t="n"/>
      <c r="I387" s="188" t="n"/>
      <c r="J387" s="188" t="n"/>
      <c r="K387" s="188" t="n"/>
      <c r="L387" s="188" t="n"/>
      <c r="M387" s="188" t="n"/>
    </row>
    <row r="388">
      <c r="A388" s="10" t="n"/>
      <c r="B388" s="189" t="n"/>
      <c r="C388" s="10" t="n"/>
      <c r="D388" s="10" t="n"/>
      <c r="E388" s="10" t="n"/>
      <c r="F388" s="10" t="n"/>
      <c r="G388" s="10" t="n"/>
      <c r="H388" s="10" t="n"/>
      <c r="I388" s="10" t="n"/>
      <c r="J388" s="10" t="n"/>
      <c r="K388" s="10" t="n"/>
      <c r="L388" s="10" t="n"/>
      <c r="M388" s="10" t="n"/>
    </row>
  </sheetData>
  <sheetProtection selectLockedCells="0" selectUnlockedCells="0" sheet="1" objects="0" insertRows="1" insertHyperlinks="1" autoFilter="1" scenarios="0" formatColumns="1" deleteColumns="1" insertColumns="1" pivotTables="1" deleteRows="1" formatCells="1" formatRows="1" sort="1"/>
  <mergeCells count="204">
    <mergeCell ref="E161:G161"/>
    <mergeCell ref="C210:D210"/>
    <mergeCell ref="I72:K72"/>
    <mergeCell ref="I159:K159"/>
    <mergeCell ref="C234:D234"/>
    <mergeCell ref="I56:K56"/>
    <mergeCell ref="I161:K161"/>
    <mergeCell ref="E79:F79"/>
    <mergeCell ref="E171:F171"/>
    <mergeCell ref="C302:D302"/>
    <mergeCell ref="C212:D212"/>
    <mergeCell ref="E315:G315"/>
    <mergeCell ref="I79:K79"/>
    <mergeCell ref="E57:G57"/>
    <mergeCell ref="C277:D277"/>
    <mergeCell ref="I82:K82"/>
    <mergeCell ref="C276:D276"/>
    <mergeCell ref="E365:G365"/>
    <mergeCell ref="C214:D214"/>
    <mergeCell ref="I63:K63"/>
    <mergeCell ref="E105:F105"/>
    <mergeCell ref="C192:G192"/>
    <mergeCell ref="I137:K137"/>
    <mergeCell ref="I50:K50"/>
    <mergeCell ref="C375:M376"/>
    <mergeCell ref="I59:K59"/>
    <mergeCell ref="E58:G58"/>
    <mergeCell ref="C278:D278"/>
    <mergeCell ref="I139:K139"/>
    <mergeCell ref="I174:K174"/>
    <mergeCell ref="C361:M361"/>
    <mergeCell ref="C253:D253"/>
    <mergeCell ref="I49:K49"/>
    <mergeCell ref="E42:G42"/>
    <mergeCell ref="E151:G151"/>
    <mergeCell ref="I45:K45"/>
    <mergeCell ref="E141:G141"/>
    <mergeCell ref="H315:J315"/>
    <mergeCell ref="E135:G135"/>
    <mergeCell ref="E44:G44"/>
    <mergeCell ref="E138:G138"/>
    <mergeCell ref="G180:H181"/>
    <mergeCell ref="I47:K47"/>
    <mergeCell ref="C254:D254"/>
    <mergeCell ref="E143:G143"/>
    <mergeCell ref="I141:K141"/>
    <mergeCell ref="I150:K150"/>
    <mergeCell ref="E60:G60"/>
    <mergeCell ref="C235:D235"/>
    <mergeCell ref="E69:G69"/>
    <mergeCell ref="E149:G149"/>
    <mergeCell ref="I143:K143"/>
    <mergeCell ref="E59:G59"/>
    <mergeCell ref="I152:K152"/>
    <mergeCell ref="E46:G46"/>
    <mergeCell ref="C280:D280"/>
    <mergeCell ref="I167:K167"/>
    <mergeCell ref="I142:K142"/>
    <mergeCell ref="E70:G70"/>
    <mergeCell ref="E162:G162"/>
    <mergeCell ref="C211:D211"/>
    <mergeCell ref="I64:K64"/>
    <mergeCell ref="E144:G144"/>
    <mergeCell ref="I78:K78"/>
    <mergeCell ref="C382:M382"/>
    <mergeCell ref="I169:K169"/>
    <mergeCell ref="I51:K51"/>
    <mergeCell ref="E159:G159"/>
    <mergeCell ref="E134:G134"/>
    <mergeCell ref="E348:G348"/>
    <mergeCell ref="E47:G47"/>
    <mergeCell ref="E56:G56"/>
    <mergeCell ref="E145:G145"/>
    <mergeCell ref="E139:G139"/>
    <mergeCell ref="I81:K81"/>
    <mergeCell ref="E43:G43"/>
    <mergeCell ref="H333:J333"/>
    <mergeCell ref="E71:G71"/>
    <mergeCell ref="I164:K164"/>
    <mergeCell ref="E172:F172"/>
    <mergeCell ref="F288:G288"/>
    <mergeCell ref="I145:K145"/>
    <mergeCell ref="H348:J348"/>
    <mergeCell ref="I163:K163"/>
    <mergeCell ref="E140:G140"/>
    <mergeCell ref="K333:M333"/>
    <mergeCell ref="E324:G324"/>
    <mergeCell ref="I76:K76"/>
    <mergeCell ref="E333:G333"/>
    <mergeCell ref="B188:F188"/>
    <mergeCell ref="E63:G63"/>
    <mergeCell ref="I156:K156"/>
    <mergeCell ref="F266:G266"/>
    <mergeCell ref="E137:G137"/>
    <mergeCell ref="C279:D279"/>
    <mergeCell ref="C357:M357"/>
    <mergeCell ref="H365:J365"/>
    <mergeCell ref="I75:K75"/>
    <mergeCell ref="I53:K53"/>
    <mergeCell ref="C344:M344"/>
    <mergeCell ref="I130:K130"/>
    <mergeCell ref="I68:K68"/>
    <mergeCell ref="C386:M386"/>
    <mergeCell ref="C256:D256"/>
    <mergeCell ref="I52:K52"/>
    <mergeCell ref="I67:K67"/>
    <mergeCell ref="E45:G45"/>
    <mergeCell ref="I39:K39"/>
    <mergeCell ref="I132:K132"/>
    <mergeCell ref="I48:K48"/>
    <mergeCell ref="E13:F13"/>
    <mergeCell ref="A3:M4"/>
    <mergeCell ref="G13:H13"/>
    <mergeCell ref="C255:D255"/>
    <mergeCell ref="E136:G136"/>
    <mergeCell ref="I38:K38"/>
    <mergeCell ref="D244:E244"/>
    <mergeCell ref="F244:G244"/>
    <mergeCell ref="A1:M1"/>
    <mergeCell ref="C257:D257"/>
    <mergeCell ref="C297:D297"/>
    <mergeCell ref="E80:F80"/>
    <mergeCell ref="K348:M348"/>
    <mergeCell ref="I40:K40"/>
    <mergeCell ref="H324:J324"/>
    <mergeCell ref="I168:K168"/>
    <mergeCell ref="C299:D299"/>
    <mergeCell ref="I80:K80"/>
    <mergeCell ref="C209:D209"/>
    <mergeCell ref="I160:K160"/>
    <mergeCell ref="E142:G142"/>
    <mergeCell ref="B311:D311"/>
    <mergeCell ref="I136:K136"/>
    <mergeCell ref="I70:K70"/>
    <mergeCell ref="F222:G222"/>
    <mergeCell ref="K365:M365"/>
    <mergeCell ref="I144:K144"/>
    <mergeCell ref="I57:K57"/>
    <mergeCell ref="E64:G64"/>
    <mergeCell ref="C258:D258"/>
    <mergeCell ref="K315:M315"/>
    <mergeCell ref="C298:D298"/>
    <mergeCell ref="K324:M324"/>
    <mergeCell ref="E51:G51"/>
    <mergeCell ref="E156:G156"/>
    <mergeCell ref="C338:D338"/>
    <mergeCell ref="I41:K41"/>
    <mergeCell ref="I134:K134"/>
    <mergeCell ref="G105:H105"/>
    <mergeCell ref="D222:E222"/>
    <mergeCell ref="E155:G155"/>
    <mergeCell ref="C275:D275"/>
    <mergeCell ref="B190:C190"/>
    <mergeCell ref="I71:K71"/>
    <mergeCell ref="I162:K162"/>
    <mergeCell ref="I131:K131"/>
    <mergeCell ref="I43:K43"/>
    <mergeCell ref="I58:K58"/>
    <mergeCell ref="I171:K171"/>
    <mergeCell ref="E148:G148"/>
    <mergeCell ref="C231:D231"/>
    <mergeCell ref="I155:K155"/>
    <mergeCell ref="D266:E266"/>
    <mergeCell ref="I42:K42"/>
    <mergeCell ref="E49:G49"/>
    <mergeCell ref="I173:K173"/>
    <mergeCell ref="D288:E288"/>
    <mergeCell ref="G88:H89"/>
    <mergeCell ref="I170:K170"/>
    <mergeCell ref="E163:G163"/>
    <mergeCell ref="I148:K148"/>
    <mergeCell ref="C301:D301"/>
    <mergeCell ref="C236:D236"/>
    <mergeCell ref="I44:K44"/>
    <mergeCell ref="I138:K138"/>
    <mergeCell ref="D200:E200"/>
    <mergeCell ref="C232:D232"/>
    <mergeCell ref="I172:K172"/>
    <mergeCell ref="F200:G200"/>
    <mergeCell ref="C300:D300"/>
    <mergeCell ref="C213:D213"/>
    <mergeCell ref="I60:K60"/>
    <mergeCell ref="E53:G53"/>
    <mergeCell ref="B10:C10"/>
    <mergeCell ref="I69:K69"/>
    <mergeCell ref="I140:K140"/>
    <mergeCell ref="E50:G50"/>
    <mergeCell ref="C384:L384"/>
    <mergeCell ref="I149:K149"/>
    <mergeCell ref="E68:G68"/>
    <mergeCell ref="I77:K77"/>
    <mergeCell ref="E160:G160"/>
    <mergeCell ref="I46:K46"/>
    <mergeCell ref="I133:K133"/>
    <mergeCell ref="C233:D233"/>
    <mergeCell ref="C359:M359"/>
    <mergeCell ref="E52:G52"/>
    <mergeCell ref="E67:G67"/>
    <mergeCell ref="I151:K151"/>
    <mergeCell ref="E150:G150"/>
    <mergeCell ref="E48:G48"/>
    <mergeCell ref="C339:D339"/>
    <mergeCell ref="I135:K135"/>
    <mergeCell ref="E152:G152"/>
  </mergeCells>
  <hyperlinks>
    <hyperlink xmlns:r="http://schemas.openxmlformats.org/officeDocument/2006/relationships" ref="B6" r:id="rId1"/>
    <hyperlink xmlns:r="http://schemas.openxmlformats.org/officeDocument/2006/relationships" ref="E6" r:id="rId2"/>
    <hyperlink xmlns:r="http://schemas.openxmlformats.org/officeDocument/2006/relationships" ref="H6" r:id="rId3"/>
    <hyperlink xmlns:r="http://schemas.openxmlformats.org/officeDocument/2006/relationships" ref="K6" r:id="rId4"/>
    <hyperlink xmlns:r="http://schemas.openxmlformats.org/officeDocument/2006/relationships" ref="J8" r:id="rId5"/>
    <hyperlink xmlns:r="http://schemas.openxmlformats.org/officeDocument/2006/relationships" ref="J98" r:id="rId6"/>
    <hyperlink xmlns:r="http://schemas.openxmlformats.org/officeDocument/2006/relationships" ref="G188" r:id="rId7"/>
    <hyperlink xmlns:r="http://schemas.openxmlformats.org/officeDocument/2006/relationships" ref="J309" r:id="rId8"/>
  </hyperlinks>
  <pageMargins left="0.75" right="0.75" top="1" bottom="1" header="0.5" footer="0.5"/>
  <pageSetup orientation="landscape" paperSize="8" fitToHeight="0" fitToWidth="1"/>
  <rowBreaks count="4" manualBreakCount="4">
    <brk id="92" min="0" max="16383" man="1"/>
    <brk id="182" min="0" max="16383" man="1"/>
    <brk id="303" min="0" max="16383" man="1"/>
    <brk id="388" min="0" max="16383" man="1"/>
  </rowBreaks>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M388"/>
  <sheetViews>
    <sheetView showGridLines="0" zoomScale="65" workbookViewId="0">
      <pane xSplit="4" ySplit="7" topLeftCell="E8"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3" customWidth="1" min="3" max="3"/>
    <col width="36" customWidth="1" min="4" max="4"/>
    <col width="16" customWidth="1" min="5" max="5"/>
    <col width="16" customWidth="1" min="6" max="6"/>
    <col width="16" customWidth="1" min="7" max="7"/>
    <col width="16" customWidth="1" min="8" max="8"/>
    <col width="35" customWidth="1" min="9" max="9"/>
    <col width="16" customWidth="1" min="10" max="10"/>
    <col width="16" customWidth="1" min="11" max="11"/>
    <col width="16" customWidth="1" min="12" max="12"/>
    <col width="16" customWidth="1" min="13" max="13"/>
  </cols>
  <sheetData>
    <row r="1" ht="32" customHeight="1">
      <c r="A1" s="1" t="inlineStr">
        <is>
          <t>3624 — BSCR working schedules</t>
        </is>
      </c>
    </row>
    <row r="2">
      <c r="A2" t="inlineStr">
        <is>
          <t>Entity</t>
        </is>
      </c>
      <c r="B2" t="inlineStr">
        <is>
          <t>3624</t>
        </is>
      </c>
      <c r="D2" t="inlineStr">
        <is>
          <t>Input basis</t>
        </is>
      </c>
      <c r="E2" t="inlineStr">
        <is>
          <t>Current SQL</t>
        </is>
      </c>
      <c r="G2" t="inlineStr">
        <is>
          <t>Coverage</t>
        </is>
      </c>
      <c r="H2" t="str">
        <f>IF(COUNTIFS(BSCRInput[bscr_entity],"3624",BSCRInput[region],"ALL",BSCRInput[peril_id],1)=0,"NO INPUT FOR ENTITY","INPUT PRESENT")</f>
        <v>INPUT PRESENT</v>
      </c>
    </row>
    <row r="3">
      <c r="A3" s="5" t="inlineStr">
        <is>
          <t>Green = automatic. Blue = manual, not supplied by SQL. Counts/geocoding use the agreed historical proxy; premiums and EP losses are NOT automatically complete.</t>
        </is>
      </c>
    </row>
    <row r="4"/>
    <row r="5"/>
    <row r="6">
      <c r="B6" t="inlineStr">
        <is>
          <t>Schedule X(a)</t>
        </is>
      </c>
      <c r="E6" t="inlineStr">
        <is>
          <t>Schedule X(b)</t>
        </is>
      </c>
      <c r="H6" t="inlineStr">
        <is>
          <t>Schedule X(c)</t>
        </is>
      </c>
      <c r="K6" t="inlineStr">
        <is>
          <t>Schedule X(f)</t>
        </is>
      </c>
    </row>
    <row r="7"/>
    <row r="8" ht="75" customHeight="1">
      <c r="A8" s="6" t="n"/>
      <c r="B8" s="7" t="inlineStr">
        <is>
          <t>CATASTROPHE RISK RETURN: EP CURVE TOTAL (TABLE 15)</t>
        </is>
      </c>
      <c r="C8" s="7" t="n"/>
      <c r="D8" s="7" t="n"/>
      <c r="E8" s="7" t="n"/>
      <c r="F8" s="7" t="n"/>
      <c r="G8" s="7" t="n"/>
      <c r="H8" s="7" t="n"/>
      <c r="I8" s="7" t="n"/>
      <c r="J8" s="8" t="inlineStr">
        <is>
          <t>Back to instructions</t>
        </is>
      </c>
      <c r="K8" s="9" t="n"/>
      <c r="L8" s="10" t="n"/>
      <c r="M8" s="11" t="n"/>
    </row>
    <row r="9" ht="13.5" customHeight="1">
      <c r="A9" s="12" t="n"/>
      <c r="B9" s="13" t="inlineStr">
        <is>
          <t>3624</t>
        </is>
      </c>
      <c r="C9" s="14" t="n"/>
      <c r="D9" s="14" t="n"/>
      <c r="E9" s="14" t="n"/>
      <c r="F9" s="14" t="n"/>
      <c r="G9" s="14" t="n"/>
      <c r="H9" s="14" t="n"/>
      <c r="I9" s="14" t="n"/>
      <c r="J9" s="14" t="n"/>
      <c r="K9" s="15" t="n"/>
      <c r="L9" s="10" t="n"/>
      <c r="M9" s="11" t="n"/>
    </row>
    <row r="10" ht="13.5" customHeight="1">
      <c r="A10" s="12" t="n"/>
      <c r="B10" s="16">
        <f>DATE(2026,1,1)</f>
        <v>46023.0</v>
      </c>
      <c r="D10" s="14" t="n"/>
      <c r="E10" s="14" t="n"/>
      <c r="F10" s="14" t="n"/>
      <c r="G10" s="14" t="n"/>
      <c r="H10" s="14" t="n"/>
      <c r="I10" s="14" t="n"/>
      <c r="J10" s="17" t="inlineStr">
        <is>
          <t>Schedule X(a)</t>
        </is>
      </c>
      <c r="K10" s="15" t="n"/>
      <c r="L10" s="10" t="n"/>
      <c r="M10" s="11" t="n"/>
    </row>
    <row r="11" ht="6.75" customHeight="1">
      <c r="A11" s="12" t="n"/>
      <c r="B11" s="14" t="n"/>
      <c r="C11" s="14" t="n"/>
      <c r="D11" s="14" t="n"/>
      <c r="E11" s="14" t="n"/>
      <c r="F11" s="14" t="n"/>
      <c r="G11" s="14" t="n"/>
      <c r="H11" s="14" t="n"/>
      <c r="I11" s="14" t="n"/>
      <c r="J11" s="14" t="n"/>
      <c r="K11" s="15" t="n"/>
      <c r="L11" s="10" t="n"/>
      <c r="M11" s="11" t="n"/>
    </row>
    <row r="12">
      <c r="A12" s="18" t="n"/>
      <c r="B12" s="19" t="inlineStr">
        <is>
          <t>1. Exceedance probability information:</t>
        </is>
      </c>
      <c r="C12" s="14" t="n"/>
      <c r="D12" s="14" t="n"/>
      <c r="E12" s="14" t="n"/>
      <c r="F12" s="14" t="n"/>
      <c r="G12" s="14" t="n"/>
      <c r="H12" s="14" t="n"/>
      <c r="I12" s="14" t="n"/>
      <c r="J12" s="14" t="n"/>
      <c r="K12" s="15" t="n"/>
      <c r="L12" s="10" t="n"/>
      <c r="M12" s="11" t="n"/>
    </row>
    <row r="13">
      <c r="A13" s="18" t="n"/>
      <c r="B13" s="14" t="n"/>
      <c r="C13" s="14" t="n"/>
      <c r="D13" s="20" t="n"/>
      <c r="E13" s="21" t="inlineStr">
        <is>
          <t xml:space="preserve"> Gross loss</t>
        </is>
      </c>
      <c r="F13" s="22" t="n"/>
      <c r="G13" s="21" t="inlineStr">
        <is>
          <t xml:space="preserve"> Net loss</t>
        </is>
      </c>
      <c r="H13" s="22" t="n"/>
      <c r="I13" s="14" t="n"/>
      <c r="J13" s="14" t="n"/>
      <c r="K13" s="15" t="n"/>
      <c r="L13" s="10" t="n"/>
      <c r="M13" s="11" t="n"/>
    </row>
    <row r="14" ht="55.35" customHeight="1">
      <c r="A14" s="18" t="n"/>
      <c r="B14" s="14" t="n"/>
      <c r="C14" s="14" t="n"/>
      <c r="D14" s="23" t="inlineStr">
        <is>
          <t>Loss Return period (years)</t>
        </is>
      </c>
      <c r="E14" s="24" t="inlineStr">
        <is>
          <t>Gross per occurrence loss TVaR</t>
        </is>
      </c>
      <c r="F14" s="24" t="inlineStr">
        <is>
          <t>Gross aggregate TVaR</t>
        </is>
      </c>
      <c r="G14" s="24" t="inlineStr">
        <is>
          <t>Net per occurrence loss TVaR</t>
        </is>
      </c>
      <c r="H14" s="24" t="inlineStr">
        <is>
          <t xml:space="preserve">Net aggregate TVaR </t>
        </is>
      </c>
      <c r="I14" s="14" t="n"/>
      <c r="J14" s="14" t="n"/>
      <c r="K14" s="15" t="n"/>
      <c r="L14" s="25" t="n"/>
      <c r="M14" s="11" t="n"/>
    </row>
    <row r="15">
      <c r="A15" s="18" t="n"/>
      <c r="B15" s="14" t="n"/>
      <c r="C15" s="14" t="n"/>
      <c r="D15" s="26" t="n"/>
      <c r="E15" s="21" t="inlineStr">
        <is>
          <t xml:space="preserve"> (US$M)</t>
        </is>
      </c>
      <c r="F15" s="21" t="inlineStr">
        <is>
          <t xml:space="preserve"> (US$M)</t>
        </is>
      </c>
      <c r="G15" s="21" t="inlineStr">
        <is>
          <t xml:space="preserve"> (US$M)</t>
        </is>
      </c>
      <c r="H15" s="21" t="inlineStr">
        <is>
          <t xml:space="preserve"> (US$M)</t>
        </is>
      </c>
      <c r="I15" s="14" t="n"/>
      <c r="J15" s="14" t="n"/>
      <c r="K15" s="15" t="n"/>
      <c r="L15" s="25" t="n"/>
      <c r="M15" s="11" t="n"/>
    </row>
    <row r="16">
      <c r="A16" s="18" t="n"/>
      <c r="B16" s="14" t="n"/>
      <c r="C16" s="14" t="n"/>
      <c r="D16" s="27" t="n">
        <v>50</v>
      </c>
      <c r="E16" s="28" t="n"/>
      <c r="F16" s="28" t="n"/>
      <c r="G16" s="28" t="n"/>
      <c r="H16" s="28" t="n"/>
      <c r="I16" s="14" t="n"/>
      <c r="J16" s="14" t="n"/>
      <c r="K16" s="15" t="n"/>
      <c r="L16" s="10" t="n"/>
      <c r="M16" s="11" t="n"/>
    </row>
    <row r="17">
      <c r="A17" s="18" t="n"/>
      <c r="B17" s="14" t="n"/>
      <c r="C17" s="14" t="n"/>
      <c r="D17" s="27" t="n">
        <v>100</v>
      </c>
      <c r="E17" s="29" t="n"/>
      <c r="F17" s="29" t="n"/>
      <c r="G17" s="29" t="n"/>
      <c r="H17" s="29" t="n"/>
      <c r="I17" s="14" t="n"/>
      <c r="J17" s="14" t="n"/>
      <c r="K17" s="15" t="n"/>
      <c r="L17" s="10" t="n"/>
      <c r="M17" s="11" t="n"/>
    </row>
    <row r="18">
      <c r="A18" s="18" t="n"/>
      <c r="B18" s="14" t="n"/>
      <c r="C18" s="14" t="n"/>
      <c r="D18" s="27" t="n">
        <v>250</v>
      </c>
      <c r="E18" s="29" t="n"/>
      <c r="F18" s="29" t="n"/>
      <c r="G18" s="29" t="n"/>
      <c r="H18" s="29" t="n"/>
      <c r="I18" s="14" t="n"/>
      <c r="J18" s="14" t="n"/>
      <c r="K18" s="15" t="n"/>
      <c r="L18" s="10" t="n"/>
      <c r="M18" s="11" t="n"/>
    </row>
    <row r="19">
      <c r="A19" s="18" t="n"/>
      <c r="B19" s="14" t="n"/>
      <c r="C19" s="14" t="n"/>
      <c r="D19" s="27" t="n">
        <v>500</v>
      </c>
      <c r="E19" s="29" t="n"/>
      <c r="F19" s="29" t="n"/>
      <c r="G19" s="29" t="n"/>
      <c r="H19" s="29" t="n"/>
      <c r="I19" s="14" t="n"/>
      <c r="J19" s="14" t="n"/>
      <c r="K19" s="15" t="n"/>
      <c r="L19" s="10" t="n"/>
      <c r="M19" s="11" t="n"/>
    </row>
    <row r="20">
      <c r="A20" s="18" t="n"/>
      <c r="B20" s="14" t="n"/>
      <c r="C20" s="14" t="n"/>
      <c r="D20" s="30" t="n">
        <v>1000</v>
      </c>
      <c r="E20" s="31" t="n"/>
      <c r="F20" s="31" t="n"/>
      <c r="G20" s="31" t="n"/>
      <c r="H20" s="31" t="n"/>
      <c r="I20" s="14" t="n"/>
      <c r="J20" s="14" t="n"/>
      <c r="K20" s="15" t="n"/>
      <c r="L20" s="10" t="n"/>
      <c r="M20" s="11" t="n"/>
    </row>
    <row r="21" ht="6.75" customHeight="1">
      <c r="A21" s="18" t="n"/>
      <c r="B21" s="14" t="n"/>
      <c r="C21" s="14" t="n"/>
      <c r="D21" s="14" t="n"/>
      <c r="E21" s="32" t="n"/>
      <c r="F21" s="32" t="n"/>
      <c r="G21" s="32" t="n"/>
      <c r="H21" s="32" t="n"/>
      <c r="I21" s="14" t="n"/>
      <c r="J21" s="14" t="n"/>
      <c r="K21" s="15" t="n"/>
      <c r="L21" s="10" t="n"/>
      <c r="M21" s="11" t="n"/>
    </row>
    <row r="22" ht="12.95" customHeight="1">
      <c r="A22" s="18" t="n"/>
      <c r="B22" s="14" t="n"/>
      <c r="C22" s="14" t="n"/>
      <c r="D22" s="14" t="n"/>
      <c r="E22" s="21" t="inlineStr">
        <is>
          <t xml:space="preserve"> Gross Loss (US$M)</t>
        </is>
      </c>
      <c r="F22" s="14" t="n"/>
      <c r="G22" s="14" t="n"/>
      <c r="H22" s="14" t="n"/>
      <c r="I22" s="14" t="n"/>
      <c r="J22" s="21" t="inlineStr">
        <is>
          <t xml:space="preserve"> Net Loss (US$M)</t>
        </is>
      </c>
      <c r="K22" s="15" t="n"/>
      <c r="L22" s="10" t="n"/>
      <c r="M22" s="11" t="n"/>
    </row>
    <row r="23">
      <c r="A23" s="18" t="n"/>
      <c r="B23" s="14" t="n"/>
      <c r="C23" s="14" t="n"/>
      <c r="D23" s="33" t="inlineStr">
        <is>
          <t>Annual average aggregate gross loss</t>
        </is>
      </c>
      <c r="E23" s="34" t="n"/>
      <c r="F23" s="14" t="n"/>
      <c r="G23" s="14" t="n"/>
      <c r="H23" s="14" t="n"/>
      <c r="I23" s="33" t="inlineStr">
        <is>
          <t>Annual average aggregate net loss (net of reinstatements terms)</t>
        </is>
      </c>
      <c r="J23" s="34" t="n"/>
      <c r="K23" s="15" t="n"/>
      <c r="L23" s="10" t="n"/>
      <c r="M23" s="11" t="n"/>
    </row>
    <row r="24">
      <c r="A24" s="18" t="n"/>
      <c r="B24" s="14" t="n"/>
      <c r="C24" s="14" t="n"/>
      <c r="D24" s="33" t="n"/>
      <c r="E24" s="14" t="n"/>
      <c r="F24" s="14" t="n"/>
      <c r="G24" s="14" t="n"/>
      <c r="H24" s="14" t="n"/>
      <c r="I24" s="33" t="inlineStr">
        <is>
          <t>Reinstatement terms included in Annual average aggregated net loss</t>
        </is>
      </c>
      <c r="J24" s="34" t="n"/>
      <c r="K24" s="15" t="n"/>
      <c r="L24" s="10" t="n"/>
      <c r="M24" s="11" t="n"/>
    </row>
    <row r="25">
      <c r="A25" s="18" t="n"/>
      <c r="B25" s="14" t="n"/>
      <c r="C25" s="14" t="n"/>
      <c r="D25" s="33" t="inlineStr">
        <is>
          <t>Standard deviation of annual aggregate gross loss</t>
        </is>
      </c>
      <c r="E25" s="34" t="n"/>
      <c r="F25" s="14" t="n"/>
      <c r="G25" s="14" t="n"/>
      <c r="H25" s="14" t="n"/>
      <c r="I25" s="33" t="inlineStr">
        <is>
          <t>Standard deviation of annual aggregate net loss (net of reinstatements terms)</t>
        </is>
      </c>
      <c r="J25" s="34" t="n"/>
      <c r="K25" s="15" t="n"/>
      <c r="L25" s="10" t="n"/>
      <c r="M25" s="11" t="n"/>
    </row>
    <row r="26">
      <c r="A26" s="18" t="n"/>
      <c r="B26" s="14" t="n"/>
      <c r="C26" s="14" t="n"/>
      <c r="D26" s="33" t="n"/>
      <c r="E26" s="32" t="n"/>
      <c r="F26" s="14" t="n"/>
      <c r="G26" s="14" t="n"/>
      <c r="H26" s="14" t="n"/>
      <c r="I26" s="33" t="n"/>
      <c r="J26" s="35" t="n"/>
      <c r="K26" s="15" t="n"/>
      <c r="L26" s="10" t="n"/>
      <c r="M26" s="11" t="n"/>
    </row>
    <row r="27">
      <c r="A27" s="18" t="n"/>
      <c r="B27" s="14" t="n"/>
      <c r="C27" s="14" t="n"/>
      <c r="D27" s="33" t="inlineStr">
        <is>
          <t xml:space="preserve">Total gross statutory property catastrophe premium modelled </t>
        </is>
      </c>
      <c r="E27" s="34" t="n"/>
      <c r="F27" s="14" t="n"/>
      <c r="G27" s="14" t="n"/>
      <c r="H27" s="14" t="n"/>
      <c r="I27" s="33" t="inlineStr">
        <is>
          <t>Total net statutory property catastrophe premium modelled</t>
        </is>
      </c>
      <c r="J27" s="34" t="n"/>
      <c r="K27" s="15" t="n"/>
      <c r="L27" s="10" t="n"/>
      <c r="M27" s="11" t="n"/>
    </row>
    <row r="28">
      <c r="A28" s="18" t="n"/>
      <c r="B28" s="14" t="n"/>
      <c r="C28" s="14" t="n"/>
      <c r="D28" s="33" t="inlineStr">
        <is>
          <t>Total gross all other catastrophe premium modelled</t>
        </is>
      </c>
      <c r="E28" s="190" t="n"/>
      <c r="F28" s="14" t="n"/>
      <c r="G28" s="14" t="n"/>
      <c r="H28" s="14" t="n"/>
      <c r="I28" s="33" t="inlineStr">
        <is>
          <t>Total net all other catastrophe premium modelled</t>
        </is>
      </c>
      <c r="J28" s="190" t="n"/>
      <c r="K28" s="15" t="n"/>
      <c r="L28" s="10" t="n"/>
      <c r="M28" s="11" t="n"/>
    </row>
    <row r="29" ht="6.75" customHeight="1">
      <c r="A29" s="18" t="n"/>
      <c r="B29" s="14" t="n"/>
      <c r="C29" s="14" t="n"/>
      <c r="D29" s="14" t="n"/>
      <c r="E29" s="32" t="n"/>
      <c r="F29" s="14" t="n"/>
      <c r="G29" s="14" t="n"/>
      <c r="H29" s="14" t="n"/>
      <c r="I29" s="14" t="n"/>
      <c r="J29" s="71" t="n"/>
      <c r="K29" s="15" t="n"/>
      <c r="L29" s="10" t="n"/>
      <c r="M29" s="11" t="n"/>
    </row>
    <row r="30">
      <c r="A30" s="18" t="n"/>
      <c r="B30" s="14" t="n"/>
      <c r="C30" s="14" t="n"/>
      <c r="D30" s="33" t="inlineStr">
        <is>
          <t>Total gross statutory property catastrophe limits exposed - modelled</t>
        </is>
      </c>
      <c r="E30" s="34" t="n"/>
      <c r="F30" s="14" t="n"/>
      <c r="G30" s="14" t="n"/>
      <c r="H30" s="14" t="n"/>
      <c r="I30" s="33" t="inlineStr">
        <is>
          <t>Total net statutory property catastrophe limits exposed – modelled</t>
        </is>
      </c>
      <c r="J30" s="34" t="n"/>
      <c r="K30" s="15" t="n"/>
      <c r="L30" s="10" t="n"/>
      <c r="M30" s="11" t="n"/>
    </row>
    <row r="31">
      <c r="A31" s="18" t="n"/>
      <c r="B31" s="14" t="n"/>
      <c r="C31" s="14" t="n"/>
      <c r="D31" s="33" t="inlineStr">
        <is>
          <t>Total gross statutory property catastrophe limits exposed - not modelled</t>
        </is>
      </c>
      <c r="E31" s="34" t="n"/>
      <c r="F31" s="14" t="n"/>
      <c r="G31" s="14" t="n"/>
      <c r="H31" s="14" t="n"/>
      <c r="I31" s="33" t="inlineStr">
        <is>
          <t>Total net statutory property catastrophe limits exposed– not modelled</t>
        </is>
      </c>
      <c r="J31" s="34" t="n"/>
      <c r="K31" s="15" t="n"/>
      <c r="L31" s="10" t="n"/>
      <c r="M31" s="11" t="n"/>
    </row>
    <row r="32">
      <c r="A32" s="18" t="n"/>
      <c r="B32" s="14" t="n"/>
      <c r="C32" s="14" t="n"/>
      <c r="D32" s="33" t="inlineStr">
        <is>
          <t>Total gross all other lines limits exposed - modelled</t>
        </is>
      </c>
      <c r="E32" s="37">
        <f>SUMIFS(BSCRInput[sum_pml],BSCRInput[bscr_entity],"3624",BSCRInput[region],"ALL",BSCRInput[peril_id],1,BSCRInput[is_geocoded],1)/1000000</f>
        <v>27.261220680000005</v>
      </c>
      <c r="F32" s="14" t="n"/>
      <c r="G32" s="14" t="n"/>
      <c r="H32" s="14" t="n"/>
      <c r="I32" s="33" t="inlineStr">
        <is>
          <t>Total net all other lines limits exposed – modelled</t>
        </is>
      </c>
      <c r="J32" s="37">
        <f>SUMIFS(BSCRInput[sum_net],BSCRInput[bscr_entity],"3624",BSCRInput[region],"ALL",BSCRInput[peril_id],1,BSCRInput[is_geocoded],1)/1000000</f>
        <v>27.261220680000005</v>
      </c>
      <c r="K32" s="15" t="n"/>
      <c r="L32" s="10" t="n"/>
      <c r="M32" s="11" t="n"/>
    </row>
    <row r="33">
      <c r="A33" s="18" t="n"/>
      <c r="B33" s="14" t="n"/>
      <c r="C33" s="14" t="n"/>
      <c r="D33" s="33" t="inlineStr">
        <is>
          <t>Total gross all other lines limits exposed  - not modelled</t>
        </is>
      </c>
      <c r="E33" s="37">
        <f>SUMIFS(BSCRInput[sum_pml],BSCRInput[bscr_entity],"3624",BSCRInput[region],"ALL",BSCRInput[peril_id],1,BSCRInput[is_geocoded],0)/1000000</f>
        <v>0.29835</v>
      </c>
      <c r="F33" s="14" t="n"/>
      <c r="G33" s="14" t="n"/>
      <c r="H33" s="14" t="n"/>
      <c r="I33" s="33" t="inlineStr">
        <is>
          <t>Total net all other lines limits exposed - not modelled</t>
        </is>
      </c>
      <c r="J33" s="37">
        <f>SUMIFS(BSCRInput[sum_net],BSCRInput[bscr_entity],"3624",BSCRInput[region],"ALL",BSCRInput[peril_id],1,BSCRInput[is_geocoded],0)/1000000</f>
        <v>0.29835</v>
      </c>
      <c r="K33" s="15" t="n"/>
      <c r="L33" s="10" t="n"/>
      <c r="M33" s="11" t="n"/>
    </row>
    <row r="34">
      <c r="A34" s="18" t="n"/>
      <c r="B34" s="14" t="n"/>
      <c r="C34" s="14" t="n"/>
      <c r="D34" s="33" t="inlineStr">
        <is>
          <t>Total gross premium without an occurrence or aggregate limit:</t>
        </is>
      </c>
      <c r="E34" s="34" t="n"/>
      <c r="F34" s="14" t="n"/>
      <c r="G34" s="14" t="n"/>
      <c r="H34" s="14" t="n"/>
      <c r="I34" s="33" t="inlineStr">
        <is>
          <t>Total net premium without an occurrence or aggregate limit</t>
        </is>
      </c>
      <c r="J34" s="34" t="n"/>
      <c r="K34" s="15" t="n"/>
      <c r="L34" s="10" t="n"/>
      <c r="M34" s="11" t="n"/>
    </row>
    <row r="35">
      <c r="A35" s="18" t="n"/>
      <c r="B35" s="14" t="n"/>
      <c r="C35" s="14" t="n"/>
      <c r="D35" s="33" t="inlineStr">
        <is>
          <t>Total gross premium with non determinable Total Insured Value (“TIV”):</t>
        </is>
      </c>
      <c r="E35" s="34" t="n"/>
      <c r="F35" s="14" t="n"/>
      <c r="G35" s="14" t="n"/>
      <c r="H35" s="14" t="n"/>
      <c r="I35" s="33" t="inlineStr">
        <is>
          <t>Total net premium with non-determinable TIV:</t>
        </is>
      </c>
      <c r="J35" s="34" t="n"/>
      <c r="K35" s="15" t="n"/>
      <c r="L35" s="10" t="n"/>
      <c r="M35" s="11" t="n"/>
    </row>
    <row r="36" ht="6.75" customHeight="1">
      <c r="A36" s="18" t="n"/>
      <c r="B36" s="14" t="n"/>
      <c r="C36" s="14" t="n"/>
      <c r="D36" s="14" t="n"/>
      <c r="E36" s="32" t="n"/>
      <c r="F36" s="14" t="n"/>
      <c r="G36" s="14" t="n"/>
      <c r="H36" s="14" t="n"/>
      <c r="I36" s="14" t="n"/>
      <c r="J36" s="14" t="n"/>
      <c r="K36" s="15" t="n"/>
      <c r="L36" s="10" t="n"/>
      <c r="M36" s="11" t="n"/>
    </row>
    <row r="37">
      <c r="A37" s="18" t="n"/>
      <c r="B37" s="19" t="inlineStr">
        <is>
          <t>2. Significant sources of catastrophe risk and associated loss included in the EP Curves</t>
        </is>
      </c>
      <c r="C37" s="14" t="n"/>
      <c r="D37" s="14" t="n"/>
      <c r="E37" s="32" t="n"/>
      <c r="F37" s="14" t="n"/>
      <c r="G37" s="14" t="n"/>
      <c r="H37" s="14" t="n"/>
      <c r="I37" s="14" t="n"/>
      <c r="J37" s="14" t="n"/>
      <c r="K37" s="15" t="n"/>
      <c r="L37" s="10" t="n"/>
      <c r="M37" s="11" t="n"/>
    </row>
    <row r="38">
      <c r="A38" s="18" t="n"/>
      <c r="B38" s="14" t="n"/>
      <c r="C38" s="14" t="n"/>
      <c r="D38" s="33" t="inlineStr">
        <is>
          <t>Allocated loss adjustment expense</t>
        </is>
      </c>
      <c r="E38" s="38" t="n"/>
      <c r="F38" s="39" t="n"/>
      <c r="G38" s="39" t="n"/>
      <c r="H38" s="40" t="str">
        <f>IF(E38="No","If no, why not:","")</f>
        <v/>
      </c>
      <c r="I38" s="41" t="n"/>
      <c r="J38" s="42" t="n"/>
      <c r="K38" s="43" t="n"/>
      <c r="L38" s="10" t="n"/>
      <c r="M38" s="11" t="n"/>
    </row>
    <row r="39">
      <c r="A39" s="18" t="n"/>
      <c r="B39" s="14" t="n"/>
      <c r="C39" s="14" t="n"/>
      <c r="D39" s="33" t="inlineStr">
        <is>
          <t>Property - buildings</t>
        </is>
      </c>
      <c r="E39" s="38" t="n"/>
      <c r="F39" s="39" t="n"/>
      <c r="G39" s="39" t="n"/>
      <c r="H39" s="40" t="str">
        <f>IF(E39="No","If no, why not:","")</f>
        <v/>
      </c>
      <c r="I39" s="41" t="n"/>
      <c r="J39" s="42" t="n"/>
      <c r="K39" s="43" t="n"/>
      <c r="L39" s="10" t="n"/>
      <c r="M39" s="11" t="n"/>
    </row>
    <row r="40">
      <c r="A40" s="18" t="n"/>
      <c r="B40" s="14" t="n"/>
      <c r="C40" s="14" t="n"/>
      <c r="D40" s="33" t="inlineStr">
        <is>
          <t>Property - contents</t>
        </is>
      </c>
      <c r="E40" s="38" t="n"/>
      <c r="F40" s="39" t="n"/>
      <c r="G40" s="39" t="n"/>
      <c r="H40" s="40" t="str">
        <f>IF(E40="No","If no, why not:","")</f>
        <v/>
      </c>
      <c r="I40" s="41" t="n"/>
      <c r="J40" s="42" t="n"/>
      <c r="K40" s="43" t="n"/>
      <c r="L40" s="10" t="n"/>
      <c r="M40" s="11" t="n"/>
    </row>
    <row r="41">
      <c r="A41" s="18" t="n"/>
      <c r="B41" s="14" t="n"/>
      <c r="C41" s="14" t="n"/>
      <c r="D41" s="33" t="inlineStr">
        <is>
          <t>Additional living expenses</t>
        </is>
      </c>
      <c r="E41" s="44" t="n"/>
      <c r="F41" s="39" t="n"/>
      <c r="G41" s="39" t="n"/>
      <c r="H41" s="40" t="str">
        <f>IF(E41="No","If no, why not:","")</f>
        <v/>
      </c>
      <c r="I41" s="41" t="n"/>
      <c r="J41" s="42" t="n"/>
      <c r="K41" s="43" t="n"/>
      <c r="L41" s="10" t="n"/>
      <c r="M41" s="11" t="n"/>
    </row>
    <row r="42">
      <c r="A42" s="18" t="n"/>
      <c r="B42" s="14" t="n"/>
      <c r="C42" s="14" t="n"/>
      <c r="D42" s="33" t="inlineStr">
        <is>
          <t>Business interruption</t>
        </is>
      </c>
      <c r="E42" s="38" t="n"/>
      <c r="F42" s="45" t="n"/>
      <c r="G42" s="46" t="n"/>
      <c r="H42" s="40" t="str">
        <f>IF(E42="No","If no, why not:","")</f>
        <v/>
      </c>
      <c r="I42" s="41" t="n"/>
      <c r="J42" s="42" t="n"/>
      <c r="K42" s="43" t="n"/>
      <c r="L42" s="10" t="n"/>
      <c r="M42" s="11" t="n"/>
    </row>
    <row r="43">
      <c r="A43" s="18" t="n"/>
      <c r="B43" s="14" t="n"/>
      <c r="C43" s="14" t="n"/>
      <c r="D43" s="33" t="inlineStr">
        <is>
          <t>Auto physical damage</t>
        </is>
      </c>
      <c r="E43" s="38" t="n"/>
      <c r="F43" s="45" t="n"/>
      <c r="G43" s="46" t="n"/>
      <c r="H43" s="40" t="str">
        <f>IF(E43="No","If no, why not:","")</f>
        <v/>
      </c>
      <c r="I43" s="41" t="n"/>
      <c r="J43" s="42" t="n"/>
      <c r="K43" s="43" t="n"/>
      <c r="L43" s="10" t="n"/>
      <c r="M43" s="11" t="n"/>
    </row>
    <row r="44">
      <c r="A44" s="18" t="n"/>
      <c r="B44" s="14" t="n"/>
      <c r="C44" s="14" t="n"/>
      <c r="D44" s="33" t="inlineStr">
        <is>
          <t>Worker's compensation</t>
        </is>
      </c>
      <c r="E44" s="38" t="n"/>
      <c r="F44" s="45" t="n"/>
      <c r="G44" s="46" t="n"/>
      <c r="H44" s="40" t="str">
        <f>IF(E44="No","If no, why not:","")</f>
        <v/>
      </c>
      <c r="I44" s="41" t="n"/>
      <c r="J44" s="42" t="n"/>
      <c r="K44" s="43" t="n"/>
      <c r="L44" s="10" t="n"/>
      <c r="M44" s="11" t="n"/>
    </row>
    <row r="45">
      <c r="A45" s="18" t="n"/>
      <c r="B45" s="14" t="n"/>
      <c r="C45" s="14" t="n"/>
      <c r="D45" s="33" t="inlineStr">
        <is>
          <t>Personal accident</t>
        </is>
      </c>
      <c r="E45" s="38" t="n"/>
      <c r="F45" s="45" t="n"/>
      <c r="G45" s="46" t="n"/>
      <c r="H45" s="40" t="str">
        <f>IF(E45="No","If no, why not:","")</f>
        <v/>
      </c>
      <c r="I45" s="41" t="n"/>
      <c r="J45" s="42" t="n"/>
      <c r="K45" s="43" t="n"/>
      <c r="L45" s="10" t="n"/>
      <c r="M45" s="11" t="n"/>
    </row>
    <row r="46">
      <c r="A46" s="18" t="n"/>
      <c r="B46" s="14" t="n"/>
      <c r="C46" s="14" t="n"/>
      <c r="D46" s="33" t="inlineStr">
        <is>
          <t>Life insurance</t>
        </is>
      </c>
      <c r="E46" s="38" t="n"/>
      <c r="F46" s="45" t="n"/>
      <c r="G46" s="46" t="n"/>
      <c r="H46" s="40" t="str">
        <f>IF(E46="No","If no, why not:","")</f>
        <v/>
      </c>
      <c r="I46" s="41" t="n"/>
      <c r="J46" s="42" t="n"/>
      <c r="K46" s="43" t="n"/>
      <c r="L46" s="10" t="n"/>
      <c r="M46" s="11" t="n"/>
    </row>
    <row r="47">
      <c r="A47" s="18" t="n"/>
      <c r="B47" s="14" t="n"/>
      <c r="C47" s="14" t="n"/>
      <c r="D47" s="33" t="inlineStr">
        <is>
          <t>Onshore energy</t>
        </is>
      </c>
      <c r="E47" s="38" t="n"/>
      <c r="F47" s="45" t="n"/>
      <c r="G47" s="46" t="n"/>
      <c r="H47" s="40" t="str">
        <f>IF(E47="No","If no, why not:","")</f>
        <v/>
      </c>
      <c r="I47" s="41" t="n"/>
      <c r="J47" s="42" t="n"/>
      <c r="K47" s="43" t="n"/>
      <c r="L47" s="10" t="n"/>
      <c r="M47" s="11" t="n"/>
    </row>
    <row r="48">
      <c r="A48" s="18" t="n"/>
      <c r="B48" s="14" t="n"/>
      <c r="C48" s="14" t="n"/>
      <c r="D48" s="33" t="inlineStr">
        <is>
          <t>Offshore energy</t>
        </is>
      </c>
      <c r="E48" s="38" t="n"/>
      <c r="F48" s="45" t="n"/>
      <c r="G48" s="46" t="n"/>
      <c r="H48" s="40" t="str">
        <f>IF(E48="No","If no, why not:","")</f>
        <v/>
      </c>
      <c r="I48" s="41" t="n"/>
      <c r="J48" s="42" t="n"/>
      <c r="K48" s="43" t="n"/>
      <c r="L48" s="10" t="n"/>
      <c r="M48" s="11" t="n"/>
    </row>
    <row r="49">
      <c r="A49" s="18" t="n"/>
      <c r="B49" s="14" t="n"/>
      <c r="C49" s="14" t="n"/>
      <c r="D49" s="33" t="inlineStr">
        <is>
          <t>Ocean marine</t>
        </is>
      </c>
      <c r="E49" s="38" t="n"/>
      <c r="F49" s="45" t="n"/>
      <c r="G49" s="46" t="n"/>
      <c r="H49" s="40" t="str">
        <f>IF(E49="No","If no, why not:","")</f>
        <v/>
      </c>
      <c r="I49" s="41" t="n"/>
      <c r="J49" s="42" t="n"/>
      <c r="K49" s="43" t="n"/>
      <c r="L49" s="10" t="n"/>
      <c r="M49" s="11" t="n"/>
    </row>
    <row r="50">
      <c r="A50" s="18" t="n"/>
      <c r="B50" s="14" t="n"/>
      <c r="C50" s="14" t="n"/>
      <c r="D50" s="33" t="inlineStr">
        <is>
          <t>Inland marine</t>
        </is>
      </c>
      <c r="E50" s="38" t="n"/>
      <c r="F50" s="45" t="n"/>
      <c r="G50" s="46" t="n"/>
      <c r="H50" s="40" t="str">
        <f>IF(E50="No","If no, why not:","")</f>
        <v/>
      </c>
      <c r="I50" s="41" t="n"/>
      <c r="J50" s="42" t="n"/>
      <c r="K50" s="43" t="n"/>
      <c r="L50" s="10" t="n"/>
      <c r="M50" s="11" t="n"/>
    </row>
    <row r="51">
      <c r="A51" s="18" t="n"/>
      <c r="B51" s="14" t="n"/>
      <c r="C51" s="14" t="n"/>
      <c r="D51" s="33" t="inlineStr">
        <is>
          <t>Flood</t>
        </is>
      </c>
      <c r="E51" s="38" t="n"/>
      <c r="F51" s="45" t="n"/>
      <c r="G51" s="46" t="n"/>
      <c r="H51" s="40" t="str">
        <f>IF(E51="No","If no, why not:","")</f>
        <v/>
      </c>
      <c r="I51" s="41" t="n"/>
      <c r="J51" s="42" t="n"/>
      <c r="K51" s="43" t="n"/>
      <c r="L51" s="10" t="n"/>
      <c r="M51" s="11" t="n"/>
    </row>
    <row r="52">
      <c r="A52" s="18" t="n"/>
      <c r="B52" s="14" t="n"/>
      <c r="C52" s="14" t="n"/>
      <c r="D52" s="33" t="inlineStr">
        <is>
          <t>Crop</t>
        </is>
      </c>
      <c r="E52" s="38" t="n"/>
      <c r="F52" s="45" t="n"/>
      <c r="G52" s="46" t="n"/>
      <c r="H52" s="40" t="str">
        <f>IF(E52="No","If no, why not:","")</f>
        <v/>
      </c>
      <c r="I52" s="41" t="n"/>
      <c r="J52" s="42" t="n"/>
      <c r="K52" s="43" t="n"/>
      <c r="L52" s="10" t="n"/>
      <c r="M52" s="11" t="n"/>
    </row>
    <row r="53">
      <c r="A53" s="18" t="n"/>
      <c r="B53" s="14" t="n"/>
      <c r="C53" s="14" t="n"/>
      <c r="D53" s="33" t="inlineStr">
        <is>
          <t>Other primary insurance</t>
        </is>
      </c>
      <c r="E53" s="38" t="n"/>
      <c r="F53" s="45" t="n"/>
      <c r="G53" s="46" t="n"/>
      <c r="H53" s="40" t="str">
        <f>IF(E53="No","If no, why not:","")</f>
        <v/>
      </c>
      <c r="I53" s="41" t="n"/>
      <c r="J53" s="42" t="n"/>
      <c r="K53" s="43" t="n"/>
      <c r="L53" s="10" t="n"/>
      <c r="M53" s="11" t="n"/>
    </row>
    <row r="54" ht="6.75" customHeight="1">
      <c r="A54" s="18" t="n"/>
      <c r="B54" s="14" t="n"/>
      <c r="C54" s="14" t="n"/>
      <c r="D54" s="14" t="n"/>
      <c r="E54" s="47" t="n"/>
      <c r="F54" s="40" t="n"/>
      <c r="G54" s="40" t="n"/>
      <c r="H54" s="40" t="n"/>
      <c r="I54" s="48" t="n"/>
      <c r="J54" s="48" t="n"/>
      <c r="K54" s="49" t="n"/>
      <c r="L54" s="10" t="n"/>
      <c r="M54" s="11" t="n"/>
    </row>
    <row r="55">
      <c r="A55" s="18" t="n"/>
      <c r="B55" s="19" t="inlineStr">
        <is>
          <t>3. Assumed reinsurance information:</t>
        </is>
      </c>
      <c r="C55" s="14" t="n"/>
      <c r="D55" s="14" t="n"/>
      <c r="E55" s="47" t="n"/>
      <c r="F55" s="40" t="n"/>
      <c r="G55" s="40" t="n"/>
      <c r="H55" s="40" t="n"/>
      <c r="I55" s="48" t="n"/>
      <c r="J55" s="48" t="n"/>
      <c r="K55" s="49" t="n"/>
      <c r="L55" s="10" t="n"/>
      <c r="M55" s="11" t="n"/>
    </row>
    <row r="56">
      <c r="A56" s="18" t="n"/>
      <c r="B56" s="14" t="n"/>
      <c r="C56" s="14" t="n"/>
      <c r="D56" s="33" t="inlineStr">
        <is>
          <t>Proportional - quota share</t>
        </is>
      </c>
      <c r="E56" s="38" t="n"/>
      <c r="F56" s="45" t="n"/>
      <c r="G56" s="46" t="n"/>
      <c r="H56" s="40" t="str">
        <f>IF(E56="No","If no, why not:","")</f>
        <v/>
      </c>
      <c r="I56" s="41" t="n"/>
      <c r="J56" s="42" t="n"/>
      <c r="K56" s="43" t="n"/>
      <c r="L56" s="10" t="n"/>
      <c r="M56" s="11" t="n"/>
    </row>
    <row r="57">
      <c r="A57" s="18" t="n"/>
      <c r="B57" s="14" t="n"/>
      <c r="C57" s="14" t="n"/>
      <c r="D57" s="33" t="inlineStr">
        <is>
          <t>Proportional - surplus share</t>
        </is>
      </c>
      <c r="E57" s="38" t="n"/>
      <c r="F57" s="45" t="n"/>
      <c r="G57" s="46" t="n"/>
      <c r="H57" s="40" t="str">
        <f>IF(E57="No","If no, why not:","")</f>
        <v/>
      </c>
      <c r="I57" s="41" t="n"/>
      <c r="J57" s="42" t="n"/>
      <c r="K57" s="43" t="n"/>
      <c r="L57" s="10" t="n"/>
      <c r="M57" s="11" t="n"/>
    </row>
    <row r="58">
      <c r="A58" s="18" t="n"/>
      <c r="B58" s="14" t="n"/>
      <c r="C58" s="14" t="n"/>
      <c r="D58" s="33" t="inlineStr">
        <is>
          <t>Non-proportional - catastrophe</t>
        </is>
      </c>
      <c r="E58" s="38" t="n"/>
      <c r="F58" s="45" t="n"/>
      <c r="G58" s="46" t="n"/>
      <c r="H58" s="40" t="str">
        <f>IF(E58="No","If no, why not:","")</f>
        <v/>
      </c>
      <c r="I58" s="41" t="n"/>
      <c r="J58" s="42" t="n"/>
      <c r="K58" s="43" t="n"/>
      <c r="L58" s="10" t="n"/>
      <c r="M58" s="11" t="n"/>
    </row>
    <row r="59">
      <c r="A59" s="18" t="n"/>
      <c r="B59" s="14" t="n"/>
      <c r="C59" s="14" t="n"/>
      <c r="D59" s="33" t="inlineStr">
        <is>
          <t>Non-proportional - per risk</t>
        </is>
      </c>
      <c r="E59" s="38" t="n"/>
      <c r="F59" s="45" t="n"/>
      <c r="G59" s="46" t="n"/>
      <c r="H59" s="40" t="str">
        <f>IF(E59="No","If no, why not:","")</f>
        <v/>
      </c>
      <c r="I59" s="41" t="n"/>
      <c r="J59" s="42" t="n"/>
      <c r="K59" s="43" t="n"/>
      <c r="L59" s="10" t="n"/>
      <c r="M59" s="11" t="n"/>
    </row>
    <row r="60">
      <c r="A60" s="18" t="n"/>
      <c r="B60" s="14" t="n"/>
      <c r="C60" s="14" t="n"/>
      <c r="D60" s="33" t="inlineStr">
        <is>
          <t>Other reinsurance assumed</t>
        </is>
      </c>
      <c r="E60" s="38" t="n"/>
      <c r="F60" s="45" t="n"/>
      <c r="G60" s="46" t="n"/>
      <c r="H60" s="40" t="str">
        <f>IF(E60="No","If no, why not:","")</f>
        <v/>
      </c>
      <c r="I60" s="41" t="n"/>
      <c r="J60" s="42" t="n"/>
      <c r="K60" s="43" t="n"/>
      <c r="L60" s="10" t="n"/>
      <c r="M60" s="11" t="n"/>
    </row>
    <row r="61" ht="6.75" customHeight="1">
      <c r="A61" s="18" t="n"/>
      <c r="B61" s="14" t="n"/>
      <c r="C61" s="14" t="n"/>
      <c r="D61" s="33" t="n"/>
      <c r="E61" s="40" t="n"/>
      <c r="F61" s="40" t="n"/>
      <c r="G61" s="40" t="n"/>
      <c r="H61" s="40" t="n"/>
      <c r="I61" s="50" t="n"/>
      <c r="J61" s="50" t="n"/>
      <c r="K61" s="41" t="n"/>
      <c r="L61" s="10" t="n"/>
      <c r="M61" s="11" t="n"/>
    </row>
    <row r="62">
      <c r="A62" s="18" t="n"/>
      <c r="B62" s="19" t="inlineStr">
        <is>
          <t>4. Pools and assessments information:</t>
        </is>
      </c>
      <c r="C62" s="14" t="n"/>
      <c r="D62" s="33" t="n"/>
      <c r="E62" s="47" t="n"/>
      <c r="F62" s="40" t="n"/>
      <c r="G62" s="40" t="n"/>
      <c r="H62" s="40" t="n"/>
      <c r="I62" s="48" t="n"/>
      <c r="J62" s="48" t="n"/>
      <c r="K62" s="49" t="n"/>
      <c r="L62" s="10" t="n"/>
      <c r="M62" s="11" t="n"/>
    </row>
    <row r="63">
      <c r="A63" s="18" t="n"/>
      <c r="B63" s="51" t="n"/>
      <c r="C63" s="14" t="n"/>
      <c r="D63" s="33" t="inlineStr">
        <is>
          <t>Voluntary pools and/or assessments</t>
        </is>
      </c>
      <c r="E63" s="38" t="n"/>
      <c r="F63" s="45" t="n"/>
      <c r="G63" s="46" t="n"/>
      <c r="H63" s="40" t="str">
        <f>IF(E63="No","If no, why not:","")</f>
        <v/>
      </c>
      <c r="I63" s="41" t="n"/>
      <c r="J63" s="42" t="n"/>
      <c r="K63" s="43" t="n"/>
      <c r="L63" s="10" t="n"/>
      <c r="M63" s="11" t="n"/>
    </row>
    <row r="64">
      <c r="A64" s="18" t="n"/>
      <c r="B64" s="51" t="n"/>
      <c r="C64" s="14" t="n"/>
      <c r="D64" s="33" t="inlineStr">
        <is>
          <t>Involuntary pools and/or assessments</t>
        </is>
      </c>
      <c r="E64" s="38" t="n"/>
      <c r="F64" s="45" t="n"/>
      <c r="G64" s="46" t="n"/>
      <c r="H64" s="40" t="str">
        <f>IF(E64="No","If no, why not:","")</f>
        <v/>
      </c>
      <c r="I64" s="41" t="n"/>
      <c r="J64" s="42" t="n"/>
      <c r="K64" s="43" t="n"/>
      <c r="L64" s="10" t="n"/>
      <c r="M64" s="11" t="n"/>
    </row>
    <row r="65" ht="6.75" customHeight="1">
      <c r="A65" s="18" t="n"/>
      <c r="B65" s="14" t="n"/>
      <c r="C65" s="14" t="n"/>
      <c r="D65" s="33" t="n"/>
      <c r="E65" s="40" t="n"/>
      <c r="F65" s="40" t="n"/>
      <c r="G65" s="40" t="n"/>
      <c r="H65" s="40" t="n"/>
      <c r="I65" s="48" t="n"/>
      <c r="J65" s="48" t="n"/>
      <c r="K65" s="49" t="n"/>
      <c r="L65" s="10" t="n"/>
      <c r="M65" s="11" t="n"/>
    </row>
    <row r="66">
      <c r="A66" s="18" t="n"/>
      <c r="B66" s="19" t="inlineStr">
        <is>
          <t>5. Supplemental perils and model options:</t>
        </is>
      </c>
      <c r="C66" s="14" t="n"/>
      <c r="D66" s="33" t="n"/>
      <c r="E66" s="47" t="n"/>
      <c r="F66" s="40" t="n"/>
      <c r="G66" s="40" t="n"/>
      <c r="H66" s="40" t="n"/>
      <c r="I66" s="48" t="n"/>
      <c r="J66" s="48" t="n"/>
      <c r="K66" s="49" t="n"/>
      <c r="L66" s="10" t="n"/>
      <c r="M66" s="11" t="n"/>
    </row>
    <row r="67">
      <c r="A67" s="18" t="n"/>
      <c r="B67" s="14" t="n"/>
      <c r="C67" s="14" t="n"/>
      <c r="D67" s="33" t="inlineStr">
        <is>
          <t>Fire following</t>
        </is>
      </c>
      <c r="E67" s="38" t="n"/>
      <c r="F67" s="45" t="n"/>
      <c r="G67" s="46" t="n"/>
      <c r="H67" s="40" t="str">
        <f>IF(E67="No","If no, why not:","")</f>
        <v/>
      </c>
      <c r="I67" s="41" t="n"/>
      <c r="J67" s="42" t="n"/>
      <c r="K67" s="43" t="n"/>
      <c r="L67" s="10" t="n"/>
      <c r="M67" s="11" t="n"/>
    </row>
    <row r="68">
      <c r="A68" s="18" t="n"/>
      <c r="B68" s="14" t="n"/>
      <c r="C68" s="14" t="n"/>
      <c r="D68" s="33" t="inlineStr">
        <is>
          <t>Sprinkler leakage</t>
        </is>
      </c>
      <c r="E68" s="38" t="n"/>
      <c r="F68" s="45" t="n"/>
      <c r="G68" s="46" t="n"/>
      <c r="H68" s="40" t="str">
        <f>IF(E68="No","If no, why not:","")</f>
        <v/>
      </c>
      <c r="I68" s="41" t="n"/>
      <c r="J68" s="42" t="n"/>
      <c r="K68" s="43" t="n"/>
      <c r="L68" s="10" t="n"/>
      <c r="M68" s="11" t="n"/>
    </row>
    <row r="69">
      <c r="A69" s="18" t="n"/>
      <c r="B69" s="14" t="n"/>
      <c r="C69" s="14" t="n"/>
      <c r="D69" s="33" t="inlineStr">
        <is>
          <t>Storm surge</t>
        </is>
      </c>
      <c r="E69" s="38" t="n"/>
      <c r="F69" s="45" t="n"/>
      <c r="G69" s="46" t="n"/>
      <c r="H69" s="40" t="str">
        <f>IF(E69="No","If no, why not:","")</f>
        <v/>
      </c>
      <c r="I69" s="41" t="n"/>
      <c r="J69" s="42" t="n"/>
      <c r="K69" s="43" t="n"/>
      <c r="L69" s="10" t="n"/>
      <c r="M69" s="11" t="n"/>
    </row>
    <row r="70">
      <c r="A70" s="18" t="n"/>
      <c r="B70" s="14" t="n"/>
      <c r="C70" s="14" t="n"/>
      <c r="D70" s="33" t="inlineStr">
        <is>
          <t>Demand surge</t>
        </is>
      </c>
      <c r="E70" s="38" t="n"/>
      <c r="F70" s="45" t="n"/>
      <c r="G70" s="46" t="n"/>
      <c r="H70" s="40" t="str">
        <f>IF(E70="No","If no, why not:","")</f>
        <v/>
      </c>
      <c r="I70" s="41" t="n"/>
      <c r="J70" s="42" t="n"/>
      <c r="K70" s="43" t="n"/>
      <c r="L70" s="10" t="n"/>
      <c r="M70" s="11" t="n"/>
    </row>
    <row r="71">
      <c r="A71" s="18" t="n"/>
      <c r="B71" s="14" t="n"/>
      <c r="C71" s="14" t="n"/>
      <c r="D71" s="33" t="inlineStr">
        <is>
          <t>Secondary uncertainty</t>
        </is>
      </c>
      <c r="E71" s="38" t="n"/>
      <c r="F71" s="45" t="n"/>
      <c r="G71" s="46" t="n"/>
      <c r="H71" s="40" t="str">
        <f>IF(E71="No","If no, why not:","")</f>
        <v/>
      </c>
      <c r="I71" s="41" t="n"/>
      <c r="J71" s="42" t="n"/>
      <c r="K71" s="43" t="n"/>
      <c r="L71" s="10" t="n"/>
      <c r="M71" s="11" t="n"/>
    </row>
    <row r="72">
      <c r="A72" s="18" t="n"/>
      <c r="B72" s="14" t="n"/>
      <c r="C72" s="14" t="n"/>
      <c r="D72" s="33" t="inlineStr">
        <is>
          <t>Atlantic multi-decadal oscillation selection</t>
        </is>
      </c>
      <c r="E72" s="38" t="n"/>
      <c r="F72" s="39" t="n"/>
      <c r="G72" s="39" t="n"/>
      <c r="H72" s="40" t="str">
        <f>IF(E72="Long-term frequency","If long-term frequency, why:","")</f>
        <v/>
      </c>
      <c r="I72" s="41" t="n"/>
      <c r="J72" s="42" t="n"/>
      <c r="K72" s="43" t="n"/>
      <c r="L72" s="10" t="n"/>
      <c r="M72" s="11" t="n"/>
    </row>
    <row r="73" ht="6.75" customHeight="1">
      <c r="A73" s="18" t="n"/>
      <c r="B73" s="14" t="n"/>
      <c r="C73" s="14" t="n"/>
      <c r="D73" s="33" t="n"/>
      <c r="E73" s="40" t="n"/>
      <c r="F73" s="40" t="n"/>
      <c r="G73" s="40" t="n"/>
      <c r="H73" s="40" t="n"/>
      <c r="I73" s="48" t="n"/>
      <c r="J73" s="48" t="n"/>
      <c r="K73" s="49" t="n"/>
      <c r="L73" s="10" t="n"/>
      <c r="M73" s="11" t="n"/>
    </row>
    <row r="74">
      <c r="A74" s="18" t="n"/>
      <c r="B74" s="19" t="inlineStr">
        <is>
          <t>6. Other adjustments information:</t>
        </is>
      </c>
      <c r="C74" s="14" t="n"/>
      <c r="D74" s="33" t="n"/>
      <c r="E74" s="47" t="n"/>
      <c r="F74" s="40" t="n"/>
      <c r="G74" s="40" t="n"/>
      <c r="H74" s="40" t="n"/>
      <c r="I74" s="48" t="n"/>
      <c r="J74" s="48" t="n"/>
      <c r="K74" s="49" t="n"/>
      <c r="L74" s="10" t="n"/>
      <c r="M74" s="11" t="n"/>
    </row>
    <row r="75">
      <c r="A75" s="18" t="n"/>
      <c r="B75" s="14" t="n"/>
      <c r="C75" s="14" t="n"/>
      <c r="D75" s="33" t="inlineStr">
        <is>
          <t>Adjustments for exposure data quality</t>
        </is>
      </c>
      <c r="E75" s="38" t="n"/>
      <c r="F75" s="39" t="n"/>
      <c r="G75" s="40" t="n"/>
      <c r="H75" s="40" t="str">
        <f>IF(E75="No","If no, why not:","")</f>
        <v/>
      </c>
      <c r="I75" s="41" t="n"/>
      <c r="J75" s="42" t="n"/>
      <c r="K75" s="43" t="n"/>
      <c r="L75" s="10" t="n"/>
      <c r="M75" s="11" t="n"/>
    </row>
    <row r="76">
      <c r="A76" s="18" t="n"/>
      <c r="B76" s="14" t="n"/>
      <c r="C76" s="14" t="n"/>
      <c r="D76" s="33" t="inlineStr">
        <is>
          <t>Adjustments for insurance to value</t>
        </is>
      </c>
      <c r="E76" s="38" t="n"/>
      <c r="F76" s="39" t="n"/>
      <c r="G76" s="40" t="n"/>
      <c r="H76" s="40" t="str">
        <f>IF(E76="No","If no, why not:","")</f>
        <v/>
      </c>
      <c r="I76" s="41" t="n"/>
      <c r="J76" s="42" t="n"/>
      <c r="K76" s="43" t="n"/>
      <c r="L76" s="10" t="n"/>
      <c r="M76" s="11" t="n"/>
    </row>
    <row r="77">
      <c r="A77" s="18" t="n"/>
      <c r="B77" s="14" t="n"/>
      <c r="C77" s="14" t="n"/>
      <c r="D77" s="33" t="inlineStr">
        <is>
          <t>Adjustments for exposure growth</t>
        </is>
      </c>
      <c r="E77" s="44" t="n"/>
      <c r="F77" s="39" t="n"/>
      <c r="G77" s="40" t="n"/>
      <c r="H77" s="40" t="str">
        <f>IF(E77="No","If no, why not:","")</f>
        <v/>
      </c>
      <c r="I77" s="41" t="n"/>
      <c r="J77" s="42" t="n"/>
      <c r="K77" s="43" t="n"/>
      <c r="L77" s="10" t="n"/>
      <c r="M77" s="11" t="n"/>
    </row>
    <row r="78">
      <c r="A78" s="18" t="n"/>
      <c r="B78" s="14" t="n"/>
      <c r="C78" s="14" t="n"/>
      <c r="D78" s="33" t="inlineStr">
        <is>
          <t>Supplemental losses for non-modelled line of business</t>
        </is>
      </c>
      <c r="E78" s="44" t="n"/>
      <c r="F78" s="39" t="n"/>
      <c r="G78" s="40" t="n"/>
      <c r="H78" s="40" t="str">
        <f>IF(E78="No","If no, why not:","")</f>
        <v/>
      </c>
      <c r="I78" s="41" t="n"/>
      <c r="J78" s="42" t="n"/>
      <c r="K78" s="43" t="n"/>
      <c r="L78" s="10" t="n"/>
      <c r="M78" s="11" t="n"/>
    </row>
    <row r="79">
      <c r="A79" s="18" t="n"/>
      <c r="B79" s="14" t="n"/>
      <c r="C79" s="14" t="n"/>
      <c r="D79" s="33" t="inlineStr">
        <is>
          <t>Adjustments for model deficiencies – severity</t>
        </is>
      </c>
      <c r="E79" s="38" t="n"/>
      <c r="F79" s="46" t="n"/>
      <c r="G79" s="40" t="n"/>
      <c r="H79" s="40" t="str">
        <f>IF(E79="No","If no, why not:","")</f>
        <v/>
      </c>
      <c r="I79" s="41" t="n"/>
      <c r="J79" s="42" t="n"/>
      <c r="K79" s="43" t="n"/>
      <c r="L79" s="10" t="n"/>
      <c r="M79" s="11" t="n"/>
    </row>
    <row r="80">
      <c r="A80" s="18" t="n"/>
      <c r="B80" s="14" t="n"/>
      <c r="C80" s="14" t="n"/>
      <c r="D80" s="33" t="inlineStr">
        <is>
          <t>Adjustments for model deficiencies - frequency</t>
        </is>
      </c>
      <c r="E80" s="38" t="n"/>
      <c r="F80" s="46" t="n"/>
      <c r="G80" s="40" t="n"/>
      <c r="H80" s="40" t="str">
        <f>IF(E80="No","If no, why not:","")</f>
        <v/>
      </c>
      <c r="I80" s="41" t="n"/>
      <c r="J80" s="42" t="n"/>
      <c r="K80" s="43" t="n"/>
      <c r="L80" s="10" t="n"/>
      <c r="M80" s="11" t="n"/>
    </row>
    <row r="81">
      <c r="A81" s="18" t="n"/>
      <c r="B81" s="14" t="n"/>
      <c r="C81" s="14" t="n"/>
      <c r="D81" s="33" t="inlineStr">
        <is>
          <t>Additional demand surge loadings</t>
        </is>
      </c>
      <c r="E81" s="38" t="n"/>
      <c r="F81" s="39" t="n"/>
      <c r="G81" s="40" t="n"/>
      <c r="H81" s="40" t="str">
        <f>IF(E81="No","If no, why not:","")</f>
        <v/>
      </c>
      <c r="I81" s="41" t="n"/>
      <c r="J81" s="42" t="n"/>
      <c r="K81" s="43" t="n"/>
      <c r="L81" s="10" t="n"/>
      <c r="M81" s="11" t="n"/>
    </row>
    <row r="82">
      <c r="A82" s="18" t="n"/>
      <c r="B82" s="14" t="n"/>
      <c r="C82" s="14" t="n"/>
      <c r="D82" s="33" t="inlineStr">
        <is>
          <t>Other factors for prudence</t>
        </is>
      </c>
      <c r="E82" s="38" t="n"/>
      <c r="F82" s="39" t="n"/>
      <c r="G82" s="40" t="n"/>
      <c r="H82" s="40" t="str">
        <f>IF(E82="No","If no, why not:","")</f>
        <v/>
      </c>
      <c r="I82" s="41" t="n"/>
      <c r="J82" s="42" t="n"/>
      <c r="K82" s="43" t="n"/>
      <c r="L82" s="10" t="n"/>
      <c r="M82" s="11" t="n"/>
    </row>
    <row r="83" ht="6.75" customHeight="1">
      <c r="A83" s="18" t="n"/>
      <c r="B83" s="14" t="n"/>
      <c r="C83" s="14" t="n"/>
      <c r="D83" s="14" t="n"/>
      <c r="E83" s="52" t="n"/>
      <c r="F83" s="14" t="n"/>
      <c r="G83" s="53" t="n"/>
      <c r="H83" s="53" t="n"/>
      <c r="I83" s="48" t="n"/>
      <c r="J83" s="48" t="n"/>
      <c r="K83" s="49" t="n"/>
      <c r="L83" s="10" t="n"/>
      <c r="M83" s="11" t="n"/>
    </row>
    <row r="84">
      <c r="A84" s="18" t="n"/>
      <c r="B84" s="14" t="n"/>
      <c r="C84" s="14" t="n"/>
      <c r="D84" s="14" t="n"/>
      <c r="E84" s="14" t="n"/>
      <c r="F84" s="33" t="inlineStr">
        <is>
          <t>Average loading factor applied to ground up loss for all adjustments applied:</t>
        </is>
      </c>
      <c r="G84" s="54" t="n"/>
      <c r="H84" s="39" t="n"/>
      <c r="I84" s="48" t="n"/>
      <c r="J84" s="48" t="n"/>
      <c r="K84" s="49" t="n"/>
      <c r="L84" s="10" t="n"/>
      <c r="M84" s="11" t="n"/>
    </row>
    <row r="85">
      <c r="A85" s="18" t="n"/>
      <c r="B85" s="14" t="n"/>
      <c r="C85" s="14" t="n"/>
      <c r="D85" s="14" t="n"/>
      <c r="E85" s="14" t="n"/>
      <c r="F85" s="33" t="inlineStr">
        <is>
          <t>Is this average loading factor determined analytically or estimated?</t>
        </is>
      </c>
      <c r="G85" s="38" t="n"/>
      <c r="H85" s="39" t="n"/>
      <c r="I85" s="48" t="n"/>
      <c r="J85" s="48" t="n"/>
      <c r="K85" s="49" t="n"/>
      <c r="L85" s="10" t="n"/>
      <c r="M85" s="11" t="n"/>
    </row>
    <row r="86" ht="6.75" customHeight="1">
      <c r="A86" s="18" t="n"/>
      <c r="B86" s="14" t="n"/>
      <c r="C86" s="14" t="n"/>
      <c r="D86" s="14" t="n"/>
      <c r="E86" s="14" t="n"/>
      <c r="F86" s="14" t="n"/>
      <c r="G86" s="39" t="n"/>
      <c r="H86" s="39" t="n"/>
      <c r="I86" s="48" t="n"/>
      <c r="J86" s="48" t="n"/>
      <c r="K86" s="49" t="n"/>
      <c r="L86" s="10" t="n"/>
      <c r="M86" s="11" t="n"/>
    </row>
    <row r="87">
      <c r="A87" s="18" t="n"/>
      <c r="B87" s="14" t="n"/>
      <c r="C87" s="14" t="n"/>
      <c r="D87" s="14" t="n"/>
      <c r="E87" s="14" t="n"/>
      <c r="F87" s="33" t="inlineStr">
        <is>
          <t>Which vendor catastrophe models ("cat model") do you include in this modelling?</t>
        </is>
      </c>
      <c r="G87" s="44" t="n"/>
      <c r="H87" s="39" t="n"/>
      <c r="I87" s="48" t="n"/>
      <c r="J87" s="48" t="n"/>
      <c r="K87" s="49" t="n"/>
      <c r="L87" s="10" t="n"/>
      <c r="M87" s="11" t="n"/>
    </row>
    <row r="88">
      <c r="A88" s="18" t="n"/>
      <c r="B88" s="14" t="n"/>
      <c r="C88" s="14" t="n"/>
      <c r="D88" s="14" t="n"/>
      <c r="E88" s="14" t="n"/>
      <c r="F88" s="33" t="inlineStr">
        <is>
          <t>Which version of the model or version of the region-peril models are used for each vendor catastrophe model as appropriate?</t>
        </is>
      </c>
      <c r="G88" s="55" t="n"/>
      <c r="H88" s="56" t="n"/>
      <c r="I88" s="14" t="n"/>
      <c r="J88" s="14" t="n"/>
      <c r="K88" s="15" t="n"/>
      <c r="L88" s="10" t="n"/>
      <c r="M88" s="11" t="n"/>
    </row>
    <row r="89">
      <c r="A89" s="18" t="n"/>
      <c r="B89" s="14" t="n"/>
      <c r="C89" s="14" t="n"/>
      <c r="D89" s="14" t="n"/>
      <c r="E89" s="14" t="n"/>
      <c r="F89" s="14" t="n"/>
      <c r="G89" s="57" t="n"/>
      <c r="H89" s="58" t="n"/>
      <c r="I89" s="14" t="n"/>
      <c r="J89" s="14" t="n"/>
      <c r="K89" s="15" t="n"/>
      <c r="L89" s="10" t="n"/>
      <c r="M89" s="11" t="n"/>
    </row>
    <row r="90" ht="6.75" customHeight="1">
      <c r="A90" s="59" t="n"/>
      <c r="B90" s="60" t="n"/>
      <c r="C90" s="60" t="n"/>
      <c r="D90" s="60" t="n"/>
      <c r="E90" s="60" t="n"/>
      <c r="F90" s="60" t="n"/>
      <c r="G90" s="61" t="n"/>
      <c r="H90" s="61" t="n"/>
      <c r="I90" s="60" t="n"/>
      <c r="J90" s="60" t="n"/>
      <c r="K90" s="62" t="n"/>
      <c r="L90" s="10" t="n"/>
      <c r="M90" s="11" t="n"/>
    </row>
    <row r="91">
      <c r="A91" s="10" t="n"/>
      <c r="B91" s="10" t="n"/>
      <c r="C91" s="10" t="n"/>
      <c r="D91" s="10" t="n"/>
      <c r="E91" s="10" t="n"/>
      <c r="F91" s="10" t="n"/>
      <c r="G91" s="10" t="n"/>
      <c r="H91" s="10" t="n"/>
      <c r="I91" s="10" t="n"/>
      <c r="J91" s="10" t="n"/>
      <c r="K91" s="10" t="n"/>
      <c r="L91" s="10" t="n"/>
      <c r="M91" s="11" t="n"/>
    </row>
    <row r="92">
      <c r="A92" s="10" t="n"/>
      <c r="B92" s="10" t="n"/>
      <c r="C92" s="10" t="n"/>
      <c r="D92" s="10" t="n"/>
      <c r="E92" s="10" t="n"/>
      <c r="F92" s="10" t="n"/>
      <c r="G92" s="10" t="n"/>
      <c r="H92" s="10" t="n"/>
      <c r="I92" s="10" t="n"/>
      <c r="J92" s="10" t="n"/>
      <c r="K92" s="10" t="n"/>
      <c r="L92" s="10" t="n"/>
      <c r="M92" s="10" t="n"/>
    </row>
    <row r="93"/>
    <row r="94"/>
    <row r="95"/>
    <row r="96"/>
    <row r="97"/>
    <row r="98" ht="75" customHeight="1">
      <c r="A98" s="63" t="n"/>
      <c r="B98" s="7" t="inlineStr">
        <is>
          <t>CATASTROPHE RISK RETURN: EP CURVE INSURANCE (TABLE 15A)</t>
        </is>
      </c>
      <c r="C98" s="64" t="n"/>
      <c r="D98" s="64" t="n"/>
      <c r="E98" s="64" t="n"/>
      <c r="F98" s="64" t="n"/>
      <c r="G98" s="64" t="n"/>
      <c r="H98" s="64" t="n"/>
      <c r="I98" s="64" t="n"/>
      <c r="J98" s="8" t="inlineStr">
        <is>
          <t>Back to instructions</t>
        </is>
      </c>
      <c r="K98" s="65" t="n"/>
      <c r="L98" s="10" t="n"/>
      <c r="M98" s="11" t="n"/>
    </row>
    <row r="99" ht="13.5" customHeight="1">
      <c r="A99" s="18" t="n"/>
      <c r="B99" s="13" t="inlineStr">
        <is>
          <t>3624</t>
        </is>
      </c>
      <c r="C99" s="14" t="n"/>
      <c r="D99" s="14" t="n"/>
      <c r="E99" s="14" t="n"/>
      <c r="F99" s="14" t="n"/>
      <c r="G99" s="14" t="n"/>
      <c r="H99" s="14" t="n"/>
      <c r="I99" s="14" t="n"/>
      <c r="J99" s="14" t="n"/>
      <c r="K99" s="15" t="n"/>
      <c r="L99" s="10" t="n"/>
      <c r="M99" s="11" t="n"/>
    </row>
    <row r="100" ht="13.5" customHeight="1">
      <c r="A100" s="18" t="n"/>
      <c r="B100" s="16">
        <f>DATE(2026,1,1)</f>
        <v>46023.0</v>
      </c>
      <c r="C100" s="14" t="n"/>
      <c r="D100" s="14" t="n"/>
      <c r="E100" s="14" t="n"/>
      <c r="F100" s="14" t="n"/>
      <c r="G100" s="14" t="n"/>
      <c r="H100" s="14" t="n"/>
      <c r="I100" s="14" t="n"/>
      <c r="J100" s="17" t="inlineStr">
        <is>
          <t xml:space="preserve">Schedule X(b) </t>
        </is>
      </c>
      <c r="K100" s="15" t="n"/>
      <c r="L100" s="10" t="n"/>
      <c r="M100" s="11" t="n"/>
    </row>
    <row r="101" ht="6.75" customHeight="1">
      <c r="A101" s="18" t="n"/>
      <c r="B101" s="66" t="n"/>
      <c r="C101" s="14" t="n"/>
      <c r="D101" s="14" t="n"/>
      <c r="E101" s="14" t="n"/>
      <c r="F101" s="14" t="n"/>
      <c r="G101" s="14" t="n"/>
      <c r="H101" s="14" t="n"/>
      <c r="I101" s="14" t="n"/>
      <c r="J101" s="14" t="n"/>
      <c r="K101" s="15" t="n"/>
      <c r="L101" s="10" t="n"/>
      <c r="M101" s="11" t="n"/>
    </row>
    <row r="102">
      <c r="A102" s="18" t="n"/>
      <c r="B102" s="67" t="inlineStr">
        <is>
          <t>Note:The EP curve for insurance will be required only when the percentage of net insurance premiums written is greater than 10% of total net premiums written.</t>
        </is>
      </c>
      <c r="C102" s="67" t="n"/>
      <c r="D102" s="67" t="n"/>
      <c r="E102" s="67" t="n"/>
      <c r="F102" s="67" t="n"/>
      <c r="G102" s="67" t="n"/>
      <c r="H102" s="14" t="n"/>
      <c r="I102" s="14" t="n"/>
      <c r="J102" s="14" t="n"/>
      <c r="K102" s="15" t="n"/>
      <c r="L102" s="10" t="n"/>
      <c r="M102" s="11" t="n"/>
    </row>
    <row r="103" ht="6.75" customHeight="1">
      <c r="A103" s="18" t="n"/>
      <c r="B103" s="67" t="n"/>
      <c r="C103" s="67" t="n"/>
      <c r="D103" s="67" t="n"/>
      <c r="E103" s="67" t="n"/>
      <c r="F103" s="67" t="n"/>
      <c r="G103" s="67" t="n"/>
      <c r="H103" s="14" t="n"/>
      <c r="I103" s="14" t="n"/>
      <c r="J103" s="14" t="n"/>
      <c r="K103" s="15" t="n"/>
      <c r="L103" s="10" t="n"/>
      <c r="M103" s="11" t="n"/>
    </row>
    <row r="104">
      <c r="A104" s="18" t="n"/>
      <c r="B104" s="14" t="n"/>
      <c r="C104" s="19" t="inlineStr">
        <is>
          <t>1. Exceedance probability information:</t>
        </is>
      </c>
      <c r="D104" s="14" t="n"/>
      <c r="E104" s="14" t="n"/>
      <c r="F104" s="14" t="n"/>
      <c r="G104" s="14" t="n"/>
      <c r="H104" s="14" t="n"/>
      <c r="I104" s="14" t="n"/>
      <c r="J104" s="14" t="n"/>
      <c r="K104" s="15" t="n"/>
      <c r="L104" s="10" t="n"/>
      <c r="M104" s="11" t="n"/>
    </row>
    <row r="105">
      <c r="A105" s="18" t="n"/>
      <c r="B105" s="14" t="n"/>
      <c r="C105" s="14" t="n"/>
      <c r="D105" s="20" t="n"/>
      <c r="E105" s="21" t="inlineStr">
        <is>
          <t>Gross Loss</t>
        </is>
      </c>
      <c r="F105" s="22" t="n"/>
      <c r="G105" s="21" t="inlineStr">
        <is>
          <t>Net Loss</t>
        </is>
      </c>
      <c r="H105" s="22" t="n"/>
      <c r="I105" s="14" t="n"/>
      <c r="J105" s="14" t="n"/>
      <c r="K105" s="15" t="n"/>
      <c r="L105" s="10" t="n"/>
      <c r="M105" s="11" t="n"/>
    </row>
    <row r="106" ht="42" customHeight="1">
      <c r="A106" s="18" t="n"/>
      <c r="B106" s="14" t="n"/>
      <c r="C106" s="14" t="n"/>
      <c r="D106" s="23" t="inlineStr">
        <is>
          <t>Loss Return period (years)</t>
        </is>
      </c>
      <c r="E106" s="24" t="inlineStr">
        <is>
          <t>Gross per occurrence loss TVaR</t>
        </is>
      </c>
      <c r="F106" s="24" t="inlineStr">
        <is>
          <t>Gross aggregate TVaR</t>
        </is>
      </c>
      <c r="G106" s="68" t="inlineStr">
        <is>
          <t>Net per occurrence loss TVaR</t>
        </is>
      </c>
      <c r="H106" s="69" t="inlineStr">
        <is>
          <t xml:space="preserve">Net aggregate TVaR </t>
        </is>
      </c>
      <c r="I106" s="14" t="n"/>
      <c r="J106" s="14" t="n"/>
      <c r="K106" s="15" t="n"/>
      <c r="L106" s="25" t="n"/>
      <c r="M106" s="11" t="n"/>
    </row>
    <row r="107">
      <c r="A107" s="18" t="n"/>
      <c r="B107" s="14" t="n"/>
      <c r="C107" s="14" t="n"/>
      <c r="D107" s="26" t="n"/>
      <c r="E107" s="70" t="inlineStr">
        <is>
          <t xml:space="preserve"> ($M)</t>
        </is>
      </c>
      <c r="F107" s="70" t="inlineStr">
        <is>
          <t xml:space="preserve"> ($M)</t>
        </is>
      </c>
      <c r="G107" s="70" t="inlineStr">
        <is>
          <t xml:space="preserve"> ($M)</t>
        </is>
      </c>
      <c r="H107" s="70" t="inlineStr">
        <is>
          <t xml:space="preserve"> ($M)</t>
        </is>
      </c>
      <c r="I107" s="14" t="n"/>
      <c r="J107" s="14" t="n"/>
      <c r="K107" s="15" t="n"/>
      <c r="L107" s="25" t="n"/>
      <c r="M107" s="25" t="n"/>
    </row>
    <row r="108">
      <c r="A108" s="18" t="n"/>
      <c r="B108" s="14" t="n"/>
      <c r="C108" s="14" t="n"/>
      <c r="D108" s="27" t="n">
        <v>50</v>
      </c>
      <c r="E108" s="28" t="n"/>
      <c r="F108" s="28" t="n"/>
      <c r="G108" s="28" t="n"/>
      <c r="H108" s="28" t="n"/>
      <c r="I108" s="14" t="n"/>
      <c r="J108" s="14" t="n"/>
      <c r="K108" s="15" t="n"/>
      <c r="L108" s="10" t="n"/>
      <c r="M108" s="11" t="n"/>
    </row>
    <row r="109">
      <c r="A109" s="18" t="n"/>
      <c r="B109" s="14" t="n"/>
      <c r="C109" s="14" t="n"/>
      <c r="D109" s="27" t="n">
        <v>100</v>
      </c>
      <c r="E109" s="28" t="n"/>
      <c r="F109" s="28" t="n"/>
      <c r="G109" s="28" t="n"/>
      <c r="H109" s="28" t="n"/>
      <c r="I109" s="14" t="n"/>
      <c r="J109" s="14" t="n"/>
      <c r="K109" s="15" t="n"/>
      <c r="L109" s="10" t="n"/>
      <c r="M109" s="11" t="n"/>
    </row>
    <row r="110">
      <c r="A110" s="18" t="n"/>
      <c r="B110" s="14" t="n"/>
      <c r="C110" s="14" t="n"/>
      <c r="D110" s="27" t="n">
        <v>250</v>
      </c>
      <c r="E110" s="28" t="n"/>
      <c r="F110" s="28" t="n"/>
      <c r="G110" s="28" t="n"/>
      <c r="H110" s="28" t="n"/>
      <c r="I110" s="14" t="n"/>
      <c r="J110" s="14" t="n"/>
      <c r="K110" s="15" t="n"/>
      <c r="L110" s="10" t="n"/>
      <c r="M110" s="11" t="n"/>
    </row>
    <row r="111">
      <c r="A111" s="18" t="n"/>
      <c r="B111" s="14" t="n"/>
      <c r="C111" s="14" t="n"/>
      <c r="D111" s="27" t="n">
        <v>500</v>
      </c>
      <c r="E111" s="28" t="n"/>
      <c r="F111" s="28" t="n"/>
      <c r="G111" s="28" t="n"/>
      <c r="H111" s="28" t="n"/>
      <c r="I111" s="14" t="n"/>
      <c r="J111" s="14" t="n"/>
      <c r="K111" s="15" t="n"/>
      <c r="L111" s="10" t="n"/>
      <c r="M111" s="11" t="n"/>
    </row>
    <row r="112">
      <c r="A112" s="18" t="n"/>
      <c r="B112" s="14" t="n"/>
      <c r="C112" s="14" t="n"/>
      <c r="D112" s="30" t="n">
        <v>1000</v>
      </c>
      <c r="E112" s="28" t="n"/>
      <c r="F112" s="28" t="n"/>
      <c r="G112" s="28" t="n"/>
      <c r="H112" s="28" t="n"/>
      <c r="I112" s="14" t="n"/>
      <c r="J112" s="14" t="n"/>
      <c r="K112" s="15" t="n"/>
      <c r="L112" s="10" t="n"/>
      <c r="M112" s="11" t="n"/>
    </row>
    <row r="113" ht="6.75" customHeight="1">
      <c r="A113" s="18" t="n"/>
      <c r="B113" s="14" t="n"/>
      <c r="C113" s="14" t="n"/>
      <c r="D113" s="14" t="n"/>
      <c r="E113" s="14" t="n"/>
      <c r="F113" s="14" t="n"/>
      <c r="G113" s="14" t="n"/>
      <c r="H113" s="14" t="n"/>
      <c r="I113" s="14" t="n"/>
      <c r="J113" s="14" t="n"/>
      <c r="K113" s="15" t="n"/>
      <c r="L113" s="10" t="n"/>
      <c r="M113" s="11" t="n"/>
    </row>
    <row r="114">
      <c r="A114" s="18" t="n"/>
      <c r="B114" s="14" t="n"/>
      <c r="C114" s="14" t="n"/>
      <c r="D114" s="14" t="n"/>
      <c r="E114" s="70" t="inlineStr">
        <is>
          <t>Gross Loss ($M)</t>
        </is>
      </c>
      <c r="F114" s="14" t="n"/>
      <c r="G114" s="14" t="n"/>
      <c r="H114" s="14" t="n"/>
      <c r="I114" s="14" t="n"/>
      <c r="J114" s="70" t="inlineStr">
        <is>
          <t>Net Loss ($M)</t>
        </is>
      </c>
      <c r="K114" s="15" t="n"/>
      <c r="L114" s="10" t="n"/>
      <c r="M114" s="11" t="n"/>
    </row>
    <row r="115">
      <c r="A115" s="18" t="n"/>
      <c r="B115" s="14" t="n"/>
      <c r="C115" s="14" t="n"/>
      <c r="D115" s="33" t="inlineStr">
        <is>
          <t xml:space="preserve">Annual average aggregate gross loss </t>
        </is>
      </c>
      <c r="E115" s="28" t="n"/>
      <c r="F115" s="14" t="n"/>
      <c r="G115" s="14" t="n"/>
      <c r="H115" s="14" t="n"/>
      <c r="I115" s="33" t="inlineStr">
        <is>
          <t>Annual average aggregate net loss (net of reinstatements terms)</t>
        </is>
      </c>
      <c r="J115" s="28" t="n"/>
      <c r="K115" s="15" t="n"/>
      <c r="L115" s="10" t="n"/>
      <c r="M115" s="11" t="n"/>
    </row>
    <row r="116">
      <c r="A116" s="18" t="n"/>
      <c r="B116" s="14" t="n"/>
      <c r="C116" s="14" t="n"/>
      <c r="D116" s="33" t="n"/>
      <c r="E116" s="14" t="n"/>
      <c r="F116" s="14" t="n"/>
      <c r="G116" s="14" t="n"/>
      <c r="H116" s="14" t="n"/>
      <c r="I116" s="33" t="inlineStr">
        <is>
          <t>Reinstatement terms included in Annual average aggregated net loss</t>
        </is>
      </c>
      <c r="J116" s="28" t="n"/>
      <c r="K116" s="15" t="n"/>
      <c r="L116" s="10" t="n"/>
      <c r="M116" s="11" t="n"/>
    </row>
    <row r="117">
      <c r="A117" s="18" t="n"/>
      <c r="B117" s="14" t="n"/>
      <c r="C117" s="14" t="n"/>
      <c r="D117" s="33" t="inlineStr">
        <is>
          <t xml:space="preserve">Standard deviation of annual aggregate gross loss </t>
        </is>
      </c>
      <c r="E117" s="28" t="n"/>
      <c r="F117" s="14" t="n"/>
      <c r="G117" s="14" t="n"/>
      <c r="H117" s="14" t="n"/>
      <c r="I117" s="33" t="inlineStr">
        <is>
          <t>Standard deviation of annual aggregate net loss (net of reinstatements terms)</t>
        </is>
      </c>
      <c r="J117" s="28" t="n"/>
      <c r="K117" s="15" t="n"/>
      <c r="L117" s="10" t="n"/>
      <c r="M117" s="11" t="n"/>
    </row>
    <row r="118" ht="6.75" customHeight="1">
      <c r="A118" s="18" t="n"/>
      <c r="B118" s="14" t="n"/>
      <c r="C118" s="14" t="n"/>
      <c r="D118" s="33" t="n"/>
      <c r="E118" s="71" t="n"/>
      <c r="F118" s="14" t="n"/>
      <c r="G118" s="14" t="n"/>
      <c r="H118" s="14" t="n"/>
      <c r="I118" s="33" t="n"/>
      <c r="J118" s="35" t="n"/>
      <c r="K118" s="15" t="n"/>
      <c r="L118" s="10" t="n"/>
      <c r="M118" s="11" t="n"/>
    </row>
    <row r="119">
      <c r="A119" s="18" t="n"/>
      <c r="B119" s="14" t="n"/>
      <c r="C119" s="14" t="n"/>
      <c r="D119" s="33" t="inlineStr">
        <is>
          <t xml:space="preserve">Total gross statutory property catastrophe premium modelled </t>
        </is>
      </c>
      <c r="E119" s="34" t="n"/>
      <c r="F119" s="14" t="n"/>
      <c r="G119" s="14" t="n"/>
      <c r="H119" s="14" t="n"/>
      <c r="I119" s="33" t="inlineStr">
        <is>
          <t>Total net statutory property catastrophe premium modelled</t>
        </is>
      </c>
      <c r="J119" s="34" t="n"/>
      <c r="K119" s="15" t="n"/>
      <c r="L119" s="10" t="n"/>
      <c r="M119" s="11" t="n"/>
    </row>
    <row r="120">
      <c r="A120" s="18" t="n"/>
      <c r="B120" s="14" t="n"/>
      <c r="C120" s="14" t="n"/>
      <c r="D120" s="33" t="inlineStr">
        <is>
          <t xml:space="preserve">Total gross all other catastrophe premium modelled </t>
        </is>
      </c>
      <c r="E120" s="190" t="n"/>
      <c r="F120" s="14" t="n"/>
      <c r="G120" s="14" t="n"/>
      <c r="H120" s="14" t="n"/>
      <c r="I120" s="33" t="inlineStr">
        <is>
          <t>Total net all other catastrophe premium modelled</t>
        </is>
      </c>
      <c r="J120" s="190" t="n"/>
      <c r="K120" s="15" t="n"/>
      <c r="L120" s="10" t="n"/>
      <c r="M120" s="11" t="n"/>
    </row>
    <row r="121" ht="6.75" customHeight="1">
      <c r="A121" s="18" t="n"/>
      <c r="B121" s="14" t="n"/>
      <c r="C121" s="14" t="n"/>
      <c r="D121" s="14" t="n"/>
      <c r="E121" s="32" t="n"/>
      <c r="F121" s="14" t="n"/>
      <c r="G121" s="14" t="n"/>
      <c r="H121" s="14" t="n"/>
      <c r="I121" s="14" t="n"/>
      <c r="J121" s="32" t="n"/>
      <c r="K121" s="15" t="n"/>
      <c r="L121" s="10" t="n"/>
      <c r="M121" s="11" t="n"/>
    </row>
    <row r="122">
      <c r="A122" s="18" t="n"/>
      <c r="B122" s="14" t="n"/>
      <c r="C122" s="14" t="n"/>
      <c r="D122" s="33" t="inlineStr">
        <is>
          <t>Total gross statutory property catastrophe limits exposed - modelled</t>
        </is>
      </c>
      <c r="E122" s="34" t="n"/>
      <c r="F122" s="14" t="n"/>
      <c r="G122" s="14" t="n"/>
      <c r="H122" s="14" t="n"/>
      <c r="I122" s="33" t="inlineStr">
        <is>
          <t>Total net statutory property catastrophe limits exposed – modelled</t>
        </is>
      </c>
      <c r="J122" s="34" t="n"/>
      <c r="K122" s="15" t="n"/>
      <c r="L122" s="10" t="n"/>
      <c r="M122" s="11" t="n"/>
    </row>
    <row r="123">
      <c r="A123" s="18" t="n"/>
      <c r="B123" s="14" t="n"/>
      <c r="C123" s="14" t="n"/>
      <c r="D123" s="33" t="inlineStr">
        <is>
          <t>Total gross statutory property catastrophe limits exposed - not modelled</t>
        </is>
      </c>
      <c r="E123" s="34" t="n"/>
      <c r="F123" s="14" t="n"/>
      <c r="G123" s="14" t="n"/>
      <c r="H123" s="14" t="n"/>
      <c r="I123" s="33" t="inlineStr">
        <is>
          <t>Total net statutory property catastrophe limits exposed– not modelled</t>
        </is>
      </c>
      <c r="J123" s="34" t="n"/>
      <c r="K123" s="15" t="n"/>
      <c r="L123" s="10" t="n"/>
      <c r="M123" s="11" t="n"/>
    </row>
    <row r="124">
      <c r="A124" s="18" t="n"/>
      <c r="B124" s="14" t="n"/>
      <c r="C124" s="14" t="n"/>
      <c r="D124" s="33" t="inlineStr">
        <is>
          <t>Total gross all other lines limits exposed- modelled</t>
        </is>
      </c>
      <c r="E124" s="37">
        <f>SUMIFS(BSCRInput[sum_pml],BSCRInput[bscr_entity],"3624",BSCRInput[region],"ALL",BSCRInput[peril_id],1,BSCRInput[is_geocoded],1)/1000000</f>
        <v>27.261220680000005</v>
      </c>
      <c r="F124" s="14" t="n"/>
      <c r="G124" s="14" t="n"/>
      <c r="H124" s="14" t="n"/>
      <c r="I124" s="33" t="inlineStr">
        <is>
          <t>Total net all other lines limits exposed – modelled</t>
        </is>
      </c>
      <c r="J124" s="37">
        <f>SUMIFS(BSCRInput[sum_net],BSCRInput[bscr_entity],"3624",BSCRInput[region],"ALL",BSCRInput[peril_id],1,BSCRInput[is_geocoded],1)/1000000</f>
        <v>27.261220680000005</v>
      </c>
      <c r="K124" s="15" t="n"/>
      <c r="L124" s="10" t="n"/>
      <c r="M124" s="11" t="n"/>
    </row>
    <row r="125">
      <c r="A125" s="18" t="n"/>
      <c r="B125" s="14" t="n"/>
      <c r="C125" s="14" t="n"/>
      <c r="D125" s="33" t="inlineStr">
        <is>
          <t>Total gross all other lines limits exposed - not modelled</t>
        </is>
      </c>
      <c r="E125" s="37">
        <f>SUMIFS(BSCRInput[sum_pml],BSCRInput[bscr_entity],"3624",BSCRInput[region],"ALL",BSCRInput[peril_id],1,BSCRInput[is_geocoded],0)/1000000</f>
        <v>0.29835</v>
      </c>
      <c r="F125" s="14" t="n"/>
      <c r="G125" s="14" t="n"/>
      <c r="H125" s="14" t="n"/>
      <c r="I125" s="33" t="inlineStr">
        <is>
          <t>Total net all other lines limits exposed - not modelled</t>
        </is>
      </c>
      <c r="J125" s="37">
        <f>SUMIFS(BSCRInput[sum_net],BSCRInput[bscr_entity],"3624",BSCRInput[region],"ALL",BSCRInput[peril_id],1,BSCRInput[is_geocoded],0)/1000000</f>
        <v>0.29835</v>
      </c>
      <c r="K125" s="15" t="n"/>
      <c r="L125" s="10" t="n"/>
      <c r="M125" s="11" t="n"/>
    </row>
    <row r="126">
      <c r="A126" s="18" t="n"/>
      <c r="B126" s="14" t="n"/>
      <c r="C126" s="14" t="n"/>
      <c r="D126" s="33" t="inlineStr">
        <is>
          <t>Total gross premium without an occurrence or aggregate limit</t>
        </is>
      </c>
      <c r="E126" s="34" t="n"/>
      <c r="F126" s="14" t="n"/>
      <c r="G126" s="14" t="n"/>
      <c r="H126" s="14" t="n"/>
      <c r="I126" s="33" t="inlineStr">
        <is>
          <t>Total net premium without an occurrence or aggregate limit</t>
        </is>
      </c>
      <c r="J126" s="34" t="n"/>
      <c r="K126" s="15" t="n"/>
      <c r="L126" s="10" t="n"/>
      <c r="M126" s="11" t="n"/>
    </row>
    <row r="127">
      <c r="A127" s="18" t="n"/>
      <c r="B127" s="14" t="n"/>
      <c r="C127" s="14" t="n"/>
      <c r="D127" s="33" t="inlineStr">
        <is>
          <t>Total gross premium with non determinable Total Insured Value (“TIV”)</t>
        </is>
      </c>
      <c r="E127" s="34" t="n"/>
      <c r="F127" s="14" t="n"/>
      <c r="G127" s="14" t="n"/>
      <c r="H127" s="14" t="n"/>
      <c r="I127" s="33" t="inlineStr">
        <is>
          <t>Total net premium with non-determinable TIV:</t>
        </is>
      </c>
      <c r="J127" s="34" t="n"/>
      <c r="K127" s="15" t="n"/>
      <c r="L127" s="10" t="n"/>
      <c r="M127" s="11" t="n"/>
    </row>
    <row r="128" ht="6.75" customHeight="1">
      <c r="A128" s="18" t="n"/>
      <c r="B128" s="14" t="n"/>
      <c r="C128" s="14" t="n"/>
      <c r="D128" s="14" t="n"/>
      <c r="E128" s="14" t="n"/>
      <c r="F128" s="14" t="n"/>
      <c r="G128" s="14" t="n"/>
      <c r="H128" s="14" t="n"/>
      <c r="I128" s="14" t="n"/>
      <c r="J128" s="71" t="n"/>
      <c r="K128" s="15" t="n"/>
      <c r="L128" s="10" t="n"/>
      <c r="M128" s="11" t="n"/>
    </row>
    <row r="129">
      <c r="A129" s="18" t="n"/>
      <c r="B129" s="14" t="n"/>
      <c r="C129" s="19" t="inlineStr">
        <is>
          <t>2. Significant sources of catastrophe risk and associated loss included in the EP Curves:</t>
        </is>
      </c>
      <c r="D129" s="14" t="n"/>
      <c r="E129" s="14" t="n"/>
      <c r="F129" s="14" t="n"/>
      <c r="G129" s="14" t="n"/>
      <c r="H129" s="14" t="n"/>
      <c r="I129" s="48" t="n"/>
      <c r="J129" s="72" t="n"/>
      <c r="K129" s="49" t="n"/>
      <c r="L129" s="10" t="n"/>
      <c r="M129" s="11" t="n"/>
    </row>
    <row r="130">
      <c r="A130" s="18" t="n"/>
      <c r="B130" s="14" t="n"/>
      <c r="C130" s="14" t="n"/>
      <c r="D130" s="33" t="inlineStr">
        <is>
          <t>Allocated loss adjustment expense</t>
        </is>
      </c>
      <c r="E130" s="38" t="n"/>
      <c r="F130" s="39" t="n"/>
      <c r="G130" s="39" t="n"/>
      <c r="H130" s="73" t="str">
        <f>IF(E130="No","If no, why not:","")</f>
        <v/>
      </c>
      <c r="I130" s="41" t="n"/>
      <c r="J130" s="42" t="n"/>
      <c r="K130" s="43" t="n"/>
      <c r="L130" s="10" t="n"/>
      <c r="M130" s="11" t="n"/>
    </row>
    <row r="131">
      <c r="A131" s="18" t="n"/>
      <c r="B131" s="14" t="n"/>
      <c r="C131" s="14" t="n"/>
      <c r="D131" s="33" t="inlineStr">
        <is>
          <t>Property - buildings</t>
        </is>
      </c>
      <c r="E131" s="38" t="n"/>
      <c r="F131" s="39" t="n"/>
      <c r="G131" s="39" t="n"/>
      <c r="H131" s="73" t="str">
        <f>IF(E131="No","If no, why not:","")</f>
        <v/>
      </c>
      <c r="I131" s="41" t="n"/>
      <c r="J131" s="42" t="n"/>
      <c r="K131" s="43" t="n"/>
      <c r="L131" s="10" t="n"/>
      <c r="M131" s="11" t="n"/>
    </row>
    <row r="132">
      <c r="A132" s="18" t="n"/>
      <c r="B132" s="14" t="n"/>
      <c r="C132" s="14" t="n"/>
      <c r="D132" s="33" t="inlineStr">
        <is>
          <t>Property - contents</t>
        </is>
      </c>
      <c r="E132" s="38" t="n"/>
      <c r="F132" s="39" t="n"/>
      <c r="G132" s="39" t="n"/>
      <c r="H132" s="73" t="str">
        <f>IF(E132="No","If no, why not:","")</f>
        <v/>
      </c>
      <c r="I132" s="41" t="n"/>
      <c r="J132" s="42" t="n"/>
      <c r="K132" s="43" t="n"/>
      <c r="L132" s="10" t="n"/>
      <c r="M132" s="11" t="n"/>
    </row>
    <row r="133">
      <c r="A133" s="18" t="n"/>
      <c r="B133" s="14" t="n"/>
      <c r="C133" s="14" t="n"/>
      <c r="D133" s="33" t="inlineStr">
        <is>
          <t>Additional living expenses</t>
        </is>
      </c>
      <c r="E133" s="44" t="n"/>
      <c r="F133" s="39" t="n"/>
      <c r="G133" s="39" t="n"/>
      <c r="H133" s="73" t="str">
        <f>IF(E133="No","If no, why not:","")</f>
        <v/>
      </c>
      <c r="I133" s="41" t="n"/>
      <c r="J133" s="42" t="n"/>
      <c r="K133" s="43" t="n"/>
      <c r="L133" s="10" t="n"/>
      <c r="M133" s="11" t="n"/>
    </row>
    <row r="134">
      <c r="A134" s="18" t="n"/>
      <c r="B134" s="14" t="n"/>
      <c r="C134" s="14" t="n"/>
      <c r="D134" s="33" t="inlineStr">
        <is>
          <t>Business interruption</t>
        </is>
      </c>
      <c r="E134" s="38" t="n"/>
      <c r="F134" s="45" t="n"/>
      <c r="G134" s="46" t="n"/>
      <c r="H134" s="73" t="str">
        <f>IF(E134="No","If no, why not:","")</f>
        <v/>
      </c>
      <c r="I134" s="41" t="n"/>
      <c r="J134" s="42" t="n"/>
      <c r="K134" s="43" t="n"/>
      <c r="L134" s="10" t="n"/>
      <c r="M134" s="11" t="n"/>
    </row>
    <row r="135">
      <c r="A135" s="18" t="n"/>
      <c r="B135" s="14" t="n"/>
      <c r="C135" s="14" t="n"/>
      <c r="D135" s="33" t="inlineStr">
        <is>
          <t>Auto physical damage</t>
        </is>
      </c>
      <c r="E135" s="38" t="n"/>
      <c r="F135" s="45" t="n"/>
      <c r="G135" s="46" t="n"/>
      <c r="H135" s="73" t="str">
        <f>IF(E135="No","If no, why not:","")</f>
        <v/>
      </c>
      <c r="I135" s="41" t="n"/>
      <c r="J135" s="42" t="n"/>
      <c r="K135" s="43" t="n"/>
      <c r="L135" s="10" t="n"/>
      <c r="M135" s="11" t="n"/>
    </row>
    <row r="136">
      <c r="A136" s="18" t="n"/>
      <c r="B136" s="14" t="n"/>
      <c r="C136" s="14" t="n"/>
      <c r="D136" s="33" t="inlineStr">
        <is>
          <t>Worker's compensation</t>
        </is>
      </c>
      <c r="E136" s="38" t="n"/>
      <c r="F136" s="45" t="n"/>
      <c r="G136" s="46" t="n"/>
      <c r="H136" s="73" t="str">
        <f>IF(E136="No","If no, why not:","")</f>
        <v/>
      </c>
      <c r="I136" s="41" t="n"/>
      <c r="J136" s="42" t="n"/>
      <c r="K136" s="43" t="n"/>
      <c r="L136" s="10" t="n"/>
      <c r="M136" s="11" t="n"/>
    </row>
    <row r="137">
      <c r="A137" s="18" t="n"/>
      <c r="B137" s="14" t="n"/>
      <c r="C137" s="14" t="n"/>
      <c r="D137" s="33" t="inlineStr">
        <is>
          <t>Personal accident</t>
        </is>
      </c>
      <c r="E137" s="38" t="n"/>
      <c r="F137" s="45" t="n"/>
      <c r="G137" s="46" t="n"/>
      <c r="H137" s="73" t="str">
        <f>IF(E137="No","If no, why not:","")</f>
        <v/>
      </c>
      <c r="I137" s="41" t="n"/>
      <c r="J137" s="42" t="n"/>
      <c r="K137" s="43" t="n"/>
      <c r="L137" s="10" t="n"/>
      <c r="M137" s="11" t="n"/>
    </row>
    <row r="138">
      <c r="A138" s="18" t="n"/>
      <c r="B138" s="14" t="n"/>
      <c r="C138" s="14" t="n"/>
      <c r="D138" s="33" t="inlineStr">
        <is>
          <t>Life insurance</t>
        </is>
      </c>
      <c r="E138" s="38" t="n"/>
      <c r="F138" s="45" t="n"/>
      <c r="G138" s="46" t="n"/>
      <c r="H138" s="73" t="str">
        <f>IF(E138="No","If no, why not:","")</f>
        <v/>
      </c>
      <c r="I138" s="41" t="n"/>
      <c r="J138" s="42" t="n"/>
      <c r="K138" s="43" t="n"/>
      <c r="L138" s="10" t="n"/>
      <c r="M138" s="11" t="n"/>
    </row>
    <row r="139">
      <c r="A139" s="18" t="n"/>
      <c r="B139" s="14" t="n"/>
      <c r="C139" s="14" t="n"/>
      <c r="D139" s="33" t="inlineStr">
        <is>
          <t>Onshore Energy</t>
        </is>
      </c>
      <c r="E139" s="38" t="n"/>
      <c r="F139" s="45" t="n"/>
      <c r="G139" s="46" t="n"/>
      <c r="H139" s="73" t="str">
        <f>IF(E139="No","If no, why not:","")</f>
        <v/>
      </c>
      <c r="I139" s="41" t="n"/>
      <c r="J139" s="42" t="n"/>
      <c r="K139" s="43" t="n"/>
      <c r="L139" s="10" t="n"/>
      <c r="M139" s="11" t="n"/>
    </row>
    <row r="140">
      <c r="A140" s="18" t="n"/>
      <c r="B140" s="14" t="n"/>
      <c r="C140" s="14" t="n"/>
      <c r="D140" s="33" t="inlineStr">
        <is>
          <t>Offshore Energy</t>
        </is>
      </c>
      <c r="E140" s="38" t="n"/>
      <c r="F140" s="45" t="n"/>
      <c r="G140" s="46" t="n"/>
      <c r="H140" s="73" t="str">
        <f>IF(E140="No","If no, why not:","")</f>
        <v/>
      </c>
      <c r="I140" s="41" t="n"/>
      <c r="J140" s="42" t="n"/>
      <c r="K140" s="43" t="n"/>
      <c r="L140" s="10" t="n"/>
      <c r="M140" s="11" t="n"/>
    </row>
    <row r="141">
      <c r="A141" s="18" t="n"/>
      <c r="B141" s="14" t="n"/>
      <c r="C141" s="14" t="n"/>
      <c r="D141" s="33" t="inlineStr">
        <is>
          <t>Ocean marine</t>
        </is>
      </c>
      <c r="E141" s="38" t="n"/>
      <c r="F141" s="45" t="n"/>
      <c r="G141" s="46" t="n"/>
      <c r="H141" s="73" t="str">
        <f>IF(E141="No","If no, why not:","")</f>
        <v/>
      </c>
      <c r="I141" s="41" t="n"/>
      <c r="J141" s="42" t="n"/>
      <c r="K141" s="43" t="n"/>
      <c r="L141" s="10" t="n"/>
      <c r="M141" s="11" t="n"/>
    </row>
    <row r="142">
      <c r="A142" s="18" t="n"/>
      <c r="B142" s="14" t="n"/>
      <c r="C142" s="14" t="n"/>
      <c r="D142" s="33" t="inlineStr">
        <is>
          <t>Inland marine</t>
        </is>
      </c>
      <c r="E142" s="38" t="n"/>
      <c r="F142" s="45" t="n"/>
      <c r="G142" s="46" t="n"/>
      <c r="H142" s="73" t="str">
        <f>IF(E142="No","If no, why not:","")</f>
        <v/>
      </c>
      <c r="I142" s="41" t="n"/>
      <c r="J142" s="42" t="n"/>
      <c r="K142" s="43" t="n"/>
      <c r="L142" s="10" t="n"/>
      <c r="M142" s="11" t="n"/>
    </row>
    <row r="143">
      <c r="A143" s="18" t="n"/>
      <c r="B143" s="14" t="n"/>
      <c r="C143" s="14" t="n"/>
      <c r="D143" s="33" t="inlineStr">
        <is>
          <t>Flood</t>
        </is>
      </c>
      <c r="E143" s="38" t="n"/>
      <c r="F143" s="45" t="n"/>
      <c r="G143" s="46" t="n"/>
      <c r="H143" s="73" t="str">
        <f>IF(E143="No","If no, why not:","")</f>
        <v/>
      </c>
      <c r="I143" s="41" t="n"/>
      <c r="J143" s="42" t="n"/>
      <c r="K143" s="43" t="n"/>
      <c r="L143" s="10" t="n"/>
      <c r="M143" s="11" t="n"/>
    </row>
    <row r="144">
      <c r="A144" s="18" t="n"/>
      <c r="B144" s="14" t="n"/>
      <c r="C144" s="14" t="n"/>
      <c r="D144" s="33" t="inlineStr">
        <is>
          <t>Crop</t>
        </is>
      </c>
      <c r="E144" s="38" t="n"/>
      <c r="F144" s="45" t="n"/>
      <c r="G144" s="46" t="n"/>
      <c r="H144" s="73" t="str">
        <f>IF(E144="No","If no, why not:","")</f>
        <v/>
      </c>
      <c r="I144" s="41" t="n"/>
      <c r="J144" s="42" t="n"/>
      <c r="K144" s="43" t="n"/>
      <c r="L144" s="10" t="n"/>
      <c r="M144" s="11" t="n"/>
    </row>
    <row r="145">
      <c r="A145" s="18" t="n"/>
      <c r="B145" s="14" t="n"/>
      <c r="C145" s="14" t="n"/>
      <c r="D145" s="33" t="inlineStr">
        <is>
          <t>Other primary insurance</t>
        </is>
      </c>
      <c r="E145" s="38" t="n"/>
      <c r="F145" s="45" t="n"/>
      <c r="G145" s="46" t="n"/>
      <c r="H145" s="73" t="str">
        <f>IF(E145="No","If no, why not:","")</f>
        <v/>
      </c>
      <c r="I145" s="41" t="n"/>
      <c r="J145" s="42" t="n"/>
      <c r="K145" s="43" t="n"/>
      <c r="L145" s="10" t="n"/>
      <c r="M145" s="11" t="n"/>
    </row>
    <row r="146" ht="6.75" customHeight="1">
      <c r="A146" s="18" t="n"/>
      <c r="B146" s="14" t="n"/>
      <c r="C146" s="14" t="n"/>
      <c r="D146" s="14" t="n"/>
      <c r="E146" s="39" t="n"/>
      <c r="F146" s="39" t="n"/>
      <c r="G146" s="39" t="n"/>
      <c r="H146" s="73" t="n"/>
      <c r="I146" s="74" t="n"/>
      <c r="J146" s="74" t="n"/>
      <c r="K146" s="75" t="n"/>
      <c r="L146" s="10" t="n"/>
      <c r="M146" s="11" t="n"/>
    </row>
    <row r="147">
      <c r="A147" s="18" t="n"/>
      <c r="B147" s="14" t="n"/>
      <c r="C147" s="19" t="inlineStr">
        <is>
          <t>3. Assumed reinsurance information:</t>
        </is>
      </c>
      <c r="D147" s="14" t="n"/>
      <c r="E147" s="39" t="n"/>
      <c r="F147" s="39" t="n"/>
      <c r="G147" s="39" t="n"/>
      <c r="H147" s="73" t="n"/>
      <c r="I147" s="74" t="n"/>
      <c r="J147" s="74" t="n"/>
      <c r="K147" s="75" t="n"/>
      <c r="L147" s="10" t="n"/>
      <c r="M147" s="11" t="n"/>
    </row>
    <row r="148">
      <c r="A148" s="18" t="n"/>
      <c r="B148" s="14" t="n"/>
      <c r="C148" s="14" t="n"/>
      <c r="D148" s="33" t="inlineStr">
        <is>
          <t>Proportional - quota share</t>
        </is>
      </c>
      <c r="E148" s="38" t="n"/>
      <c r="F148" s="45" t="n"/>
      <c r="G148" s="46" t="n"/>
      <c r="H148" s="73" t="str">
        <f>IF(E148="No","If no, why not:","")</f>
        <v/>
      </c>
      <c r="I148" s="41" t="n"/>
      <c r="J148" s="42" t="n"/>
      <c r="K148" s="43" t="n"/>
      <c r="L148" s="10" t="n"/>
      <c r="M148" s="11" t="n"/>
    </row>
    <row r="149">
      <c r="A149" s="18" t="n"/>
      <c r="B149" s="14" t="n"/>
      <c r="C149" s="14" t="n"/>
      <c r="D149" s="33" t="inlineStr">
        <is>
          <t>Proportional - surplus share</t>
        </is>
      </c>
      <c r="E149" s="38" t="n"/>
      <c r="F149" s="45" t="n"/>
      <c r="G149" s="46" t="n"/>
      <c r="H149" s="73" t="str">
        <f>IF(E149="No","If no, why not:","")</f>
        <v/>
      </c>
      <c r="I149" s="41" t="n"/>
      <c r="J149" s="42" t="n"/>
      <c r="K149" s="43" t="n"/>
      <c r="L149" s="10" t="n"/>
      <c r="M149" s="11" t="n"/>
    </row>
    <row r="150">
      <c r="A150" s="18" t="n"/>
      <c r="B150" s="14" t="n"/>
      <c r="C150" s="14" t="n"/>
      <c r="D150" s="33" t="inlineStr">
        <is>
          <t>Non-proportional - catastrophe</t>
        </is>
      </c>
      <c r="E150" s="38" t="n"/>
      <c r="F150" s="45" t="n"/>
      <c r="G150" s="46" t="n"/>
      <c r="H150" s="73" t="str">
        <f>IF(E150="No","If no, why not:","")</f>
        <v/>
      </c>
      <c r="I150" s="41" t="n"/>
      <c r="J150" s="42" t="n"/>
      <c r="K150" s="43" t="n"/>
      <c r="L150" s="10" t="n"/>
      <c r="M150" s="11" t="n"/>
    </row>
    <row r="151">
      <c r="A151" s="18" t="n"/>
      <c r="B151" s="14" t="n"/>
      <c r="C151" s="14" t="n"/>
      <c r="D151" s="33" t="inlineStr">
        <is>
          <t>Non-proportional - per risk</t>
        </is>
      </c>
      <c r="E151" s="38" t="n"/>
      <c r="F151" s="45" t="n"/>
      <c r="G151" s="46" t="n"/>
      <c r="H151" s="73" t="str">
        <f>IF(E151="No","If no, why not:","")</f>
        <v/>
      </c>
      <c r="I151" s="41" t="n"/>
      <c r="J151" s="42" t="n"/>
      <c r="K151" s="43" t="n"/>
      <c r="L151" s="10" t="n"/>
      <c r="M151" s="11" t="n"/>
    </row>
    <row r="152">
      <c r="A152" s="18" t="n"/>
      <c r="B152" s="14" t="n"/>
      <c r="C152" s="14" t="n"/>
      <c r="D152" s="33" t="inlineStr">
        <is>
          <t>Other reinsurance assumed</t>
        </is>
      </c>
      <c r="E152" s="38" t="n"/>
      <c r="F152" s="45" t="n"/>
      <c r="G152" s="46" t="n"/>
      <c r="H152" s="73" t="str">
        <f>IF(E152="No","If no, why not:","")</f>
        <v/>
      </c>
      <c r="I152" s="41" t="n"/>
      <c r="J152" s="42" t="n"/>
      <c r="K152" s="43" t="n"/>
      <c r="L152" s="10" t="n"/>
      <c r="M152" s="11" t="n"/>
    </row>
    <row r="153" ht="6.75" customHeight="1">
      <c r="A153" s="18" t="n"/>
      <c r="B153" s="14" t="n"/>
      <c r="C153" s="14" t="n"/>
      <c r="D153" s="33" t="n"/>
      <c r="E153" s="39" t="n"/>
      <c r="F153" s="39" t="n"/>
      <c r="G153" s="39" t="n"/>
      <c r="H153" s="73" t="n"/>
      <c r="I153" s="50" t="n"/>
      <c r="J153" s="50" t="n"/>
      <c r="K153" s="41" t="n"/>
      <c r="L153" s="10" t="n"/>
      <c r="M153" s="11" t="n"/>
    </row>
    <row r="154">
      <c r="A154" s="18" t="n"/>
      <c r="B154" s="14" t="n"/>
      <c r="C154" s="19" t="inlineStr">
        <is>
          <t>4. Pools and assessments information:</t>
        </is>
      </c>
      <c r="D154" s="33" t="n"/>
      <c r="E154" s="39" t="n"/>
      <c r="F154" s="39" t="n"/>
      <c r="G154" s="39" t="n"/>
      <c r="H154" s="73" t="n"/>
      <c r="I154" s="74" t="n"/>
      <c r="J154" s="74" t="n"/>
      <c r="K154" s="75" t="n"/>
      <c r="L154" s="10" t="n"/>
      <c r="M154" s="11" t="n"/>
    </row>
    <row r="155">
      <c r="A155" s="18" t="n"/>
      <c r="B155" s="14" t="n"/>
      <c r="C155" s="51" t="n"/>
      <c r="D155" s="33" t="inlineStr">
        <is>
          <t>Voluntary pools and/or assessments</t>
        </is>
      </c>
      <c r="E155" s="38" t="n"/>
      <c r="F155" s="45" t="n"/>
      <c r="G155" s="46" t="n"/>
      <c r="H155" s="73" t="str">
        <f>IF(E155="No","If no, why not:","")</f>
        <v/>
      </c>
      <c r="I155" s="41" t="n"/>
      <c r="J155" s="42" t="n"/>
      <c r="K155" s="43" t="n"/>
      <c r="L155" s="10" t="n"/>
      <c r="M155" s="11" t="n"/>
    </row>
    <row r="156">
      <c r="A156" s="18" t="n"/>
      <c r="B156" s="14" t="n"/>
      <c r="C156" s="51" t="n"/>
      <c r="D156" s="33" t="inlineStr">
        <is>
          <t>Involuntary pools and/or assessments</t>
        </is>
      </c>
      <c r="E156" s="38" t="n"/>
      <c r="F156" s="45" t="n"/>
      <c r="G156" s="46" t="n"/>
      <c r="H156" s="73" t="str">
        <f>IF(E156="No","If no, why not:","")</f>
        <v/>
      </c>
      <c r="I156" s="41" t="n"/>
      <c r="J156" s="42" t="n"/>
      <c r="K156" s="43" t="n"/>
      <c r="L156" s="10" t="n"/>
      <c r="M156" s="11" t="n"/>
    </row>
    <row r="157" ht="6.75" customHeight="1">
      <c r="A157" s="18" t="n"/>
      <c r="B157" s="14" t="n"/>
      <c r="C157" s="14" t="n"/>
      <c r="D157" s="33" t="n"/>
      <c r="E157" s="39" t="n"/>
      <c r="F157" s="39" t="n"/>
      <c r="G157" s="39" t="n"/>
      <c r="H157" s="73" t="n"/>
      <c r="I157" s="74" t="n"/>
      <c r="J157" s="74" t="n"/>
      <c r="K157" s="75" t="n"/>
      <c r="L157" s="10" t="n"/>
      <c r="M157" s="11" t="n"/>
    </row>
    <row r="158">
      <c r="A158" s="18" t="n"/>
      <c r="B158" s="14" t="n"/>
      <c r="C158" s="19" t="inlineStr">
        <is>
          <t>5. Supplemental perils and model options:</t>
        </is>
      </c>
      <c r="D158" s="33" t="n"/>
      <c r="E158" s="39" t="n"/>
      <c r="F158" s="39" t="n"/>
      <c r="G158" s="39" t="n"/>
      <c r="H158" s="73" t="n"/>
      <c r="I158" s="74" t="n"/>
      <c r="J158" s="74" t="n"/>
      <c r="K158" s="75" t="n"/>
      <c r="L158" s="10" t="n"/>
      <c r="M158" s="11" t="n"/>
    </row>
    <row r="159">
      <c r="A159" s="18" t="n"/>
      <c r="B159" s="14" t="n"/>
      <c r="C159" s="14" t="n"/>
      <c r="D159" s="33" t="inlineStr">
        <is>
          <t>Fire following</t>
        </is>
      </c>
      <c r="E159" s="38" t="n"/>
      <c r="F159" s="45" t="n"/>
      <c r="G159" s="46" t="n"/>
      <c r="H159" s="73" t="str">
        <f>IF(E159="No","If no, why not:","")</f>
        <v/>
      </c>
      <c r="I159" s="41" t="n"/>
      <c r="J159" s="42" t="n"/>
      <c r="K159" s="43" t="n"/>
      <c r="L159" s="10" t="n"/>
      <c r="M159" s="11" t="n"/>
    </row>
    <row r="160">
      <c r="A160" s="18" t="n"/>
      <c r="B160" s="14" t="n"/>
      <c r="C160" s="14" t="n"/>
      <c r="D160" s="33" t="inlineStr">
        <is>
          <t>Sprinkler leakage</t>
        </is>
      </c>
      <c r="E160" s="38" t="n"/>
      <c r="F160" s="45" t="n"/>
      <c r="G160" s="46" t="n"/>
      <c r="H160" s="73" t="str">
        <f>IF(E160="No","If no, why not:","")</f>
        <v/>
      </c>
      <c r="I160" s="41" t="n"/>
      <c r="J160" s="42" t="n"/>
      <c r="K160" s="43" t="n"/>
      <c r="L160" s="10" t="n"/>
      <c r="M160" s="11" t="n"/>
    </row>
    <row r="161">
      <c r="A161" s="18" t="n"/>
      <c r="B161" s="14" t="n"/>
      <c r="C161" s="14" t="n"/>
      <c r="D161" s="33" t="inlineStr">
        <is>
          <t>Storm surge</t>
        </is>
      </c>
      <c r="E161" s="38" t="n"/>
      <c r="F161" s="45" t="n"/>
      <c r="G161" s="46" t="n"/>
      <c r="H161" s="73" t="str">
        <f>IF(E161="No","If no, why not:","")</f>
        <v/>
      </c>
      <c r="I161" s="41" t="n"/>
      <c r="J161" s="42" t="n"/>
      <c r="K161" s="43" t="n"/>
      <c r="L161" s="10" t="n"/>
      <c r="M161" s="11" t="n"/>
    </row>
    <row r="162">
      <c r="A162" s="18" t="n"/>
      <c r="B162" s="14" t="n"/>
      <c r="C162" s="14" t="n"/>
      <c r="D162" s="33" t="inlineStr">
        <is>
          <t>Demand surge</t>
        </is>
      </c>
      <c r="E162" s="38" t="n"/>
      <c r="F162" s="45" t="n"/>
      <c r="G162" s="46" t="n"/>
      <c r="H162" s="73" t="str">
        <f>IF(E162="No","If no, why not:","")</f>
        <v/>
      </c>
      <c r="I162" s="41" t="n"/>
      <c r="J162" s="42" t="n"/>
      <c r="K162" s="43" t="n"/>
      <c r="L162" s="10" t="n"/>
      <c r="M162" s="11" t="n"/>
    </row>
    <row r="163">
      <c r="A163" s="18" t="n"/>
      <c r="B163" s="14" t="n"/>
      <c r="C163" s="14" t="n"/>
      <c r="D163" s="33" t="inlineStr">
        <is>
          <t>Secondary uncertainty</t>
        </is>
      </c>
      <c r="E163" s="38" t="n"/>
      <c r="F163" s="45" t="n"/>
      <c r="G163" s="46" t="n"/>
      <c r="H163" s="73" t="str">
        <f>IF(E163="No","If no, why not:","")</f>
        <v/>
      </c>
      <c r="I163" s="41" t="n"/>
      <c r="J163" s="42" t="n"/>
      <c r="K163" s="43" t="n"/>
      <c r="L163" s="10" t="n"/>
      <c r="M163" s="11" t="n"/>
    </row>
    <row r="164">
      <c r="A164" s="18" t="n"/>
      <c r="B164" s="14" t="n"/>
      <c r="C164" s="14" t="n"/>
      <c r="D164" s="33" t="inlineStr">
        <is>
          <t>Atlantic multi-decadal oscillation selection</t>
        </is>
      </c>
      <c r="E164" s="38" t="n"/>
      <c r="F164" s="39" t="n"/>
      <c r="G164" s="39" t="n"/>
      <c r="H164" s="73" t="str">
        <f>IF(E164="Long-term frequency","If long-term frequency, why:","")</f>
        <v/>
      </c>
      <c r="I164" s="41" t="n"/>
      <c r="J164" s="42" t="n"/>
      <c r="K164" s="43" t="n"/>
      <c r="L164" s="10" t="n"/>
      <c r="M164" s="11" t="n"/>
    </row>
    <row r="165" ht="6.75" customHeight="1">
      <c r="A165" s="18" t="n"/>
      <c r="B165" s="14" t="n"/>
      <c r="C165" s="14" t="n"/>
      <c r="D165" s="33" t="n"/>
      <c r="E165" s="39" t="n"/>
      <c r="F165" s="39" t="n"/>
      <c r="G165" s="39" t="n"/>
      <c r="H165" s="73" t="n"/>
      <c r="I165" s="74" t="n"/>
      <c r="J165" s="74" t="n"/>
      <c r="K165" s="75" t="n"/>
      <c r="L165" s="10" t="n"/>
      <c r="M165" s="11" t="n"/>
    </row>
    <row r="166">
      <c r="A166" s="18" t="n"/>
      <c r="B166" s="14" t="n"/>
      <c r="C166" s="19" t="inlineStr">
        <is>
          <t>6. Other adjustments information:</t>
        </is>
      </c>
      <c r="D166" s="33" t="n"/>
      <c r="E166" s="39" t="n"/>
      <c r="F166" s="39" t="n"/>
      <c r="G166" s="39" t="n"/>
      <c r="H166" s="73" t="n"/>
      <c r="I166" s="74" t="n"/>
      <c r="J166" s="74" t="n"/>
      <c r="K166" s="75" t="n"/>
      <c r="L166" s="10" t="n"/>
      <c r="M166" s="11" t="n"/>
    </row>
    <row r="167">
      <c r="A167" s="18" t="n"/>
      <c r="B167" s="14" t="n"/>
      <c r="C167" s="14" t="n"/>
      <c r="D167" s="33" t="inlineStr">
        <is>
          <t>Adjustments for exposure data quality</t>
        </is>
      </c>
      <c r="E167" s="38" t="n"/>
      <c r="F167" s="39" t="n"/>
      <c r="G167" s="39" t="n"/>
      <c r="H167" s="73" t="str">
        <f>IF(E167="No","If no, why not:","")</f>
        <v/>
      </c>
      <c r="I167" s="41" t="n"/>
      <c r="J167" s="42" t="n"/>
      <c r="K167" s="43" t="n"/>
      <c r="L167" s="10" t="n"/>
      <c r="M167" s="11" t="n"/>
    </row>
    <row r="168">
      <c r="A168" s="18" t="n"/>
      <c r="B168" s="14" t="n"/>
      <c r="C168" s="14" t="n"/>
      <c r="D168" s="33" t="inlineStr">
        <is>
          <t>Adjustments for insurance to value</t>
        </is>
      </c>
      <c r="E168" s="38" t="n"/>
      <c r="F168" s="39" t="n"/>
      <c r="G168" s="39" t="n"/>
      <c r="H168" s="73" t="str">
        <f>IF(E168="No","If no, why not:","")</f>
        <v/>
      </c>
      <c r="I168" s="41" t="n"/>
      <c r="J168" s="42" t="n"/>
      <c r="K168" s="43" t="n"/>
      <c r="L168" s="10" t="n"/>
      <c r="M168" s="11" t="n"/>
    </row>
    <row r="169">
      <c r="A169" s="18" t="n"/>
      <c r="B169" s="14" t="n"/>
      <c r="C169" s="14" t="n"/>
      <c r="D169" s="33" t="inlineStr">
        <is>
          <t>Adjustments for exposure growth</t>
        </is>
      </c>
      <c r="E169" s="44" t="n"/>
      <c r="F169" s="39" t="n"/>
      <c r="G169" s="39" t="n"/>
      <c r="H169" s="73" t="str">
        <f>IF(E169="No","If no, why not:","")</f>
        <v/>
      </c>
      <c r="I169" s="41" t="n"/>
      <c r="J169" s="42" t="n"/>
      <c r="K169" s="43" t="n"/>
      <c r="L169" s="10" t="n"/>
      <c r="M169" s="11" t="n"/>
    </row>
    <row r="170">
      <c r="A170" s="18" t="n"/>
      <c r="B170" s="14" t="n"/>
      <c r="C170" s="14" t="n"/>
      <c r="D170" s="33" t="inlineStr">
        <is>
          <t>Supplemental losses for non-modelled line of business</t>
        </is>
      </c>
      <c r="E170" s="44" t="n"/>
      <c r="F170" s="39" t="n"/>
      <c r="G170" s="39" t="n"/>
      <c r="H170" s="73" t="str">
        <f>IF(E170="No","If no, why not:","")</f>
        <v/>
      </c>
      <c r="I170" s="41" t="n"/>
      <c r="J170" s="42" t="n"/>
      <c r="K170" s="43" t="n"/>
      <c r="L170" s="10" t="n"/>
      <c r="M170" s="11" t="n"/>
    </row>
    <row r="171">
      <c r="A171" s="18" t="n"/>
      <c r="B171" s="14" t="n"/>
      <c r="C171" s="14" t="n"/>
      <c r="D171" s="33" t="inlineStr">
        <is>
          <t>Adjustments for model deficiencies – severity</t>
        </is>
      </c>
      <c r="E171" s="38" t="n"/>
      <c r="F171" s="46" t="n"/>
      <c r="G171" s="39" t="n"/>
      <c r="H171" s="73" t="str">
        <f>IF(E171="No","If no, why not:","")</f>
        <v/>
      </c>
      <c r="I171" s="41" t="n"/>
      <c r="J171" s="42" t="n"/>
      <c r="K171" s="43" t="n"/>
      <c r="L171" s="10" t="n"/>
      <c r="M171" s="11" t="n"/>
    </row>
    <row r="172">
      <c r="A172" s="18" t="n"/>
      <c r="B172" s="14" t="n"/>
      <c r="C172" s="14" t="n"/>
      <c r="D172" s="33" t="inlineStr">
        <is>
          <t>Adjustments for model deficiencies - frequency</t>
        </is>
      </c>
      <c r="E172" s="38" t="n"/>
      <c r="F172" s="46" t="n"/>
      <c r="G172" s="39" t="n"/>
      <c r="H172" s="73" t="str">
        <f>IF(E172="No","If no, why not:","")</f>
        <v/>
      </c>
      <c r="I172" s="41" t="n"/>
      <c r="J172" s="42" t="n"/>
      <c r="K172" s="43" t="n"/>
      <c r="L172" s="10" t="n"/>
      <c r="M172" s="11" t="n"/>
    </row>
    <row r="173">
      <c r="A173" s="18" t="n"/>
      <c r="B173" s="14" t="n"/>
      <c r="C173" s="14" t="n"/>
      <c r="D173" s="33" t="inlineStr">
        <is>
          <t>Additional demand surge loadings</t>
        </is>
      </c>
      <c r="E173" s="38" t="n"/>
      <c r="F173" s="39" t="n"/>
      <c r="G173" s="39" t="n"/>
      <c r="H173" s="73" t="str">
        <f>IF(E173="No","If no, why not:","")</f>
        <v/>
      </c>
      <c r="I173" s="41" t="n"/>
      <c r="J173" s="42" t="n"/>
      <c r="K173" s="43" t="n"/>
      <c r="L173" s="10" t="n"/>
      <c r="M173" s="11" t="n"/>
    </row>
    <row r="174">
      <c r="A174" s="18" t="n"/>
      <c r="B174" s="14" t="n"/>
      <c r="C174" s="14" t="n"/>
      <c r="D174" s="33" t="inlineStr">
        <is>
          <t>Other factors for prudence</t>
        </is>
      </c>
      <c r="E174" s="38" t="n"/>
      <c r="F174" s="39" t="n"/>
      <c r="G174" s="39" t="n"/>
      <c r="H174" s="73" t="str">
        <f>IF(E174="No","If no, why not:","")</f>
        <v/>
      </c>
      <c r="I174" s="41" t="n"/>
      <c r="J174" s="42" t="n"/>
      <c r="K174" s="43" t="n"/>
      <c r="L174" s="10" t="n"/>
      <c r="M174" s="11" t="n"/>
    </row>
    <row r="175" ht="6.75" customHeight="1">
      <c r="A175" s="18" t="n"/>
      <c r="B175" s="14" t="n"/>
      <c r="C175" s="14" t="n"/>
      <c r="D175" s="14" t="n"/>
      <c r="E175" s="73" t="n"/>
      <c r="F175" s="73" t="n"/>
      <c r="G175" s="76" t="n"/>
      <c r="H175" s="76" t="n"/>
      <c r="I175" s="48" t="n"/>
      <c r="J175" s="48" t="n"/>
      <c r="K175" s="49" t="n"/>
      <c r="L175" s="10" t="n"/>
      <c r="M175" s="11" t="n"/>
    </row>
    <row r="176">
      <c r="A176" s="18" t="n"/>
      <c r="B176" s="14" t="n"/>
      <c r="C176" s="14" t="n"/>
      <c r="D176" s="14" t="n"/>
      <c r="E176" s="73" t="n"/>
      <c r="F176" s="33" t="inlineStr">
        <is>
          <t>Average loading factor applied to ground up loss for all adjustments applied</t>
        </is>
      </c>
      <c r="G176" s="77" t="n"/>
      <c r="H176" s="76" t="n"/>
      <c r="I176" s="48" t="n"/>
      <c r="J176" s="48" t="n"/>
      <c r="K176" s="49" t="n"/>
      <c r="L176" s="10" t="n"/>
      <c r="M176" s="11" t="n"/>
    </row>
    <row r="177">
      <c r="A177" s="18" t="n"/>
      <c r="B177" s="14" t="n"/>
      <c r="C177" s="14" t="n"/>
      <c r="D177" s="14" t="n"/>
      <c r="E177" s="73" t="n"/>
      <c r="F177" s="33" t="inlineStr">
        <is>
          <t>Is this average loading factor determined analytically or estimated?</t>
        </is>
      </c>
      <c r="G177" s="78" t="n"/>
      <c r="H177" s="76" t="n"/>
      <c r="I177" s="48" t="n"/>
      <c r="J177" s="48" t="n"/>
      <c r="K177" s="49" t="n"/>
      <c r="L177" s="10" t="n"/>
      <c r="M177" s="11" t="n"/>
    </row>
    <row r="178" ht="6.75" customHeight="1">
      <c r="A178" s="18" t="n"/>
      <c r="B178" s="14" t="n"/>
      <c r="C178" s="14" t="n"/>
      <c r="D178" s="14" t="n"/>
      <c r="E178" s="73" t="n"/>
      <c r="F178" s="79" t="n"/>
      <c r="G178" s="76" t="n"/>
      <c r="H178" s="76" t="n"/>
      <c r="I178" s="48" t="n"/>
      <c r="J178" s="48" t="n"/>
      <c r="K178" s="49" t="n"/>
      <c r="L178" s="10" t="n"/>
      <c r="M178" s="11" t="n"/>
    </row>
    <row r="179">
      <c r="A179" s="18" t="n"/>
      <c r="B179" s="14" t="n"/>
      <c r="C179" s="14" t="n"/>
      <c r="D179" s="14" t="n"/>
      <c r="E179" s="73" t="n"/>
      <c r="F179" s="33" t="inlineStr">
        <is>
          <t>Which cat model do you include in this modelling?</t>
        </is>
      </c>
      <c r="G179" s="80" t="n"/>
      <c r="H179" s="76" t="n"/>
      <c r="I179" s="48" t="n"/>
      <c r="J179" s="48" t="n"/>
      <c r="K179" s="49" t="n"/>
      <c r="L179" s="10" t="n"/>
      <c r="M179" s="11" t="n"/>
    </row>
    <row r="180">
      <c r="A180" s="18" t="n"/>
      <c r="B180" s="14" t="n"/>
      <c r="C180" s="14" t="n"/>
      <c r="D180" s="14" t="n"/>
      <c r="E180" s="73" t="n"/>
      <c r="F180" s="33" t="inlineStr">
        <is>
          <t>Which version of the model or version of the region-peril models are used for each cat model as appropriate?</t>
        </is>
      </c>
      <c r="G180" s="81" t="n"/>
      <c r="H180" s="56" t="n"/>
      <c r="I180" s="14" t="n"/>
      <c r="J180" s="14" t="n"/>
      <c r="K180" s="15" t="n"/>
      <c r="L180" s="10" t="n"/>
      <c r="M180" s="11" t="n"/>
    </row>
    <row r="181">
      <c r="A181" s="18" t="n"/>
      <c r="B181" s="14" t="n"/>
      <c r="C181" s="14" t="n"/>
      <c r="D181" s="14" t="n"/>
      <c r="E181" s="73" t="n"/>
      <c r="F181" s="73" t="n"/>
      <c r="G181" s="57" t="n"/>
      <c r="H181" s="58" t="n"/>
      <c r="I181" s="14" t="n"/>
      <c r="J181" s="14" t="n"/>
      <c r="K181" s="15" t="n"/>
      <c r="L181" s="10" t="n"/>
      <c r="M181" s="11" t="n"/>
    </row>
    <row r="182" ht="6.75" customHeight="1">
      <c r="A182" s="59" t="n"/>
      <c r="B182" s="60" t="n"/>
      <c r="C182" s="60" t="n"/>
      <c r="D182" s="60" t="n"/>
      <c r="E182" s="60" t="n"/>
      <c r="F182" s="60" t="n"/>
      <c r="G182" s="82" t="n"/>
      <c r="H182" s="82" t="n"/>
      <c r="I182" s="60" t="n"/>
      <c r="J182" s="60" t="n"/>
      <c r="K182" s="62" t="n"/>
      <c r="L182" s="10" t="n"/>
      <c r="M182" s="11" t="n"/>
    </row>
    <row r="183"/>
    <row r="184"/>
    <row r="185"/>
    <row r="186"/>
    <row r="187"/>
    <row r="188" ht="75" customHeight="1">
      <c r="A188" s="83" t="n"/>
      <c r="B188" s="84" t="inlineStr">
        <is>
          <t>CATASTROPHE RISK RETURN: EXCEEDANCE PROBABILITY  (EP) CURVE  FOR REGIONS-PERILS (TABLE 15B)</t>
        </is>
      </c>
      <c r="C188" s="85" t="n"/>
      <c r="D188" s="85" t="n"/>
      <c r="E188" s="85" t="n"/>
      <c r="F188" s="85" t="n"/>
      <c r="G188" s="8" t="inlineStr">
        <is>
          <t>Back to instructions</t>
        </is>
      </c>
      <c r="H188" s="86" t="n"/>
      <c r="I188" s="87" t="n"/>
      <c r="J188" s="11" t="n"/>
      <c r="K188" s="11" t="n"/>
      <c r="L188" s="11" t="n"/>
      <c r="M188" s="11" t="n"/>
    </row>
    <row r="189" ht="13.5" customHeight="1">
      <c r="A189" s="88" t="n"/>
      <c r="B189" s="89" t="inlineStr">
        <is>
          <t>3624</t>
        </is>
      </c>
      <c r="C189" s="90" t="n"/>
      <c r="D189" s="90" t="n"/>
      <c r="E189" s="90" t="n"/>
      <c r="F189" s="90" t="n"/>
      <c r="G189" s="90" t="n"/>
      <c r="H189" s="91" t="n"/>
      <c r="I189" s="92" t="n"/>
      <c r="J189" s="92" t="n"/>
      <c r="K189" s="92" t="n"/>
      <c r="L189" s="92" t="n"/>
      <c r="M189" s="92" t="n"/>
    </row>
    <row r="190" ht="13.5" customHeight="1">
      <c r="A190" s="88" t="n"/>
      <c r="B190" s="93">
        <f>DATE(2026,1,1)</f>
        <v>46023.0</v>
      </c>
      <c r="D190" s="90" t="n"/>
      <c r="E190" s="90" t="n"/>
      <c r="F190" s="90" t="n"/>
      <c r="G190" s="94" t="inlineStr">
        <is>
          <t>SCHEDULE X(c)</t>
        </is>
      </c>
      <c r="H190" s="91" t="n"/>
      <c r="I190" s="92" t="n"/>
      <c r="J190" s="92" t="n"/>
      <c r="K190" s="92" t="n"/>
      <c r="L190" s="92" t="n"/>
      <c r="M190" s="92" t="n"/>
    </row>
    <row r="191" ht="6.75" customHeight="1">
      <c r="A191" s="95" t="n"/>
      <c r="B191" s="90" t="n"/>
      <c r="C191" s="90" t="n"/>
      <c r="D191" s="90" t="n"/>
      <c r="E191" s="90" t="n"/>
      <c r="F191" s="90" t="n"/>
      <c r="G191" s="90" t="n"/>
      <c r="H191" s="90" t="n"/>
      <c r="I191" s="92" t="n"/>
      <c r="J191" s="92" t="n"/>
      <c r="K191" s="92" t="n"/>
      <c r="L191" s="92" t="n"/>
      <c r="M191" s="92" t="n"/>
    </row>
    <row r="192" ht="16.7" customHeight="1">
      <c r="A192" s="96" t="n"/>
      <c r="B192" s="90" t="n"/>
      <c r="C192" s="97" t="inlineStr">
        <is>
          <t>Provide Exceedance Probability information on the following perils in the templates provided below.</t>
        </is>
      </c>
      <c r="H192" s="98" t="n"/>
      <c r="I192" s="92" t="n"/>
      <c r="J192" s="92" t="n"/>
      <c r="K192" s="92" t="n"/>
      <c r="L192" s="92" t="n"/>
      <c r="M192" s="92" t="n"/>
    </row>
    <row r="193" ht="6.75" customHeight="1">
      <c r="A193" s="95" t="n"/>
      <c r="B193" s="90" t="n"/>
      <c r="C193" s="90" t="n"/>
      <c r="D193" s="90" t="n"/>
      <c r="E193" s="90" t="n"/>
      <c r="F193" s="90" t="n"/>
      <c r="G193" s="90" t="n"/>
      <c r="H193" s="90" t="n"/>
      <c r="I193" s="92" t="n"/>
      <c r="J193" s="92" t="n"/>
      <c r="K193" s="92" t="n"/>
      <c r="L193" s="92" t="n"/>
      <c r="M193" s="92" t="n"/>
    </row>
    <row r="194" ht="16.5" customHeight="1">
      <c r="A194" s="95" t="n"/>
      <c r="B194" s="94" t="inlineStr">
        <is>
          <t>a)</t>
        </is>
      </c>
      <c r="C194" s="99" t="inlineStr">
        <is>
          <t>EP CURVE ATLANTIC BASIN HURRICANE</t>
        </is>
      </c>
      <c r="D194" s="90" t="n"/>
      <c r="E194" s="90" t="n"/>
      <c r="F194" s="90" t="n"/>
      <c r="G194" s="90" t="n"/>
      <c r="H194" s="90" t="n"/>
      <c r="I194" s="100" t="n"/>
      <c r="J194" s="92" t="n"/>
      <c r="K194" s="92" t="n"/>
      <c r="L194" s="92" t="n"/>
      <c r="M194" s="92" t="n"/>
    </row>
    <row r="195" ht="6.75" customHeight="1">
      <c r="A195" s="95" t="n"/>
      <c r="B195" s="94" t="n"/>
      <c r="C195" s="99" t="n"/>
      <c r="D195" s="90" t="n"/>
      <c r="E195" s="90" t="n"/>
      <c r="F195" s="90" t="n"/>
      <c r="G195" s="90" t="n"/>
      <c r="H195" s="90" t="n"/>
      <c r="I195" s="92" t="n"/>
      <c r="J195" s="92" t="n"/>
      <c r="K195" s="92" t="n"/>
      <c r="L195" s="92" t="n"/>
      <c r="M195" s="92" t="n"/>
    </row>
    <row r="196" ht="16.5" customHeight="1">
      <c r="A196" s="95" t="n"/>
      <c r="B196" s="101" t="n"/>
      <c r="C196" s="90" t="inlineStr">
        <is>
          <t>Which model(s) is used for  EP Curve Atlantic basin hurricane</t>
        </is>
      </c>
      <c r="D196" s="90" t="n"/>
      <c r="E196" s="90" t="n"/>
      <c r="F196" s="102" t="n"/>
      <c r="G196" s="90" t="n"/>
      <c r="H196" s="90" t="n"/>
      <c r="I196" s="92" t="n"/>
      <c r="J196" s="103" t="n"/>
      <c r="K196" s="92" t="n"/>
      <c r="L196" s="92" t="n"/>
      <c r="M196" s="92" t="n"/>
    </row>
    <row r="197" ht="16.5" customHeight="1">
      <c r="A197" s="95" t="n"/>
      <c r="B197" s="101" t="n"/>
      <c r="C197" s="90" t="inlineStr">
        <is>
          <t>Indicate the model version</t>
        </is>
      </c>
      <c r="D197" s="90" t="n"/>
      <c r="E197" s="90" t="n"/>
      <c r="F197" s="104" t="n"/>
      <c r="G197" s="90" t="n"/>
      <c r="H197" s="90" t="n"/>
      <c r="I197" s="92" t="n"/>
      <c r="J197" s="103" t="n"/>
      <c r="K197" s="92" t="n"/>
      <c r="L197" s="92" t="n"/>
      <c r="M197" s="92" t="n"/>
    </row>
    <row r="198" ht="6.75" customHeight="1">
      <c r="A198" s="95" t="n"/>
      <c r="B198" s="101" t="n"/>
      <c r="C198" s="90" t="n"/>
      <c r="D198" s="90" t="n"/>
      <c r="E198" s="90" t="n"/>
      <c r="F198" s="90" t="n"/>
      <c r="G198" s="90" t="n"/>
      <c r="H198" s="90" t="n"/>
      <c r="I198" s="92" t="n"/>
      <c r="J198" s="92" t="n"/>
      <c r="K198" s="105" t="n"/>
      <c r="L198" s="105" t="n"/>
      <c r="M198" s="105" t="n"/>
    </row>
    <row r="199" ht="17.25" customHeight="1">
      <c r="A199" s="106" t="n"/>
      <c r="B199" s="101" t="n"/>
      <c r="C199" s="107" t="inlineStr">
        <is>
          <t>Exceedance probability information:</t>
        </is>
      </c>
      <c r="D199" s="107" t="n"/>
      <c r="E199" s="90" t="n"/>
      <c r="F199" s="90" t="n"/>
      <c r="G199" s="90" t="n"/>
      <c r="H199" s="90" t="n"/>
      <c r="I199" s="92" t="n"/>
      <c r="J199" s="92" t="n"/>
      <c r="K199" s="92" t="n"/>
      <c r="L199" s="92" t="n"/>
      <c r="M199" s="92" t="n"/>
    </row>
    <row r="200" ht="16.5" customHeight="1">
      <c r="A200" s="95" t="n"/>
      <c r="B200" s="101" t="n"/>
      <c r="C200" s="108" t="n"/>
      <c r="D200" s="109" t="inlineStr">
        <is>
          <t xml:space="preserve"> Gross loss</t>
        </is>
      </c>
      <c r="E200" s="110" t="n"/>
      <c r="F200" s="111" t="inlineStr">
        <is>
          <t xml:space="preserve"> Net loss</t>
        </is>
      </c>
      <c r="G200" s="112" t="n"/>
      <c r="H200" s="90" t="n"/>
      <c r="I200" s="92" t="n"/>
      <c r="J200" s="92" t="n"/>
      <c r="K200" s="92" t="n"/>
      <c r="L200" s="92" t="n"/>
      <c r="M200" s="92" t="n"/>
    </row>
    <row r="201" ht="33" customHeight="1">
      <c r="A201" s="95" t="n"/>
      <c r="B201" s="101" t="n"/>
      <c r="C201" s="113" t="inlineStr">
        <is>
          <t>Loss Return period (years)</t>
        </is>
      </c>
      <c r="D201" s="114" t="inlineStr">
        <is>
          <t>Gross per occurrence loss TVaR</t>
        </is>
      </c>
      <c r="E201" s="115" t="inlineStr">
        <is>
          <t xml:space="preserve">Gross aggregate 
TVaR </t>
        </is>
      </c>
      <c r="F201" s="115" t="inlineStr">
        <is>
          <t>Net per occurrence loss TVaR</t>
        </is>
      </c>
      <c r="G201" s="116" t="inlineStr">
        <is>
          <t>Net aggregate
TVaR</t>
        </is>
      </c>
      <c r="H201" s="90" t="n"/>
      <c r="I201" s="92" t="n"/>
      <c r="J201" s="92" t="n"/>
      <c r="K201" s="92" t="n"/>
      <c r="L201" s="92" t="n"/>
      <c r="M201" s="92" t="n"/>
    </row>
    <row r="202" ht="16.5" customHeight="1">
      <c r="A202" s="95" t="n"/>
      <c r="B202" s="101" t="n"/>
      <c r="C202" s="117" t="n"/>
      <c r="D202" s="118" t="inlineStr">
        <is>
          <t xml:space="preserve"> ($M)</t>
        </is>
      </c>
      <c r="E202" s="118" t="inlineStr">
        <is>
          <t>($M)</t>
        </is>
      </c>
      <c r="F202" s="118" t="inlineStr">
        <is>
          <t>($M)</t>
        </is>
      </c>
      <c r="G202" s="119" t="inlineStr">
        <is>
          <t xml:space="preserve"> ($M)</t>
        </is>
      </c>
      <c r="H202" s="90" t="n"/>
      <c r="I202" s="92" t="n"/>
      <c r="J202" s="92" t="n"/>
      <c r="K202" s="92" t="n"/>
      <c r="L202" s="92" t="n"/>
      <c r="M202" s="92" t="n"/>
    </row>
    <row r="203" ht="16.5" customHeight="1">
      <c r="A203" s="95" t="n"/>
      <c r="B203" s="101" t="n"/>
      <c r="C203" s="120" t="n">
        <v>50</v>
      </c>
      <c r="D203" s="121" t="n"/>
      <c r="E203" s="121" t="n"/>
      <c r="F203" s="121" t="n"/>
      <c r="G203" s="121" t="n"/>
      <c r="H203" s="90" t="n"/>
      <c r="I203" s="92" t="n"/>
      <c r="J203" s="92" t="n"/>
      <c r="K203" s="92" t="n"/>
      <c r="L203" s="92" t="n"/>
      <c r="M203" s="92" t="n"/>
    </row>
    <row r="204" ht="16.5" customHeight="1">
      <c r="A204" s="95" t="n"/>
      <c r="B204" s="101" t="n"/>
      <c r="C204" s="120" t="n">
        <v>100</v>
      </c>
      <c r="D204" s="121" t="n"/>
      <c r="E204" s="121" t="n"/>
      <c r="F204" s="121" t="n"/>
      <c r="G204" s="121" t="n"/>
      <c r="H204" s="90" t="n"/>
      <c r="I204" s="92" t="n"/>
      <c r="J204" s="92" t="n"/>
      <c r="K204" s="92" t="n"/>
      <c r="L204" s="92" t="n"/>
      <c r="M204" s="92" t="n"/>
    </row>
    <row r="205" ht="16.5" customHeight="1">
      <c r="A205" s="95" t="n"/>
      <c r="B205" s="101" t="n"/>
      <c r="C205" s="120" t="n">
        <v>250</v>
      </c>
      <c r="D205" s="121" t="n"/>
      <c r="E205" s="121" t="n"/>
      <c r="F205" s="121" t="n"/>
      <c r="G205" s="121" t="n"/>
      <c r="H205" s="90" t="n"/>
      <c r="I205" s="92" t="n"/>
      <c r="J205" s="92" t="n"/>
      <c r="K205" s="92" t="n"/>
      <c r="L205" s="92" t="n"/>
      <c r="M205" s="92" t="n"/>
    </row>
    <row r="206" ht="16.5" customHeight="1">
      <c r="A206" s="95" t="n"/>
      <c r="B206" s="101" t="n"/>
      <c r="C206" s="120" t="n">
        <v>500</v>
      </c>
      <c r="D206" s="121" t="n"/>
      <c r="E206" s="121" t="n"/>
      <c r="F206" s="121" t="n"/>
      <c r="G206" s="121" t="n"/>
      <c r="H206" s="90" t="n"/>
      <c r="I206" s="92" t="n"/>
      <c r="J206" s="92" t="n"/>
      <c r="K206" s="92" t="n"/>
      <c r="L206" s="92" t="n"/>
      <c r="M206" s="92" t="n"/>
    </row>
    <row r="207" ht="17.25" customHeight="1">
      <c r="A207" s="95" t="n"/>
      <c r="B207" s="101" t="n"/>
      <c r="C207" s="122" t="n">
        <v>1000</v>
      </c>
      <c r="D207" s="121" t="n"/>
      <c r="E207" s="121" t="n"/>
      <c r="F207" s="121" t="n"/>
      <c r="G207" s="121" t="n"/>
      <c r="H207" s="90" t="n"/>
      <c r="I207" s="92" t="n"/>
      <c r="J207" s="92" t="n"/>
      <c r="K207" s="92" t="n"/>
      <c r="L207" s="92" t="n"/>
      <c r="M207" s="92" t="n"/>
    </row>
    <row r="208" ht="6.75" customHeight="1">
      <c r="A208" s="95" t="n"/>
      <c r="B208" s="101" t="n"/>
      <c r="C208" s="90" t="n"/>
      <c r="D208" s="123" t="n"/>
      <c r="E208" s="123" t="n"/>
      <c r="F208" s="123" t="n"/>
      <c r="G208" s="123" t="n"/>
      <c r="H208" s="90" t="n"/>
      <c r="I208" s="92" t="n"/>
      <c r="J208" s="92" t="n"/>
      <c r="K208" s="92" t="n"/>
      <c r="L208" s="92" t="n"/>
      <c r="M208" s="92" t="n"/>
    </row>
    <row r="209" ht="27.2" customHeight="1">
      <c r="A209" s="124" t="n"/>
      <c r="B209" s="101" t="n"/>
      <c r="C209" s="125" t="inlineStr">
        <is>
          <t>Exposure to Atlantic Basin Hurricane</t>
        </is>
      </c>
      <c r="D209" s="110" t="n"/>
      <c r="E209" s="126" t="inlineStr">
        <is>
          <t>Gross</t>
        </is>
      </c>
      <c r="F209" s="127" t="inlineStr">
        <is>
          <t>Net</t>
        </is>
      </c>
      <c r="G209" s="123" t="n"/>
      <c r="H209" s="90" t="n"/>
      <c r="I209" s="92" t="n"/>
      <c r="J209" s="92" t="n"/>
      <c r="K209" s="92" t="n"/>
      <c r="L209" s="92" t="n"/>
      <c r="M209" s="92" t="n"/>
    </row>
    <row r="210" ht="16.5" customHeight="1">
      <c r="A210" s="124" t="n"/>
      <c r="B210" s="101" t="n"/>
      <c r="C210" s="128" t="n"/>
      <c r="D210" s="129" t="n"/>
      <c r="E210" s="118" t="inlineStr">
        <is>
          <t xml:space="preserve"> ($M)</t>
        </is>
      </c>
      <c r="F210" s="119" t="inlineStr">
        <is>
          <t xml:space="preserve"> ($M)</t>
        </is>
      </c>
      <c r="G210" s="123" t="n"/>
      <c r="H210" s="90" t="n"/>
      <c r="I210" s="92" t="n"/>
      <c r="J210" s="92" t="n"/>
      <c r="K210" s="92" t="n"/>
      <c r="L210" s="92" t="n"/>
      <c r="M210" s="92" t="n"/>
    </row>
    <row r="211" ht="16.5" customHeight="1">
      <c r="A211" s="124" t="n"/>
      <c r="B211" s="101" t="n"/>
      <c r="C211" s="130" t="inlineStr">
        <is>
          <t>Total statutory property catastrophe premium</t>
        </is>
      </c>
      <c r="D211" s="131" t="n"/>
      <c r="E211" s="121" t="n"/>
      <c r="F211" s="132" t="n"/>
      <c r="G211" s="123" t="n"/>
      <c r="H211" s="90" t="n"/>
      <c r="I211" s="92" t="n"/>
      <c r="J211" s="92" t="n"/>
      <c r="K211" s="92" t="n"/>
      <c r="L211" s="92" t="n"/>
      <c r="M211" s="92" t="n"/>
    </row>
    <row r="212" ht="16.5" customHeight="1">
      <c r="A212" s="124" t="n"/>
      <c r="B212" s="101" t="n"/>
      <c r="C212" s="130" t="inlineStr">
        <is>
          <t>Total all other statutory premium</t>
        </is>
      </c>
      <c r="D212" s="131" t="n"/>
      <c r="E212" s="191" t="n"/>
      <c r="F212" s="192" t="n"/>
      <c r="G212" s="123" t="n"/>
      <c r="H212" s="90" t="n"/>
      <c r="I212" s="92" t="n"/>
      <c r="J212" s="92" t="n"/>
      <c r="K212" s="92" t="n"/>
      <c r="L212" s="92" t="n"/>
      <c r="M212" s="92" t="n"/>
    </row>
    <row r="213" ht="16.5" customHeight="1">
      <c r="A213" s="124" t="n"/>
      <c r="B213" s="101" t="n"/>
      <c r="C213" s="130" t="inlineStr">
        <is>
          <t>Total statutory property catastrophe limits</t>
        </is>
      </c>
      <c r="D213" s="131" t="n"/>
      <c r="E213" s="133" t="n"/>
      <c r="F213" s="134" t="n"/>
      <c r="G213" s="123" t="n"/>
      <c r="H213" s="90" t="n"/>
      <c r="I213" s="92" t="n"/>
      <c r="J213" s="92" t="n"/>
      <c r="K213" s="92" t="n"/>
      <c r="L213" s="92" t="n"/>
      <c r="M213" s="92" t="n"/>
    </row>
    <row r="214" ht="17.25" customHeight="1">
      <c r="A214" s="124" t="n"/>
      <c r="B214" s="101" t="n"/>
      <c r="C214" s="135" t="inlineStr">
        <is>
          <t>Total all other statutory limits</t>
        </is>
      </c>
      <c r="D214" s="136" t="n"/>
      <c r="E214" s="137">
        <f>SUMIFS(BSCRInput[sum_pml],BSCRInput[bscr_entity],"3624",BSCRInput[region],"is_nahu",BSCRInput[peril_id],2)/1000000</f>
        <v>3.594645</v>
      </c>
      <c r="F214" s="193">
        <f>SUMIFS(BSCRInput[sum_net],BSCRInput[bscr_entity],"3624",BSCRInput[region],"is_nahu",BSCRInput[peril_id],2)/1000000</f>
        <v>3.594645</v>
      </c>
      <c r="G214" s="123" t="n"/>
      <c r="H214" s="90" t="n"/>
      <c r="I214" s="92" t="n"/>
      <c r="J214" s="92" t="n"/>
      <c r="K214" s="92" t="n"/>
      <c r="L214" s="92" t="n"/>
      <c r="M214" s="92" t="n"/>
    </row>
    <row r="215" ht="6.75" customHeight="1">
      <c r="A215" s="95" t="n"/>
      <c r="B215" s="101" t="n"/>
      <c r="C215" s="90" t="n"/>
      <c r="D215" s="123" t="n"/>
      <c r="E215" s="123" t="n"/>
      <c r="F215" s="123" t="n"/>
      <c r="G215" s="123" t="n"/>
      <c r="H215" s="90" t="n"/>
      <c r="I215" s="92" t="n"/>
      <c r="J215" s="92" t="n"/>
      <c r="K215" s="92" t="n"/>
      <c r="L215" s="92" t="n"/>
      <c r="M215" s="92" t="n"/>
    </row>
    <row r="216" ht="16.5" customHeight="1">
      <c r="A216" s="95" t="n"/>
      <c r="B216" s="94" t="inlineStr">
        <is>
          <t>b)</t>
        </is>
      </c>
      <c r="C216" s="99" t="inlineStr">
        <is>
          <t>EP CURVE NORTH AMERICAN EARTHQUAKE</t>
        </is>
      </c>
      <c r="D216" s="90" t="n"/>
      <c r="E216" s="90" t="n"/>
      <c r="F216" s="139" t="n"/>
      <c r="G216" s="90" t="n"/>
      <c r="H216" s="90" t="n"/>
      <c r="I216" s="100" t="n"/>
      <c r="J216" s="92" t="n"/>
      <c r="K216" s="92" t="n"/>
      <c r="L216" s="92" t="n"/>
      <c r="M216" s="92" t="n"/>
    </row>
    <row r="217" ht="6.75" customHeight="1">
      <c r="A217" s="95" t="n"/>
      <c r="B217" s="94" t="n"/>
      <c r="C217" s="99" t="n"/>
      <c r="D217" s="90" t="n"/>
      <c r="E217" s="90" t="n"/>
      <c r="F217" s="90" t="n"/>
      <c r="G217" s="90" t="n"/>
      <c r="H217" s="90" t="n"/>
      <c r="I217" s="92" t="n"/>
      <c r="J217" s="92" t="n"/>
      <c r="K217" s="92" t="n"/>
      <c r="L217" s="92" t="n"/>
      <c r="M217" s="92" t="n"/>
    </row>
    <row r="218" ht="16.5" customHeight="1">
      <c r="A218" s="95" t="n"/>
      <c r="B218" s="101" t="n"/>
      <c r="C218" s="90" t="inlineStr">
        <is>
          <t>Which model(s) is used for  EP Curve North American earthquake</t>
        </is>
      </c>
      <c r="D218" s="90" t="n"/>
      <c r="E218" s="90" t="n"/>
      <c r="F218" s="102" t="n"/>
      <c r="G218" s="90" t="n"/>
      <c r="H218" s="90" t="n"/>
      <c r="I218" s="92" t="n"/>
      <c r="J218" s="103" t="n"/>
      <c r="K218" s="92" t="n"/>
      <c r="L218" s="92" t="n"/>
      <c r="M218" s="92" t="n"/>
    </row>
    <row r="219" ht="16.5" customHeight="1">
      <c r="A219" s="95" t="n"/>
      <c r="B219" s="101" t="n"/>
      <c r="C219" s="90" t="inlineStr">
        <is>
          <t>Indicate the model version</t>
        </is>
      </c>
      <c r="D219" s="90" t="n"/>
      <c r="E219" s="90" t="n"/>
      <c r="F219" s="104" t="n"/>
      <c r="G219" s="90" t="n"/>
      <c r="H219" s="90" t="n"/>
      <c r="I219" s="92" t="n"/>
      <c r="J219" s="103" t="n"/>
      <c r="K219" s="92" t="n"/>
      <c r="L219" s="92" t="n"/>
      <c r="M219" s="92" t="n"/>
    </row>
    <row r="220" ht="6.75" customHeight="1">
      <c r="A220" s="95" t="n"/>
      <c r="B220" s="101" t="n"/>
      <c r="C220" s="90" t="n"/>
      <c r="D220" s="90" t="n"/>
      <c r="E220" s="90" t="n"/>
      <c r="F220" s="90" t="n"/>
      <c r="G220" s="90" t="n"/>
      <c r="H220" s="90" t="n"/>
      <c r="I220" s="92" t="n"/>
      <c r="J220" s="92" t="n"/>
      <c r="K220" s="92" t="n"/>
      <c r="L220" s="92" t="n"/>
      <c r="M220" s="92" t="n"/>
    </row>
    <row r="221" ht="17.25" customHeight="1">
      <c r="A221" s="95" t="n"/>
      <c r="B221" s="101" t="n"/>
      <c r="C221" s="107" t="inlineStr">
        <is>
          <t>Exceedance probability information:</t>
        </is>
      </c>
      <c r="D221" s="107" t="n"/>
      <c r="E221" s="90" t="n"/>
      <c r="F221" s="90" t="n"/>
      <c r="G221" s="90" t="n"/>
      <c r="H221" s="90" t="n"/>
      <c r="I221" s="92" t="n"/>
      <c r="J221" s="92" t="n"/>
      <c r="K221" s="92" t="n"/>
      <c r="L221" s="92" t="n"/>
      <c r="M221" s="92" t="n"/>
    </row>
    <row r="222" ht="16.5" customHeight="1">
      <c r="A222" s="95" t="n"/>
      <c r="B222" s="101" t="n"/>
      <c r="C222" s="108" t="n"/>
      <c r="D222" s="109" t="inlineStr">
        <is>
          <t xml:space="preserve"> Gross loss</t>
        </is>
      </c>
      <c r="E222" s="110" t="n"/>
      <c r="F222" s="111" t="inlineStr">
        <is>
          <t xml:space="preserve"> Net loss</t>
        </is>
      </c>
      <c r="G222" s="112" t="n"/>
      <c r="H222" s="90" t="n"/>
      <c r="I222" s="92" t="n"/>
      <c r="J222" s="92" t="n"/>
      <c r="K222" s="92" t="n"/>
      <c r="L222" s="92" t="n"/>
      <c r="M222" s="92" t="n"/>
    </row>
    <row r="223" ht="33" customHeight="1">
      <c r="A223" s="95" t="n"/>
      <c r="B223" s="101" t="n"/>
      <c r="C223" s="113" t="inlineStr">
        <is>
          <t>Loss Return period (years)</t>
        </is>
      </c>
      <c r="D223" s="114" t="inlineStr">
        <is>
          <t>Gross per occurrence loss TVaR</t>
        </is>
      </c>
      <c r="E223" s="115" t="inlineStr">
        <is>
          <t xml:space="preserve">Gross aggregate 
TVaR </t>
        </is>
      </c>
      <c r="F223" s="115" t="inlineStr">
        <is>
          <t>Net per occurrence loss TVaR</t>
        </is>
      </c>
      <c r="G223" s="116" t="inlineStr">
        <is>
          <t>Net aggregate
TVaR</t>
        </is>
      </c>
      <c r="H223" s="90" t="n"/>
      <c r="I223" s="92" t="n"/>
      <c r="J223" s="92" t="n"/>
      <c r="K223" s="92" t="n"/>
      <c r="L223" s="92" t="n"/>
      <c r="M223" s="92" t="n"/>
    </row>
    <row r="224" ht="16.5" customHeight="1">
      <c r="A224" s="95" t="n"/>
      <c r="B224" s="101" t="n"/>
      <c r="C224" s="117" t="n"/>
      <c r="D224" s="118" t="inlineStr">
        <is>
          <t xml:space="preserve"> ($M)</t>
        </is>
      </c>
      <c r="E224" s="118" t="inlineStr">
        <is>
          <t>($M)</t>
        </is>
      </c>
      <c r="F224" s="118" t="inlineStr">
        <is>
          <t>($M)</t>
        </is>
      </c>
      <c r="G224" s="119" t="inlineStr">
        <is>
          <t xml:space="preserve"> ($M)</t>
        </is>
      </c>
      <c r="H224" s="90" t="n"/>
      <c r="I224" s="92" t="n"/>
      <c r="J224" s="92" t="n"/>
      <c r="K224" s="92" t="n"/>
      <c r="L224" s="92" t="n"/>
      <c r="M224" s="92" t="n"/>
    </row>
    <row r="225" ht="16.5" customHeight="1">
      <c r="A225" s="95" t="n"/>
      <c r="B225" s="101" t="n"/>
      <c r="C225" s="120" t="n">
        <v>50</v>
      </c>
      <c r="D225" s="121" t="n"/>
      <c r="E225" s="121" t="n"/>
      <c r="F225" s="121" t="n"/>
      <c r="G225" s="121" t="n"/>
      <c r="H225" s="90" t="n"/>
      <c r="I225" s="92" t="n"/>
      <c r="J225" s="92" t="n"/>
      <c r="K225" s="92" t="n"/>
      <c r="L225" s="92" t="n"/>
      <c r="M225" s="92" t="n"/>
    </row>
    <row r="226" ht="16.5" customHeight="1">
      <c r="A226" s="95" t="n"/>
      <c r="B226" s="101" t="n"/>
      <c r="C226" s="120" t="n">
        <v>100</v>
      </c>
      <c r="D226" s="121" t="n"/>
      <c r="E226" s="121" t="n"/>
      <c r="F226" s="121" t="n"/>
      <c r="G226" s="121" t="n"/>
      <c r="H226" s="90" t="n"/>
      <c r="I226" s="92" t="n"/>
      <c r="J226" s="92" t="n"/>
      <c r="K226" s="92" t="n"/>
      <c r="L226" s="92" t="n"/>
      <c r="M226" s="92" t="n"/>
    </row>
    <row r="227" ht="16.5" customHeight="1">
      <c r="A227" s="95" t="n"/>
      <c r="B227" s="101" t="n"/>
      <c r="C227" s="120" t="n">
        <v>250</v>
      </c>
      <c r="D227" s="121" t="n"/>
      <c r="E227" s="121" t="n"/>
      <c r="F227" s="121" t="n"/>
      <c r="G227" s="121" t="n"/>
      <c r="H227" s="90" t="n"/>
      <c r="I227" s="92" t="n"/>
      <c r="J227" s="92" t="n"/>
      <c r="K227" s="92" t="n"/>
      <c r="L227" s="92" t="n"/>
      <c r="M227" s="92" t="n"/>
    </row>
    <row r="228" ht="16.5" customHeight="1">
      <c r="A228" s="95" t="n"/>
      <c r="B228" s="101" t="n"/>
      <c r="C228" s="120" t="n">
        <v>500</v>
      </c>
      <c r="D228" s="121" t="n"/>
      <c r="E228" s="121" t="n"/>
      <c r="F228" s="121" t="n"/>
      <c r="G228" s="121" t="n"/>
      <c r="H228" s="90" t="n"/>
      <c r="I228" s="92" t="n"/>
      <c r="J228" s="92" t="n"/>
      <c r="K228" s="92" t="n"/>
      <c r="L228" s="92" t="n"/>
      <c r="M228" s="92" t="n"/>
    </row>
    <row r="229" ht="17.25" customHeight="1">
      <c r="A229" s="95" t="n"/>
      <c r="B229" s="101" t="n"/>
      <c r="C229" s="122" t="n">
        <v>1000</v>
      </c>
      <c r="D229" s="121" t="n"/>
      <c r="E229" s="121" t="n"/>
      <c r="F229" s="121" t="n"/>
      <c r="G229" s="121" t="n"/>
      <c r="H229" s="90" t="n"/>
      <c r="I229" s="92" t="n"/>
      <c r="J229" s="92" t="n"/>
      <c r="K229" s="92" t="n"/>
      <c r="L229" s="92" t="n"/>
      <c r="M229" s="92" t="n"/>
    </row>
    <row r="230" ht="6.75" customHeight="1">
      <c r="A230" s="95" t="n"/>
      <c r="B230" s="101" t="n"/>
      <c r="C230" s="90" t="n"/>
      <c r="D230" s="123" t="n"/>
      <c r="E230" s="123" t="n"/>
      <c r="F230" s="123" t="n"/>
      <c r="G230" s="123" t="n"/>
      <c r="H230" s="90" t="n"/>
      <c r="I230" s="92" t="n"/>
      <c r="J230" s="92" t="n"/>
      <c r="K230" s="92" t="n"/>
      <c r="L230" s="92" t="n"/>
      <c r="M230" s="92" t="n"/>
    </row>
    <row r="231" ht="27.2" customHeight="1">
      <c r="A231" s="124" t="n"/>
      <c r="B231" s="101" t="n"/>
      <c r="C231" s="125" t="inlineStr">
        <is>
          <t>Exposure to North American Earthquake</t>
        </is>
      </c>
      <c r="D231" s="110" t="n"/>
      <c r="E231" s="126" t="inlineStr">
        <is>
          <t>Gross</t>
        </is>
      </c>
      <c r="F231" s="127" t="inlineStr">
        <is>
          <t>Net</t>
        </is>
      </c>
      <c r="G231" s="123" t="n"/>
      <c r="H231" s="90" t="n"/>
      <c r="I231" s="92" t="n"/>
      <c r="J231" s="92" t="n"/>
      <c r="K231" s="92" t="n"/>
      <c r="L231" s="92" t="n"/>
      <c r="M231" s="92" t="n"/>
    </row>
    <row r="232" ht="16.5" customHeight="1">
      <c r="A232" s="124" t="n"/>
      <c r="B232" s="101" t="n"/>
      <c r="C232" s="128" t="n"/>
      <c r="D232" s="129" t="n"/>
      <c r="E232" s="118" t="inlineStr">
        <is>
          <t xml:space="preserve"> ($M)</t>
        </is>
      </c>
      <c r="F232" s="119" t="inlineStr">
        <is>
          <t xml:space="preserve"> ($M)</t>
        </is>
      </c>
      <c r="G232" s="123" t="n"/>
      <c r="H232" s="90" t="n"/>
      <c r="I232" s="92" t="n"/>
      <c r="J232" s="92" t="n"/>
      <c r="K232" s="92" t="n"/>
      <c r="L232" s="92" t="n"/>
      <c r="M232" s="92" t="n"/>
    </row>
    <row r="233" ht="16.5" customHeight="1">
      <c r="A233" s="124" t="n"/>
      <c r="B233" s="101" t="n"/>
      <c r="C233" s="130" t="inlineStr">
        <is>
          <t>Total statutory property catastrophe premium</t>
        </is>
      </c>
      <c r="D233" s="131" t="n"/>
      <c r="E233" s="121" t="n"/>
      <c r="F233" s="132" t="n"/>
      <c r="G233" s="123" t="n"/>
      <c r="H233" s="90" t="n"/>
      <c r="I233" s="92" t="n"/>
      <c r="J233" s="92" t="n"/>
      <c r="K233" s="92" t="n"/>
      <c r="L233" s="92" t="n"/>
      <c r="M233" s="92" t="n"/>
    </row>
    <row r="234" ht="16.5" customHeight="1">
      <c r="A234" s="124" t="n"/>
      <c r="B234" s="101" t="n"/>
      <c r="C234" s="130" t="inlineStr">
        <is>
          <t>Total all other statutory premium</t>
        </is>
      </c>
      <c r="D234" s="131" t="n"/>
      <c r="E234" s="191" t="n"/>
      <c r="F234" s="192" t="n"/>
      <c r="G234" s="123" t="n"/>
      <c r="H234" s="90" t="n"/>
      <c r="I234" s="92" t="n"/>
      <c r="J234" s="92" t="n"/>
      <c r="K234" s="92" t="n"/>
      <c r="L234" s="92" t="n"/>
      <c r="M234" s="92" t="n"/>
    </row>
    <row r="235" ht="16.5" customHeight="1">
      <c r="A235" s="124" t="n"/>
      <c r="B235" s="101" t="n"/>
      <c r="C235" s="130" t="inlineStr">
        <is>
          <t>Total statutory property catastrophe limits</t>
        </is>
      </c>
      <c r="D235" s="131" t="n"/>
      <c r="E235" s="133" t="n"/>
      <c r="F235" s="134" t="n"/>
      <c r="G235" s="123" t="n"/>
      <c r="H235" s="90" t="n"/>
      <c r="I235" s="92" t="n"/>
      <c r="J235" s="92" t="n"/>
      <c r="K235" s="92" t="n"/>
      <c r="L235" s="92" t="n"/>
      <c r="M235" s="92" t="n"/>
    </row>
    <row r="236" ht="17.25" customHeight="1">
      <c r="A236" s="124" t="n"/>
      <c r="B236" s="101" t="n"/>
      <c r="C236" s="135" t="inlineStr">
        <is>
          <t>Total all other statutory limits</t>
        </is>
      </c>
      <c r="D236" s="136" t="n"/>
      <c r="E236" s="137">
        <f>SUMIFS(BSCRInput[sum_pml],BSCRInput[bscr_entity],"3624",BSCRInput[region],"is_na_eq",BSCRInput[peril_id],1)/1000000</f>
        <v>0.61425</v>
      </c>
      <c r="F236" s="193">
        <f>SUMIFS(BSCRInput[sum_net],BSCRInput[bscr_entity],"3624",BSCRInput[region],"is_na_eq",BSCRInput[peril_id],1)/1000000</f>
        <v>0.61425</v>
      </c>
      <c r="G236" s="123" t="n"/>
      <c r="H236" s="90" t="n"/>
      <c r="I236" s="92" t="n"/>
      <c r="J236" s="92" t="n"/>
      <c r="K236" s="92" t="n"/>
      <c r="L236" s="92" t="n"/>
      <c r="M236" s="92" t="n"/>
    </row>
    <row r="237" ht="6.75" customHeight="1">
      <c r="A237" s="95" t="n"/>
      <c r="B237" s="101" t="n"/>
      <c r="C237" s="90" t="n"/>
      <c r="D237" s="90" t="n"/>
      <c r="E237" s="90" t="n"/>
      <c r="F237" s="90" t="n"/>
      <c r="G237" s="90" t="n"/>
      <c r="H237" s="90" t="n"/>
      <c r="I237" s="92" t="n"/>
      <c r="J237" s="92" t="n"/>
      <c r="K237" s="92" t="n"/>
      <c r="L237" s="92" t="n"/>
      <c r="M237" s="92" t="n"/>
    </row>
    <row r="238" ht="16.5" customHeight="1">
      <c r="A238" s="95" t="n"/>
      <c r="B238" s="94" t="inlineStr">
        <is>
          <t>c)</t>
        </is>
      </c>
      <c r="C238" s="99" t="inlineStr">
        <is>
          <t>EP CURVE EUROPEAN WINDSTORM</t>
        </is>
      </c>
      <c r="D238" s="90" t="n"/>
      <c r="E238" s="90" t="n"/>
      <c r="F238" s="139" t="n"/>
      <c r="G238" s="90" t="n"/>
      <c r="H238" s="90" t="n"/>
      <c r="I238" s="100" t="n"/>
      <c r="J238" s="92" t="n"/>
      <c r="K238" s="92" t="n"/>
      <c r="L238" s="92" t="n"/>
      <c r="M238" s="92" t="n"/>
    </row>
    <row r="239" ht="6.75" customHeight="1">
      <c r="A239" s="95" t="n"/>
      <c r="B239" s="101" t="n"/>
      <c r="C239" s="90" t="n"/>
      <c r="D239" s="90" t="n"/>
      <c r="E239" s="90" t="n"/>
      <c r="F239" s="90" t="n"/>
      <c r="G239" s="90" t="n"/>
      <c r="H239" s="90" t="n"/>
      <c r="I239" s="92" t="n"/>
      <c r="J239" s="92" t="n"/>
      <c r="K239" s="92" t="n"/>
      <c r="L239" s="92" t="n"/>
      <c r="M239" s="92" t="n"/>
    </row>
    <row r="240" ht="16.5" customHeight="1">
      <c r="A240" s="95" t="n"/>
      <c r="B240" s="101" t="n"/>
      <c r="C240" s="90" t="inlineStr">
        <is>
          <t>Which model(s) is used for  EP Curve European windstorm</t>
        </is>
      </c>
      <c r="D240" s="90" t="n"/>
      <c r="E240" s="90" t="n"/>
      <c r="F240" s="102" t="n"/>
      <c r="G240" s="90" t="n"/>
      <c r="H240" s="90" t="n"/>
      <c r="I240" s="92" t="n"/>
      <c r="J240" s="103" t="n"/>
      <c r="K240" s="92" t="n"/>
      <c r="L240" s="92" t="n"/>
      <c r="M240" s="92" t="n"/>
    </row>
    <row r="241" ht="16.5" customHeight="1">
      <c r="A241" s="95" t="n"/>
      <c r="B241" s="101" t="n"/>
      <c r="C241" s="90" t="inlineStr">
        <is>
          <t>Indicate the model version</t>
        </is>
      </c>
      <c r="D241" s="90" t="n"/>
      <c r="E241" s="90" t="n"/>
      <c r="F241" s="104" t="n"/>
      <c r="G241" s="90" t="n"/>
      <c r="H241" s="90" t="n"/>
      <c r="I241" s="92" t="n"/>
      <c r="J241" s="103" t="n"/>
      <c r="K241" s="92" t="n"/>
      <c r="L241" s="92" t="n"/>
      <c r="M241" s="92" t="n"/>
    </row>
    <row r="242" ht="6.75" customHeight="1">
      <c r="A242" s="95" t="n"/>
      <c r="B242" s="101" t="n"/>
      <c r="C242" s="90" t="n"/>
      <c r="D242" s="90" t="n"/>
      <c r="E242" s="90" t="n"/>
      <c r="F242" s="90" t="n"/>
      <c r="G242" s="90" t="n"/>
      <c r="H242" s="90" t="n"/>
      <c r="I242" s="92" t="n"/>
      <c r="J242" s="92" t="n"/>
      <c r="K242" s="92" t="n"/>
      <c r="L242" s="92" t="n"/>
      <c r="M242" s="92" t="n"/>
    </row>
    <row r="243" ht="17.25" customHeight="1">
      <c r="A243" s="95" t="n"/>
      <c r="B243" s="101" t="n"/>
      <c r="C243" s="107" t="inlineStr">
        <is>
          <t>Exceedance probability information:</t>
        </is>
      </c>
      <c r="D243" s="107" t="n"/>
      <c r="E243" s="90" t="n"/>
      <c r="F243" s="90" t="n"/>
      <c r="G243" s="90" t="n"/>
      <c r="H243" s="90" t="n"/>
      <c r="I243" s="92" t="n"/>
      <c r="J243" s="92" t="n"/>
      <c r="K243" s="92" t="n"/>
      <c r="L243" s="92" t="n"/>
      <c r="M243" s="92" t="n"/>
    </row>
    <row r="244" ht="16.5" customHeight="1">
      <c r="A244" s="95" t="n"/>
      <c r="B244" s="101" t="n"/>
      <c r="C244" s="108" t="n"/>
      <c r="D244" s="109" t="inlineStr">
        <is>
          <t xml:space="preserve"> Gross loss</t>
        </is>
      </c>
      <c r="E244" s="110" t="n"/>
      <c r="F244" s="111" t="inlineStr">
        <is>
          <t xml:space="preserve"> Net loss</t>
        </is>
      </c>
      <c r="G244" s="112" t="n"/>
      <c r="H244" s="90" t="n"/>
      <c r="I244" s="92" t="n"/>
      <c r="J244" s="92" t="n"/>
      <c r="K244" s="92" t="n"/>
      <c r="L244" s="92" t="n"/>
      <c r="M244" s="92" t="n"/>
    </row>
    <row r="245" ht="33" customHeight="1">
      <c r="A245" s="95" t="n"/>
      <c r="B245" s="101" t="n"/>
      <c r="C245" s="113" t="inlineStr">
        <is>
          <t>Loss Return period (years)</t>
        </is>
      </c>
      <c r="D245" s="114" t="inlineStr">
        <is>
          <t>Gross per occurrence loss TVaR</t>
        </is>
      </c>
      <c r="E245" s="115" t="inlineStr">
        <is>
          <t xml:space="preserve">Gross aggregate 
TVaR </t>
        </is>
      </c>
      <c r="F245" s="115" t="inlineStr">
        <is>
          <t>Net per occurrence loss TVaR</t>
        </is>
      </c>
      <c r="G245" s="116" t="inlineStr">
        <is>
          <t>Net aggregate
TVaR</t>
        </is>
      </c>
      <c r="H245" s="90" t="n"/>
      <c r="I245" s="92" t="n"/>
      <c r="J245" s="92" t="n"/>
      <c r="K245" s="92" t="n"/>
      <c r="L245" s="92" t="n"/>
      <c r="M245" s="92" t="n"/>
    </row>
    <row r="246" ht="16.5" customHeight="1">
      <c r="A246" s="95" t="n"/>
      <c r="B246" s="101" t="n"/>
      <c r="C246" s="117" t="n"/>
      <c r="D246" s="118" t="inlineStr">
        <is>
          <t xml:space="preserve"> ($M)</t>
        </is>
      </c>
      <c r="E246" s="118" t="inlineStr">
        <is>
          <t>($M)</t>
        </is>
      </c>
      <c r="F246" s="118" t="inlineStr">
        <is>
          <t>($M)</t>
        </is>
      </c>
      <c r="G246" s="119" t="inlineStr">
        <is>
          <t xml:space="preserve"> ($M)</t>
        </is>
      </c>
      <c r="H246" s="90" t="n"/>
      <c r="I246" s="92" t="n"/>
      <c r="J246" s="92" t="n"/>
      <c r="K246" s="92" t="n"/>
      <c r="L246" s="92" t="n"/>
      <c r="M246" s="92" t="n"/>
    </row>
    <row r="247" ht="16.5" customHeight="1">
      <c r="A247" s="95" t="n"/>
      <c r="B247" s="101" t="n"/>
      <c r="C247" s="120" t="n">
        <v>50</v>
      </c>
      <c r="D247" s="121" t="n"/>
      <c r="E247" s="121" t="n"/>
      <c r="F247" s="121" t="n"/>
      <c r="G247" s="121" t="n"/>
      <c r="H247" s="90" t="n"/>
      <c r="I247" s="92" t="n"/>
      <c r="J247" s="92" t="n"/>
      <c r="K247" s="92" t="n"/>
      <c r="L247" s="92" t="n"/>
      <c r="M247" s="92" t="n"/>
    </row>
    <row r="248" ht="16.5" customHeight="1">
      <c r="A248" s="95" t="n"/>
      <c r="B248" s="101" t="n"/>
      <c r="C248" s="120" t="n">
        <v>100</v>
      </c>
      <c r="D248" s="121" t="n"/>
      <c r="E248" s="121" t="n"/>
      <c r="F248" s="121" t="n"/>
      <c r="G248" s="121" t="n"/>
      <c r="H248" s="90" t="n"/>
      <c r="I248" s="92" t="n"/>
      <c r="J248" s="92" t="n"/>
      <c r="K248" s="92" t="n"/>
      <c r="L248" s="92" t="n"/>
      <c r="M248" s="92" t="n"/>
    </row>
    <row r="249" ht="16.5" customHeight="1">
      <c r="A249" s="95" t="n"/>
      <c r="B249" s="101" t="n"/>
      <c r="C249" s="120" t="n">
        <v>250</v>
      </c>
      <c r="D249" s="121" t="n"/>
      <c r="E249" s="121" t="n"/>
      <c r="F249" s="121" t="n"/>
      <c r="G249" s="121" t="n"/>
      <c r="H249" s="90" t="n"/>
      <c r="I249" s="92" t="n"/>
      <c r="J249" s="92" t="n"/>
      <c r="K249" s="92" t="n"/>
      <c r="L249" s="92" t="n"/>
      <c r="M249" s="92" t="n"/>
    </row>
    <row r="250" ht="16.5" customHeight="1">
      <c r="A250" s="95" t="n"/>
      <c r="B250" s="101" t="n"/>
      <c r="C250" s="120" t="n">
        <v>500</v>
      </c>
      <c r="D250" s="121" t="n"/>
      <c r="E250" s="121" t="n"/>
      <c r="F250" s="121" t="n"/>
      <c r="G250" s="121" t="n"/>
      <c r="H250" s="90" t="n"/>
      <c r="I250" s="92" t="n"/>
      <c r="J250" s="92" t="n"/>
      <c r="K250" s="92" t="n"/>
      <c r="L250" s="92" t="n"/>
      <c r="M250" s="92" t="n"/>
    </row>
    <row r="251" ht="17.25" customHeight="1">
      <c r="A251" s="95" t="n"/>
      <c r="B251" s="101" t="n"/>
      <c r="C251" s="122" t="n">
        <v>1000</v>
      </c>
      <c r="D251" s="121" t="n"/>
      <c r="E251" s="121" t="n"/>
      <c r="F251" s="121" t="n"/>
      <c r="G251" s="121" t="n"/>
      <c r="H251" s="90" t="n"/>
      <c r="I251" s="92" t="n"/>
      <c r="J251" s="92" t="n"/>
      <c r="K251" s="92" t="n"/>
      <c r="L251" s="92" t="n"/>
      <c r="M251" s="92" t="n"/>
    </row>
    <row r="252" ht="6.75" customHeight="1">
      <c r="A252" s="95" t="n"/>
      <c r="B252" s="101" t="n"/>
      <c r="C252" s="90" t="n"/>
      <c r="D252" s="123" t="n"/>
      <c r="E252" s="123" t="n"/>
      <c r="F252" s="123" t="n"/>
      <c r="G252" s="123" t="n"/>
      <c r="H252" s="90" t="n"/>
      <c r="I252" s="92" t="n"/>
      <c r="J252" s="92" t="n"/>
      <c r="K252" s="92" t="n"/>
      <c r="L252" s="92" t="n"/>
      <c r="M252" s="92" t="n"/>
    </row>
    <row r="253" ht="27.2" customHeight="1">
      <c r="A253" s="124" t="n"/>
      <c r="B253" s="101" t="n"/>
      <c r="C253" s="125" t="inlineStr">
        <is>
          <t>Exposure to European Windstorm</t>
        </is>
      </c>
      <c r="D253" s="110" t="n"/>
      <c r="E253" s="126" t="inlineStr">
        <is>
          <t>Gross</t>
        </is>
      </c>
      <c r="F253" s="127" t="inlineStr">
        <is>
          <t>Net</t>
        </is>
      </c>
      <c r="G253" s="123" t="n"/>
      <c r="H253" s="90" t="n"/>
      <c r="I253" s="92" t="n"/>
      <c r="J253" s="92" t="n"/>
      <c r="K253" s="92" t="n"/>
      <c r="L253" s="92" t="n"/>
      <c r="M253" s="92" t="n"/>
    </row>
    <row r="254" ht="16.5" customHeight="1">
      <c r="A254" s="124" t="n"/>
      <c r="B254" s="101" t="n"/>
      <c r="C254" s="128" t="n"/>
      <c r="D254" s="129" t="n"/>
      <c r="E254" s="118" t="inlineStr">
        <is>
          <t xml:space="preserve"> ($M)</t>
        </is>
      </c>
      <c r="F254" s="119" t="inlineStr">
        <is>
          <t xml:space="preserve"> ($M)</t>
        </is>
      </c>
      <c r="G254" s="123" t="n"/>
      <c r="H254" s="90" t="n"/>
      <c r="I254" s="92" t="n"/>
      <c r="J254" s="92" t="n"/>
      <c r="K254" s="92" t="n"/>
      <c r="L254" s="92" t="n"/>
      <c r="M254" s="92" t="n"/>
    </row>
    <row r="255" ht="16.5" customHeight="1">
      <c r="A255" s="124" t="n"/>
      <c r="B255" s="101" t="n"/>
      <c r="C255" s="130" t="inlineStr">
        <is>
          <t>Total statutory property catastrophe premium</t>
        </is>
      </c>
      <c r="D255" s="131" t="n"/>
      <c r="E255" s="121" t="n"/>
      <c r="F255" s="132" t="n"/>
      <c r="G255" s="123" t="n"/>
      <c r="H255" s="90" t="n"/>
      <c r="I255" s="92" t="n"/>
      <c r="J255" s="92" t="n"/>
      <c r="K255" s="92" t="n"/>
      <c r="L255" s="92" t="n"/>
      <c r="M255" s="92" t="n"/>
    </row>
    <row r="256" ht="16.5" customHeight="1">
      <c r="A256" s="124" t="n"/>
      <c r="B256" s="101" t="n"/>
      <c r="C256" s="130" t="inlineStr">
        <is>
          <t>Total all other statutory premium</t>
        </is>
      </c>
      <c r="D256" s="131" t="n"/>
      <c r="E256" s="191" t="n"/>
      <c r="F256" s="192" t="n"/>
      <c r="G256" s="123" t="n"/>
      <c r="H256" s="90" t="n"/>
      <c r="I256" s="92" t="n"/>
      <c r="J256" s="92" t="n"/>
      <c r="K256" s="92" t="n"/>
      <c r="L256" s="92" t="n"/>
      <c r="M256" s="92" t="n"/>
    </row>
    <row r="257" ht="16.5" customHeight="1">
      <c r="A257" s="124" t="n"/>
      <c r="B257" s="101" t="n"/>
      <c r="C257" s="130" t="inlineStr">
        <is>
          <t>Total statutory property catastrophe limits</t>
        </is>
      </c>
      <c r="D257" s="131" t="n"/>
      <c r="E257" s="133" t="n"/>
      <c r="F257" s="134" t="n"/>
      <c r="G257" s="123" t="n"/>
      <c r="H257" s="90" t="n"/>
      <c r="I257" s="92" t="n"/>
      <c r="J257" s="92" t="n"/>
      <c r="K257" s="92" t="n"/>
      <c r="L257" s="92" t="n"/>
      <c r="M257" s="92" t="n"/>
    </row>
    <row r="258" ht="17.25" customHeight="1">
      <c r="A258" s="124" t="n"/>
      <c r="B258" s="101" t="n"/>
      <c r="C258" s="135" t="inlineStr">
        <is>
          <t>Total all other statutory limits</t>
        </is>
      </c>
      <c r="D258" s="136" t="n"/>
      <c r="E258" s="137">
        <f>SUMIFS(BSCRInput[sum_pml],BSCRInput[bscr_entity],"3624",BSCRInput[region],"is_eu",BSCRInput[peril_id],2)/1000000</f>
        <v>7.530300000000001</v>
      </c>
      <c r="F258" s="193">
        <f>SUMIFS(BSCRInput[sum_net],BSCRInput[bscr_entity],"3624",BSCRInput[region],"is_eu",BSCRInput[peril_id],2)/1000000</f>
        <v>7.530300000000001</v>
      </c>
      <c r="G258" s="123" t="n"/>
      <c r="H258" s="90" t="n"/>
      <c r="I258" s="92" t="n"/>
      <c r="J258" s="92" t="n"/>
      <c r="K258" s="92" t="n"/>
      <c r="L258" s="92" t="n"/>
      <c r="M258" s="92" t="n"/>
    </row>
    <row r="259" ht="6.75" customHeight="1">
      <c r="A259" s="95" t="n"/>
      <c r="B259" s="101" t="n"/>
      <c r="C259" s="90" t="n"/>
      <c r="D259" s="90" t="n"/>
      <c r="E259" s="90" t="n"/>
      <c r="F259" s="90" t="n"/>
      <c r="G259" s="90" t="n"/>
      <c r="H259" s="90" t="n"/>
      <c r="I259" s="92" t="n"/>
      <c r="J259" s="92" t="n"/>
      <c r="K259" s="92" t="n"/>
      <c r="L259" s="92" t="n"/>
      <c r="M259" s="92" t="n"/>
    </row>
    <row r="260" ht="16.5" customHeight="1">
      <c r="A260" s="95" t="n"/>
      <c r="B260" s="94" t="inlineStr">
        <is>
          <t>d)</t>
        </is>
      </c>
      <c r="C260" s="99" t="inlineStr">
        <is>
          <t>EP CURVE JAPANESE EARTH QUAKE</t>
        </is>
      </c>
      <c r="D260" s="90" t="n"/>
      <c r="E260" s="90" t="n"/>
      <c r="F260" s="139" t="n"/>
      <c r="G260" s="90" t="n"/>
      <c r="H260" s="90" t="n"/>
      <c r="I260" s="100" t="n"/>
      <c r="J260" s="92" t="n"/>
      <c r="K260" s="92" t="n"/>
      <c r="L260" s="92" t="n"/>
      <c r="M260" s="92" t="n"/>
    </row>
    <row r="261" ht="6.75" customHeight="1">
      <c r="A261" s="95" t="n"/>
      <c r="B261" s="101" t="n"/>
      <c r="C261" s="90" t="n"/>
      <c r="D261" s="90" t="n"/>
      <c r="E261" s="90" t="n"/>
      <c r="F261" s="90" t="n"/>
      <c r="G261" s="90" t="n"/>
      <c r="H261" s="90" t="n"/>
      <c r="I261" s="92" t="n"/>
      <c r="J261" s="92" t="n"/>
      <c r="K261" s="92" t="n"/>
      <c r="L261" s="92" t="n"/>
      <c r="M261" s="92" t="n"/>
    </row>
    <row r="262" ht="16.5" customHeight="1">
      <c r="A262" s="95" t="n"/>
      <c r="B262" s="101" t="n"/>
      <c r="C262" s="90" t="inlineStr">
        <is>
          <t>Which model(s) is used for  EP Curve Japanese earthquake</t>
        </is>
      </c>
      <c r="D262" s="90" t="n"/>
      <c r="E262" s="90" t="n"/>
      <c r="F262" s="102" t="n"/>
      <c r="G262" s="90" t="n"/>
      <c r="H262" s="90" t="n"/>
      <c r="I262" s="92" t="n"/>
      <c r="J262" s="103" t="n"/>
      <c r="K262" s="92" t="n"/>
      <c r="L262" s="92" t="n"/>
      <c r="M262" s="92" t="n"/>
    </row>
    <row r="263" ht="16.5" customHeight="1">
      <c r="A263" s="95" t="n"/>
      <c r="B263" s="101" t="n"/>
      <c r="C263" s="95" t="inlineStr">
        <is>
          <t>Indicate the model version</t>
        </is>
      </c>
      <c r="D263" s="90" t="n"/>
      <c r="E263" s="90" t="n"/>
      <c r="F263" s="104" t="n"/>
      <c r="G263" s="90" t="n"/>
      <c r="H263" s="90" t="n"/>
      <c r="I263" s="92" t="n"/>
      <c r="J263" s="103" t="n"/>
      <c r="K263" s="92" t="n"/>
      <c r="L263" s="92" t="n"/>
      <c r="M263" s="92" t="n"/>
    </row>
    <row r="264" ht="6.75" customHeight="1">
      <c r="A264" s="95" t="n"/>
      <c r="B264" s="101" t="n"/>
      <c r="C264" s="90" t="n"/>
      <c r="D264" s="90" t="n"/>
      <c r="E264" s="90" t="n"/>
      <c r="F264" s="90" t="n"/>
      <c r="G264" s="90" t="n"/>
      <c r="H264" s="90" t="n"/>
      <c r="I264" s="92" t="n"/>
      <c r="J264" s="92" t="n"/>
      <c r="K264" s="92" t="n"/>
      <c r="L264" s="92" t="n"/>
      <c r="M264" s="92" t="n"/>
    </row>
    <row r="265" ht="17.25" customHeight="1">
      <c r="A265" s="95" t="n"/>
      <c r="B265" s="101" t="n"/>
      <c r="C265" s="107" t="inlineStr">
        <is>
          <t>Exceedance probability information:</t>
        </is>
      </c>
      <c r="D265" s="107" t="n"/>
      <c r="E265" s="90" t="n"/>
      <c r="F265" s="90" t="n"/>
      <c r="G265" s="90" t="n"/>
      <c r="H265" s="90" t="n"/>
      <c r="I265" s="92" t="n"/>
      <c r="J265" s="92" t="n"/>
      <c r="K265" s="92" t="n"/>
      <c r="L265" s="92" t="n"/>
      <c r="M265" s="92" t="n"/>
    </row>
    <row r="266" ht="16.5" customHeight="1">
      <c r="A266" s="95" t="n"/>
      <c r="B266" s="101" t="n"/>
      <c r="C266" s="108" t="n"/>
      <c r="D266" s="109" t="inlineStr">
        <is>
          <t xml:space="preserve"> Gross loss</t>
        </is>
      </c>
      <c r="E266" s="110" t="n"/>
      <c r="F266" s="111" t="inlineStr">
        <is>
          <t xml:space="preserve"> Net loss</t>
        </is>
      </c>
      <c r="G266" s="112" t="n"/>
      <c r="H266" s="90" t="n"/>
      <c r="I266" s="92" t="n"/>
      <c r="J266" s="92" t="n"/>
      <c r="K266" s="92" t="n"/>
      <c r="L266" s="92" t="n"/>
      <c r="M266" s="92" t="n"/>
    </row>
    <row r="267" ht="33" customHeight="1">
      <c r="A267" s="95" t="n"/>
      <c r="B267" s="101" t="n"/>
      <c r="C267" s="113" t="inlineStr">
        <is>
          <t>Loss Return period (years)</t>
        </is>
      </c>
      <c r="D267" s="114" t="inlineStr">
        <is>
          <t>Gross per occurrence loss TVaR</t>
        </is>
      </c>
      <c r="E267" s="115" t="inlineStr">
        <is>
          <t xml:space="preserve">Gross aggregate 
TVaR </t>
        </is>
      </c>
      <c r="F267" s="115" t="inlineStr">
        <is>
          <t>Net per occurrence loss TVaR</t>
        </is>
      </c>
      <c r="G267" s="116" t="inlineStr">
        <is>
          <t>Net aggregate
TVaR</t>
        </is>
      </c>
      <c r="H267" s="90" t="n"/>
      <c r="I267" s="92" t="n"/>
      <c r="J267" s="92" t="n"/>
      <c r="K267" s="92" t="n"/>
      <c r="L267" s="92" t="n"/>
      <c r="M267" s="92" t="n"/>
    </row>
    <row r="268" ht="16.5" customHeight="1">
      <c r="A268" s="95" t="n"/>
      <c r="B268" s="101" t="n"/>
      <c r="C268" s="117" t="n"/>
      <c r="D268" s="118" t="inlineStr">
        <is>
          <t xml:space="preserve"> ($M)</t>
        </is>
      </c>
      <c r="E268" s="118" t="inlineStr">
        <is>
          <t>($M)</t>
        </is>
      </c>
      <c r="F268" s="118" t="inlineStr">
        <is>
          <t>($M)</t>
        </is>
      </c>
      <c r="G268" s="119" t="inlineStr">
        <is>
          <t xml:space="preserve"> ($M)</t>
        </is>
      </c>
      <c r="H268" s="90" t="n"/>
      <c r="I268" s="92" t="n"/>
      <c r="J268" s="92" t="n"/>
      <c r="K268" s="92" t="n"/>
      <c r="L268" s="92" t="n"/>
      <c r="M268" s="92" t="n"/>
    </row>
    <row r="269" ht="16.5" customHeight="1">
      <c r="A269" s="95" t="n"/>
      <c r="B269" s="101" t="n"/>
      <c r="C269" s="120" t="n">
        <v>50</v>
      </c>
      <c r="D269" s="121" t="n"/>
      <c r="E269" s="121" t="n"/>
      <c r="F269" s="121" t="n"/>
      <c r="G269" s="121" t="n"/>
      <c r="H269" s="90" t="n"/>
      <c r="I269" s="92" t="n"/>
      <c r="J269" s="92" t="n"/>
      <c r="K269" s="92" t="n"/>
      <c r="L269" s="92" t="n"/>
      <c r="M269" s="92" t="n"/>
    </row>
    <row r="270" ht="16.5" customHeight="1">
      <c r="A270" s="95" t="n"/>
      <c r="B270" s="101" t="n"/>
      <c r="C270" s="120" t="n">
        <v>100</v>
      </c>
      <c r="D270" s="121" t="n"/>
      <c r="E270" s="121" t="n"/>
      <c r="F270" s="121" t="n"/>
      <c r="G270" s="121" t="n"/>
      <c r="H270" s="90" t="n"/>
      <c r="I270" s="92" t="n"/>
      <c r="J270" s="92" t="n"/>
      <c r="K270" s="92" t="n"/>
      <c r="L270" s="92" t="n"/>
      <c r="M270" s="92" t="n"/>
    </row>
    <row r="271" ht="16.5" customHeight="1">
      <c r="A271" s="95" t="n"/>
      <c r="B271" s="101" t="n"/>
      <c r="C271" s="120" t="n">
        <v>250</v>
      </c>
      <c r="D271" s="121" t="n"/>
      <c r="E271" s="121" t="n"/>
      <c r="F271" s="121" t="n"/>
      <c r="G271" s="121" t="n"/>
      <c r="H271" s="90" t="n"/>
      <c r="I271" s="92" t="n"/>
      <c r="J271" s="92" t="n"/>
      <c r="K271" s="92" t="n"/>
      <c r="L271" s="92" t="n"/>
      <c r="M271" s="92" t="n"/>
    </row>
    <row r="272" ht="16.5" customHeight="1">
      <c r="A272" s="95" t="n"/>
      <c r="B272" s="101" t="n"/>
      <c r="C272" s="120" t="n">
        <v>500</v>
      </c>
      <c r="D272" s="121" t="n"/>
      <c r="E272" s="121" t="n"/>
      <c r="F272" s="121" t="n"/>
      <c r="G272" s="121" t="n"/>
      <c r="H272" s="90" t="n"/>
      <c r="I272" s="92" t="n"/>
      <c r="J272" s="92" t="n"/>
      <c r="K272" s="92" t="n"/>
      <c r="L272" s="92" t="n"/>
      <c r="M272" s="92" t="n"/>
    </row>
    <row r="273" ht="17.25" customHeight="1">
      <c r="A273" s="95" t="n"/>
      <c r="B273" s="101" t="n"/>
      <c r="C273" s="122" t="n">
        <v>1000</v>
      </c>
      <c r="D273" s="121" t="n"/>
      <c r="E273" s="121" t="n"/>
      <c r="F273" s="121" t="n"/>
      <c r="G273" s="121" t="n"/>
      <c r="H273" s="90" t="n"/>
      <c r="I273" s="92" t="n"/>
      <c r="J273" s="92" t="n"/>
      <c r="K273" s="92" t="n"/>
      <c r="L273" s="92" t="n"/>
      <c r="M273" s="92" t="n"/>
    </row>
    <row r="274" ht="6.75" customHeight="1">
      <c r="A274" s="95" t="n"/>
      <c r="B274" s="101" t="n"/>
      <c r="C274" s="90" t="n"/>
      <c r="D274" s="123" t="n"/>
      <c r="E274" s="123" t="n"/>
      <c r="F274" s="123" t="n"/>
      <c r="G274" s="123" t="n"/>
      <c r="H274" s="90" t="n"/>
      <c r="I274" s="92" t="n"/>
      <c r="J274" s="92" t="n"/>
      <c r="K274" s="92" t="n"/>
      <c r="L274" s="92" t="n"/>
      <c r="M274" s="92" t="n"/>
    </row>
    <row r="275" ht="27.2" customHeight="1">
      <c r="A275" s="124" t="n"/>
      <c r="B275" s="101" t="n"/>
      <c r="C275" s="125" t="inlineStr">
        <is>
          <t>Exposure to Japanese Earthquake</t>
        </is>
      </c>
      <c r="D275" s="110" t="n"/>
      <c r="E275" s="126" t="inlineStr">
        <is>
          <t>Gross</t>
        </is>
      </c>
      <c r="F275" s="127" t="inlineStr">
        <is>
          <t>Net</t>
        </is>
      </c>
      <c r="G275" s="123" t="n"/>
      <c r="H275" s="90" t="n"/>
      <c r="I275" s="92" t="n"/>
      <c r="J275" s="92" t="n"/>
      <c r="K275" s="92" t="n"/>
      <c r="L275" s="92" t="n"/>
      <c r="M275" s="92" t="n"/>
    </row>
    <row r="276" ht="16.5" customHeight="1">
      <c r="A276" s="124" t="n"/>
      <c r="B276" s="101" t="n"/>
      <c r="C276" s="128" t="n"/>
      <c r="D276" s="129" t="n"/>
      <c r="E276" s="118" t="inlineStr">
        <is>
          <t xml:space="preserve"> ($M)</t>
        </is>
      </c>
      <c r="F276" s="119" t="inlineStr">
        <is>
          <t xml:space="preserve"> ($M)</t>
        </is>
      </c>
      <c r="G276" s="123" t="n"/>
      <c r="H276" s="90" t="n"/>
      <c r="I276" s="92" t="n"/>
      <c r="J276" s="92" t="n"/>
      <c r="K276" s="92" t="n"/>
      <c r="L276" s="92" t="n"/>
      <c r="M276" s="92" t="n"/>
    </row>
    <row r="277" ht="16.5" customHeight="1">
      <c r="A277" s="124" t="n"/>
      <c r="B277" s="101" t="n"/>
      <c r="C277" s="130" t="inlineStr">
        <is>
          <t>Total statutory property catastrophe premium</t>
        </is>
      </c>
      <c r="D277" s="131" t="n"/>
      <c r="E277" s="121" t="n"/>
      <c r="F277" s="132" t="n"/>
      <c r="G277" s="123" t="n"/>
      <c r="H277" s="90" t="n"/>
      <c r="I277" s="92" t="n"/>
      <c r="J277" s="92" t="n"/>
      <c r="K277" s="92" t="n"/>
      <c r="L277" s="92" t="n"/>
      <c r="M277" s="92" t="n"/>
    </row>
    <row r="278" ht="16.5" customHeight="1">
      <c r="A278" s="124" t="n"/>
      <c r="B278" s="101" t="n"/>
      <c r="C278" s="130" t="inlineStr">
        <is>
          <t>Total all other statutory premium</t>
        </is>
      </c>
      <c r="D278" s="131" t="n"/>
      <c r="E278" s="133" t="n"/>
      <c r="F278" s="134" t="n"/>
      <c r="G278" s="123" t="n"/>
      <c r="H278" s="90" t="n"/>
      <c r="I278" s="92" t="n"/>
      <c r="J278" s="92" t="n"/>
      <c r="K278" s="92" t="n"/>
      <c r="L278" s="92" t="n"/>
      <c r="M278" s="92" t="n"/>
    </row>
    <row r="279" ht="16.5" customHeight="1">
      <c r="A279" s="124" t="n"/>
      <c r="B279" s="101" t="n"/>
      <c r="C279" s="130" t="inlineStr">
        <is>
          <t>Total statutory property catastrophe limits</t>
        </is>
      </c>
      <c r="D279" s="131" t="n"/>
      <c r="E279" s="133" t="n"/>
      <c r="F279" s="134" t="n"/>
      <c r="G279" s="123" t="n"/>
      <c r="H279" s="90" t="n"/>
      <c r="I279" s="92" t="n"/>
      <c r="J279" s="92" t="n"/>
      <c r="K279" s="92" t="n"/>
      <c r="L279" s="92" t="n"/>
      <c r="M279" s="92" t="n"/>
    </row>
    <row r="280" ht="17.25" customHeight="1">
      <c r="A280" s="124" t="n"/>
      <c r="B280" s="101" t="n"/>
      <c r="C280" s="135" t="inlineStr">
        <is>
          <t>Total all other statutory limits</t>
        </is>
      </c>
      <c r="D280" s="136" t="n"/>
      <c r="E280" s="137">
        <f>SUMIFS(BSCRInput[sum_pml],BSCRInput[bscr_entity],"3624",BSCRInput[region],"is_jp_eq",BSCRInput[peril_id],1)/1000000</f>
        <v>0.0</v>
      </c>
      <c r="F280" s="193">
        <f>SUMIFS(BSCRInput[sum_net],BSCRInput[bscr_entity],"3624",BSCRInput[region],"is_jp_eq",BSCRInput[peril_id],1)/1000000</f>
        <v>0.0</v>
      </c>
      <c r="G280" s="123" t="n"/>
      <c r="H280" s="90" t="n"/>
      <c r="I280" s="92" t="n"/>
      <c r="J280" s="92" t="n"/>
      <c r="K280" s="92" t="n"/>
      <c r="L280" s="92" t="n"/>
      <c r="M280" s="92" t="n"/>
    </row>
    <row r="281" ht="6.75" customHeight="1">
      <c r="A281" s="95" t="n"/>
      <c r="B281" s="101" t="n"/>
      <c r="C281" s="90" t="n"/>
      <c r="D281" s="90" t="n"/>
      <c r="E281" s="90" t="n"/>
      <c r="F281" s="90" t="n"/>
      <c r="G281" s="90" t="n"/>
      <c r="H281" s="90" t="n"/>
      <c r="I281" s="92" t="n"/>
      <c r="J281" s="92" t="n"/>
      <c r="K281" s="92" t="n"/>
      <c r="L281" s="92" t="n"/>
      <c r="M281" s="92" t="n"/>
    </row>
    <row r="282" ht="16.5" customHeight="1">
      <c r="A282" s="95" t="n"/>
      <c r="B282" s="94" t="inlineStr">
        <is>
          <t>e)</t>
        </is>
      </c>
      <c r="C282" s="99" t="inlineStr">
        <is>
          <t>EP CURVE JAPANESE TYPHOON</t>
        </is>
      </c>
      <c r="D282" s="90" t="n"/>
      <c r="E282" s="90" t="n"/>
      <c r="F282" s="139" t="n"/>
      <c r="G282" s="90" t="n"/>
      <c r="H282" s="90" t="n"/>
      <c r="I282" s="100" t="n"/>
      <c r="J282" s="92" t="n"/>
      <c r="K282" s="92" t="n"/>
      <c r="L282" s="92" t="n"/>
      <c r="M282" s="92" t="n"/>
    </row>
    <row r="283" ht="6.75" customHeight="1">
      <c r="A283" s="95" t="n"/>
      <c r="B283" s="101" t="n"/>
      <c r="C283" s="90" t="n"/>
      <c r="D283" s="90" t="n"/>
      <c r="E283" s="90" t="n"/>
      <c r="F283" s="90" t="n"/>
      <c r="G283" s="90" t="n"/>
      <c r="H283" s="90" t="n"/>
      <c r="I283" s="92" t="n"/>
      <c r="J283" s="92" t="n"/>
      <c r="K283" s="92" t="n"/>
      <c r="L283" s="92" t="n"/>
      <c r="M283" s="92" t="n"/>
    </row>
    <row r="284" ht="16.5" customHeight="1">
      <c r="A284" s="95" t="n"/>
      <c r="B284" s="101" t="n"/>
      <c r="C284" s="90" t="inlineStr">
        <is>
          <t xml:space="preserve">Which model(s) is used for  EP Curve Japanese typhoon </t>
        </is>
      </c>
      <c r="D284" s="90" t="n"/>
      <c r="E284" s="90" t="n"/>
      <c r="F284" s="102" t="n"/>
      <c r="G284" s="90" t="n"/>
      <c r="H284" s="90" t="n"/>
      <c r="I284" s="92" t="n"/>
      <c r="J284" s="103" t="n"/>
      <c r="K284" s="92" t="n"/>
      <c r="L284" s="92" t="n"/>
      <c r="M284" s="92" t="n"/>
    </row>
    <row r="285" ht="16.5" customHeight="1">
      <c r="A285" s="95" t="n"/>
      <c r="B285" s="101" t="n"/>
      <c r="C285" s="95" t="inlineStr">
        <is>
          <t>Indicate the model version</t>
        </is>
      </c>
      <c r="D285" s="90" t="n"/>
      <c r="E285" s="90" t="n"/>
      <c r="F285" s="104" t="n"/>
      <c r="G285" s="90" t="n"/>
      <c r="H285" s="90" t="n"/>
      <c r="I285" s="92" t="n"/>
      <c r="J285" s="103" t="n"/>
      <c r="K285" s="92" t="n"/>
      <c r="L285" s="92" t="n"/>
      <c r="M285" s="92" t="n"/>
    </row>
    <row r="286" ht="6.75" customHeight="1">
      <c r="A286" s="95" t="n"/>
      <c r="B286" s="101" t="n"/>
      <c r="C286" s="90" t="n"/>
      <c r="D286" s="90" t="n"/>
      <c r="E286" s="90" t="n"/>
      <c r="F286" s="90" t="n"/>
      <c r="G286" s="90" t="n"/>
      <c r="H286" s="90" t="n"/>
      <c r="I286" s="92" t="n"/>
      <c r="J286" s="92" t="n"/>
      <c r="K286" s="92" t="n"/>
      <c r="L286" s="92" t="n"/>
      <c r="M286" s="92" t="n"/>
    </row>
    <row r="287" ht="17.25" customHeight="1">
      <c r="A287" s="95" t="n"/>
      <c r="B287" s="101" t="n"/>
      <c r="C287" s="107" t="inlineStr">
        <is>
          <t>Exceedance probability information:</t>
        </is>
      </c>
      <c r="D287" s="107" t="n"/>
      <c r="E287" s="90" t="n"/>
      <c r="F287" s="90" t="n"/>
      <c r="G287" s="90" t="n"/>
      <c r="H287" s="90" t="n"/>
      <c r="I287" s="92" t="n"/>
      <c r="J287" s="92" t="n"/>
      <c r="K287" s="92" t="n"/>
      <c r="L287" s="92" t="n"/>
      <c r="M287" s="92" t="n"/>
    </row>
    <row r="288" ht="17.25" customHeight="1">
      <c r="A288" s="95" t="n"/>
      <c r="B288" s="101" t="n"/>
      <c r="C288" s="108" t="n"/>
      <c r="D288" s="142" t="inlineStr">
        <is>
          <t xml:space="preserve"> Gross loss</t>
        </is>
      </c>
      <c r="E288" s="143" t="n"/>
      <c r="F288" s="111" t="inlineStr">
        <is>
          <t xml:space="preserve"> Net loss</t>
        </is>
      </c>
      <c r="G288" s="112" t="n"/>
      <c r="H288" s="90" t="n"/>
      <c r="I288" s="92" t="n"/>
      <c r="J288" s="92" t="n"/>
      <c r="K288" s="92" t="n"/>
      <c r="L288" s="92" t="n"/>
      <c r="M288" s="92" t="n"/>
    </row>
    <row r="289" ht="33" customHeight="1">
      <c r="A289" s="95" t="n"/>
      <c r="B289" s="101" t="n"/>
      <c r="C289" s="144" t="inlineStr">
        <is>
          <t>Loss Return period (years)</t>
        </is>
      </c>
      <c r="D289" s="114" t="inlineStr">
        <is>
          <t>Gross per occurrence loss TVaR</t>
        </is>
      </c>
      <c r="E289" s="115" t="inlineStr">
        <is>
          <t xml:space="preserve">Gross aggregate 
TVaR </t>
        </is>
      </c>
      <c r="F289" s="145" t="inlineStr">
        <is>
          <t>Net per occurrence loss TVaR</t>
        </is>
      </c>
      <c r="G289" s="116" t="inlineStr">
        <is>
          <t>Net aggregate
TVaR</t>
        </is>
      </c>
      <c r="H289" s="90" t="n"/>
      <c r="I289" s="92" t="n"/>
      <c r="J289" s="92" t="n"/>
      <c r="K289" s="92" t="n"/>
      <c r="L289" s="92" t="n"/>
      <c r="M289" s="92" t="n"/>
    </row>
    <row r="290" ht="16.5" customHeight="1">
      <c r="A290" s="95" t="n"/>
      <c r="B290" s="101" t="n"/>
      <c r="C290" s="117" t="n"/>
      <c r="D290" s="118" t="inlineStr">
        <is>
          <t xml:space="preserve"> ($M)</t>
        </is>
      </c>
      <c r="E290" s="118" t="inlineStr">
        <is>
          <t>($M)</t>
        </is>
      </c>
      <c r="F290" s="118" t="inlineStr">
        <is>
          <t>($M)</t>
        </is>
      </c>
      <c r="G290" s="119" t="inlineStr">
        <is>
          <t xml:space="preserve"> ($M)</t>
        </is>
      </c>
      <c r="H290" s="90" t="n"/>
      <c r="I290" s="92" t="n"/>
      <c r="J290" s="92" t="n"/>
      <c r="K290" s="92" t="n"/>
      <c r="L290" s="92" t="n"/>
      <c r="M290" s="92" t="n"/>
    </row>
    <row r="291" ht="16.5" customHeight="1">
      <c r="A291" s="95" t="n"/>
      <c r="B291" s="101" t="n"/>
      <c r="C291" s="120" t="n">
        <v>50</v>
      </c>
      <c r="D291" s="121" t="n"/>
      <c r="E291" s="121" t="n"/>
      <c r="F291" s="121" t="n"/>
      <c r="G291" s="121" t="n"/>
      <c r="H291" s="90" t="n"/>
      <c r="I291" s="92" t="n"/>
      <c r="J291" s="92" t="n"/>
      <c r="K291" s="92" t="n"/>
      <c r="L291" s="92" t="n"/>
      <c r="M291" s="92" t="n"/>
    </row>
    <row r="292" ht="16.5" customHeight="1">
      <c r="A292" s="95" t="n"/>
      <c r="B292" s="101" t="n"/>
      <c r="C292" s="120" t="n">
        <v>100</v>
      </c>
      <c r="D292" s="121" t="n"/>
      <c r="E292" s="121" t="n"/>
      <c r="F292" s="121" t="n"/>
      <c r="G292" s="121" t="n"/>
      <c r="H292" s="90" t="n"/>
      <c r="I292" s="92" t="n"/>
      <c r="J292" s="92" t="n"/>
      <c r="K292" s="92" t="n"/>
      <c r="L292" s="92" t="n"/>
      <c r="M292" s="92" t="n"/>
    </row>
    <row r="293" ht="16.5" customHeight="1">
      <c r="A293" s="95" t="n"/>
      <c r="B293" s="101" t="n"/>
      <c r="C293" s="120" t="n">
        <v>250</v>
      </c>
      <c r="D293" s="121" t="n"/>
      <c r="E293" s="121" t="n"/>
      <c r="F293" s="121" t="n"/>
      <c r="G293" s="121" t="n"/>
      <c r="H293" s="90" t="n"/>
      <c r="I293" s="92" t="n"/>
      <c r="J293" s="92" t="n"/>
      <c r="K293" s="92" t="n"/>
      <c r="L293" s="92" t="n"/>
      <c r="M293" s="92" t="n"/>
    </row>
    <row r="294" ht="16.5" customHeight="1">
      <c r="A294" s="95" t="n"/>
      <c r="B294" s="101" t="n"/>
      <c r="C294" s="120" t="n">
        <v>500</v>
      </c>
      <c r="D294" s="121" t="n"/>
      <c r="E294" s="121" t="n"/>
      <c r="F294" s="121" t="n"/>
      <c r="G294" s="121" t="n"/>
      <c r="H294" s="90" t="n"/>
      <c r="I294" s="92" t="n"/>
      <c r="J294" s="92" t="n"/>
      <c r="K294" s="92" t="n"/>
      <c r="L294" s="92" t="n"/>
      <c r="M294" s="92" t="n"/>
    </row>
    <row r="295" ht="17.25" customHeight="1">
      <c r="A295" s="95" t="n"/>
      <c r="B295" s="101" t="n"/>
      <c r="C295" s="122" t="n">
        <v>1000</v>
      </c>
      <c r="D295" s="121" t="n"/>
      <c r="E295" s="121" t="n"/>
      <c r="F295" s="121" t="n"/>
      <c r="G295" s="121" t="n"/>
      <c r="H295" s="90" t="n"/>
      <c r="I295" s="92" t="n"/>
      <c r="J295" s="92" t="n"/>
      <c r="K295" s="92" t="n"/>
      <c r="L295" s="92" t="n"/>
      <c r="M295" s="92" t="n"/>
    </row>
    <row r="296" ht="6.75" customHeight="1">
      <c r="A296" s="95" t="n"/>
      <c r="B296" s="90" t="n"/>
      <c r="C296" s="90" t="n"/>
      <c r="D296" s="123" t="n"/>
      <c r="E296" s="123" t="n"/>
      <c r="F296" s="123" t="n"/>
      <c r="G296" s="123" t="n"/>
      <c r="H296" s="90" t="n"/>
      <c r="I296" s="92" t="n"/>
      <c r="J296" s="92" t="n"/>
      <c r="K296" s="92" t="n"/>
      <c r="L296" s="92" t="n"/>
      <c r="M296" s="92" t="n"/>
    </row>
    <row r="297" ht="27.2" customHeight="1">
      <c r="A297" s="124" t="n"/>
      <c r="B297" s="90" t="n"/>
      <c r="C297" s="125" t="inlineStr">
        <is>
          <t>Exposure to Japanese Typhoon</t>
        </is>
      </c>
      <c r="D297" s="110" t="n"/>
      <c r="E297" s="126" t="inlineStr">
        <is>
          <t>Gross</t>
        </is>
      </c>
      <c r="F297" s="127" t="inlineStr">
        <is>
          <t>Net</t>
        </is>
      </c>
      <c r="G297" s="123" t="n"/>
      <c r="H297" s="90" t="n"/>
      <c r="I297" s="92" t="n"/>
      <c r="J297" s="92" t="n"/>
      <c r="K297" s="92" t="n"/>
      <c r="L297" s="92" t="n"/>
      <c r="M297" s="92" t="n"/>
    </row>
    <row r="298" ht="16.5" customHeight="1">
      <c r="A298" s="124" t="n"/>
      <c r="B298" s="90" t="n"/>
      <c r="C298" s="128" t="n"/>
      <c r="D298" s="129" t="n"/>
      <c r="E298" s="118" t="inlineStr">
        <is>
          <t xml:space="preserve"> ($M)</t>
        </is>
      </c>
      <c r="F298" s="119" t="inlineStr">
        <is>
          <t xml:space="preserve"> ($M)</t>
        </is>
      </c>
      <c r="G298" s="123" t="n"/>
      <c r="H298" s="90" t="n"/>
      <c r="I298" s="92" t="n"/>
      <c r="J298" s="92" t="n"/>
      <c r="K298" s="92" t="n"/>
      <c r="L298" s="92" t="n"/>
      <c r="M298" s="92" t="n"/>
    </row>
    <row r="299" ht="16.5" customHeight="1">
      <c r="A299" s="124" t="n"/>
      <c r="B299" s="90" t="n"/>
      <c r="C299" s="130" t="inlineStr">
        <is>
          <t>Total statutory property catastrophe premium</t>
        </is>
      </c>
      <c r="D299" s="131" t="n"/>
      <c r="E299" s="121" t="n"/>
      <c r="F299" s="132" t="n"/>
      <c r="G299" s="123" t="n"/>
      <c r="H299" s="90" t="n"/>
      <c r="I299" s="92" t="n"/>
      <c r="J299" s="92" t="n"/>
      <c r="K299" s="92" t="n"/>
      <c r="L299" s="92" t="n"/>
      <c r="M299" s="92" t="n"/>
    </row>
    <row r="300" ht="16.5" customHeight="1">
      <c r="A300" s="124" t="n"/>
      <c r="B300" s="90" t="n"/>
      <c r="C300" s="130" t="inlineStr">
        <is>
          <t>Total all other statutory premium</t>
        </is>
      </c>
      <c r="D300" s="131" t="n"/>
      <c r="E300" s="133" t="n"/>
      <c r="F300" s="134" t="n"/>
      <c r="G300" s="123" t="n"/>
      <c r="H300" s="90" t="n"/>
      <c r="I300" s="92" t="n"/>
      <c r="J300" s="92" t="n"/>
      <c r="K300" s="92" t="n"/>
      <c r="L300" s="92" t="n"/>
      <c r="M300" s="92" t="n"/>
    </row>
    <row r="301" ht="16.5" customHeight="1">
      <c r="A301" s="124" t="n"/>
      <c r="B301" s="90" t="n"/>
      <c r="C301" s="130" t="inlineStr">
        <is>
          <t>Total statutory property catastrophe limits</t>
        </is>
      </c>
      <c r="D301" s="131" t="n"/>
      <c r="E301" s="133" t="n"/>
      <c r="F301" s="134" t="n"/>
      <c r="G301" s="123" t="n"/>
      <c r="H301" s="90" t="n"/>
      <c r="I301" s="92" t="n"/>
      <c r="J301" s="92" t="n"/>
      <c r="K301" s="92" t="n"/>
      <c r="L301" s="92" t="n"/>
      <c r="M301" s="92" t="n"/>
    </row>
    <row r="302" ht="17.25" customHeight="1">
      <c r="A302" s="124" t="n"/>
      <c r="B302" s="90" t="n"/>
      <c r="C302" s="135" t="inlineStr">
        <is>
          <t>Total all other statutory limits</t>
        </is>
      </c>
      <c r="D302" s="136" t="n"/>
      <c r="E302" s="137">
        <f>SUMIFS(BSCRInput[sum_pml],BSCRInput[bscr_entity],"3624",BSCRInput[region],"is_jp",BSCRInput[peril_id],2)/1000000</f>
        <v>0.0</v>
      </c>
      <c r="F302" s="193">
        <f>SUMIFS(BSCRInput[sum_net],BSCRInput[bscr_entity],"3624",BSCRInput[region],"is_jp",BSCRInput[peril_id],2)/1000000</f>
        <v>0.0</v>
      </c>
      <c r="G302" s="123" t="n"/>
      <c r="H302" s="90" t="n"/>
      <c r="I302" s="92" t="n"/>
      <c r="J302" s="92" t="n"/>
      <c r="K302" s="92" t="n"/>
      <c r="L302" s="92" t="n"/>
      <c r="M302" s="92" t="n"/>
    </row>
    <row r="303" ht="6.75" customHeight="1">
      <c r="A303" s="146" t="n"/>
      <c r="B303" s="14" t="n"/>
      <c r="C303" s="14" t="n"/>
      <c r="D303" s="14" t="n"/>
      <c r="E303" s="14" t="n"/>
      <c r="F303" s="14" t="n"/>
      <c r="G303" s="14" t="n"/>
      <c r="H303" s="14" t="n"/>
      <c r="I303" s="92" t="n"/>
      <c r="J303" s="92" t="n"/>
      <c r="K303" s="92" t="n"/>
      <c r="L303" s="92" t="n"/>
      <c r="M303" s="92" t="n"/>
    </row>
    <row r="304"/>
    <row r="305"/>
    <row r="306"/>
    <row r="307"/>
    <row r="308"/>
    <row r="309" ht="72.75" customHeight="1">
      <c r="A309" s="63" t="n"/>
      <c r="B309" s="147" t="inlineStr">
        <is>
          <t>CATASTROPHE RISK RETURN: DATA  ANALYSIS (TABLE 15E)</t>
        </is>
      </c>
      <c r="C309" s="64" t="n"/>
      <c r="D309" s="64" t="n"/>
      <c r="E309" s="64" t="n"/>
      <c r="F309" s="64" t="n"/>
      <c r="G309" s="64" t="n"/>
      <c r="H309" s="64" t="n"/>
      <c r="I309" s="64" t="n"/>
      <c r="J309" s="64" t="inlineStr">
        <is>
          <t>Back to instructions</t>
        </is>
      </c>
      <c r="K309" s="64" t="n"/>
      <c r="L309" s="64" t="n"/>
      <c r="M309" s="8" t="n"/>
    </row>
    <row r="310" ht="16.5" customHeight="1">
      <c r="A310" s="88" t="n"/>
      <c r="B310" s="148" t="inlineStr">
        <is>
          <t>3624</t>
        </is>
      </c>
      <c r="C310" s="149" t="n"/>
      <c r="D310" s="90" t="n"/>
      <c r="E310" s="90" t="n"/>
      <c r="F310" s="90" t="n"/>
      <c r="G310" s="90" t="n"/>
      <c r="H310" s="90" t="n"/>
      <c r="I310" s="90" t="n"/>
      <c r="J310" s="90" t="n"/>
      <c r="K310" s="90" t="n"/>
      <c r="L310" s="90" t="n"/>
      <c r="M310" s="90" t="n"/>
    </row>
    <row r="311" ht="16.5" customHeight="1">
      <c r="A311" s="88" t="n"/>
      <c r="B311" s="150">
        <f>DATE(2026,1,1)</f>
        <v>46023.0</v>
      </c>
      <c r="E311" s="90" t="n"/>
      <c r="F311" s="90" t="n"/>
      <c r="G311" s="90" t="n"/>
      <c r="H311" s="90" t="n"/>
      <c r="I311" s="90" t="n"/>
      <c r="J311" s="90" t="n"/>
      <c r="K311" s="90" t="n"/>
      <c r="L311" s="151" t="n"/>
      <c r="M311" s="94" t="inlineStr">
        <is>
          <t>Schedule X(f)</t>
        </is>
      </c>
    </row>
    <row r="312" ht="9.199999999999999" customHeight="1">
      <c r="A312" s="152" t="n"/>
      <c r="B312" s="153" t="n"/>
      <c r="C312" s="154" t="n"/>
      <c r="D312" s="154" t="n"/>
      <c r="E312" s="154" t="n"/>
      <c r="F312" s="154" t="n"/>
      <c r="G312" s="154" t="n"/>
      <c r="H312" s="154" t="n"/>
      <c r="I312" s="154" t="n"/>
      <c r="J312" s="154" t="n"/>
      <c r="K312" s="154" t="n"/>
      <c r="L312" s="154" t="n"/>
      <c r="M312" s="154" t="n"/>
    </row>
    <row r="313" ht="15.75" customHeight="1">
      <c r="A313" s="152" t="n"/>
      <c r="B313" s="155" t="n">
        <v>1</v>
      </c>
      <c r="C313" s="155" t="inlineStr">
        <is>
          <t>For all contracts written by the insurance group, provide splits of those that are:</t>
        </is>
      </c>
      <c r="D313" s="154" t="n"/>
      <c r="E313" s="154" t="n"/>
      <c r="F313" s="154" t="n"/>
      <c r="G313" s="154" t="n"/>
      <c r="H313" s="154" t="n"/>
      <c r="I313" s="154" t="n"/>
      <c r="J313" s="154" t="n"/>
      <c r="K313" s="154" t="n"/>
      <c r="L313" s="154" t="n"/>
      <c r="M313" s="154" t="n"/>
    </row>
    <row r="314" ht="9.199999999999999" customHeight="1">
      <c r="A314" s="152" t="n"/>
      <c r="B314" s="155" t="n"/>
      <c r="C314" s="154" t="n"/>
      <c r="D314" s="154" t="n"/>
      <c r="E314" s="154" t="n"/>
      <c r="F314" s="154" t="n"/>
      <c r="G314" s="154" t="n"/>
      <c r="H314" s="154" t="n"/>
      <c r="I314" s="154" t="n"/>
      <c r="J314" s="154" t="n"/>
      <c r="K314" s="154" t="n"/>
      <c r="L314" s="154" t="n"/>
      <c r="M314" s="154" t="n"/>
    </row>
    <row r="315" ht="26.85" customHeight="1">
      <c r="A315" s="152" t="n"/>
      <c r="B315" s="155" t="n"/>
      <c r="C315" s="154" t="n"/>
      <c r="D315" s="154" t="n"/>
      <c r="E315" s="156" t="inlineStr">
        <is>
          <t>U.S. specific contracts - all exposures</t>
        </is>
      </c>
      <c r="F315" s="157" t="n"/>
      <c r="G315" s="22" t="n"/>
      <c r="H315" s="156" t="inlineStr">
        <is>
          <t>All other contracts - all exposures</t>
        </is>
      </c>
      <c r="I315" s="157" t="n"/>
      <c r="J315" s="22" t="n"/>
      <c r="K315" s="156" t="inlineStr">
        <is>
          <t>Total</t>
        </is>
      </c>
      <c r="L315" s="157" t="n"/>
      <c r="M315" s="22" t="n"/>
    </row>
    <row r="316" ht="31.5" customHeight="1">
      <c r="A316" s="152" t="n"/>
      <c r="B316" s="155" t="n"/>
      <c r="C316" s="154" t="n"/>
      <c r="D316" s="154" t="n"/>
      <c r="E316" s="158" t="inlineStr">
        <is>
          <t>Contract count</t>
        </is>
      </c>
      <c r="F316" s="158" t="inlineStr">
        <is>
          <t xml:space="preserve">Gross limit provided </t>
        </is>
      </c>
      <c r="G316" s="158" t="inlineStr">
        <is>
          <t>Net limit provided</t>
        </is>
      </c>
      <c r="H316" s="158" t="inlineStr">
        <is>
          <t>Contract count</t>
        </is>
      </c>
      <c r="I316" s="158" t="inlineStr">
        <is>
          <t xml:space="preserve">Gross limit provided </t>
        </is>
      </c>
      <c r="J316" s="158" t="inlineStr">
        <is>
          <t>Net limit provided</t>
        </is>
      </c>
      <c r="K316" s="158" t="inlineStr">
        <is>
          <t>Contract count</t>
        </is>
      </c>
      <c r="L316" s="158" t="inlineStr">
        <is>
          <t xml:space="preserve">Gross limit provided </t>
        </is>
      </c>
      <c r="M316" s="158" t="inlineStr">
        <is>
          <t>Net limit provided</t>
        </is>
      </c>
    </row>
    <row r="317" ht="15.75" customHeight="1">
      <c r="A317" s="152" t="n"/>
      <c r="B317" s="155" t="n"/>
      <c r="C317" s="154" t="n"/>
      <c r="D317" s="154" t="n"/>
      <c r="E317" s="159" t="n"/>
      <c r="F317" s="158" t="inlineStr">
        <is>
          <t>($M)</t>
        </is>
      </c>
      <c r="G317" s="158" t="inlineStr">
        <is>
          <t>($M)</t>
        </is>
      </c>
      <c r="H317" s="159" t="n"/>
      <c r="I317" s="158" t="inlineStr">
        <is>
          <t>($M)</t>
        </is>
      </c>
      <c r="J317" s="158" t="inlineStr">
        <is>
          <t>($M)</t>
        </is>
      </c>
      <c r="K317" s="159" t="n"/>
      <c r="L317" s="158" t="inlineStr">
        <is>
          <t>($M)</t>
        </is>
      </c>
      <c r="M317" s="158" t="inlineStr">
        <is>
          <t>($M)</t>
        </is>
      </c>
    </row>
    <row r="318" ht="15.75" customHeight="1">
      <c r="A318" s="152" t="n"/>
      <c r="B318" s="155" t="n"/>
      <c r="C318" s="154" t="n"/>
      <c r="D318" s="160" t="inlineStr">
        <is>
          <t>modellable</t>
        </is>
      </c>
      <c r="E318" s="161">
        <f>SUMIFS(BSCRInput[count_policies],BSCRInput[bscr_entity],"3624",BSCRInput[region],"ALL",BSCRInput[peril_id],1,BSCRInput[is_geocoded],1,BSCRInput[cntrycode],"US")</f>
        <v>3.0</v>
      </c>
      <c r="F318" s="162">
        <f>SUMIFS(BSCRInput[sum_pml],BSCRInput[bscr_entity],"3624",BSCRInput[region],"ALL",BSCRInput[peril_id],1,BSCRInput[is_geocoded],1,BSCRInput[cntrycode],"US")/1000000</f>
        <v>3.324645</v>
      </c>
      <c r="G318" s="162">
        <f>SUMIFS(BSCRInput[sum_net],BSCRInput[bscr_entity],"3624",BSCRInput[region],"ALL",BSCRInput[peril_id],1,BSCRInput[is_geocoded],1,BSCRInput[cntrycode],"US")/1000000</f>
        <v>3.324645</v>
      </c>
      <c r="H318" s="161">
        <f>(SUMIFS(BSCRInput[count_policies],BSCRInput[bscr_entity],"3624",BSCRInput[region],"ALL",BSCRInput[peril_id],1,BSCRInput[is_geocoded],1)-SUMIFS(BSCRInput[count_policies],BSCRInput[bscr_entity],"3624",BSCRInput[region],"ALL",BSCRInput[peril_id],1,BSCRInput[is_geocoded],1,BSCRInput[cntrycode],"US"))</f>
        <v>22.0</v>
      </c>
      <c r="I318" s="162">
        <f>(SUMIFS(BSCRInput[sum_pml],BSCRInput[bscr_entity],"3624",BSCRInput[region],"ALL",BSCRInput[peril_id],1,BSCRInput[is_geocoded],1)-SUMIFS(BSCRInput[sum_pml],BSCRInput[bscr_entity],"3624",BSCRInput[region],"ALL",BSCRInput[peril_id],1,BSCRInput[is_geocoded],1,BSCRInput[cntrycode],"US"))/1000000</f>
        <v>23.936575680000004</v>
      </c>
      <c r="J318" s="162">
        <f>(SUMIFS(BSCRInput[sum_net],BSCRInput[bscr_entity],"3624",BSCRInput[region],"ALL",BSCRInput[peril_id],1,BSCRInput[is_geocoded],1)-SUMIFS(BSCRInput[sum_net],BSCRInput[bscr_entity],"3624",BSCRInput[region],"ALL",BSCRInput[peril_id],1,BSCRInput[is_geocoded],1,BSCRInput[cntrycode],"US"))/1000000</f>
        <v>23.936575680000004</v>
      </c>
      <c r="K318" s="163">
        <f>SUMIFS(BSCRInput[count_policies],BSCRInput[bscr_entity],"3624",BSCRInput[region],"ALL",BSCRInput[peril_id],1,BSCRInput[is_geocoded],1)</f>
        <v>25.0</v>
      </c>
      <c r="L318" s="164">
        <f>SUMIFS(BSCRInput[sum_pml],BSCRInput[bscr_entity],"3624",BSCRInput[region],"ALL",BSCRInput[peril_id],1,BSCRInput[is_geocoded],1)/1000000</f>
        <v>27.261220680000005</v>
      </c>
      <c r="M318" s="164">
        <f>SUMIFS(BSCRInput[sum_net],BSCRInput[bscr_entity],"3624",BSCRInput[region],"ALL",BSCRInput[peril_id],1,BSCRInput[is_geocoded],1)/1000000</f>
        <v>27.261220680000005</v>
      </c>
    </row>
    <row r="319" ht="15.75" customHeight="1">
      <c r="A319" s="152" t="n"/>
      <c r="B319" s="155" t="n"/>
      <c r="C319" s="154" t="n"/>
      <c r="D319" s="160" t="inlineStr">
        <is>
          <t>Not modellable</t>
        </is>
      </c>
      <c r="E319" s="161">
        <f>SUMIFS(BSCRInput[count_policies],BSCRInput[bscr_entity],"3624",BSCRInput[region],"ALL",BSCRInput[peril_id],1,BSCRInput[is_geocoded],0,BSCRInput[cntrycode],"US")</f>
        <v>0.0</v>
      </c>
      <c r="F319" s="162">
        <f>SUMIFS(BSCRInput[sum_pml],BSCRInput[bscr_entity],"3624",BSCRInput[region],"ALL",BSCRInput[peril_id],1,BSCRInput[is_geocoded],0,BSCRInput[cntrycode],"US")/1000000</f>
        <v>0.0</v>
      </c>
      <c r="G319" s="162">
        <f>SUMIFS(BSCRInput[sum_net],BSCRInput[bscr_entity],"3624",BSCRInput[region],"ALL",BSCRInput[peril_id],1,BSCRInput[is_geocoded],0,BSCRInput[cntrycode],"US")/1000000</f>
        <v>0.0</v>
      </c>
      <c r="H319" s="161">
        <f>(SUMIFS(BSCRInput[count_policies],BSCRInput[bscr_entity],"3624",BSCRInput[region],"ALL",BSCRInput[peril_id],1,BSCRInput[is_geocoded],0)-SUMIFS(BSCRInput[count_policies],BSCRInput[bscr_entity],"3624",BSCRInput[region],"ALL",BSCRInput[peril_id],1,BSCRInput[is_geocoded],0,BSCRInput[cntrycode],"US"))</f>
        <v>2.0</v>
      </c>
      <c r="I319" s="162">
        <f>(SUMIFS(BSCRInput[sum_pml],BSCRInput[bscr_entity],"3624",BSCRInput[region],"ALL",BSCRInput[peril_id],1,BSCRInput[is_geocoded],0)-SUMIFS(BSCRInput[sum_pml],BSCRInput[bscr_entity],"3624",BSCRInput[region],"ALL",BSCRInput[peril_id],1,BSCRInput[is_geocoded],0,BSCRInput[cntrycode],"US"))/1000000</f>
        <v>0.29835</v>
      </c>
      <c r="J319" s="162">
        <f>(SUMIFS(BSCRInput[sum_net],BSCRInput[bscr_entity],"3624",BSCRInput[region],"ALL",BSCRInput[peril_id],1,BSCRInput[is_geocoded],0)-SUMIFS(BSCRInput[sum_net],BSCRInput[bscr_entity],"3624",BSCRInput[region],"ALL",BSCRInput[peril_id],1,BSCRInput[is_geocoded],0,BSCRInput[cntrycode],"US"))/1000000</f>
        <v>0.29835</v>
      </c>
      <c r="K319" s="163">
        <f>SUMIFS(BSCRInput[count_policies],BSCRInput[bscr_entity],"3624",BSCRInput[region],"ALL",BSCRInput[peril_id],1,BSCRInput[is_geocoded],0)</f>
        <v>2.0</v>
      </c>
      <c r="L319" s="164">
        <f>SUMIFS(BSCRInput[sum_pml],BSCRInput[bscr_entity],"3624",BSCRInput[region],"ALL",BSCRInput[peril_id],1,BSCRInput[is_geocoded],0)/1000000</f>
        <v>0.29835</v>
      </c>
      <c r="M319" s="164">
        <f>SUMIFS(BSCRInput[sum_net],BSCRInput[bscr_entity],"3624",BSCRInput[region],"ALL",BSCRInput[peril_id],1,BSCRInput[is_geocoded],0)/1000000</f>
        <v>0.29835</v>
      </c>
    </row>
    <row r="320" ht="15.75" customHeight="1">
      <c r="A320" s="152" t="n"/>
      <c r="B320" s="155" t="n"/>
      <c r="C320" s="154" t="n"/>
      <c r="D320" s="160" t="inlineStr">
        <is>
          <t>Total</t>
        </is>
      </c>
      <c r="E320" s="165">
        <f>SUMIFS(BSCRInput[count_policies],BSCRInput[bscr_entity],"3624",BSCRInput[region],"ALL",BSCRInput[peril_id],1,BSCRInput[cntrycode],"US")</f>
        <v>3.0</v>
      </c>
      <c r="F320" s="166">
        <f>SUMIFS(BSCRInput[sum_pml],BSCRInput[bscr_entity],"3624",BSCRInput[region],"ALL",BSCRInput[peril_id],1,BSCRInput[cntrycode],"US")/1000000</f>
        <v>3.324645</v>
      </c>
      <c r="G320" s="166">
        <f>SUMIFS(BSCRInput[sum_net],BSCRInput[bscr_entity],"3624",BSCRInput[region],"ALL",BSCRInput[peril_id],1,BSCRInput[cntrycode],"US")/1000000</f>
        <v>3.324645</v>
      </c>
      <c r="H320" s="165">
        <f>(SUMIFS(BSCRInput[count_policies],BSCRInput[bscr_entity],"3624",BSCRInput[region],"ALL",BSCRInput[peril_id],1)-SUMIFS(BSCRInput[count_policies],BSCRInput[bscr_entity],"3624",BSCRInput[region],"ALL",BSCRInput[peril_id],1,BSCRInput[cntrycode],"US"))</f>
        <v>24.0</v>
      </c>
      <c r="I320" s="166">
        <f>(SUMIFS(BSCRInput[sum_pml],BSCRInput[bscr_entity],"3624",BSCRInput[region],"ALL",BSCRInput[peril_id],1)-SUMIFS(BSCRInput[sum_pml],BSCRInput[bscr_entity],"3624",BSCRInput[region],"ALL",BSCRInput[peril_id],1,BSCRInput[cntrycode],"US"))/1000000</f>
        <v>24.234925680000003</v>
      </c>
      <c r="J320" s="166">
        <f>(SUMIFS(BSCRInput[sum_net],BSCRInput[bscr_entity],"3624",BSCRInput[region],"ALL",BSCRInput[peril_id],1)-SUMIFS(BSCRInput[sum_net],BSCRInput[bscr_entity],"3624",BSCRInput[region],"ALL",BSCRInput[peril_id],1,BSCRInput[cntrycode],"US"))/1000000</f>
        <v>24.234925680000003</v>
      </c>
      <c r="K320" s="165">
        <f>SUMIFS(BSCRInput[count_policies],BSCRInput[bscr_entity],"3624",BSCRInput[region],"ALL",BSCRInput[peril_id],1)</f>
        <v>27.0</v>
      </c>
      <c r="L320" s="166">
        <f>SUMIFS(BSCRInput[sum_pml],BSCRInput[bscr_entity],"3624",BSCRInput[region],"ALL",BSCRInput[peril_id],1)/1000000</f>
        <v>27.559570680000004</v>
      </c>
      <c r="M320" s="166">
        <f>SUMIFS(BSCRInput[sum_net],BSCRInput[bscr_entity],"3624",BSCRInput[region],"ALL",BSCRInput[peril_id],1)/1000000</f>
        <v>27.559570680000004</v>
      </c>
    </row>
    <row r="321" ht="9.199999999999999" customHeight="1">
      <c r="A321" s="152" t="n"/>
      <c r="B321" s="155" t="n"/>
      <c r="C321" s="154" t="n"/>
      <c r="D321" s="154" t="n"/>
      <c r="E321" s="154" t="n"/>
      <c r="F321" s="154" t="n"/>
      <c r="G321" s="154" t="n"/>
      <c r="H321" s="154" t="n"/>
      <c r="I321" s="154" t="n"/>
      <c r="J321" s="154" t="n"/>
      <c r="K321" s="154" t="n"/>
      <c r="L321" s="154" t="n"/>
      <c r="M321" s="154" t="n"/>
    </row>
    <row r="322" ht="15.75" customHeight="1">
      <c r="A322" s="152" t="n"/>
      <c r="B322" s="155" t="n">
        <v>2</v>
      </c>
      <c r="C322" s="155" t="inlineStr">
        <is>
          <t>For those contracts that are written by the insurance group that may be modelled, provide splits of those that are:</t>
        </is>
      </c>
      <c r="D322" s="154" t="n"/>
      <c r="E322" s="154" t="n"/>
      <c r="F322" s="154" t="n"/>
      <c r="G322" s="154" t="n"/>
      <c r="H322" s="154" t="n"/>
      <c r="I322" s="154" t="n"/>
      <c r="J322" s="154" t="n"/>
      <c r="K322" s="154" t="n"/>
      <c r="L322" s="167" t="n"/>
      <c r="M322" s="154" t="n"/>
    </row>
    <row r="323" ht="9.199999999999999" customHeight="1">
      <c r="A323" s="152" t="n"/>
      <c r="B323" s="155" t="n"/>
      <c r="C323" s="154" t="n"/>
      <c r="D323" s="154" t="n"/>
      <c r="E323" s="154" t="n"/>
      <c r="F323" s="154" t="n"/>
      <c r="G323" s="154" t="n"/>
      <c r="H323" s="154" t="n"/>
      <c r="I323" s="154" t="n"/>
      <c r="J323" s="154" t="n"/>
      <c r="K323" s="154" t="n"/>
      <c r="L323" s="154" t="n"/>
      <c r="M323" s="154" t="n"/>
    </row>
    <row r="324" ht="27.2" customHeight="1">
      <c r="A324" s="152" t="n"/>
      <c r="B324" s="155" t="n"/>
      <c r="C324" s="154" t="n"/>
      <c r="D324" s="154" t="n"/>
      <c r="E324" s="156" t="str">
        <f>+E315</f>
        <v>U.S. specific contracts - all exposures</v>
      </c>
      <c r="F324" s="157" t="n"/>
      <c r="G324" s="22" t="n"/>
      <c r="H324" s="156" t="str">
        <f>+H315</f>
        <v>All other contracts - all exposures</v>
      </c>
      <c r="I324" s="157" t="n"/>
      <c r="J324" s="22" t="n"/>
      <c r="K324" s="156" t="inlineStr">
        <is>
          <t>Total</t>
        </is>
      </c>
      <c r="L324" s="157" t="n"/>
      <c r="M324" s="22" t="n"/>
    </row>
    <row r="325" ht="31.5" customHeight="1">
      <c r="A325" s="152" t="n"/>
      <c r="B325" s="155" t="n"/>
      <c r="C325" s="154" t="n"/>
      <c r="D325" s="154" t="n"/>
      <c r="E325" s="158" t="inlineStr">
        <is>
          <t>Contract count</t>
        </is>
      </c>
      <c r="F325" s="158" t="inlineStr">
        <is>
          <t xml:space="preserve">Gross limit provided </t>
        </is>
      </c>
      <c r="G325" s="158" t="inlineStr">
        <is>
          <t>Net limit provided</t>
        </is>
      </c>
      <c r="H325" s="158" t="inlineStr">
        <is>
          <t>Contract count</t>
        </is>
      </c>
      <c r="I325" s="158" t="inlineStr">
        <is>
          <t xml:space="preserve">Gross limit provided </t>
        </is>
      </c>
      <c r="J325" s="158" t="inlineStr">
        <is>
          <t>Net limit provided</t>
        </is>
      </c>
      <c r="K325" s="158" t="inlineStr">
        <is>
          <t>Contract count</t>
        </is>
      </c>
      <c r="L325" s="158" t="inlineStr">
        <is>
          <t xml:space="preserve">Gross limit provided </t>
        </is>
      </c>
      <c r="M325" s="158" t="inlineStr">
        <is>
          <t>Net limit provided</t>
        </is>
      </c>
    </row>
    <row r="326" ht="15.75" customHeight="1">
      <c r="A326" s="152" t="n"/>
      <c r="B326" s="155" t="n"/>
      <c r="C326" s="154" t="n"/>
      <c r="D326" s="154" t="n"/>
      <c r="E326" s="159" t="n"/>
      <c r="F326" s="158" t="inlineStr">
        <is>
          <t>($M)</t>
        </is>
      </c>
      <c r="G326" s="158" t="inlineStr">
        <is>
          <t>($M)</t>
        </is>
      </c>
      <c r="H326" s="159" t="n"/>
      <c r="I326" s="158" t="inlineStr">
        <is>
          <t>($M)</t>
        </is>
      </c>
      <c r="J326" s="158" t="inlineStr">
        <is>
          <t>($M)</t>
        </is>
      </c>
      <c r="K326" s="159" t="n"/>
      <c r="L326" s="158" t="inlineStr">
        <is>
          <t>($M)</t>
        </is>
      </c>
      <c r="M326" s="158" t="inlineStr">
        <is>
          <t>($M)</t>
        </is>
      </c>
    </row>
    <row r="327" ht="15.75" customHeight="1">
      <c r="A327" s="152" t="n"/>
      <c r="B327" s="155" t="n"/>
      <c r="C327" s="154" t="n"/>
      <c r="D327" s="160" t="inlineStr">
        <is>
          <t>modelled</t>
        </is>
      </c>
      <c r="E327" s="161">
        <f>SUMIFS(BSCRInput[count_policies],BSCRInput[bscr_entity],"3624",BSCRInput[region],"ALL",BSCRInput[peril_id],1,BSCRInput[is_geocoded],1,BSCRInput[cntrycode],"US")</f>
        <v>3.0</v>
      </c>
      <c r="F327" s="162">
        <f>SUMIFS(BSCRInput[sum_pml],BSCRInput[bscr_entity],"3624",BSCRInput[region],"ALL",BSCRInput[peril_id],1,BSCRInput[is_geocoded],1,BSCRInput[cntrycode],"US")/1000000</f>
        <v>3.324645</v>
      </c>
      <c r="G327" s="162">
        <f>SUMIFS(BSCRInput[sum_net],BSCRInput[bscr_entity],"3624",BSCRInput[region],"ALL",BSCRInput[peril_id],1,BSCRInput[is_geocoded],1,BSCRInput[cntrycode],"US")/1000000</f>
        <v>3.324645</v>
      </c>
      <c r="H327" s="161">
        <f>(SUMIFS(BSCRInput[count_policies],BSCRInput[bscr_entity],"3624",BSCRInput[region],"ALL",BSCRInput[peril_id],1,BSCRInput[is_geocoded],1)-SUMIFS(BSCRInput[count_policies],BSCRInput[bscr_entity],"3624",BSCRInput[region],"ALL",BSCRInput[peril_id],1,BSCRInput[is_geocoded],1,BSCRInput[cntrycode],"US"))</f>
        <v>22.0</v>
      </c>
      <c r="I327" s="162">
        <f>(SUMIFS(BSCRInput[sum_pml],BSCRInput[bscr_entity],"3624",BSCRInput[region],"ALL",BSCRInput[peril_id],1,BSCRInput[is_geocoded],1)-SUMIFS(BSCRInput[sum_pml],BSCRInput[bscr_entity],"3624",BSCRInput[region],"ALL",BSCRInput[peril_id],1,BSCRInput[is_geocoded],1,BSCRInput[cntrycode],"US"))/1000000</f>
        <v>23.936575680000004</v>
      </c>
      <c r="J327" s="162">
        <f>(SUMIFS(BSCRInput[sum_net],BSCRInput[bscr_entity],"3624",BSCRInput[region],"ALL",BSCRInput[peril_id],1,BSCRInput[is_geocoded],1)-SUMIFS(BSCRInput[sum_net],BSCRInput[bscr_entity],"3624",BSCRInput[region],"ALL",BSCRInput[peril_id],1,BSCRInput[is_geocoded],1,BSCRInput[cntrycode],"US"))/1000000</f>
        <v>23.936575680000004</v>
      </c>
      <c r="K327" s="163">
        <f>SUMIFS(BSCRInput[count_policies],BSCRInput[bscr_entity],"3624",BSCRInput[region],"ALL",BSCRInput[peril_id],1,BSCRInput[is_geocoded],1)</f>
        <v>25.0</v>
      </c>
      <c r="L327" s="164">
        <f>SUMIFS(BSCRInput[sum_pml],BSCRInput[bscr_entity],"3624",BSCRInput[region],"ALL",BSCRInput[peril_id],1,BSCRInput[is_geocoded],1)/1000000</f>
        <v>27.261220680000005</v>
      </c>
      <c r="M327" s="164">
        <f>SUMIFS(BSCRInput[sum_net],BSCRInput[bscr_entity],"3624",BSCRInput[region],"ALL",BSCRInput[peril_id],1,BSCRInput[is_geocoded],1)/1000000</f>
        <v>27.261220680000005</v>
      </c>
    </row>
    <row r="328" ht="15.75" customHeight="1">
      <c r="A328" s="152" t="n"/>
      <c r="B328" s="155" t="n"/>
      <c r="C328" s="154" t="n"/>
      <c r="D328" s="160" t="inlineStr">
        <is>
          <t>Not modelled</t>
        </is>
      </c>
      <c r="E328" s="161">
        <f>SUMIFS(BSCRInput[count_policies],BSCRInput[bscr_entity],"3624",BSCRInput[region],"ALL",BSCRInput[peril_id],1,BSCRInput[is_geocoded],0,BSCRInput[cntrycode],"US")</f>
        <v>0.0</v>
      </c>
      <c r="F328" s="162">
        <f>SUMIFS(BSCRInput[sum_pml],BSCRInput[bscr_entity],"3624",BSCRInput[region],"ALL",BSCRInput[peril_id],1,BSCRInput[is_geocoded],0,BSCRInput[cntrycode],"US")/1000000</f>
        <v>0.0</v>
      </c>
      <c r="G328" s="162">
        <f>SUMIFS(BSCRInput[sum_net],BSCRInput[bscr_entity],"3624",BSCRInput[region],"ALL",BSCRInput[peril_id],1,BSCRInput[is_geocoded],0,BSCRInput[cntrycode],"US")/1000000</f>
        <v>0.0</v>
      </c>
      <c r="H328" s="161">
        <f>(SUMIFS(BSCRInput[count_policies],BSCRInput[bscr_entity],"3624",BSCRInput[region],"ALL",BSCRInput[peril_id],1,BSCRInput[is_geocoded],0)-SUMIFS(BSCRInput[count_policies],BSCRInput[bscr_entity],"3624",BSCRInput[region],"ALL",BSCRInput[peril_id],1,BSCRInput[is_geocoded],0,BSCRInput[cntrycode],"US"))</f>
        <v>2.0</v>
      </c>
      <c r="I328" s="162">
        <f>(SUMIFS(BSCRInput[sum_pml],BSCRInput[bscr_entity],"3624",BSCRInput[region],"ALL",BSCRInput[peril_id],1,BSCRInput[is_geocoded],0)-SUMIFS(BSCRInput[sum_pml],BSCRInput[bscr_entity],"3624",BSCRInput[region],"ALL",BSCRInput[peril_id],1,BSCRInput[is_geocoded],0,BSCRInput[cntrycode],"US"))/1000000</f>
        <v>0.29835</v>
      </c>
      <c r="J328" s="162">
        <f>(SUMIFS(BSCRInput[sum_net],BSCRInput[bscr_entity],"3624",BSCRInput[region],"ALL",BSCRInput[peril_id],1,BSCRInput[is_geocoded],0)-SUMIFS(BSCRInput[sum_net],BSCRInput[bscr_entity],"3624",BSCRInput[region],"ALL",BSCRInput[peril_id],1,BSCRInput[is_geocoded],0,BSCRInput[cntrycode],"US"))/1000000</f>
        <v>0.29835</v>
      </c>
      <c r="K328" s="163">
        <f>SUMIFS(BSCRInput[count_policies],BSCRInput[bscr_entity],"3624",BSCRInput[region],"ALL",BSCRInput[peril_id],1,BSCRInput[is_geocoded],0)</f>
        <v>2.0</v>
      </c>
      <c r="L328" s="164">
        <f>SUMIFS(BSCRInput[sum_pml],BSCRInput[bscr_entity],"3624",BSCRInput[region],"ALL",BSCRInput[peril_id],1,BSCRInput[is_geocoded],0)/1000000</f>
        <v>0.29835</v>
      </c>
      <c r="M328" s="164">
        <f>SUMIFS(BSCRInput[sum_net],BSCRInput[bscr_entity],"3624",BSCRInput[region],"ALL",BSCRInput[peril_id],1,BSCRInput[is_geocoded],0)/1000000</f>
        <v>0.29835</v>
      </c>
    </row>
    <row r="329" ht="15.75" customHeight="1">
      <c r="A329" s="152" t="n"/>
      <c r="B329" s="155" t="n"/>
      <c r="C329" s="154" t="n"/>
      <c r="D329" s="160" t="inlineStr">
        <is>
          <t>Total</t>
        </is>
      </c>
      <c r="E329" s="165">
        <f>SUMIFS(BSCRInput[count_policies],BSCRInput[bscr_entity],"3624",BSCRInput[region],"ALL",BSCRInput[peril_id],1,BSCRInput[cntrycode],"US")</f>
        <v>3.0</v>
      </c>
      <c r="F329" s="166">
        <f>SUMIFS(BSCRInput[sum_pml],BSCRInput[bscr_entity],"3624",BSCRInput[region],"ALL",BSCRInput[peril_id],1,BSCRInput[cntrycode],"US")/1000000</f>
        <v>3.324645</v>
      </c>
      <c r="G329" s="166">
        <f>SUMIFS(BSCRInput[sum_net],BSCRInput[bscr_entity],"3624",BSCRInput[region],"ALL",BSCRInput[peril_id],1,BSCRInput[cntrycode],"US")/1000000</f>
        <v>3.324645</v>
      </c>
      <c r="H329" s="165">
        <f>(SUMIFS(BSCRInput[count_policies],BSCRInput[bscr_entity],"3624",BSCRInput[region],"ALL",BSCRInput[peril_id],1)-SUMIFS(BSCRInput[count_policies],BSCRInput[bscr_entity],"3624",BSCRInput[region],"ALL",BSCRInput[peril_id],1,BSCRInput[cntrycode],"US"))</f>
        <v>24.0</v>
      </c>
      <c r="I329" s="166">
        <f>(SUMIFS(BSCRInput[sum_pml],BSCRInput[bscr_entity],"3624",BSCRInput[region],"ALL",BSCRInput[peril_id],1)-SUMIFS(BSCRInput[sum_pml],BSCRInput[bscr_entity],"3624",BSCRInput[region],"ALL",BSCRInput[peril_id],1,BSCRInput[cntrycode],"US"))/1000000</f>
        <v>24.234925680000003</v>
      </c>
      <c r="J329" s="166">
        <f>(SUMIFS(BSCRInput[sum_net],BSCRInput[bscr_entity],"3624",BSCRInput[region],"ALL",BSCRInput[peril_id],1)-SUMIFS(BSCRInput[sum_net],BSCRInput[bscr_entity],"3624",BSCRInput[region],"ALL",BSCRInput[peril_id],1,BSCRInput[cntrycode],"US"))/1000000</f>
        <v>24.234925680000003</v>
      </c>
      <c r="K329" s="165">
        <f>SUMIFS(BSCRInput[count_policies],BSCRInput[bscr_entity],"3624",BSCRInput[region],"ALL",BSCRInput[peril_id],1)</f>
        <v>27.0</v>
      </c>
      <c r="L329" s="166">
        <f>SUMIFS(BSCRInput[sum_pml],BSCRInput[bscr_entity],"3624",BSCRInput[region],"ALL",BSCRInput[peril_id],1)/1000000</f>
        <v>27.559570680000004</v>
      </c>
      <c r="M329" s="166">
        <f>SUMIFS(BSCRInput[sum_net],BSCRInput[bscr_entity],"3624",BSCRInput[region],"ALL",BSCRInput[peril_id],1)/1000000</f>
        <v>27.559570680000004</v>
      </c>
    </row>
    <row r="330" ht="9.199999999999999" customHeight="1">
      <c r="A330" s="152" t="n"/>
      <c r="B330" s="155" t="n"/>
      <c r="C330" s="154" t="n"/>
      <c r="D330" s="160" t="n"/>
      <c r="E330" s="154" t="n"/>
      <c r="F330" s="154" t="n"/>
      <c r="G330" s="154" t="n"/>
      <c r="H330" s="154" t="n"/>
      <c r="I330" s="154" t="n"/>
      <c r="J330" s="154" t="n"/>
      <c r="K330" s="154" t="n"/>
      <c r="L330" s="154" t="n"/>
      <c r="M330" s="154" t="n"/>
    </row>
    <row r="331" ht="15.75" customHeight="1">
      <c r="A331" s="152" t="n"/>
      <c r="B331" s="155" t="n">
        <v>3</v>
      </c>
      <c r="C331" s="155" t="inlineStr">
        <is>
          <t>For those contracts that are written by the insurance group that are modelled, provide splits of those that are:</t>
        </is>
      </c>
      <c r="D331" s="160" t="n"/>
      <c r="E331" s="154" t="n"/>
      <c r="F331" s="154" t="n"/>
      <c r="G331" s="154" t="n"/>
      <c r="H331" s="154" t="n"/>
      <c r="I331" s="154" t="n"/>
      <c r="J331" s="154" t="n"/>
      <c r="K331" s="154" t="n"/>
      <c r="L331" s="154" t="n"/>
      <c r="M331" s="154" t="n"/>
    </row>
    <row r="332" ht="9.199999999999999" customHeight="1">
      <c r="A332" s="152" t="n"/>
      <c r="B332" s="155" t="n"/>
      <c r="C332" s="154" t="n"/>
      <c r="D332" s="160" t="n"/>
      <c r="E332" s="154" t="n"/>
      <c r="F332" s="154" t="n"/>
      <c r="G332" s="154" t="n"/>
      <c r="H332" s="154" t="n"/>
      <c r="I332" s="154" t="n"/>
      <c r="J332" s="154" t="n"/>
      <c r="K332" s="154" t="n"/>
      <c r="L332" s="154" t="n"/>
      <c r="M332" s="154" t="n"/>
    </row>
    <row r="333" ht="27.2" customHeight="1">
      <c r="A333" s="152" t="n"/>
      <c r="B333" s="155" t="n"/>
      <c r="C333" s="154" t="n"/>
      <c r="D333" s="160" t="n"/>
      <c r="E333" s="156" t="str">
        <f>+E315</f>
        <v>U.S. specific contracts - all exposures</v>
      </c>
      <c r="F333" s="157" t="n"/>
      <c r="G333" s="22" t="n"/>
      <c r="H333" s="156" t="str">
        <f>+H315</f>
        <v>All other contracts - all exposures</v>
      </c>
      <c r="I333" s="157" t="n"/>
      <c r="J333" s="22" t="n"/>
      <c r="K333" s="156" t="inlineStr">
        <is>
          <t>Total</t>
        </is>
      </c>
      <c r="L333" s="157" t="n"/>
      <c r="M333" s="22" t="n"/>
    </row>
    <row r="334" ht="31.5" customHeight="1">
      <c r="A334" s="152" t="n"/>
      <c r="B334" s="155" t="n"/>
      <c r="C334" s="154" t="n"/>
      <c r="D334" s="154" t="n"/>
      <c r="E334" s="158" t="inlineStr">
        <is>
          <t>Contract count</t>
        </is>
      </c>
      <c r="F334" s="158" t="inlineStr">
        <is>
          <t xml:space="preserve">Gross limit provided </t>
        </is>
      </c>
      <c r="G334" s="158" t="inlineStr">
        <is>
          <t>Net limit provided</t>
        </is>
      </c>
      <c r="H334" s="158" t="inlineStr">
        <is>
          <t>Contract count</t>
        </is>
      </c>
      <c r="I334" s="158" t="inlineStr">
        <is>
          <t xml:space="preserve">Gross limit provided </t>
        </is>
      </c>
      <c r="J334" s="158" t="inlineStr">
        <is>
          <t>Net limit provided</t>
        </is>
      </c>
      <c r="K334" s="158" t="inlineStr">
        <is>
          <t>Contract count</t>
        </is>
      </c>
      <c r="L334" s="158" t="inlineStr">
        <is>
          <t xml:space="preserve">Gross limit provided </t>
        </is>
      </c>
      <c r="M334" s="158" t="inlineStr">
        <is>
          <t>Net limit provided</t>
        </is>
      </c>
    </row>
    <row r="335" ht="15.75" customHeight="1">
      <c r="A335" s="152" t="n"/>
      <c r="B335" s="155" t="n"/>
      <c r="C335" s="154" t="n"/>
      <c r="D335" s="154" t="n"/>
      <c r="E335" s="159" t="n"/>
      <c r="F335" s="158" t="inlineStr">
        <is>
          <t>($M)</t>
        </is>
      </c>
      <c r="G335" s="158" t="inlineStr">
        <is>
          <t>($M)</t>
        </is>
      </c>
      <c r="H335" s="159" t="n"/>
      <c r="I335" s="158" t="inlineStr">
        <is>
          <t>($M)</t>
        </is>
      </c>
      <c r="J335" s="158" t="inlineStr">
        <is>
          <t>($M)</t>
        </is>
      </c>
      <c r="K335" s="159" t="n"/>
      <c r="L335" s="158" t="inlineStr">
        <is>
          <t>($M)</t>
        </is>
      </c>
      <c r="M335" s="158" t="inlineStr">
        <is>
          <t>($M)</t>
        </is>
      </c>
    </row>
    <row r="336" ht="15.75" customHeight="1">
      <c r="A336" s="152" t="n"/>
      <c r="B336" s="155" t="n"/>
      <c r="C336" s="154" t="n"/>
      <c r="D336" s="160" t="inlineStr">
        <is>
          <t>Detailed exposure data</t>
        </is>
      </c>
      <c r="E336" s="161">
        <f>SUMIFS(BSCRInput[count_policies],BSCRInput[bscr_entity],"3624",BSCRInput[region],"ALL",BSCRInput[peril_id],1,BSCRInput[is_geocoded],1,BSCRInput[cntrycode],"US")</f>
        <v>3.0</v>
      </c>
      <c r="F336" s="162">
        <f>SUMIFS(BSCRInput[sum_pml],BSCRInput[bscr_entity],"3624",BSCRInput[region],"ALL",BSCRInput[peril_id],1,BSCRInput[is_geocoded],1,BSCRInput[cntrycode],"US")/1000000</f>
        <v>3.324645</v>
      </c>
      <c r="G336" s="162">
        <f>SUMIFS(BSCRInput[sum_net],BSCRInput[bscr_entity],"3624",BSCRInput[region],"ALL",BSCRInput[peril_id],1,BSCRInput[is_geocoded],1,BSCRInput[cntrycode],"US")/1000000</f>
        <v>3.324645</v>
      </c>
      <c r="H336" s="161">
        <f>(SUMIFS(BSCRInput[count_policies],BSCRInput[bscr_entity],"3624",BSCRInput[region],"ALL",BSCRInput[peril_id],1,BSCRInput[is_geocoded],1)-SUMIFS(BSCRInput[count_policies],BSCRInput[bscr_entity],"3624",BSCRInput[region],"ALL",BSCRInput[peril_id],1,BSCRInput[is_geocoded],1,BSCRInput[cntrycode],"US"))</f>
        <v>22.0</v>
      </c>
      <c r="I336" s="162">
        <f>(SUMIFS(BSCRInput[sum_pml],BSCRInput[bscr_entity],"3624",BSCRInput[region],"ALL",BSCRInput[peril_id],1,BSCRInput[is_geocoded],1)-SUMIFS(BSCRInput[sum_pml],BSCRInput[bscr_entity],"3624",BSCRInput[region],"ALL",BSCRInput[peril_id],1,BSCRInput[is_geocoded],1,BSCRInput[cntrycode],"US"))/1000000</f>
        <v>23.936575680000004</v>
      </c>
      <c r="J336" s="162">
        <f>(SUMIFS(BSCRInput[sum_net],BSCRInput[bscr_entity],"3624",BSCRInput[region],"ALL",BSCRInput[peril_id],1,BSCRInput[is_geocoded],1)-SUMIFS(BSCRInput[sum_net],BSCRInput[bscr_entity],"3624",BSCRInput[region],"ALL",BSCRInput[peril_id],1,BSCRInput[is_geocoded],1,BSCRInput[cntrycode],"US"))/1000000</f>
        <v>23.936575680000004</v>
      </c>
      <c r="K336" s="163">
        <f>SUMIFS(BSCRInput[count_policies],BSCRInput[bscr_entity],"3624",BSCRInput[region],"ALL",BSCRInput[peril_id],1,BSCRInput[is_geocoded],1)</f>
        <v>25.0</v>
      </c>
      <c r="L336" s="164">
        <f>SUMIFS(BSCRInput[sum_pml],BSCRInput[bscr_entity],"3624",BSCRInput[region],"ALL",BSCRInput[peril_id],1,BSCRInput[is_geocoded],1)/1000000</f>
        <v>27.261220680000005</v>
      </c>
      <c r="M336" s="164">
        <f>SUMIFS(BSCRInput[sum_net],BSCRInput[bscr_entity],"3624",BSCRInput[region],"ALL",BSCRInput[peril_id],1,BSCRInput[is_geocoded],1)/1000000</f>
        <v>27.261220680000005</v>
      </c>
    </row>
    <row r="337" ht="15.75" customHeight="1">
      <c r="A337" s="152" t="n"/>
      <c r="B337" s="155" t="n"/>
      <c r="C337" s="154" t="n"/>
      <c r="D337" s="160" t="inlineStr">
        <is>
          <t>Aggregate exposure data</t>
        </is>
      </c>
      <c r="E337" s="161">
        <f>0</f>
        <v>0.0</v>
      </c>
      <c r="F337" s="162">
        <f>0</f>
        <v>0.0</v>
      </c>
      <c r="G337" s="162">
        <f>0</f>
        <v>0.0</v>
      </c>
      <c r="H337" s="161">
        <f>0</f>
        <v>0.0</v>
      </c>
      <c r="I337" s="162">
        <f>0</f>
        <v>0.0</v>
      </c>
      <c r="J337" s="162">
        <f>0</f>
        <v>0.0</v>
      </c>
      <c r="K337" s="163">
        <f>0</f>
        <v>0.0</v>
      </c>
      <c r="L337" s="164">
        <f>0</f>
        <v>0.0</v>
      </c>
      <c r="M337" s="164">
        <f>0</f>
        <v>0.0</v>
      </c>
    </row>
    <row r="338" ht="42.75" customHeight="1">
      <c r="A338" s="152" t="n"/>
      <c r="B338" s="155" t="n"/>
      <c r="C338" s="168" t="n"/>
      <c r="D338" s="43" t="n"/>
      <c r="E338" s="161">
        <f>0</f>
        <v>0.0</v>
      </c>
      <c r="F338" s="162">
        <f>0</f>
        <v>0.0</v>
      </c>
      <c r="G338" s="162">
        <f>0</f>
        <v>0.0</v>
      </c>
      <c r="H338" s="161">
        <f>0</f>
        <v>0.0</v>
      </c>
      <c r="I338" s="162">
        <f>0</f>
        <v>0.0</v>
      </c>
      <c r="J338" s="162">
        <f>0</f>
        <v>0.0</v>
      </c>
      <c r="K338" s="163">
        <f>0</f>
        <v>0.0</v>
      </c>
      <c r="L338" s="164">
        <f>0</f>
        <v>0.0</v>
      </c>
      <c r="M338" s="164">
        <f>0</f>
        <v>0.0</v>
      </c>
    </row>
    <row r="339" ht="27.2" customHeight="1">
      <c r="A339" s="152" t="n"/>
      <c r="B339" s="155" t="n"/>
      <c r="C339" s="168" t="n"/>
      <c r="D339" s="43" t="n"/>
      <c r="E339" s="161">
        <f>0</f>
        <v>0.0</v>
      </c>
      <c r="F339" s="162">
        <f>0</f>
        <v>0.0</v>
      </c>
      <c r="G339" s="162">
        <f>0</f>
        <v>0.0</v>
      </c>
      <c r="H339" s="161">
        <f>0</f>
        <v>0.0</v>
      </c>
      <c r="I339" s="162">
        <f>0</f>
        <v>0.0</v>
      </c>
      <c r="J339" s="162">
        <f>0</f>
        <v>0.0</v>
      </c>
      <c r="K339" s="163">
        <f>0</f>
        <v>0.0</v>
      </c>
      <c r="L339" s="164">
        <f>0</f>
        <v>0.0</v>
      </c>
      <c r="M339" s="164">
        <f>0</f>
        <v>0.0</v>
      </c>
    </row>
    <row r="340" ht="15.75" customHeight="1">
      <c r="A340" s="152" t="n"/>
      <c r="B340" s="155" t="n"/>
      <c r="C340" s="154" t="n"/>
      <c r="D340" s="160" t="inlineStr">
        <is>
          <t>Other</t>
        </is>
      </c>
      <c r="E340" s="161">
        <f>0</f>
        <v>0.0</v>
      </c>
      <c r="F340" s="162">
        <f>0</f>
        <v>0.0</v>
      </c>
      <c r="G340" s="162">
        <f>0</f>
        <v>0.0</v>
      </c>
      <c r="H340" s="161">
        <f>0</f>
        <v>0.0</v>
      </c>
      <c r="I340" s="162">
        <f>0</f>
        <v>0.0</v>
      </c>
      <c r="J340" s="162">
        <f>0</f>
        <v>0.0</v>
      </c>
      <c r="K340" s="163">
        <f>0</f>
        <v>0.0</v>
      </c>
      <c r="L340" s="164">
        <f>0</f>
        <v>0.0</v>
      </c>
      <c r="M340" s="164">
        <f>0</f>
        <v>0.0</v>
      </c>
    </row>
    <row r="341" ht="15.75" customHeight="1">
      <c r="A341" s="152" t="n"/>
      <c r="B341" s="155" t="n"/>
      <c r="C341" s="154" t="n"/>
      <c r="D341" s="160" t="inlineStr">
        <is>
          <t>Total</t>
        </is>
      </c>
      <c r="E341" s="165">
        <f>SUMIFS(BSCRInput[count_policies],BSCRInput[bscr_entity],"3624",BSCRInput[region],"ALL",BSCRInput[peril_id],1,BSCRInput[is_geocoded],1,BSCRInput[cntrycode],"US")</f>
        <v>3.0</v>
      </c>
      <c r="F341" s="169">
        <f>SUMIFS(BSCRInput[sum_pml],BSCRInput[bscr_entity],"3624",BSCRInput[region],"ALL",BSCRInput[peril_id],1,BSCRInput[is_geocoded],1,BSCRInput[cntrycode],"US")/1000000</f>
        <v>3.324645</v>
      </c>
      <c r="G341" s="169">
        <f>SUMIFS(BSCRInput[sum_net],BSCRInput[bscr_entity],"3624",BSCRInput[region],"ALL",BSCRInput[peril_id],1,BSCRInput[is_geocoded],1,BSCRInput[cntrycode],"US")/1000000</f>
        <v>3.324645</v>
      </c>
      <c r="H341" s="170">
        <f>(SUMIFS(BSCRInput[count_policies],BSCRInput[bscr_entity],"3624",BSCRInput[region],"ALL",BSCRInput[peril_id],1,BSCRInput[is_geocoded],1)-SUMIFS(BSCRInput[count_policies],BSCRInput[bscr_entity],"3624",BSCRInput[region],"ALL",BSCRInput[peril_id],1,BSCRInput[is_geocoded],1,BSCRInput[cntrycode],"US"))</f>
        <v>22.0</v>
      </c>
      <c r="I341" s="169">
        <f>(SUMIFS(BSCRInput[sum_pml],BSCRInput[bscr_entity],"3624",BSCRInput[region],"ALL",BSCRInput[peril_id],1,BSCRInput[is_geocoded],1)-SUMIFS(BSCRInput[sum_pml],BSCRInput[bscr_entity],"3624",BSCRInput[region],"ALL",BSCRInput[peril_id],1,BSCRInput[is_geocoded],1,BSCRInput[cntrycode],"US"))/1000000</f>
        <v>23.936575680000004</v>
      </c>
      <c r="J341" s="166">
        <f>(SUMIFS(BSCRInput[sum_net],BSCRInput[bscr_entity],"3624",BSCRInput[region],"ALL",BSCRInput[peril_id],1,BSCRInput[is_geocoded],1)-SUMIFS(BSCRInput[sum_net],BSCRInput[bscr_entity],"3624",BSCRInput[region],"ALL",BSCRInput[peril_id],1,BSCRInput[is_geocoded],1,BSCRInput[cntrycode],"US"))/1000000</f>
        <v>23.936575680000004</v>
      </c>
      <c r="K341" s="165">
        <f>SUMIFS(BSCRInput[count_policies],BSCRInput[bscr_entity],"3624",BSCRInput[region],"ALL",BSCRInput[peril_id],1,BSCRInput[is_geocoded],1)</f>
        <v>25.0</v>
      </c>
      <c r="L341" s="166">
        <f>SUMIFS(BSCRInput[sum_pml],BSCRInput[bscr_entity],"3624",BSCRInput[region],"ALL",BSCRInput[peril_id],1,BSCRInput[is_geocoded],1)/1000000</f>
        <v>27.261220680000005</v>
      </c>
      <c r="M341" s="166">
        <f>SUMIFS(BSCRInput[sum_net],BSCRInput[bscr_entity],"3624",BSCRInput[region],"ALL",BSCRInput[peril_id],1,BSCRInput[is_geocoded],1)/1000000</f>
        <v>27.261220680000005</v>
      </c>
    </row>
    <row r="342" ht="9.199999999999999" customHeight="1">
      <c r="A342" s="152" t="n"/>
      <c r="B342" s="155" t="n"/>
      <c r="C342" s="154" t="n"/>
      <c r="D342" s="160" t="n"/>
      <c r="E342" s="167" t="n"/>
      <c r="F342" s="167" t="n"/>
      <c r="G342" s="167" t="n"/>
      <c r="H342" s="154" t="n"/>
      <c r="I342" s="154" t="n"/>
      <c r="J342" s="154" t="n"/>
      <c r="K342" s="154" t="n"/>
      <c r="L342" s="154" t="n"/>
      <c r="M342" s="154" t="n"/>
    </row>
    <row r="343" ht="15.75" customHeight="1">
      <c r="A343" s="152" t="n"/>
      <c r="B343" s="155" t="n"/>
      <c r="C343" s="154" t="inlineStr">
        <is>
          <t>If other is selected, describe the methodology as appropriate:</t>
        </is>
      </c>
      <c r="D343" s="154" t="n"/>
      <c r="E343" s="167" t="n"/>
      <c r="F343" s="167" t="n"/>
      <c r="G343" s="167" t="n"/>
      <c r="H343" s="154" t="n"/>
      <c r="I343" s="154" t="n"/>
      <c r="J343" s="154" t="n"/>
      <c r="K343" s="154" t="n"/>
      <c r="L343" s="154" t="n"/>
      <c r="M343" s="154" t="n"/>
    </row>
    <row r="344" ht="15.75" customHeight="1">
      <c r="A344" s="152" t="n"/>
      <c r="B344" s="155" t="n"/>
      <c r="C344" s="171" t="n"/>
      <c r="D344" s="45" t="n"/>
      <c r="E344" s="45" t="n"/>
      <c r="F344" s="45" t="n"/>
      <c r="G344" s="45" t="n"/>
      <c r="H344" s="45" t="n"/>
      <c r="I344" s="45" t="n"/>
      <c r="J344" s="45" t="n"/>
      <c r="K344" s="45" t="n"/>
      <c r="L344" s="45" t="n"/>
      <c r="M344" s="46" t="n"/>
    </row>
    <row r="345" ht="9.199999999999999" customHeight="1">
      <c r="A345" s="152" t="n"/>
      <c r="B345" s="155" t="n"/>
      <c r="C345" s="154" t="n"/>
      <c r="D345" s="154" t="n"/>
      <c r="E345" s="154" t="n"/>
      <c r="F345" s="154" t="n"/>
      <c r="G345" s="154" t="n"/>
      <c r="H345" s="154" t="n"/>
      <c r="I345" s="154" t="n"/>
      <c r="J345" s="154" t="n"/>
      <c r="K345" s="154" t="n"/>
      <c r="L345" s="154" t="n"/>
      <c r="M345" s="154" t="n"/>
    </row>
    <row r="346" ht="15.75" customHeight="1">
      <c r="A346" s="152" t="n"/>
      <c r="B346" s="155" t="n">
        <v>4</v>
      </c>
      <c r="C346" s="155" t="inlineStr">
        <is>
          <t xml:space="preserve">For those contracts that are written by the insurance group that may be modelled (but are not modelled), provide splits of those that are: </t>
        </is>
      </c>
      <c r="D346" s="154" t="n"/>
      <c r="E346" s="154" t="n"/>
      <c r="F346" s="154" t="n"/>
      <c r="G346" s="154" t="n"/>
      <c r="H346" s="154" t="n"/>
      <c r="I346" s="154" t="n"/>
      <c r="J346" s="154" t="n"/>
      <c r="K346" s="154" t="n"/>
      <c r="L346" s="154" t="n"/>
      <c r="M346" s="154" t="n"/>
    </row>
    <row r="347" ht="9.199999999999999" customHeight="1">
      <c r="A347" s="152" t="n"/>
      <c r="B347" s="155" t="n"/>
      <c r="C347" s="154" t="n"/>
      <c r="D347" s="154" t="n"/>
      <c r="E347" s="154" t="n"/>
      <c r="F347" s="154" t="n"/>
      <c r="G347" s="154" t="n"/>
      <c r="H347" s="154" t="n"/>
      <c r="I347" s="154" t="n"/>
      <c r="J347" s="154" t="n"/>
      <c r="K347" s="154" t="n"/>
      <c r="L347" s="154" t="n"/>
      <c r="M347" s="154" t="n"/>
    </row>
    <row r="348" ht="25.5" customHeight="1">
      <c r="A348" s="152" t="n"/>
      <c r="B348" s="155" t="n"/>
      <c r="C348" s="154" t="n"/>
      <c r="D348" s="154" t="n"/>
      <c r="E348" s="156" t="str">
        <f>+E315</f>
        <v>U.S. specific contracts - all exposures</v>
      </c>
      <c r="F348" s="157" t="n"/>
      <c r="G348" s="22" t="n"/>
      <c r="H348" s="156" t="str">
        <f>+H315</f>
        <v>All other contracts - all exposures</v>
      </c>
      <c r="I348" s="157" t="n"/>
      <c r="J348" s="22" t="n"/>
      <c r="K348" s="156" t="inlineStr">
        <is>
          <t>Total</t>
        </is>
      </c>
      <c r="L348" s="157" t="n"/>
      <c r="M348" s="22" t="n"/>
    </row>
    <row r="349" ht="31.5" customHeight="1">
      <c r="A349" s="152" t="n"/>
      <c r="B349" s="155" t="n"/>
      <c r="C349" s="154" t="n"/>
      <c r="D349" s="154" t="n"/>
      <c r="E349" s="158" t="inlineStr">
        <is>
          <t>Contract count</t>
        </is>
      </c>
      <c r="F349" s="158" t="inlineStr">
        <is>
          <t xml:space="preserve">Gross limit provided </t>
        </is>
      </c>
      <c r="G349" s="158" t="inlineStr">
        <is>
          <t>Net limit provided</t>
        </is>
      </c>
      <c r="H349" s="158" t="inlineStr">
        <is>
          <t>Contract count</t>
        </is>
      </c>
      <c r="I349" s="158" t="inlineStr">
        <is>
          <t xml:space="preserve">Gross limit provided </t>
        </is>
      </c>
      <c r="J349" s="158" t="inlineStr">
        <is>
          <t>Net limit provided</t>
        </is>
      </c>
      <c r="K349" s="158" t="inlineStr">
        <is>
          <t>Contract count</t>
        </is>
      </c>
      <c r="L349" s="158" t="inlineStr">
        <is>
          <t xml:space="preserve">Gross limit provided </t>
        </is>
      </c>
      <c r="M349" s="158" t="inlineStr">
        <is>
          <t>Net limit provided</t>
        </is>
      </c>
    </row>
    <row r="350" ht="15.75" customHeight="1">
      <c r="A350" s="152" t="n"/>
      <c r="B350" s="155" t="n"/>
      <c r="C350" s="154" t="n"/>
      <c r="D350" s="154" t="n"/>
      <c r="E350" s="159" t="n"/>
      <c r="F350" s="158" t="inlineStr">
        <is>
          <t>($M)</t>
        </is>
      </c>
      <c r="G350" s="158" t="inlineStr">
        <is>
          <t>($M)</t>
        </is>
      </c>
      <c r="H350" s="159" t="n"/>
      <c r="I350" s="158" t="inlineStr">
        <is>
          <t>($M)</t>
        </is>
      </c>
      <c r="J350" s="158" t="inlineStr">
        <is>
          <t>($M)</t>
        </is>
      </c>
      <c r="K350" s="159" t="n"/>
      <c r="L350" s="158" t="inlineStr">
        <is>
          <t>($M)</t>
        </is>
      </c>
      <c r="M350" s="158" t="inlineStr">
        <is>
          <t>($M)</t>
        </is>
      </c>
    </row>
    <row r="351" ht="15.75" customHeight="1">
      <c r="A351" s="152" t="n"/>
      <c r="B351" s="155" t="n"/>
      <c r="C351" s="154" t="n"/>
      <c r="D351" s="160" t="inlineStr">
        <is>
          <t>Data deficient</t>
        </is>
      </c>
      <c r="E351" s="161">
        <f>SUMIFS(BSCRInput[count_policies],BSCRInput[bscr_entity],"3624",BSCRInput[region],"ALL",BSCRInput[peril_id],1,BSCRInput[is_geocoded],0,BSCRInput[cntrycode],"US")</f>
        <v>0.0</v>
      </c>
      <c r="F351" s="162">
        <f>SUMIFS(BSCRInput[sum_pml],BSCRInput[bscr_entity],"3624",BSCRInput[region],"ALL",BSCRInput[peril_id],1,BSCRInput[is_geocoded],0,BSCRInput[cntrycode],"US")/1000000</f>
        <v>0.0</v>
      </c>
      <c r="G351" s="162">
        <f>SUMIFS(BSCRInput[sum_net],BSCRInput[bscr_entity],"3624",BSCRInput[region],"ALL",BSCRInput[peril_id],1,BSCRInput[is_geocoded],0,BSCRInput[cntrycode],"US")/1000000</f>
        <v>0.0</v>
      </c>
      <c r="H351" s="161">
        <f>(SUMIFS(BSCRInput[count_policies],BSCRInput[bscr_entity],"3624",BSCRInput[region],"ALL",BSCRInput[peril_id],1,BSCRInput[is_geocoded],0)-SUMIFS(BSCRInput[count_policies],BSCRInput[bscr_entity],"3624",BSCRInput[region],"ALL",BSCRInput[peril_id],1,BSCRInput[is_geocoded],0,BSCRInput[cntrycode],"US"))</f>
        <v>2.0</v>
      </c>
      <c r="I351" s="162">
        <f>(SUMIFS(BSCRInput[sum_pml],BSCRInput[bscr_entity],"3624",BSCRInput[region],"ALL",BSCRInput[peril_id],1,BSCRInput[is_geocoded],0)-SUMIFS(BSCRInput[sum_pml],BSCRInput[bscr_entity],"3624",BSCRInput[region],"ALL",BSCRInput[peril_id],1,BSCRInput[is_geocoded],0,BSCRInput[cntrycode],"US"))/1000000</f>
        <v>0.29835</v>
      </c>
      <c r="J351" s="162">
        <f>(SUMIFS(BSCRInput[sum_net],BSCRInput[bscr_entity],"3624",BSCRInput[region],"ALL",BSCRInput[peril_id],1,BSCRInput[is_geocoded],0)-SUMIFS(BSCRInput[sum_net],BSCRInput[bscr_entity],"3624",BSCRInput[region],"ALL",BSCRInput[peril_id],1,BSCRInput[is_geocoded],0,BSCRInput[cntrycode],"US"))/1000000</f>
        <v>0.29835</v>
      </c>
      <c r="K351" s="163">
        <f>SUMIFS(BSCRInput[count_policies],BSCRInput[bscr_entity],"3624",BSCRInput[region],"ALL",BSCRInput[peril_id],1,BSCRInput[is_geocoded],0)</f>
        <v>2.0</v>
      </c>
      <c r="L351" s="164">
        <f>SUMIFS(BSCRInput[sum_pml],BSCRInput[bscr_entity],"3624",BSCRInput[region],"ALL",BSCRInput[peril_id],1,BSCRInput[is_geocoded],0)/1000000</f>
        <v>0.29835</v>
      </c>
      <c r="M351" s="164">
        <f>SUMIFS(BSCRInput[sum_net],BSCRInput[bscr_entity],"3624",BSCRInput[region],"ALL",BSCRInput[peril_id],1,BSCRInput[is_geocoded],0)/1000000</f>
        <v>0.29835</v>
      </c>
    </row>
    <row r="352" ht="15.75" customHeight="1">
      <c r="A352" s="152" t="n"/>
      <c r="B352" s="155" t="n"/>
      <c r="C352" s="154" t="n"/>
      <c r="D352" s="160" t="inlineStr">
        <is>
          <t>Model deficient</t>
        </is>
      </c>
      <c r="E352" s="161">
        <f>0</f>
        <v>0.0</v>
      </c>
      <c r="F352" s="162">
        <f>0</f>
        <v>0.0</v>
      </c>
      <c r="G352" s="162">
        <f>0</f>
        <v>0.0</v>
      </c>
      <c r="H352" s="161">
        <f>0</f>
        <v>0.0</v>
      </c>
      <c r="I352" s="162">
        <f>0</f>
        <v>0.0</v>
      </c>
      <c r="J352" s="162">
        <f>0</f>
        <v>0.0</v>
      </c>
      <c r="K352" s="163">
        <f>0</f>
        <v>0.0</v>
      </c>
      <c r="L352" s="164">
        <f>0</f>
        <v>0.0</v>
      </c>
      <c r="M352" s="164">
        <f>0</f>
        <v>0.0</v>
      </c>
    </row>
    <row r="353" ht="15.75" customHeight="1">
      <c r="A353" s="152" t="n"/>
      <c r="B353" s="155" t="n"/>
      <c r="C353" s="154" t="n"/>
      <c r="D353" s="160" t="inlineStr">
        <is>
          <t>Other</t>
        </is>
      </c>
      <c r="E353" s="161">
        <f>0</f>
        <v>0.0</v>
      </c>
      <c r="F353" s="162">
        <f>0</f>
        <v>0.0</v>
      </c>
      <c r="G353" s="162">
        <f>0</f>
        <v>0.0</v>
      </c>
      <c r="H353" s="161">
        <f>0</f>
        <v>0.0</v>
      </c>
      <c r="I353" s="162">
        <f>0</f>
        <v>0.0</v>
      </c>
      <c r="J353" s="162">
        <f>0</f>
        <v>0.0</v>
      </c>
      <c r="K353" s="163">
        <f>0</f>
        <v>0.0</v>
      </c>
      <c r="L353" s="164">
        <f>0</f>
        <v>0.0</v>
      </c>
      <c r="M353" s="164">
        <f>0</f>
        <v>0.0</v>
      </c>
    </row>
    <row r="354" ht="16.5" customHeight="1">
      <c r="A354" s="152" t="n"/>
      <c r="B354" s="155" t="n"/>
      <c r="C354" s="154" t="n"/>
      <c r="D354" s="160" t="inlineStr">
        <is>
          <t>Total</t>
        </is>
      </c>
      <c r="E354" s="165">
        <f>SUMIFS(BSCRInput[count_policies],BSCRInput[bscr_entity],"3624",BSCRInput[region],"ALL",BSCRInput[peril_id],1,BSCRInput[is_geocoded],0,BSCRInput[cntrycode],"US")</f>
        <v>0.0</v>
      </c>
      <c r="F354" s="166">
        <f>SUMIFS(BSCRInput[sum_pml],BSCRInput[bscr_entity],"3624",BSCRInput[region],"ALL",BSCRInput[peril_id],1,BSCRInput[is_geocoded],0,BSCRInput[cntrycode],"US")/1000000</f>
        <v>0.0</v>
      </c>
      <c r="G354" s="166">
        <f>SUMIFS(BSCRInput[sum_net],BSCRInput[bscr_entity],"3624",BSCRInput[region],"ALL",BSCRInput[peril_id],1,BSCRInput[is_geocoded],0,BSCRInput[cntrycode],"US")/1000000</f>
        <v>0.0</v>
      </c>
      <c r="H354" s="165">
        <f>(SUMIFS(BSCRInput[count_policies],BSCRInput[bscr_entity],"3624",BSCRInput[region],"ALL",BSCRInput[peril_id],1,BSCRInput[is_geocoded],0)-SUMIFS(BSCRInput[count_policies],BSCRInput[bscr_entity],"3624",BSCRInput[region],"ALL",BSCRInput[peril_id],1,BSCRInput[is_geocoded],0,BSCRInput[cntrycode],"US"))</f>
        <v>2.0</v>
      </c>
      <c r="I354" s="166">
        <f>(SUMIFS(BSCRInput[sum_pml],BSCRInput[bscr_entity],"3624",BSCRInput[region],"ALL",BSCRInput[peril_id],1,BSCRInput[is_geocoded],0)-SUMIFS(BSCRInput[sum_pml],BSCRInput[bscr_entity],"3624",BSCRInput[region],"ALL",BSCRInput[peril_id],1,BSCRInput[is_geocoded],0,BSCRInput[cntrycode],"US"))/1000000</f>
        <v>0.29835</v>
      </c>
      <c r="J354" s="166">
        <f>(SUMIFS(BSCRInput[sum_net],BSCRInput[bscr_entity],"3624",BSCRInput[region],"ALL",BSCRInput[peril_id],1,BSCRInput[is_geocoded],0)-SUMIFS(BSCRInput[sum_net],BSCRInput[bscr_entity],"3624",BSCRInput[region],"ALL",BSCRInput[peril_id],1,BSCRInput[is_geocoded],0,BSCRInput[cntrycode],"US"))/1000000</f>
        <v>0.29835</v>
      </c>
      <c r="K354" s="165">
        <f>SUMIFS(BSCRInput[count_policies],BSCRInput[bscr_entity],"3624",BSCRInput[region],"ALL",BSCRInput[peril_id],1,BSCRInput[is_geocoded],0)</f>
        <v>2.0</v>
      </c>
      <c r="L354" s="166">
        <f>SUMIFS(BSCRInput[sum_pml],BSCRInput[bscr_entity],"3624",BSCRInput[region],"ALL",BSCRInput[peril_id],1,BSCRInput[is_geocoded],0)/1000000</f>
        <v>0.29835</v>
      </c>
      <c r="M354" s="166">
        <f>SUMIFS(BSCRInput[sum_net],BSCRInput[bscr_entity],"3624",BSCRInput[region],"ALL",BSCRInput[peril_id],1,BSCRInput[is_geocoded],0)/1000000</f>
        <v>0.29835</v>
      </c>
    </row>
    <row r="355" ht="9.199999999999999" customHeight="1">
      <c r="A355" s="152" t="n"/>
      <c r="B355" s="155" t="n"/>
      <c r="C355" s="154" t="n"/>
      <c r="D355" s="154" t="n"/>
      <c r="E355" s="154" t="n"/>
      <c r="F355" s="154" t="n"/>
      <c r="G355" s="154" t="n"/>
      <c r="H355" s="154" t="n"/>
      <c r="I355" s="154" t="n"/>
      <c r="J355" s="154" t="n"/>
      <c r="K355" s="154" t="n"/>
      <c r="L355" s="154" t="n"/>
      <c r="M355" s="154" t="n"/>
    </row>
    <row r="356" ht="15.75" customHeight="1">
      <c r="A356" s="152" t="n"/>
      <c r="B356" s="155" t="n"/>
      <c r="C356" s="154" t="inlineStr">
        <is>
          <t>If other is selected, describe the reasons for not modelling the contract(s):</t>
        </is>
      </c>
      <c r="D356" s="154" t="n"/>
      <c r="E356" s="167" t="n"/>
      <c r="F356" s="167" t="n"/>
      <c r="G356" s="167" t="n"/>
      <c r="H356" s="154" t="n"/>
      <c r="I356" s="154" t="n"/>
      <c r="J356" s="154" t="n"/>
      <c r="K356" s="154" t="n"/>
      <c r="L356" s="154" t="n"/>
      <c r="M356" s="154" t="n"/>
    </row>
    <row r="357" ht="15.75" customHeight="1">
      <c r="A357" s="152" t="n"/>
      <c r="B357" s="155" t="n"/>
      <c r="C357" s="171" t="n"/>
      <c r="D357" s="45" t="n"/>
      <c r="E357" s="45" t="n"/>
      <c r="F357" s="45" t="n"/>
      <c r="G357" s="45" t="n"/>
      <c r="H357" s="45" t="n"/>
      <c r="I357" s="45" t="n"/>
      <c r="J357" s="45" t="n"/>
      <c r="K357" s="45" t="n"/>
      <c r="L357" s="45" t="n"/>
      <c r="M357" s="46" t="n"/>
    </row>
    <row r="358" ht="9.199999999999999" customHeight="1">
      <c r="A358" s="152" t="n"/>
      <c r="B358" s="155" t="n"/>
      <c r="C358" s="154" t="n"/>
      <c r="D358" s="154" t="n"/>
      <c r="E358" s="154" t="n"/>
      <c r="F358" s="154" t="n"/>
      <c r="G358" s="154" t="n"/>
      <c r="H358" s="154" t="n"/>
      <c r="I358" s="154" t="n"/>
      <c r="J358" s="154" t="n"/>
      <c r="K358" s="154" t="n"/>
      <c r="L358" s="154" t="n"/>
      <c r="M358" s="154" t="n"/>
    </row>
    <row r="359" ht="30" customHeight="1">
      <c r="A359" s="152" t="n"/>
      <c r="B359" s="172" t="n">
        <v>5</v>
      </c>
      <c r="C359" s="173" t="inlineStr">
        <is>
          <t>For contracts that are written by the insurance group that may be modelled (but are not modelled), describe what the members of the insurance group do from an accumulation perspective.</t>
        </is>
      </c>
    </row>
    <row r="360" ht="9.199999999999999" customHeight="1">
      <c r="A360" s="152" t="n"/>
      <c r="B360" s="155" t="n"/>
      <c r="C360" s="154" t="n"/>
      <c r="D360" s="154" t="n"/>
      <c r="E360" s="154" t="n"/>
      <c r="F360" s="154" t="n"/>
      <c r="G360" s="154" t="n"/>
      <c r="H360" s="154" t="n"/>
      <c r="I360" s="154" t="n"/>
      <c r="J360" s="154" t="n"/>
      <c r="K360" s="154" t="n"/>
      <c r="L360" s="154" t="n"/>
      <c r="M360" s="154" t="n"/>
    </row>
    <row r="361" ht="18" customHeight="1">
      <c r="A361" s="152" t="n"/>
      <c r="B361" s="155" t="n"/>
      <c r="C361" s="171" t="n"/>
      <c r="D361" s="45" t="n"/>
      <c r="E361" s="45" t="n"/>
      <c r="F361" s="45" t="n"/>
      <c r="G361" s="45" t="n"/>
      <c r="H361" s="45" t="n"/>
      <c r="I361" s="45" t="n"/>
      <c r="J361" s="45" t="n"/>
      <c r="K361" s="45" t="n"/>
      <c r="L361" s="45" t="n"/>
      <c r="M361" s="46" t="n"/>
    </row>
    <row r="362" ht="9.199999999999999" customHeight="1">
      <c r="A362" s="152" t="n"/>
      <c r="B362" s="155" t="n"/>
      <c r="C362" s="154" t="n"/>
      <c r="D362" s="154" t="n"/>
      <c r="E362" s="154" t="n"/>
      <c r="F362" s="154" t="n"/>
      <c r="G362" s="154" t="n"/>
      <c r="H362" s="154" t="n"/>
      <c r="I362" s="154" t="n"/>
      <c r="J362" s="154" t="n"/>
      <c r="K362" s="154" t="n"/>
      <c r="L362" s="154" t="n"/>
      <c r="M362" s="154" t="n"/>
    </row>
    <row r="363" ht="15.75" customHeight="1">
      <c r="A363" s="152" t="n"/>
      <c r="B363" s="155" t="n">
        <v>6</v>
      </c>
      <c r="C363" s="155" t="inlineStr">
        <is>
          <t>For contracts that are written by the insurance group that are unable to be modelled, provide splits of those that are:</t>
        </is>
      </c>
      <c r="D363" s="154" t="n"/>
      <c r="E363" s="154" t="n"/>
      <c r="F363" s="154" t="n"/>
      <c r="G363" s="154" t="n"/>
      <c r="H363" s="154" t="n"/>
      <c r="I363" s="154" t="n"/>
      <c r="J363" s="154" t="n"/>
      <c r="K363" s="154" t="n"/>
      <c r="L363" s="154" t="n"/>
      <c r="M363" s="154" t="n"/>
    </row>
    <row r="364" ht="9.199999999999999" customHeight="1">
      <c r="A364" s="152" t="n"/>
      <c r="B364" s="155" t="n"/>
      <c r="C364" s="154" t="n"/>
      <c r="D364" s="154" t="n"/>
      <c r="E364" s="154" t="n"/>
      <c r="F364" s="154" t="n"/>
      <c r="G364" s="154" t="n"/>
      <c r="H364" s="154" t="n"/>
      <c r="I364" s="154" t="n"/>
      <c r="J364" s="154" t="n"/>
      <c r="K364" s="154" t="n"/>
      <c r="L364" s="154" t="n"/>
      <c r="M364" s="154" t="n"/>
    </row>
    <row r="365" ht="21.75" customHeight="1">
      <c r="A365" s="152" t="n"/>
      <c r="B365" s="155" t="n"/>
      <c r="C365" s="154" t="n"/>
      <c r="D365" s="154" t="n"/>
      <c r="E365" s="156" t="str">
        <f>+E315</f>
        <v>U.S. specific contracts - all exposures</v>
      </c>
      <c r="F365" s="157" t="n"/>
      <c r="G365" s="22" t="n"/>
      <c r="H365" s="156" t="str">
        <f>+H315</f>
        <v>All other contracts - all exposures</v>
      </c>
      <c r="I365" s="157" t="n"/>
      <c r="J365" s="22" t="n"/>
      <c r="K365" s="156" t="inlineStr">
        <is>
          <t>Total</t>
        </is>
      </c>
      <c r="L365" s="157" t="n"/>
      <c r="M365" s="22" t="n"/>
    </row>
    <row r="366" ht="31.5" customHeight="1">
      <c r="A366" s="152" t="n"/>
      <c r="B366" s="155" t="n"/>
      <c r="C366" s="154" t="n"/>
      <c r="D366" s="154" t="n"/>
      <c r="E366" s="158" t="inlineStr">
        <is>
          <t>Contract count</t>
        </is>
      </c>
      <c r="F366" s="158" t="inlineStr">
        <is>
          <t xml:space="preserve">Gross limit provided </t>
        </is>
      </c>
      <c r="G366" s="158" t="inlineStr">
        <is>
          <t>Net limit provided</t>
        </is>
      </c>
      <c r="H366" s="158" t="inlineStr">
        <is>
          <t>Contract count</t>
        </is>
      </c>
      <c r="I366" s="158" t="inlineStr">
        <is>
          <t xml:space="preserve">Gross limit provided </t>
        </is>
      </c>
      <c r="J366" s="158" t="inlineStr">
        <is>
          <t>Net limit provided</t>
        </is>
      </c>
      <c r="K366" s="158" t="inlineStr">
        <is>
          <t>Contract count</t>
        </is>
      </c>
      <c r="L366" s="158" t="inlineStr">
        <is>
          <t xml:space="preserve">Gross limit provided </t>
        </is>
      </c>
      <c r="M366" s="158" t="inlineStr">
        <is>
          <t>Net limit provided</t>
        </is>
      </c>
    </row>
    <row r="367" ht="17.25" customHeight="1">
      <c r="A367" s="152" t="n"/>
      <c r="B367" s="155" t="n"/>
      <c r="C367" s="154" t="n"/>
      <c r="D367" s="154" t="n"/>
      <c r="E367" s="159" t="n"/>
      <c r="F367" s="158" t="inlineStr">
        <is>
          <t>($M)</t>
        </is>
      </c>
      <c r="G367" s="158" t="inlineStr">
        <is>
          <t>($M)</t>
        </is>
      </c>
      <c r="H367" s="159" t="n"/>
      <c r="I367" s="158" t="inlineStr">
        <is>
          <t>($M)</t>
        </is>
      </c>
      <c r="J367" s="158" t="inlineStr">
        <is>
          <t>($M)</t>
        </is>
      </c>
      <c r="K367" s="159" t="n"/>
      <c r="L367" s="158" t="inlineStr">
        <is>
          <t>($M)</t>
        </is>
      </c>
      <c r="M367" s="158" t="inlineStr">
        <is>
          <t>($M)</t>
        </is>
      </c>
    </row>
    <row r="368" ht="15.75" customHeight="1">
      <c r="A368" s="152" t="n"/>
      <c r="B368" s="155" t="n"/>
      <c r="C368" s="154" t="n"/>
      <c r="D368" s="160" t="inlineStr">
        <is>
          <t>Data deficient</t>
        </is>
      </c>
      <c r="E368" s="161">
        <f>SUMIFS(BSCRInput[count_policies],BSCRInput[bscr_entity],"3624",BSCRInput[region],"ALL",BSCRInput[peril_id],1,BSCRInput[is_geocoded],0,BSCRInput[cntrycode],"US")</f>
        <v>0.0</v>
      </c>
      <c r="F368" s="162">
        <f>SUMIFS(BSCRInput[sum_pml],BSCRInput[bscr_entity],"3624",BSCRInput[region],"ALL",BSCRInput[peril_id],1,BSCRInput[is_geocoded],0,BSCRInput[cntrycode],"US")/1000000</f>
        <v>0.0</v>
      </c>
      <c r="G368" s="162">
        <f>SUMIFS(BSCRInput[sum_net],BSCRInput[bscr_entity],"3624",BSCRInput[region],"ALL",BSCRInput[peril_id],1,BSCRInput[is_geocoded],0,BSCRInput[cntrycode],"US")/1000000</f>
        <v>0.0</v>
      </c>
      <c r="H368" s="161">
        <f>(SUMIFS(BSCRInput[count_policies],BSCRInput[bscr_entity],"3624",BSCRInput[region],"ALL",BSCRInput[peril_id],1,BSCRInput[is_geocoded],0)-SUMIFS(BSCRInput[count_policies],BSCRInput[bscr_entity],"3624",BSCRInput[region],"ALL",BSCRInput[peril_id],1,BSCRInput[is_geocoded],0,BSCRInput[cntrycode],"US"))</f>
        <v>2.0</v>
      </c>
      <c r="I368" s="162">
        <f>(SUMIFS(BSCRInput[sum_pml],BSCRInput[bscr_entity],"3624",BSCRInput[region],"ALL",BSCRInput[peril_id],1,BSCRInput[is_geocoded],0)-SUMIFS(BSCRInput[sum_pml],BSCRInput[bscr_entity],"3624",BSCRInput[region],"ALL",BSCRInput[peril_id],1,BSCRInput[is_geocoded],0,BSCRInput[cntrycode],"US"))/1000000</f>
        <v>0.29835</v>
      </c>
      <c r="J368" s="162">
        <f>(SUMIFS(BSCRInput[sum_net],BSCRInput[bscr_entity],"3624",BSCRInput[region],"ALL",BSCRInput[peril_id],1,BSCRInput[is_geocoded],0)-SUMIFS(BSCRInput[sum_net],BSCRInput[bscr_entity],"3624",BSCRInput[region],"ALL",BSCRInput[peril_id],1,BSCRInput[is_geocoded],0,BSCRInput[cntrycode],"US"))/1000000</f>
        <v>0.29835</v>
      </c>
      <c r="K368" s="174">
        <f>SUMIFS(BSCRInput[count_policies],BSCRInput[bscr_entity],"3624",BSCRInput[region],"ALL",BSCRInput[peril_id],1,BSCRInput[is_geocoded],0)</f>
        <v>2.0</v>
      </c>
      <c r="L368" s="175">
        <f>SUMIFS(BSCRInput[sum_pml],BSCRInput[bscr_entity],"3624",BSCRInput[region],"ALL",BSCRInput[peril_id],1,BSCRInput[is_geocoded],0)/1000000</f>
        <v>0.29835</v>
      </c>
      <c r="M368" s="176">
        <f>SUMIFS(BSCRInput[sum_net],BSCRInput[bscr_entity],"3624",BSCRInput[region],"ALL",BSCRInput[peril_id],1,BSCRInput[is_geocoded],0)/1000000</f>
        <v>0.29835</v>
      </c>
    </row>
    <row r="369" ht="15.75" customHeight="1">
      <c r="A369" s="152" t="n"/>
      <c r="B369" s="155" t="n"/>
      <c r="C369" s="154" t="n"/>
      <c r="D369" s="160" t="inlineStr">
        <is>
          <t>No catastrophe model exists</t>
        </is>
      </c>
      <c r="E369" s="161">
        <f>0</f>
        <v>0.0</v>
      </c>
      <c r="F369" s="162">
        <f>0</f>
        <v>0.0</v>
      </c>
      <c r="G369" s="162">
        <f>0</f>
        <v>0.0</v>
      </c>
      <c r="H369" s="161">
        <f>0</f>
        <v>0.0</v>
      </c>
      <c r="I369" s="162">
        <f>0</f>
        <v>0.0</v>
      </c>
      <c r="J369" s="162">
        <f>0</f>
        <v>0.0</v>
      </c>
      <c r="K369" s="177">
        <f>0</f>
        <v>0.0</v>
      </c>
      <c r="L369" s="164">
        <f>0</f>
        <v>0.0</v>
      </c>
      <c r="M369" s="178">
        <f>0</f>
        <v>0.0</v>
      </c>
    </row>
    <row r="370" ht="15.75" customHeight="1">
      <c r="A370" s="152" t="n"/>
      <c r="B370" s="155" t="n"/>
      <c r="C370" s="154" t="n"/>
      <c r="D370" s="160" t="inlineStr">
        <is>
          <t>Model deficient</t>
        </is>
      </c>
      <c r="E370" s="161">
        <f>0</f>
        <v>0.0</v>
      </c>
      <c r="F370" s="162">
        <f>0</f>
        <v>0.0</v>
      </c>
      <c r="G370" s="162">
        <f>0</f>
        <v>0.0</v>
      </c>
      <c r="H370" s="161">
        <f>0</f>
        <v>0.0</v>
      </c>
      <c r="I370" s="162">
        <f>0</f>
        <v>0.0</v>
      </c>
      <c r="J370" s="162">
        <f>0</f>
        <v>0.0</v>
      </c>
      <c r="K370" s="177">
        <f>0</f>
        <v>0.0</v>
      </c>
      <c r="L370" s="164">
        <f>0</f>
        <v>0.0</v>
      </c>
      <c r="M370" s="178">
        <f>0</f>
        <v>0.0</v>
      </c>
    </row>
    <row r="371" ht="15.75" customHeight="1">
      <c r="A371" s="152" t="n"/>
      <c r="B371" s="155" t="n"/>
      <c r="C371" s="154" t="n"/>
      <c r="D371" s="160" t="inlineStr">
        <is>
          <t>Other</t>
        </is>
      </c>
      <c r="E371" s="161">
        <f>0</f>
        <v>0.0</v>
      </c>
      <c r="F371" s="162">
        <f>0</f>
        <v>0.0</v>
      </c>
      <c r="G371" s="162">
        <f>0</f>
        <v>0.0</v>
      </c>
      <c r="H371" s="161">
        <f>0</f>
        <v>0.0</v>
      </c>
      <c r="I371" s="162">
        <f>0</f>
        <v>0.0</v>
      </c>
      <c r="J371" s="162">
        <f>0</f>
        <v>0.0</v>
      </c>
      <c r="K371" s="177">
        <f>0</f>
        <v>0.0</v>
      </c>
      <c r="L371" s="164">
        <f>0</f>
        <v>0.0</v>
      </c>
      <c r="M371" s="178">
        <f>0</f>
        <v>0.0</v>
      </c>
    </row>
    <row r="372" ht="15.75" customHeight="1">
      <c r="A372" s="152" t="n"/>
      <c r="B372" s="155" t="n"/>
      <c r="C372" s="154" t="n"/>
      <c r="D372" s="160" t="inlineStr">
        <is>
          <t>Total</t>
        </is>
      </c>
      <c r="E372" s="165">
        <f>SUMIFS(BSCRInput[count_policies],BSCRInput[bscr_entity],"3624",BSCRInput[region],"ALL",BSCRInput[peril_id],1,BSCRInput[is_geocoded],0,BSCRInput[cntrycode],"US")</f>
        <v>0.0</v>
      </c>
      <c r="F372" s="166">
        <f>SUMIFS(BSCRInput[sum_pml],BSCRInput[bscr_entity],"3624",BSCRInput[region],"ALL",BSCRInput[peril_id],1,BSCRInput[is_geocoded],0,BSCRInput[cntrycode],"US")/1000000</f>
        <v>0.0</v>
      </c>
      <c r="G372" s="166">
        <f>SUMIFS(BSCRInput[sum_net],BSCRInput[bscr_entity],"3624",BSCRInput[region],"ALL",BSCRInput[peril_id],1,BSCRInput[is_geocoded],0,BSCRInput[cntrycode],"US")/1000000</f>
        <v>0.0</v>
      </c>
      <c r="H372" s="165">
        <f>(SUMIFS(BSCRInput[count_policies],BSCRInput[bscr_entity],"3624",BSCRInput[region],"ALL",BSCRInput[peril_id],1,BSCRInput[is_geocoded],0)-SUMIFS(BSCRInput[count_policies],BSCRInput[bscr_entity],"3624",BSCRInput[region],"ALL",BSCRInput[peril_id],1,BSCRInput[is_geocoded],0,BSCRInput[cntrycode],"US"))</f>
        <v>2.0</v>
      </c>
      <c r="I372" s="166">
        <f>(SUMIFS(BSCRInput[sum_pml],BSCRInput[bscr_entity],"3624",BSCRInput[region],"ALL",BSCRInput[peril_id],1,BSCRInput[is_geocoded],0)-SUMIFS(BSCRInput[sum_pml],BSCRInput[bscr_entity],"3624",BSCRInput[region],"ALL",BSCRInput[peril_id],1,BSCRInput[is_geocoded],0,BSCRInput[cntrycode],"US"))/1000000</f>
        <v>0.29835</v>
      </c>
      <c r="J372" s="166">
        <f>(SUMIFS(BSCRInput[sum_net],BSCRInput[bscr_entity],"3624",BSCRInput[region],"ALL",BSCRInput[peril_id],1,BSCRInput[is_geocoded],0)-SUMIFS(BSCRInput[sum_net],BSCRInput[bscr_entity],"3624",BSCRInput[region],"ALL",BSCRInput[peril_id],1,BSCRInput[is_geocoded],0,BSCRInput[cntrycode],"US"))/1000000</f>
        <v>0.29835</v>
      </c>
      <c r="K372" s="165">
        <f>SUMIFS(BSCRInput[count_policies],BSCRInput[bscr_entity],"3624",BSCRInput[region],"ALL",BSCRInput[peril_id],1,BSCRInput[is_geocoded],0)</f>
        <v>2.0</v>
      </c>
      <c r="L372" s="166">
        <f>SUMIFS(BSCRInput[sum_pml],BSCRInput[bscr_entity],"3624",BSCRInput[region],"ALL",BSCRInput[peril_id],1,BSCRInput[is_geocoded],0)/1000000</f>
        <v>0.29835</v>
      </c>
      <c r="M372" s="166">
        <f>SUMIFS(BSCRInput[sum_net],BSCRInput[bscr_entity],"3624",BSCRInput[region],"ALL",BSCRInput[peril_id],1,BSCRInput[is_geocoded],0)/1000000</f>
        <v>0.29835</v>
      </c>
    </row>
    <row r="373" ht="9.199999999999999" customHeight="1">
      <c r="A373" s="152" t="n"/>
      <c r="B373" s="155" t="n"/>
      <c r="C373" s="154" t="n"/>
      <c r="D373" s="154" t="n"/>
      <c r="E373" s="154" t="n"/>
      <c r="F373" s="154" t="n"/>
      <c r="G373" s="154" t="n"/>
      <c r="H373" s="154" t="n"/>
      <c r="I373" s="154" t="n"/>
      <c r="J373" s="154" t="n"/>
      <c r="K373" s="154" t="n"/>
      <c r="L373" s="154" t="n"/>
      <c r="M373" s="154" t="n"/>
    </row>
    <row r="374" ht="15.75" customHeight="1">
      <c r="A374" s="152" t="n"/>
      <c r="B374" s="155" t="n"/>
      <c r="C374" s="154" t="inlineStr">
        <is>
          <t>If other is selected, describe the reasons for not modelling the contract(s):</t>
        </is>
      </c>
      <c r="D374" s="154" t="n"/>
      <c r="E374" s="167" t="n"/>
      <c r="F374" s="167" t="n"/>
      <c r="G374" s="167" t="n"/>
      <c r="H374" s="154" t="n"/>
      <c r="I374" s="154" t="n"/>
      <c r="J374" s="154" t="n"/>
      <c r="K374" s="154" t="n"/>
      <c r="L374" s="154" t="n"/>
      <c r="M374" s="154" t="n"/>
    </row>
    <row r="375" ht="15.75" customHeight="1">
      <c r="A375" s="152" t="n"/>
      <c r="B375" s="155" t="n"/>
      <c r="C375" s="171" t="n"/>
      <c r="D375" s="179" t="n"/>
      <c r="E375" s="179" t="n"/>
      <c r="F375" s="179" t="n"/>
      <c r="G375" s="179" t="n"/>
      <c r="H375" s="179" t="n"/>
      <c r="I375" s="179" t="n"/>
      <c r="J375" s="179" t="n"/>
      <c r="K375" s="179" t="n"/>
      <c r="L375" s="179" t="n"/>
      <c r="M375" s="56" t="n"/>
    </row>
    <row r="376" ht="6.75" customHeight="1">
      <c r="A376" s="152" t="n"/>
      <c r="B376" s="155" t="n"/>
      <c r="C376" s="57" t="n"/>
      <c r="D376" s="180" t="n"/>
      <c r="E376" s="180" t="n"/>
      <c r="F376" s="180" t="n"/>
      <c r="G376" s="180" t="n"/>
      <c r="H376" s="180" t="n"/>
      <c r="I376" s="180" t="n"/>
      <c r="J376" s="180" t="n"/>
      <c r="K376" s="180" t="n"/>
      <c r="L376" s="180" t="n"/>
      <c r="M376" s="58" t="n"/>
    </row>
    <row r="377" ht="9.199999999999999" customHeight="1">
      <c r="A377" s="152" t="n"/>
      <c r="B377" s="155" t="n"/>
      <c r="C377" s="181" t="n"/>
      <c r="D377" s="181" t="n"/>
      <c r="E377" s="181" t="n"/>
      <c r="F377" s="181" t="n"/>
      <c r="G377" s="181" t="n"/>
      <c r="H377" s="181" t="n"/>
      <c r="I377" s="181" t="n"/>
      <c r="J377" s="181" t="n"/>
      <c r="K377" s="181" t="n"/>
      <c r="L377" s="181" t="n"/>
      <c r="M377" s="181" t="n"/>
    </row>
    <row r="378" ht="15.75" customHeight="1">
      <c r="A378" s="152" t="n"/>
      <c r="B378" s="155" t="n">
        <v>7</v>
      </c>
      <c r="C378" s="155" t="inlineStr">
        <is>
          <t>What percentage of total net premiums written represents contracts with no limits?</t>
        </is>
      </c>
      <c r="D378" s="154" t="n"/>
      <c r="E378" s="154" t="n"/>
      <c r="F378" s="154" t="n"/>
      <c r="G378" s="154" t="n"/>
      <c r="H378" s="154" t="n"/>
      <c r="I378" s="182" t="n"/>
      <c r="J378" s="154" t="n"/>
      <c r="K378" s="154" t="n"/>
      <c r="L378" s="154" t="n"/>
      <c r="M378" s="154" t="n"/>
    </row>
    <row r="379" ht="9.199999999999999" customHeight="1">
      <c r="A379" s="152" t="n"/>
      <c r="B379" s="155" t="n"/>
      <c r="C379" s="154" t="n"/>
      <c r="D379" s="154" t="n"/>
      <c r="E379" s="154" t="n"/>
      <c r="F379" s="154" t="n"/>
      <c r="G379" s="154" t="n"/>
      <c r="H379" s="154" t="n"/>
      <c r="I379" s="154" t="n"/>
      <c r="J379" s="154" t="n"/>
      <c r="K379" s="154" t="n"/>
      <c r="L379" s="154" t="n"/>
      <c r="M379" s="154" t="n"/>
    </row>
    <row r="380" ht="15.75" customHeight="1">
      <c r="A380" s="152" t="n"/>
      <c r="B380" s="155" t="n">
        <v>8</v>
      </c>
      <c r="C380" s="155" t="inlineStr">
        <is>
          <t>For contracts that are written by the insurance group that are not modellable, describe what the members of the insurance group do from an accumulation perspective.</t>
        </is>
      </c>
      <c r="D380" s="154" t="n"/>
      <c r="E380" s="154" t="n"/>
      <c r="F380" s="154" t="n"/>
      <c r="G380" s="154" t="n"/>
      <c r="H380" s="154" t="n"/>
      <c r="I380" s="154" t="n"/>
      <c r="J380" s="154" t="n"/>
      <c r="K380" s="154" t="n"/>
      <c r="L380" s="154" t="n"/>
      <c r="M380" s="154" t="n"/>
    </row>
    <row r="381" ht="9.199999999999999" customHeight="1">
      <c r="A381" s="152" t="n"/>
      <c r="B381" s="155" t="n"/>
      <c r="C381" s="154" t="n"/>
      <c r="D381" s="154" t="n"/>
      <c r="E381" s="154" t="n"/>
      <c r="F381" s="154" t="n"/>
      <c r="G381" s="154" t="n"/>
      <c r="H381" s="154" t="n"/>
      <c r="I381" s="154" t="n"/>
      <c r="J381" s="154" t="n"/>
      <c r="K381" s="154" t="n"/>
      <c r="L381" s="154" t="n"/>
      <c r="M381" s="154" t="n"/>
    </row>
    <row r="382" ht="15.6" customHeight="1">
      <c r="A382" s="152" t="n"/>
      <c r="B382" s="155" t="n"/>
      <c r="C382" s="183" t="n"/>
      <c r="D382" s="45" t="n"/>
      <c r="E382" s="45" t="n"/>
      <c r="F382" s="45" t="n"/>
      <c r="G382" s="45" t="n"/>
      <c r="H382" s="45" t="n"/>
      <c r="I382" s="45" t="n"/>
      <c r="J382" s="45" t="n"/>
      <c r="K382" s="45" t="n"/>
      <c r="L382" s="45" t="n"/>
      <c r="M382" s="46" t="n"/>
    </row>
    <row r="383" ht="9.199999999999999" customHeight="1">
      <c r="A383" s="152" t="n"/>
      <c r="B383" s="155" t="n"/>
      <c r="C383" s="154" t="n"/>
      <c r="D383" s="154" t="n"/>
      <c r="E383" s="154" t="n"/>
      <c r="F383" s="154" t="n"/>
      <c r="G383" s="154" t="n"/>
      <c r="H383" s="154" t="n"/>
      <c r="I383" s="154" t="n"/>
      <c r="J383" s="154" t="n"/>
      <c r="K383" s="154" t="n"/>
      <c r="L383" s="154" t="n"/>
      <c r="M383" s="154" t="n"/>
    </row>
    <row r="384" ht="27.2" customHeight="1">
      <c r="A384" s="152" t="n"/>
      <c r="B384" s="184" t="n">
        <v>9</v>
      </c>
      <c r="C384" s="185" t="inlineStr">
        <is>
          <t>If there are contracts that are written by the insurance group that have no occurrence limits or where TIV has not been included in the exposure in the above exhibits, describe how this exposure is included in the above data.</t>
        </is>
      </c>
      <c r="M384" s="185" t="n"/>
    </row>
    <row r="385" ht="9.199999999999999" customHeight="1">
      <c r="A385" s="152" t="n"/>
      <c r="B385" s="155" t="n"/>
      <c r="C385" s="154" t="n"/>
      <c r="D385" s="154" t="n"/>
      <c r="E385" s="154" t="n"/>
      <c r="F385" s="154" t="n"/>
      <c r="G385" s="154" t="n"/>
      <c r="H385" s="154" t="n"/>
      <c r="I385" s="154" t="n"/>
      <c r="J385" s="154" t="n"/>
      <c r="K385" s="154" t="n"/>
      <c r="L385" s="154" t="n"/>
      <c r="M385" s="154" t="n"/>
    </row>
    <row r="386" ht="13.5" customHeight="1">
      <c r="A386" s="152" t="n"/>
      <c r="B386" s="155" t="n"/>
      <c r="C386" s="171" t="n"/>
      <c r="D386" s="45" t="n"/>
      <c r="E386" s="45" t="n"/>
      <c r="F386" s="45" t="n"/>
      <c r="G386" s="45" t="n"/>
      <c r="H386" s="45" t="n"/>
      <c r="I386" s="45" t="n"/>
      <c r="J386" s="45" t="n"/>
      <c r="K386" s="45" t="n"/>
      <c r="L386" s="45" t="n"/>
      <c r="M386" s="46" t="n"/>
    </row>
    <row r="387" ht="9.199999999999999" customHeight="1">
      <c r="A387" s="186" t="n"/>
      <c r="B387" s="187" t="n"/>
      <c r="C387" s="188" t="n"/>
      <c r="D387" s="188" t="n"/>
      <c r="E387" s="188" t="n"/>
      <c r="F387" s="188" t="n"/>
      <c r="G387" s="188" t="n"/>
      <c r="H387" s="188" t="n"/>
      <c r="I387" s="188" t="n"/>
      <c r="J387" s="188" t="n"/>
      <c r="K387" s="188" t="n"/>
      <c r="L387" s="188" t="n"/>
      <c r="M387" s="188" t="n"/>
    </row>
    <row r="388">
      <c r="A388" s="10" t="n"/>
      <c r="B388" s="189" t="n"/>
      <c r="C388" s="10" t="n"/>
      <c r="D388" s="10" t="n"/>
      <c r="E388" s="10" t="n"/>
      <c r="F388" s="10" t="n"/>
      <c r="G388" s="10" t="n"/>
      <c r="H388" s="10" t="n"/>
      <c r="I388" s="10" t="n"/>
      <c r="J388" s="10" t="n"/>
      <c r="K388" s="10" t="n"/>
      <c r="L388" s="10" t="n"/>
      <c r="M388" s="10" t="n"/>
    </row>
  </sheetData>
  <sheetProtection selectLockedCells="0" selectUnlockedCells="0" sheet="1" objects="0" insertRows="1" insertHyperlinks="1" autoFilter="1" scenarios="0" formatColumns="1" deleteColumns="1" insertColumns="1" pivotTables="1" deleteRows="1" formatCells="1" formatRows="1" sort="1"/>
  <mergeCells count="204">
    <mergeCell ref="E161:G161"/>
    <mergeCell ref="C210:D210"/>
    <mergeCell ref="I72:K72"/>
    <mergeCell ref="I159:K159"/>
    <mergeCell ref="C234:D234"/>
    <mergeCell ref="I56:K56"/>
    <mergeCell ref="I161:K161"/>
    <mergeCell ref="E79:F79"/>
    <mergeCell ref="E171:F171"/>
    <mergeCell ref="C302:D302"/>
    <mergeCell ref="C212:D212"/>
    <mergeCell ref="E315:G315"/>
    <mergeCell ref="I79:K79"/>
    <mergeCell ref="E57:G57"/>
    <mergeCell ref="C277:D277"/>
    <mergeCell ref="I82:K82"/>
    <mergeCell ref="C276:D276"/>
    <mergeCell ref="E365:G365"/>
    <mergeCell ref="C214:D214"/>
    <mergeCell ref="I63:K63"/>
    <mergeCell ref="E105:F105"/>
    <mergeCell ref="C192:G192"/>
    <mergeCell ref="I137:K137"/>
    <mergeCell ref="I50:K50"/>
    <mergeCell ref="C375:M376"/>
    <mergeCell ref="I59:K59"/>
    <mergeCell ref="E58:G58"/>
    <mergeCell ref="C278:D278"/>
    <mergeCell ref="I139:K139"/>
    <mergeCell ref="I174:K174"/>
    <mergeCell ref="C361:M361"/>
    <mergeCell ref="C253:D253"/>
    <mergeCell ref="I49:K49"/>
    <mergeCell ref="E42:G42"/>
    <mergeCell ref="E151:G151"/>
    <mergeCell ref="I45:K45"/>
    <mergeCell ref="E141:G141"/>
    <mergeCell ref="H315:J315"/>
    <mergeCell ref="E135:G135"/>
    <mergeCell ref="E44:G44"/>
    <mergeCell ref="E138:G138"/>
    <mergeCell ref="G180:H181"/>
    <mergeCell ref="I47:K47"/>
    <mergeCell ref="C254:D254"/>
    <mergeCell ref="E143:G143"/>
    <mergeCell ref="I141:K141"/>
    <mergeCell ref="I150:K150"/>
    <mergeCell ref="E60:G60"/>
    <mergeCell ref="C235:D235"/>
    <mergeCell ref="E69:G69"/>
    <mergeCell ref="E149:G149"/>
    <mergeCell ref="I143:K143"/>
    <mergeCell ref="E59:G59"/>
    <mergeCell ref="I152:K152"/>
    <mergeCell ref="E46:G46"/>
    <mergeCell ref="C280:D280"/>
    <mergeCell ref="I167:K167"/>
    <mergeCell ref="I142:K142"/>
    <mergeCell ref="E70:G70"/>
    <mergeCell ref="E162:G162"/>
    <mergeCell ref="C211:D211"/>
    <mergeCell ref="I64:K64"/>
    <mergeCell ref="E144:G144"/>
    <mergeCell ref="I78:K78"/>
    <mergeCell ref="C382:M382"/>
    <mergeCell ref="I169:K169"/>
    <mergeCell ref="I51:K51"/>
    <mergeCell ref="E159:G159"/>
    <mergeCell ref="E134:G134"/>
    <mergeCell ref="E348:G348"/>
    <mergeCell ref="E47:G47"/>
    <mergeCell ref="E56:G56"/>
    <mergeCell ref="E145:G145"/>
    <mergeCell ref="E139:G139"/>
    <mergeCell ref="I81:K81"/>
    <mergeCell ref="E43:G43"/>
    <mergeCell ref="H333:J333"/>
    <mergeCell ref="E71:G71"/>
    <mergeCell ref="I164:K164"/>
    <mergeCell ref="E172:F172"/>
    <mergeCell ref="F288:G288"/>
    <mergeCell ref="I145:K145"/>
    <mergeCell ref="H348:J348"/>
    <mergeCell ref="I163:K163"/>
    <mergeCell ref="E140:G140"/>
    <mergeCell ref="K333:M333"/>
    <mergeCell ref="E324:G324"/>
    <mergeCell ref="I76:K76"/>
    <mergeCell ref="E333:G333"/>
    <mergeCell ref="B188:F188"/>
    <mergeCell ref="E63:G63"/>
    <mergeCell ref="I156:K156"/>
    <mergeCell ref="F266:G266"/>
    <mergeCell ref="E137:G137"/>
    <mergeCell ref="C279:D279"/>
    <mergeCell ref="C357:M357"/>
    <mergeCell ref="H365:J365"/>
    <mergeCell ref="I75:K75"/>
    <mergeCell ref="I53:K53"/>
    <mergeCell ref="C344:M344"/>
    <mergeCell ref="I130:K130"/>
    <mergeCell ref="I68:K68"/>
    <mergeCell ref="C386:M386"/>
    <mergeCell ref="C256:D256"/>
    <mergeCell ref="I52:K52"/>
    <mergeCell ref="I67:K67"/>
    <mergeCell ref="E45:G45"/>
    <mergeCell ref="I39:K39"/>
    <mergeCell ref="I132:K132"/>
    <mergeCell ref="I48:K48"/>
    <mergeCell ref="E13:F13"/>
    <mergeCell ref="A3:M4"/>
    <mergeCell ref="G13:H13"/>
    <mergeCell ref="C255:D255"/>
    <mergeCell ref="E136:G136"/>
    <mergeCell ref="I38:K38"/>
    <mergeCell ref="D244:E244"/>
    <mergeCell ref="F244:G244"/>
    <mergeCell ref="A1:M1"/>
    <mergeCell ref="C257:D257"/>
    <mergeCell ref="C297:D297"/>
    <mergeCell ref="E80:F80"/>
    <mergeCell ref="K348:M348"/>
    <mergeCell ref="I40:K40"/>
    <mergeCell ref="H324:J324"/>
    <mergeCell ref="I168:K168"/>
    <mergeCell ref="C299:D299"/>
    <mergeCell ref="I80:K80"/>
    <mergeCell ref="C209:D209"/>
    <mergeCell ref="I160:K160"/>
    <mergeCell ref="E142:G142"/>
    <mergeCell ref="B311:D311"/>
    <mergeCell ref="I136:K136"/>
    <mergeCell ref="I70:K70"/>
    <mergeCell ref="F222:G222"/>
    <mergeCell ref="K365:M365"/>
    <mergeCell ref="I144:K144"/>
    <mergeCell ref="I57:K57"/>
    <mergeCell ref="E64:G64"/>
    <mergeCell ref="C258:D258"/>
    <mergeCell ref="K315:M315"/>
    <mergeCell ref="C298:D298"/>
    <mergeCell ref="K324:M324"/>
    <mergeCell ref="E51:G51"/>
    <mergeCell ref="E156:G156"/>
    <mergeCell ref="C338:D338"/>
    <mergeCell ref="I41:K41"/>
    <mergeCell ref="I134:K134"/>
    <mergeCell ref="G105:H105"/>
    <mergeCell ref="D222:E222"/>
    <mergeCell ref="E155:G155"/>
    <mergeCell ref="C275:D275"/>
    <mergeCell ref="B190:C190"/>
    <mergeCell ref="I71:K71"/>
    <mergeCell ref="I162:K162"/>
    <mergeCell ref="I131:K131"/>
    <mergeCell ref="I43:K43"/>
    <mergeCell ref="I58:K58"/>
    <mergeCell ref="I171:K171"/>
    <mergeCell ref="E148:G148"/>
    <mergeCell ref="C231:D231"/>
    <mergeCell ref="I155:K155"/>
    <mergeCell ref="D266:E266"/>
    <mergeCell ref="I42:K42"/>
    <mergeCell ref="E49:G49"/>
    <mergeCell ref="I173:K173"/>
    <mergeCell ref="D288:E288"/>
    <mergeCell ref="G88:H89"/>
    <mergeCell ref="I170:K170"/>
    <mergeCell ref="E163:G163"/>
    <mergeCell ref="I148:K148"/>
    <mergeCell ref="C301:D301"/>
    <mergeCell ref="C236:D236"/>
    <mergeCell ref="I44:K44"/>
    <mergeCell ref="I138:K138"/>
    <mergeCell ref="D200:E200"/>
    <mergeCell ref="C232:D232"/>
    <mergeCell ref="I172:K172"/>
    <mergeCell ref="F200:G200"/>
    <mergeCell ref="C300:D300"/>
    <mergeCell ref="C213:D213"/>
    <mergeCell ref="I60:K60"/>
    <mergeCell ref="E53:G53"/>
    <mergeCell ref="B10:C10"/>
    <mergeCell ref="I69:K69"/>
    <mergeCell ref="I140:K140"/>
    <mergeCell ref="E50:G50"/>
    <mergeCell ref="C384:L384"/>
    <mergeCell ref="I149:K149"/>
    <mergeCell ref="E68:G68"/>
    <mergeCell ref="I77:K77"/>
    <mergeCell ref="E160:G160"/>
    <mergeCell ref="I46:K46"/>
    <mergeCell ref="I133:K133"/>
    <mergeCell ref="C233:D233"/>
    <mergeCell ref="C359:M359"/>
    <mergeCell ref="E52:G52"/>
    <mergeCell ref="E67:G67"/>
    <mergeCell ref="I151:K151"/>
    <mergeCell ref="E150:G150"/>
    <mergeCell ref="E48:G48"/>
    <mergeCell ref="C339:D339"/>
    <mergeCell ref="I135:K135"/>
    <mergeCell ref="E152:G152"/>
  </mergeCells>
  <hyperlinks>
    <hyperlink xmlns:r="http://schemas.openxmlformats.org/officeDocument/2006/relationships" ref="B6" r:id="rId1"/>
    <hyperlink xmlns:r="http://schemas.openxmlformats.org/officeDocument/2006/relationships" ref="E6" r:id="rId2"/>
    <hyperlink xmlns:r="http://schemas.openxmlformats.org/officeDocument/2006/relationships" ref="H6" r:id="rId3"/>
    <hyperlink xmlns:r="http://schemas.openxmlformats.org/officeDocument/2006/relationships" ref="K6" r:id="rId4"/>
    <hyperlink xmlns:r="http://schemas.openxmlformats.org/officeDocument/2006/relationships" ref="J8" r:id="rId5"/>
    <hyperlink xmlns:r="http://schemas.openxmlformats.org/officeDocument/2006/relationships" ref="J98" r:id="rId6"/>
    <hyperlink xmlns:r="http://schemas.openxmlformats.org/officeDocument/2006/relationships" ref="G188" r:id="rId7"/>
    <hyperlink xmlns:r="http://schemas.openxmlformats.org/officeDocument/2006/relationships" ref="J309" r:id="rId8"/>
  </hyperlinks>
  <pageMargins left="0.75" right="0.75" top="1" bottom="1" header="0.5" footer="0.5"/>
  <pageSetup orientation="landscape" paperSize="8" fitToHeight="0" fitToWidth="1"/>
  <rowBreaks count="4" manualBreakCount="4">
    <brk id="92" min="0" max="16383" man="1"/>
    <brk id="182" min="0" max="16383" man="1"/>
    <brk id="303" min="0" max="16383" man="1"/>
    <brk id="388" min="0" max="16383" man="1"/>
  </rowBreaks>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M388"/>
  <sheetViews>
    <sheetView showGridLines="0" zoomScale="65" workbookViewId="0">
      <pane xSplit="4" ySplit="7" topLeftCell="E8"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3" customWidth="1" min="3" max="3"/>
    <col width="36" customWidth="1" min="4" max="4"/>
    <col width="16" customWidth="1" min="5" max="5"/>
    <col width="16" customWidth="1" min="6" max="6"/>
    <col width="16" customWidth="1" min="7" max="7"/>
    <col width="16" customWidth="1" min="8" max="8"/>
    <col width="35" customWidth="1" min="9" max="9"/>
    <col width="16" customWidth="1" min="10" max="10"/>
    <col width="16" customWidth="1" min="11" max="11"/>
    <col width="16" customWidth="1" min="12" max="12"/>
    <col width="16" customWidth="1" min="13" max="13"/>
  </cols>
  <sheetData>
    <row r="1" ht="32" customHeight="1">
      <c r="A1" s="1" t="inlineStr">
        <is>
          <t>HIC — BSCR working schedules</t>
        </is>
      </c>
    </row>
    <row r="2">
      <c r="A2" t="inlineStr">
        <is>
          <t>Entity</t>
        </is>
      </c>
      <c r="B2" t="inlineStr">
        <is>
          <t>HIC</t>
        </is>
      </c>
      <c r="D2" t="inlineStr">
        <is>
          <t>Input basis</t>
        </is>
      </c>
      <c r="E2" t="inlineStr">
        <is>
          <t>Current SQL</t>
        </is>
      </c>
      <c r="G2" t="inlineStr">
        <is>
          <t>Coverage</t>
        </is>
      </c>
      <c r="H2" t="str">
        <f>IF(COUNTIFS(BSCRInput[bscr_entity],"HIC",BSCRInput[region],"ALL",BSCRInput[peril_id],1)=0,"NO INPUT FOR ENTITY","INPUT PRESENT")</f>
        <v>INPUT PRESENT</v>
      </c>
    </row>
    <row r="3">
      <c r="A3" s="5" t="inlineStr">
        <is>
          <t>Green = automatic. Blue = manual, not supplied by SQL. Counts/geocoding use the agreed historical proxy; premiums and EP losses are NOT automatically complete.</t>
        </is>
      </c>
    </row>
    <row r="4"/>
    <row r="5"/>
    <row r="6">
      <c r="B6" t="inlineStr">
        <is>
          <t>Schedule X(a)</t>
        </is>
      </c>
      <c r="E6" t="inlineStr">
        <is>
          <t>Schedule X(b)</t>
        </is>
      </c>
      <c r="H6" t="inlineStr">
        <is>
          <t>Schedule X(c)</t>
        </is>
      </c>
      <c r="K6" t="inlineStr">
        <is>
          <t>Schedule X(f)</t>
        </is>
      </c>
    </row>
    <row r="7"/>
    <row r="8" ht="75" customHeight="1">
      <c r="A8" s="6" t="n"/>
      <c r="B8" s="7" t="inlineStr">
        <is>
          <t>CATASTROPHE RISK RETURN: EP CURVE TOTAL (TABLE 15)</t>
        </is>
      </c>
      <c r="C8" s="7" t="n"/>
      <c r="D8" s="7" t="n"/>
      <c r="E8" s="7" t="n"/>
      <c r="F8" s="7" t="n"/>
      <c r="G8" s="7" t="n"/>
      <c r="H8" s="7" t="n"/>
      <c r="I8" s="7" t="n"/>
      <c r="J8" s="8" t="inlineStr">
        <is>
          <t>Back to instructions</t>
        </is>
      </c>
      <c r="K8" s="9" t="n"/>
      <c r="L8" s="10" t="n"/>
      <c r="M8" s="11" t="n"/>
    </row>
    <row r="9" ht="13.5" customHeight="1">
      <c r="A9" s="12" t="n"/>
      <c r="B9" s="13" t="inlineStr">
        <is>
          <t>HIC</t>
        </is>
      </c>
      <c r="C9" s="14" t="n"/>
      <c r="D9" s="14" t="n"/>
      <c r="E9" s="14" t="n"/>
      <c r="F9" s="14" t="n"/>
      <c r="G9" s="14" t="n"/>
      <c r="H9" s="14" t="n"/>
      <c r="I9" s="14" t="n"/>
      <c r="J9" s="14" t="n"/>
      <c r="K9" s="15" t="n"/>
      <c r="L9" s="10" t="n"/>
      <c r="M9" s="11" t="n"/>
    </row>
    <row r="10" ht="13.5" customHeight="1">
      <c r="A10" s="12" t="n"/>
      <c r="B10" s="16">
        <f>DATE(2026,1,1)</f>
        <v>46023.0</v>
      </c>
      <c r="D10" s="14" t="n"/>
      <c r="E10" s="14" t="n"/>
      <c r="F10" s="14" t="n"/>
      <c r="G10" s="14" t="n"/>
      <c r="H10" s="14" t="n"/>
      <c r="I10" s="14" t="n"/>
      <c r="J10" s="17" t="inlineStr">
        <is>
          <t>Schedule X(a)</t>
        </is>
      </c>
      <c r="K10" s="15" t="n"/>
      <c r="L10" s="10" t="n"/>
      <c r="M10" s="11" t="n"/>
    </row>
    <row r="11" ht="6.75" customHeight="1">
      <c r="A11" s="12" t="n"/>
      <c r="B11" s="14" t="n"/>
      <c r="C11" s="14" t="n"/>
      <c r="D11" s="14" t="n"/>
      <c r="E11" s="14" t="n"/>
      <c r="F11" s="14" t="n"/>
      <c r="G11" s="14" t="n"/>
      <c r="H11" s="14" t="n"/>
      <c r="I11" s="14" t="n"/>
      <c r="J11" s="14" t="n"/>
      <c r="K11" s="15" t="n"/>
      <c r="L11" s="10" t="n"/>
      <c r="M11" s="11" t="n"/>
    </row>
    <row r="12">
      <c r="A12" s="18" t="n"/>
      <c r="B12" s="19" t="inlineStr">
        <is>
          <t>1. Exceedance probability information:</t>
        </is>
      </c>
      <c r="C12" s="14" t="n"/>
      <c r="D12" s="14" t="n"/>
      <c r="E12" s="14" t="n"/>
      <c r="F12" s="14" t="n"/>
      <c r="G12" s="14" t="n"/>
      <c r="H12" s="14" t="n"/>
      <c r="I12" s="14" t="n"/>
      <c r="J12" s="14" t="n"/>
      <c r="K12" s="15" t="n"/>
      <c r="L12" s="10" t="n"/>
      <c r="M12" s="11" t="n"/>
    </row>
    <row r="13">
      <c r="A13" s="18" t="n"/>
      <c r="B13" s="14" t="n"/>
      <c r="C13" s="14" t="n"/>
      <c r="D13" s="20" t="n"/>
      <c r="E13" s="21" t="inlineStr">
        <is>
          <t xml:space="preserve"> Gross loss</t>
        </is>
      </c>
      <c r="F13" s="22" t="n"/>
      <c r="G13" s="21" t="inlineStr">
        <is>
          <t xml:space="preserve"> Net loss</t>
        </is>
      </c>
      <c r="H13" s="22" t="n"/>
      <c r="I13" s="14" t="n"/>
      <c r="J13" s="14" t="n"/>
      <c r="K13" s="15" t="n"/>
      <c r="L13" s="10" t="n"/>
      <c r="M13" s="11" t="n"/>
    </row>
    <row r="14" ht="55.35" customHeight="1">
      <c r="A14" s="18" t="n"/>
      <c r="B14" s="14" t="n"/>
      <c r="C14" s="14" t="n"/>
      <c r="D14" s="23" t="inlineStr">
        <is>
          <t>Loss Return period (years)</t>
        </is>
      </c>
      <c r="E14" s="24" t="inlineStr">
        <is>
          <t>Gross per occurrence loss TVaR</t>
        </is>
      </c>
      <c r="F14" s="24" t="inlineStr">
        <is>
          <t>Gross aggregate TVaR</t>
        </is>
      </c>
      <c r="G14" s="24" t="inlineStr">
        <is>
          <t>Net per occurrence loss TVaR</t>
        </is>
      </c>
      <c r="H14" s="24" t="inlineStr">
        <is>
          <t xml:space="preserve">Net aggregate TVaR </t>
        </is>
      </c>
      <c r="I14" s="14" t="n"/>
      <c r="J14" s="14" t="n"/>
      <c r="K14" s="15" t="n"/>
      <c r="L14" s="25" t="n"/>
      <c r="M14" s="11" t="n"/>
    </row>
    <row r="15">
      <c r="A15" s="18" t="n"/>
      <c r="B15" s="14" t="n"/>
      <c r="C15" s="14" t="n"/>
      <c r="D15" s="26" t="n"/>
      <c r="E15" s="21" t="inlineStr">
        <is>
          <t xml:space="preserve"> (US$M)</t>
        </is>
      </c>
      <c r="F15" s="21" t="inlineStr">
        <is>
          <t xml:space="preserve"> (US$M)</t>
        </is>
      </c>
      <c r="G15" s="21" t="inlineStr">
        <is>
          <t xml:space="preserve"> (US$M)</t>
        </is>
      </c>
      <c r="H15" s="21" t="inlineStr">
        <is>
          <t xml:space="preserve"> (US$M)</t>
        </is>
      </c>
      <c r="I15" s="14" t="n"/>
      <c r="J15" s="14" t="n"/>
      <c r="K15" s="15" t="n"/>
      <c r="L15" s="25" t="n"/>
      <c r="M15" s="11" t="n"/>
    </row>
    <row r="16">
      <c r="A16" s="18" t="n"/>
      <c r="B16" s="14" t="n"/>
      <c r="C16" s="14" t="n"/>
      <c r="D16" s="27" t="n">
        <v>50</v>
      </c>
      <c r="E16" s="28" t="n"/>
      <c r="F16" s="28" t="n"/>
      <c r="G16" s="28" t="n"/>
      <c r="H16" s="28" t="n"/>
      <c r="I16" s="14" t="n"/>
      <c r="J16" s="14" t="n"/>
      <c r="K16" s="15" t="n"/>
      <c r="L16" s="10" t="n"/>
      <c r="M16" s="11" t="n"/>
    </row>
    <row r="17">
      <c r="A17" s="18" t="n"/>
      <c r="B17" s="14" t="n"/>
      <c r="C17" s="14" t="n"/>
      <c r="D17" s="27" t="n">
        <v>100</v>
      </c>
      <c r="E17" s="29" t="n"/>
      <c r="F17" s="29" t="n"/>
      <c r="G17" s="29" t="n"/>
      <c r="H17" s="29" t="n"/>
      <c r="I17" s="14" t="n"/>
      <c r="J17" s="14" t="n"/>
      <c r="K17" s="15" t="n"/>
      <c r="L17" s="10" t="n"/>
      <c r="M17" s="11" t="n"/>
    </row>
    <row r="18">
      <c r="A18" s="18" t="n"/>
      <c r="B18" s="14" t="n"/>
      <c r="C18" s="14" t="n"/>
      <c r="D18" s="27" t="n">
        <v>250</v>
      </c>
      <c r="E18" s="29" t="n"/>
      <c r="F18" s="29" t="n"/>
      <c r="G18" s="29" t="n"/>
      <c r="H18" s="29" t="n"/>
      <c r="I18" s="14" t="n"/>
      <c r="J18" s="14" t="n"/>
      <c r="K18" s="15" t="n"/>
      <c r="L18" s="10" t="n"/>
      <c r="M18" s="11" t="n"/>
    </row>
    <row r="19">
      <c r="A19" s="18" t="n"/>
      <c r="B19" s="14" t="n"/>
      <c r="C19" s="14" t="n"/>
      <c r="D19" s="27" t="n">
        <v>500</v>
      </c>
      <c r="E19" s="29" t="n"/>
      <c r="F19" s="29" t="n"/>
      <c r="G19" s="29" t="n"/>
      <c r="H19" s="29" t="n"/>
      <c r="I19" s="14" t="n"/>
      <c r="J19" s="14" t="n"/>
      <c r="K19" s="15" t="n"/>
      <c r="L19" s="10" t="n"/>
      <c r="M19" s="11" t="n"/>
    </row>
    <row r="20">
      <c r="A20" s="18" t="n"/>
      <c r="B20" s="14" t="n"/>
      <c r="C20" s="14" t="n"/>
      <c r="D20" s="30" t="n">
        <v>1000</v>
      </c>
      <c r="E20" s="31" t="n"/>
      <c r="F20" s="31" t="n"/>
      <c r="G20" s="31" t="n"/>
      <c r="H20" s="31" t="n"/>
      <c r="I20" s="14" t="n"/>
      <c r="J20" s="14" t="n"/>
      <c r="K20" s="15" t="n"/>
      <c r="L20" s="10" t="n"/>
      <c r="M20" s="11" t="n"/>
    </row>
    <row r="21" ht="6.75" customHeight="1">
      <c r="A21" s="18" t="n"/>
      <c r="B21" s="14" t="n"/>
      <c r="C21" s="14" t="n"/>
      <c r="D21" s="14" t="n"/>
      <c r="E21" s="32" t="n"/>
      <c r="F21" s="32" t="n"/>
      <c r="G21" s="32" t="n"/>
      <c r="H21" s="32" t="n"/>
      <c r="I21" s="14" t="n"/>
      <c r="J21" s="14" t="n"/>
      <c r="K21" s="15" t="n"/>
      <c r="L21" s="10" t="n"/>
      <c r="M21" s="11" t="n"/>
    </row>
    <row r="22" ht="12.95" customHeight="1">
      <c r="A22" s="18" t="n"/>
      <c r="B22" s="14" t="n"/>
      <c r="C22" s="14" t="n"/>
      <c r="D22" s="14" t="n"/>
      <c r="E22" s="21" t="inlineStr">
        <is>
          <t xml:space="preserve"> Gross Loss (US$M)</t>
        </is>
      </c>
      <c r="F22" s="14" t="n"/>
      <c r="G22" s="14" t="n"/>
      <c r="H22" s="14" t="n"/>
      <c r="I22" s="14" t="n"/>
      <c r="J22" s="21" t="inlineStr">
        <is>
          <t xml:space="preserve"> Net Loss (US$M)</t>
        </is>
      </c>
      <c r="K22" s="15" t="n"/>
      <c r="L22" s="10" t="n"/>
      <c r="M22" s="11" t="n"/>
    </row>
    <row r="23">
      <c r="A23" s="18" t="n"/>
      <c r="B23" s="14" t="n"/>
      <c r="C23" s="14" t="n"/>
      <c r="D23" s="33" t="inlineStr">
        <is>
          <t>Annual average aggregate gross loss</t>
        </is>
      </c>
      <c r="E23" s="34" t="n"/>
      <c r="F23" s="14" t="n"/>
      <c r="G23" s="14" t="n"/>
      <c r="H23" s="14" t="n"/>
      <c r="I23" s="33" t="inlineStr">
        <is>
          <t>Annual average aggregate net loss (net of reinstatements terms)</t>
        </is>
      </c>
      <c r="J23" s="34" t="n"/>
      <c r="K23" s="15" t="n"/>
      <c r="L23" s="10" t="n"/>
      <c r="M23" s="11" t="n"/>
    </row>
    <row r="24">
      <c r="A24" s="18" t="n"/>
      <c r="B24" s="14" t="n"/>
      <c r="C24" s="14" t="n"/>
      <c r="D24" s="33" t="n"/>
      <c r="E24" s="14" t="n"/>
      <c r="F24" s="14" t="n"/>
      <c r="G24" s="14" t="n"/>
      <c r="H24" s="14" t="n"/>
      <c r="I24" s="33" t="inlineStr">
        <is>
          <t>Reinstatement terms included in Annual average aggregated net loss</t>
        </is>
      </c>
      <c r="J24" s="34" t="n"/>
      <c r="K24" s="15" t="n"/>
      <c r="L24" s="10" t="n"/>
      <c r="M24" s="11" t="n"/>
    </row>
    <row r="25">
      <c r="A25" s="18" t="n"/>
      <c r="B25" s="14" t="n"/>
      <c r="C25" s="14" t="n"/>
      <c r="D25" s="33" t="inlineStr">
        <is>
          <t>Standard deviation of annual aggregate gross loss</t>
        </is>
      </c>
      <c r="E25" s="34" t="n"/>
      <c r="F25" s="14" t="n"/>
      <c r="G25" s="14" t="n"/>
      <c r="H25" s="14" t="n"/>
      <c r="I25" s="33" t="inlineStr">
        <is>
          <t>Standard deviation of annual aggregate net loss (net of reinstatements terms)</t>
        </is>
      </c>
      <c r="J25" s="34" t="n"/>
      <c r="K25" s="15" t="n"/>
      <c r="L25" s="10" t="n"/>
      <c r="M25" s="11" t="n"/>
    </row>
    <row r="26">
      <c r="A26" s="18" t="n"/>
      <c r="B26" s="14" t="n"/>
      <c r="C26" s="14" t="n"/>
      <c r="D26" s="33" t="n"/>
      <c r="E26" s="32" t="n"/>
      <c r="F26" s="14" t="n"/>
      <c r="G26" s="14" t="n"/>
      <c r="H26" s="14" t="n"/>
      <c r="I26" s="33" t="n"/>
      <c r="J26" s="35" t="n"/>
      <c r="K26" s="15" t="n"/>
      <c r="L26" s="10" t="n"/>
      <c r="M26" s="11" t="n"/>
    </row>
    <row r="27">
      <c r="A27" s="18" t="n"/>
      <c r="B27" s="14" t="n"/>
      <c r="C27" s="14" t="n"/>
      <c r="D27" s="33" t="inlineStr">
        <is>
          <t xml:space="preserve">Total gross statutory property catastrophe premium modelled </t>
        </is>
      </c>
      <c r="E27" s="34" t="n"/>
      <c r="F27" s="14" t="n"/>
      <c r="G27" s="14" t="n"/>
      <c r="H27" s="14" t="n"/>
      <c r="I27" s="33" t="inlineStr">
        <is>
          <t>Total net statutory property catastrophe premium modelled</t>
        </is>
      </c>
      <c r="J27" s="34" t="n"/>
      <c r="K27" s="15" t="n"/>
      <c r="L27" s="10" t="n"/>
      <c r="M27" s="11" t="n"/>
    </row>
    <row r="28">
      <c r="A28" s="18" t="n"/>
      <c r="B28" s="14" t="n"/>
      <c r="C28" s="14" t="n"/>
      <c r="D28" s="33" t="inlineStr">
        <is>
          <t>Total gross all other catastrophe premium modelled</t>
        </is>
      </c>
      <c r="E28" s="34" t="n"/>
      <c r="F28" s="14" t="n"/>
      <c r="G28" s="14" t="n"/>
      <c r="H28" s="14" t="n"/>
      <c r="I28" s="33" t="inlineStr">
        <is>
          <t>Total net all other catastrophe premium modelled</t>
        </is>
      </c>
      <c r="J28" s="34" t="n"/>
      <c r="K28" s="15" t="n"/>
      <c r="L28" s="10" t="n"/>
      <c r="M28" s="11" t="n"/>
    </row>
    <row r="29" ht="6.75" customHeight="1">
      <c r="A29" s="18" t="n"/>
      <c r="B29" s="14" t="n"/>
      <c r="C29" s="14" t="n"/>
      <c r="D29" s="14" t="n"/>
      <c r="E29" s="32" t="n"/>
      <c r="F29" s="14" t="n"/>
      <c r="G29" s="14" t="n"/>
      <c r="H29" s="14" t="n"/>
      <c r="I29" s="14" t="n"/>
      <c r="J29" s="71" t="n"/>
      <c r="K29" s="15" t="n"/>
      <c r="L29" s="10" t="n"/>
      <c r="M29" s="11" t="n"/>
    </row>
    <row r="30">
      <c r="A30" s="18" t="n"/>
      <c r="B30" s="14" t="n"/>
      <c r="C30" s="14" t="n"/>
      <c r="D30" s="33" t="inlineStr">
        <is>
          <t>Total gross statutory property catastrophe limits exposed - modelled</t>
        </is>
      </c>
      <c r="E30" s="34" t="n"/>
      <c r="F30" s="14" t="n"/>
      <c r="G30" s="14" t="n"/>
      <c r="H30" s="14" t="n"/>
      <c r="I30" s="33" t="inlineStr">
        <is>
          <t>Total net statutory property catastrophe limits exposed – modelled</t>
        </is>
      </c>
      <c r="J30" s="34" t="n"/>
      <c r="K30" s="15" t="n"/>
      <c r="L30" s="10" t="n"/>
      <c r="M30" s="11" t="n"/>
    </row>
    <row r="31">
      <c r="A31" s="18" t="n"/>
      <c r="B31" s="14" t="n"/>
      <c r="C31" s="14" t="n"/>
      <c r="D31" s="33" t="inlineStr">
        <is>
          <t>Total gross statutory property catastrophe limits exposed - not modelled</t>
        </is>
      </c>
      <c r="E31" s="34" t="n"/>
      <c r="F31" s="14" t="n"/>
      <c r="G31" s="14" t="n"/>
      <c r="H31" s="14" t="n"/>
      <c r="I31" s="33" t="inlineStr">
        <is>
          <t>Total net statutory property catastrophe limits exposed– not modelled</t>
        </is>
      </c>
      <c r="J31" s="34" t="n"/>
      <c r="K31" s="15" t="n"/>
      <c r="L31" s="10" t="n"/>
      <c r="M31" s="11" t="n"/>
    </row>
    <row r="32">
      <c r="A32" s="18" t="n"/>
      <c r="B32" s="14" t="n"/>
      <c r="C32" s="14" t="n"/>
      <c r="D32" s="33" t="inlineStr">
        <is>
          <t>Total gross all other lines limits exposed - modelled</t>
        </is>
      </c>
      <c r="E32" s="37">
        <f>SUMIFS(BSCRInput[sum_pml],BSCRInput[bscr_entity],"HIC",BSCRInput[region],"ALL",BSCRInput[peril_id],1,BSCRInput[is_geocoded],1)/1000000</f>
        <v>164330.5458313984</v>
      </c>
      <c r="F32" s="14" t="n"/>
      <c r="G32" s="14" t="n"/>
      <c r="H32" s="14" t="n"/>
      <c r="I32" s="33" t="inlineStr">
        <is>
          <t>Total net all other lines limits exposed – modelled</t>
        </is>
      </c>
      <c r="J32" s="37">
        <f>SUMIFS(BSCRInput[sum_net],BSCRInput[bscr_entity],"HIC",BSCRInput[region],"ALL",BSCRInput[peril_id],1,BSCRInput[is_geocoded],1)/1000000</f>
        <v>164330.5458313984</v>
      </c>
      <c r="K32" s="15" t="n"/>
      <c r="L32" s="10" t="n"/>
      <c r="M32" s="11" t="n"/>
    </row>
    <row r="33">
      <c r="A33" s="18" t="n"/>
      <c r="B33" s="14" t="n"/>
      <c r="C33" s="14" t="n"/>
      <c r="D33" s="33" t="inlineStr">
        <is>
          <t>Total gross all other lines limits exposed  - not modelled</t>
        </is>
      </c>
      <c r="E33" s="37">
        <f>SUMIFS(BSCRInput[sum_pml],BSCRInput[bscr_entity],"HIC",BSCRInput[region],"ALL",BSCRInput[peril_id],1,BSCRInput[is_geocoded],0)/1000000</f>
        <v>13.283935740000002</v>
      </c>
      <c r="F33" s="14" t="n"/>
      <c r="G33" s="14" t="n"/>
      <c r="H33" s="14" t="n"/>
      <c r="I33" s="33" t="inlineStr">
        <is>
          <t>Total net all other lines limits exposed - not modelled</t>
        </is>
      </c>
      <c r="J33" s="37">
        <f>SUMIFS(BSCRInput[sum_net],BSCRInput[bscr_entity],"HIC",BSCRInput[region],"ALL",BSCRInput[peril_id],1,BSCRInput[is_geocoded],0)/1000000</f>
        <v>13.283935740000002</v>
      </c>
      <c r="K33" s="15" t="n"/>
      <c r="L33" s="10" t="n"/>
      <c r="M33" s="11" t="n"/>
    </row>
    <row r="34">
      <c r="A34" s="18" t="n"/>
      <c r="B34" s="14" t="n"/>
      <c r="C34" s="14" t="n"/>
      <c r="D34" s="33" t="inlineStr">
        <is>
          <t>Total gross premium without an occurrence or aggregate limit:</t>
        </is>
      </c>
      <c r="E34" s="34" t="n"/>
      <c r="F34" s="14" t="n"/>
      <c r="G34" s="14" t="n"/>
      <c r="H34" s="14" t="n"/>
      <c r="I34" s="33" t="inlineStr">
        <is>
          <t>Total net premium without an occurrence or aggregate limit</t>
        </is>
      </c>
      <c r="J34" s="34" t="n"/>
      <c r="K34" s="15" t="n"/>
      <c r="L34" s="10" t="n"/>
      <c r="M34" s="11" t="n"/>
    </row>
    <row r="35">
      <c r="A35" s="18" t="n"/>
      <c r="B35" s="14" t="n"/>
      <c r="C35" s="14" t="n"/>
      <c r="D35" s="33" t="inlineStr">
        <is>
          <t>Total gross premium with non determinable Total Insured Value (“TIV”):</t>
        </is>
      </c>
      <c r="E35" s="34" t="n"/>
      <c r="F35" s="14" t="n"/>
      <c r="G35" s="14" t="n"/>
      <c r="H35" s="14" t="n"/>
      <c r="I35" s="33" t="inlineStr">
        <is>
          <t>Total net premium with non-determinable TIV:</t>
        </is>
      </c>
      <c r="J35" s="34" t="n"/>
      <c r="K35" s="15" t="n"/>
      <c r="L35" s="10" t="n"/>
      <c r="M35" s="11" t="n"/>
    </row>
    <row r="36" ht="6.75" customHeight="1">
      <c r="A36" s="18" t="n"/>
      <c r="B36" s="14" t="n"/>
      <c r="C36" s="14" t="n"/>
      <c r="D36" s="14" t="n"/>
      <c r="E36" s="32" t="n"/>
      <c r="F36" s="14" t="n"/>
      <c r="G36" s="14" t="n"/>
      <c r="H36" s="14" t="n"/>
      <c r="I36" s="14" t="n"/>
      <c r="J36" s="14" t="n"/>
      <c r="K36" s="15" t="n"/>
      <c r="L36" s="10" t="n"/>
      <c r="M36" s="11" t="n"/>
    </row>
    <row r="37">
      <c r="A37" s="18" t="n"/>
      <c r="B37" s="19" t="inlineStr">
        <is>
          <t>2. Significant sources of catastrophe risk and associated loss included in the EP Curves</t>
        </is>
      </c>
      <c r="C37" s="14" t="n"/>
      <c r="D37" s="14" t="n"/>
      <c r="E37" s="32" t="n"/>
      <c r="F37" s="14" t="n"/>
      <c r="G37" s="14" t="n"/>
      <c r="H37" s="14" t="n"/>
      <c r="I37" s="14" t="n"/>
      <c r="J37" s="14" t="n"/>
      <c r="K37" s="15" t="n"/>
      <c r="L37" s="10" t="n"/>
      <c r="M37" s="11" t="n"/>
    </row>
    <row r="38">
      <c r="A38" s="18" t="n"/>
      <c r="B38" s="14" t="n"/>
      <c r="C38" s="14" t="n"/>
      <c r="D38" s="33" t="inlineStr">
        <is>
          <t>Allocated loss adjustment expense</t>
        </is>
      </c>
      <c r="E38" s="38" t="n"/>
      <c r="F38" s="39" t="n"/>
      <c r="G38" s="39" t="n"/>
      <c r="H38" s="40" t="str">
        <f>IF(E38="No","If no, why not:","")</f>
        <v/>
      </c>
      <c r="I38" s="41" t="n"/>
      <c r="J38" s="42" t="n"/>
      <c r="K38" s="43" t="n"/>
      <c r="L38" s="10" t="n"/>
      <c r="M38" s="11" t="n"/>
    </row>
    <row r="39">
      <c r="A39" s="18" t="n"/>
      <c r="B39" s="14" t="n"/>
      <c r="C39" s="14" t="n"/>
      <c r="D39" s="33" t="inlineStr">
        <is>
          <t>Property - buildings</t>
        </is>
      </c>
      <c r="E39" s="38" t="n"/>
      <c r="F39" s="39" t="n"/>
      <c r="G39" s="39" t="n"/>
      <c r="H39" s="40" t="str">
        <f>IF(E39="No","If no, why not:","")</f>
        <v/>
      </c>
      <c r="I39" s="41" t="n"/>
      <c r="J39" s="42" t="n"/>
      <c r="K39" s="43" t="n"/>
      <c r="L39" s="10" t="n"/>
      <c r="M39" s="11" t="n"/>
    </row>
    <row r="40">
      <c r="A40" s="18" t="n"/>
      <c r="B40" s="14" t="n"/>
      <c r="C40" s="14" t="n"/>
      <c r="D40" s="33" t="inlineStr">
        <is>
          <t>Property - contents</t>
        </is>
      </c>
      <c r="E40" s="38" t="n"/>
      <c r="F40" s="39" t="n"/>
      <c r="G40" s="39" t="n"/>
      <c r="H40" s="40" t="str">
        <f>IF(E40="No","If no, why not:","")</f>
        <v/>
      </c>
      <c r="I40" s="41" t="n"/>
      <c r="J40" s="42" t="n"/>
      <c r="K40" s="43" t="n"/>
      <c r="L40" s="10" t="n"/>
      <c r="M40" s="11" t="n"/>
    </row>
    <row r="41">
      <c r="A41" s="18" t="n"/>
      <c r="B41" s="14" t="n"/>
      <c r="C41" s="14" t="n"/>
      <c r="D41" s="33" t="inlineStr">
        <is>
          <t>Additional living expenses</t>
        </is>
      </c>
      <c r="E41" s="44" t="n"/>
      <c r="F41" s="39" t="n"/>
      <c r="G41" s="39" t="n"/>
      <c r="H41" s="40" t="str">
        <f>IF(E41="No","If no, why not:","")</f>
        <v/>
      </c>
      <c r="I41" s="41" t="n"/>
      <c r="J41" s="42" t="n"/>
      <c r="K41" s="43" t="n"/>
      <c r="L41" s="10" t="n"/>
      <c r="M41" s="11" t="n"/>
    </row>
    <row r="42">
      <c r="A42" s="18" t="n"/>
      <c r="B42" s="14" t="n"/>
      <c r="C42" s="14" t="n"/>
      <c r="D42" s="33" t="inlineStr">
        <is>
          <t>Business interruption</t>
        </is>
      </c>
      <c r="E42" s="38" t="n"/>
      <c r="F42" s="45" t="n"/>
      <c r="G42" s="46" t="n"/>
      <c r="H42" s="40" t="str">
        <f>IF(E42="No","If no, why not:","")</f>
        <v/>
      </c>
      <c r="I42" s="41" t="n"/>
      <c r="J42" s="42" t="n"/>
      <c r="K42" s="43" t="n"/>
      <c r="L42" s="10" t="n"/>
      <c r="M42" s="11" t="n"/>
    </row>
    <row r="43">
      <c r="A43" s="18" t="n"/>
      <c r="B43" s="14" t="n"/>
      <c r="C43" s="14" t="n"/>
      <c r="D43" s="33" t="inlineStr">
        <is>
          <t>Auto physical damage</t>
        </is>
      </c>
      <c r="E43" s="38" t="n"/>
      <c r="F43" s="45" t="n"/>
      <c r="G43" s="46" t="n"/>
      <c r="H43" s="40" t="str">
        <f>IF(E43="No","If no, why not:","")</f>
        <v/>
      </c>
      <c r="I43" s="41" t="n"/>
      <c r="J43" s="42" t="n"/>
      <c r="K43" s="43" t="n"/>
      <c r="L43" s="10" t="n"/>
      <c r="M43" s="11" t="n"/>
    </row>
    <row r="44">
      <c r="A44" s="18" t="n"/>
      <c r="B44" s="14" t="n"/>
      <c r="C44" s="14" t="n"/>
      <c r="D44" s="33" t="inlineStr">
        <is>
          <t>Worker's compensation</t>
        </is>
      </c>
      <c r="E44" s="38" t="n"/>
      <c r="F44" s="45" t="n"/>
      <c r="G44" s="46" t="n"/>
      <c r="H44" s="40" t="str">
        <f>IF(E44="No","If no, why not:","")</f>
        <v/>
      </c>
      <c r="I44" s="41" t="n"/>
      <c r="J44" s="42" t="n"/>
      <c r="K44" s="43" t="n"/>
      <c r="L44" s="10" t="n"/>
      <c r="M44" s="11" t="n"/>
    </row>
    <row r="45">
      <c r="A45" s="18" t="n"/>
      <c r="B45" s="14" t="n"/>
      <c r="C45" s="14" t="n"/>
      <c r="D45" s="33" t="inlineStr">
        <is>
          <t>Personal accident</t>
        </is>
      </c>
      <c r="E45" s="38" t="n"/>
      <c r="F45" s="45" t="n"/>
      <c r="G45" s="46" t="n"/>
      <c r="H45" s="40" t="str">
        <f>IF(E45="No","If no, why not:","")</f>
        <v/>
      </c>
      <c r="I45" s="41" t="n"/>
      <c r="J45" s="42" t="n"/>
      <c r="K45" s="43" t="n"/>
      <c r="L45" s="10" t="n"/>
      <c r="M45" s="11" t="n"/>
    </row>
    <row r="46">
      <c r="A46" s="18" t="n"/>
      <c r="B46" s="14" t="n"/>
      <c r="C46" s="14" t="n"/>
      <c r="D46" s="33" t="inlineStr">
        <is>
          <t>Life insurance</t>
        </is>
      </c>
      <c r="E46" s="38" t="n"/>
      <c r="F46" s="45" t="n"/>
      <c r="G46" s="46" t="n"/>
      <c r="H46" s="40" t="str">
        <f>IF(E46="No","If no, why not:","")</f>
        <v/>
      </c>
      <c r="I46" s="41" t="n"/>
      <c r="J46" s="42" t="n"/>
      <c r="K46" s="43" t="n"/>
      <c r="L46" s="10" t="n"/>
      <c r="M46" s="11" t="n"/>
    </row>
    <row r="47">
      <c r="A47" s="18" t="n"/>
      <c r="B47" s="14" t="n"/>
      <c r="C47" s="14" t="n"/>
      <c r="D47" s="33" t="inlineStr">
        <is>
          <t>Onshore energy</t>
        </is>
      </c>
      <c r="E47" s="38" t="n"/>
      <c r="F47" s="45" t="n"/>
      <c r="G47" s="46" t="n"/>
      <c r="H47" s="40" t="str">
        <f>IF(E47="No","If no, why not:","")</f>
        <v/>
      </c>
      <c r="I47" s="41" t="n"/>
      <c r="J47" s="42" t="n"/>
      <c r="K47" s="43" t="n"/>
      <c r="L47" s="10" t="n"/>
      <c r="M47" s="11" t="n"/>
    </row>
    <row r="48">
      <c r="A48" s="18" t="n"/>
      <c r="B48" s="14" t="n"/>
      <c r="C48" s="14" t="n"/>
      <c r="D48" s="33" t="inlineStr">
        <is>
          <t>Offshore energy</t>
        </is>
      </c>
      <c r="E48" s="38" t="n"/>
      <c r="F48" s="45" t="n"/>
      <c r="G48" s="46" t="n"/>
      <c r="H48" s="40" t="str">
        <f>IF(E48="No","If no, why not:","")</f>
        <v/>
      </c>
      <c r="I48" s="41" t="n"/>
      <c r="J48" s="42" t="n"/>
      <c r="K48" s="43" t="n"/>
      <c r="L48" s="10" t="n"/>
      <c r="M48" s="11" t="n"/>
    </row>
    <row r="49">
      <c r="A49" s="18" t="n"/>
      <c r="B49" s="14" t="n"/>
      <c r="C49" s="14" t="n"/>
      <c r="D49" s="33" t="inlineStr">
        <is>
          <t>Ocean marine</t>
        </is>
      </c>
      <c r="E49" s="38" t="n"/>
      <c r="F49" s="45" t="n"/>
      <c r="G49" s="46" t="n"/>
      <c r="H49" s="40" t="str">
        <f>IF(E49="No","If no, why not:","")</f>
        <v/>
      </c>
      <c r="I49" s="41" t="n"/>
      <c r="J49" s="42" t="n"/>
      <c r="K49" s="43" t="n"/>
      <c r="L49" s="10" t="n"/>
      <c r="M49" s="11" t="n"/>
    </row>
    <row r="50">
      <c r="A50" s="18" t="n"/>
      <c r="B50" s="14" t="n"/>
      <c r="C50" s="14" t="n"/>
      <c r="D50" s="33" t="inlineStr">
        <is>
          <t>Inland marine</t>
        </is>
      </c>
      <c r="E50" s="38" t="n"/>
      <c r="F50" s="45" t="n"/>
      <c r="G50" s="46" t="n"/>
      <c r="H50" s="40" t="str">
        <f>IF(E50="No","If no, why not:","")</f>
        <v/>
      </c>
      <c r="I50" s="41" t="n"/>
      <c r="J50" s="42" t="n"/>
      <c r="K50" s="43" t="n"/>
      <c r="L50" s="10" t="n"/>
      <c r="M50" s="11" t="n"/>
    </row>
    <row r="51">
      <c r="A51" s="18" t="n"/>
      <c r="B51" s="14" t="n"/>
      <c r="C51" s="14" t="n"/>
      <c r="D51" s="33" t="inlineStr">
        <is>
          <t>Flood</t>
        </is>
      </c>
      <c r="E51" s="38" t="n"/>
      <c r="F51" s="45" t="n"/>
      <c r="G51" s="46" t="n"/>
      <c r="H51" s="40" t="str">
        <f>IF(E51="No","If no, why not:","")</f>
        <v/>
      </c>
      <c r="I51" s="41" t="n"/>
      <c r="J51" s="42" t="n"/>
      <c r="K51" s="43" t="n"/>
      <c r="L51" s="10" t="n"/>
      <c r="M51" s="11" t="n"/>
    </row>
    <row r="52">
      <c r="A52" s="18" t="n"/>
      <c r="B52" s="14" t="n"/>
      <c r="C52" s="14" t="n"/>
      <c r="D52" s="33" t="inlineStr">
        <is>
          <t>Crop</t>
        </is>
      </c>
      <c r="E52" s="38" t="n"/>
      <c r="F52" s="45" t="n"/>
      <c r="G52" s="46" t="n"/>
      <c r="H52" s="40" t="str">
        <f>IF(E52="No","If no, why not:","")</f>
        <v/>
      </c>
      <c r="I52" s="41" t="n"/>
      <c r="J52" s="42" t="n"/>
      <c r="K52" s="43" t="n"/>
      <c r="L52" s="10" t="n"/>
      <c r="M52" s="11" t="n"/>
    </row>
    <row r="53">
      <c r="A53" s="18" t="n"/>
      <c r="B53" s="14" t="n"/>
      <c r="C53" s="14" t="n"/>
      <c r="D53" s="33" t="inlineStr">
        <is>
          <t>Other primary insurance</t>
        </is>
      </c>
      <c r="E53" s="38" t="n"/>
      <c r="F53" s="45" t="n"/>
      <c r="G53" s="46" t="n"/>
      <c r="H53" s="40" t="str">
        <f>IF(E53="No","If no, why not:","")</f>
        <v/>
      </c>
      <c r="I53" s="41" t="n"/>
      <c r="J53" s="42" t="n"/>
      <c r="K53" s="43" t="n"/>
      <c r="L53" s="10" t="n"/>
      <c r="M53" s="11" t="n"/>
    </row>
    <row r="54" ht="6.75" customHeight="1">
      <c r="A54" s="18" t="n"/>
      <c r="B54" s="14" t="n"/>
      <c r="C54" s="14" t="n"/>
      <c r="D54" s="14" t="n"/>
      <c r="E54" s="47" t="n"/>
      <c r="F54" s="40" t="n"/>
      <c r="G54" s="40" t="n"/>
      <c r="H54" s="40" t="n"/>
      <c r="I54" s="48" t="n"/>
      <c r="J54" s="48" t="n"/>
      <c r="K54" s="49" t="n"/>
      <c r="L54" s="10" t="n"/>
      <c r="M54" s="11" t="n"/>
    </row>
    <row r="55">
      <c r="A55" s="18" t="n"/>
      <c r="B55" s="19" t="inlineStr">
        <is>
          <t>3. Assumed reinsurance information:</t>
        </is>
      </c>
      <c r="C55" s="14" t="n"/>
      <c r="D55" s="14" t="n"/>
      <c r="E55" s="47" t="n"/>
      <c r="F55" s="40" t="n"/>
      <c r="G55" s="40" t="n"/>
      <c r="H55" s="40" t="n"/>
      <c r="I55" s="48" t="n"/>
      <c r="J55" s="48" t="n"/>
      <c r="K55" s="49" t="n"/>
      <c r="L55" s="10" t="n"/>
      <c r="M55" s="11" t="n"/>
    </row>
    <row r="56">
      <c r="A56" s="18" t="n"/>
      <c r="B56" s="14" t="n"/>
      <c r="C56" s="14" t="n"/>
      <c r="D56" s="33" t="inlineStr">
        <is>
          <t>Proportional - quota share</t>
        </is>
      </c>
      <c r="E56" s="38" t="n"/>
      <c r="F56" s="45" t="n"/>
      <c r="G56" s="46" t="n"/>
      <c r="H56" s="40" t="str">
        <f>IF(E56="No","If no, why not:","")</f>
        <v/>
      </c>
      <c r="I56" s="41" t="n"/>
      <c r="J56" s="42" t="n"/>
      <c r="K56" s="43" t="n"/>
      <c r="L56" s="10" t="n"/>
      <c r="M56" s="11" t="n"/>
    </row>
    <row r="57">
      <c r="A57" s="18" t="n"/>
      <c r="B57" s="14" t="n"/>
      <c r="C57" s="14" t="n"/>
      <c r="D57" s="33" t="inlineStr">
        <is>
          <t>Proportional - surplus share</t>
        </is>
      </c>
      <c r="E57" s="38" t="n"/>
      <c r="F57" s="45" t="n"/>
      <c r="G57" s="46" t="n"/>
      <c r="H57" s="40" t="str">
        <f>IF(E57="No","If no, why not:","")</f>
        <v/>
      </c>
      <c r="I57" s="41" t="n"/>
      <c r="J57" s="42" t="n"/>
      <c r="K57" s="43" t="n"/>
      <c r="L57" s="10" t="n"/>
      <c r="M57" s="11" t="n"/>
    </row>
    <row r="58">
      <c r="A58" s="18" t="n"/>
      <c r="B58" s="14" t="n"/>
      <c r="C58" s="14" t="n"/>
      <c r="D58" s="33" t="inlineStr">
        <is>
          <t>Non-proportional - catastrophe</t>
        </is>
      </c>
      <c r="E58" s="38" t="n"/>
      <c r="F58" s="45" t="n"/>
      <c r="G58" s="46" t="n"/>
      <c r="H58" s="40" t="str">
        <f>IF(E58="No","If no, why not:","")</f>
        <v/>
      </c>
      <c r="I58" s="41" t="n"/>
      <c r="J58" s="42" t="n"/>
      <c r="K58" s="43" t="n"/>
      <c r="L58" s="10" t="n"/>
      <c r="M58" s="11" t="n"/>
    </row>
    <row r="59">
      <c r="A59" s="18" t="n"/>
      <c r="B59" s="14" t="n"/>
      <c r="C59" s="14" t="n"/>
      <c r="D59" s="33" t="inlineStr">
        <is>
          <t>Non-proportional - per risk</t>
        </is>
      </c>
      <c r="E59" s="38" t="n"/>
      <c r="F59" s="45" t="n"/>
      <c r="G59" s="46" t="n"/>
      <c r="H59" s="40" t="str">
        <f>IF(E59="No","If no, why not:","")</f>
        <v/>
      </c>
      <c r="I59" s="41" t="n"/>
      <c r="J59" s="42" t="n"/>
      <c r="K59" s="43" t="n"/>
      <c r="L59" s="10" t="n"/>
      <c r="M59" s="11" t="n"/>
    </row>
    <row r="60">
      <c r="A60" s="18" t="n"/>
      <c r="B60" s="14" t="n"/>
      <c r="C60" s="14" t="n"/>
      <c r="D60" s="33" t="inlineStr">
        <is>
          <t>Other reinsurance assumed</t>
        </is>
      </c>
      <c r="E60" s="38" t="n"/>
      <c r="F60" s="45" t="n"/>
      <c r="G60" s="46" t="n"/>
      <c r="H60" s="40" t="str">
        <f>IF(E60="No","If no, why not:","")</f>
        <v/>
      </c>
      <c r="I60" s="41" t="n"/>
      <c r="J60" s="42" t="n"/>
      <c r="K60" s="43" t="n"/>
      <c r="L60" s="10" t="n"/>
      <c r="M60" s="11" t="n"/>
    </row>
    <row r="61" ht="6.75" customHeight="1">
      <c r="A61" s="18" t="n"/>
      <c r="B61" s="14" t="n"/>
      <c r="C61" s="14" t="n"/>
      <c r="D61" s="33" t="n"/>
      <c r="E61" s="40" t="n"/>
      <c r="F61" s="40" t="n"/>
      <c r="G61" s="40" t="n"/>
      <c r="H61" s="40" t="n"/>
      <c r="I61" s="50" t="n"/>
      <c r="J61" s="50" t="n"/>
      <c r="K61" s="41" t="n"/>
      <c r="L61" s="10" t="n"/>
      <c r="M61" s="11" t="n"/>
    </row>
    <row r="62">
      <c r="A62" s="18" t="n"/>
      <c r="B62" s="19" t="inlineStr">
        <is>
          <t>4. Pools and assessments information:</t>
        </is>
      </c>
      <c r="C62" s="14" t="n"/>
      <c r="D62" s="33" t="n"/>
      <c r="E62" s="47" t="n"/>
      <c r="F62" s="40" t="n"/>
      <c r="G62" s="40" t="n"/>
      <c r="H62" s="40" t="n"/>
      <c r="I62" s="48" t="n"/>
      <c r="J62" s="48" t="n"/>
      <c r="K62" s="49" t="n"/>
      <c r="L62" s="10" t="n"/>
      <c r="M62" s="11" t="n"/>
    </row>
    <row r="63">
      <c r="A63" s="18" t="n"/>
      <c r="B63" s="51" t="n"/>
      <c r="C63" s="14" t="n"/>
      <c r="D63" s="33" t="inlineStr">
        <is>
          <t>Voluntary pools and/or assessments</t>
        </is>
      </c>
      <c r="E63" s="38" t="n"/>
      <c r="F63" s="45" t="n"/>
      <c r="G63" s="46" t="n"/>
      <c r="H63" s="40" t="str">
        <f>IF(E63="No","If no, why not:","")</f>
        <v/>
      </c>
      <c r="I63" s="41" t="n"/>
      <c r="J63" s="42" t="n"/>
      <c r="K63" s="43" t="n"/>
      <c r="L63" s="10" t="n"/>
      <c r="M63" s="11" t="n"/>
    </row>
    <row r="64">
      <c r="A64" s="18" t="n"/>
      <c r="B64" s="51" t="n"/>
      <c r="C64" s="14" t="n"/>
      <c r="D64" s="33" t="inlineStr">
        <is>
          <t>Involuntary pools and/or assessments</t>
        </is>
      </c>
      <c r="E64" s="38" t="n"/>
      <c r="F64" s="45" t="n"/>
      <c r="G64" s="46" t="n"/>
      <c r="H64" s="40" t="str">
        <f>IF(E64="No","If no, why not:","")</f>
        <v/>
      </c>
      <c r="I64" s="41" t="n"/>
      <c r="J64" s="42" t="n"/>
      <c r="K64" s="43" t="n"/>
      <c r="L64" s="10" t="n"/>
      <c r="M64" s="11" t="n"/>
    </row>
    <row r="65" ht="6.75" customHeight="1">
      <c r="A65" s="18" t="n"/>
      <c r="B65" s="14" t="n"/>
      <c r="C65" s="14" t="n"/>
      <c r="D65" s="33" t="n"/>
      <c r="E65" s="40" t="n"/>
      <c r="F65" s="40" t="n"/>
      <c r="G65" s="40" t="n"/>
      <c r="H65" s="40" t="n"/>
      <c r="I65" s="48" t="n"/>
      <c r="J65" s="48" t="n"/>
      <c r="K65" s="49" t="n"/>
      <c r="L65" s="10" t="n"/>
      <c r="M65" s="11" t="n"/>
    </row>
    <row r="66">
      <c r="A66" s="18" t="n"/>
      <c r="B66" s="19" t="inlineStr">
        <is>
          <t>5. Supplemental perils and model options:</t>
        </is>
      </c>
      <c r="C66" s="14" t="n"/>
      <c r="D66" s="33" t="n"/>
      <c r="E66" s="47" t="n"/>
      <c r="F66" s="40" t="n"/>
      <c r="G66" s="40" t="n"/>
      <c r="H66" s="40" t="n"/>
      <c r="I66" s="48" t="n"/>
      <c r="J66" s="48" t="n"/>
      <c r="K66" s="49" t="n"/>
      <c r="L66" s="10" t="n"/>
      <c r="M66" s="11" t="n"/>
    </row>
    <row r="67">
      <c r="A67" s="18" t="n"/>
      <c r="B67" s="14" t="n"/>
      <c r="C67" s="14" t="n"/>
      <c r="D67" s="33" t="inlineStr">
        <is>
          <t>Fire following</t>
        </is>
      </c>
      <c r="E67" s="38" t="n"/>
      <c r="F67" s="45" t="n"/>
      <c r="G67" s="46" t="n"/>
      <c r="H67" s="40" t="str">
        <f>IF(E67="No","If no, why not:","")</f>
        <v/>
      </c>
      <c r="I67" s="41" t="n"/>
      <c r="J67" s="42" t="n"/>
      <c r="K67" s="43" t="n"/>
      <c r="L67" s="10" t="n"/>
      <c r="M67" s="11" t="n"/>
    </row>
    <row r="68">
      <c r="A68" s="18" t="n"/>
      <c r="B68" s="14" t="n"/>
      <c r="C68" s="14" t="n"/>
      <c r="D68" s="33" t="inlineStr">
        <is>
          <t>Sprinkler leakage</t>
        </is>
      </c>
      <c r="E68" s="38" t="n"/>
      <c r="F68" s="45" t="n"/>
      <c r="G68" s="46" t="n"/>
      <c r="H68" s="40" t="str">
        <f>IF(E68="No","If no, why not:","")</f>
        <v/>
      </c>
      <c r="I68" s="41" t="n"/>
      <c r="J68" s="42" t="n"/>
      <c r="K68" s="43" t="n"/>
      <c r="L68" s="10" t="n"/>
      <c r="M68" s="11" t="n"/>
    </row>
    <row r="69">
      <c r="A69" s="18" t="n"/>
      <c r="B69" s="14" t="n"/>
      <c r="C69" s="14" t="n"/>
      <c r="D69" s="33" t="inlineStr">
        <is>
          <t>Storm surge</t>
        </is>
      </c>
      <c r="E69" s="38" t="n"/>
      <c r="F69" s="45" t="n"/>
      <c r="G69" s="46" t="n"/>
      <c r="H69" s="40" t="str">
        <f>IF(E69="No","If no, why not:","")</f>
        <v/>
      </c>
      <c r="I69" s="41" t="n"/>
      <c r="J69" s="42" t="n"/>
      <c r="K69" s="43" t="n"/>
      <c r="L69" s="10" t="n"/>
      <c r="M69" s="11" t="n"/>
    </row>
    <row r="70">
      <c r="A70" s="18" t="n"/>
      <c r="B70" s="14" t="n"/>
      <c r="C70" s="14" t="n"/>
      <c r="D70" s="33" t="inlineStr">
        <is>
          <t>Demand surge</t>
        </is>
      </c>
      <c r="E70" s="38" t="n"/>
      <c r="F70" s="45" t="n"/>
      <c r="G70" s="46" t="n"/>
      <c r="H70" s="40" t="str">
        <f>IF(E70="No","If no, why not:","")</f>
        <v/>
      </c>
      <c r="I70" s="41" t="n"/>
      <c r="J70" s="42" t="n"/>
      <c r="K70" s="43" t="n"/>
      <c r="L70" s="10" t="n"/>
      <c r="M70" s="11" t="n"/>
    </row>
    <row r="71">
      <c r="A71" s="18" t="n"/>
      <c r="B71" s="14" t="n"/>
      <c r="C71" s="14" t="n"/>
      <c r="D71" s="33" t="inlineStr">
        <is>
          <t>Secondary uncertainty</t>
        </is>
      </c>
      <c r="E71" s="38" t="n"/>
      <c r="F71" s="45" t="n"/>
      <c r="G71" s="46" t="n"/>
      <c r="H71" s="40" t="str">
        <f>IF(E71="No","If no, why not:","")</f>
        <v/>
      </c>
      <c r="I71" s="41" t="n"/>
      <c r="J71" s="42" t="n"/>
      <c r="K71" s="43" t="n"/>
      <c r="L71" s="10" t="n"/>
      <c r="M71" s="11" t="n"/>
    </row>
    <row r="72">
      <c r="A72" s="18" t="n"/>
      <c r="B72" s="14" t="n"/>
      <c r="C72" s="14" t="n"/>
      <c r="D72" s="33" t="inlineStr">
        <is>
          <t>Atlantic multi-decadal oscillation selection</t>
        </is>
      </c>
      <c r="E72" s="38" t="n"/>
      <c r="F72" s="39" t="n"/>
      <c r="G72" s="39" t="n"/>
      <c r="H72" s="40" t="str">
        <f>IF(E72="Long-term frequency","If long-term frequency, why:","")</f>
        <v/>
      </c>
      <c r="I72" s="41" t="n"/>
      <c r="J72" s="42" t="n"/>
      <c r="K72" s="43" t="n"/>
      <c r="L72" s="10" t="n"/>
      <c r="M72" s="11" t="n"/>
    </row>
    <row r="73" ht="6.75" customHeight="1">
      <c r="A73" s="18" t="n"/>
      <c r="B73" s="14" t="n"/>
      <c r="C73" s="14" t="n"/>
      <c r="D73" s="33" t="n"/>
      <c r="E73" s="40" t="n"/>
      <c r="F73" s="40" t="n"/>
      <c r="G73" s="40" t="n"/>
      <c r="H73" s="40" t="n"/>
      <c r="I73" s="48" t="n"/>
      <c r="J73" s="48" t="n"/>
      <c r="K73" s="49" t="n"/>
      <c r="L73" s="10" t="n"/>
      <c r="M73" s="11" t="n"/>
    </row>
    <row r="74">
      <c r="A74" s="18" t="n"/>
      <c r="B74" s="19" t="inlineStr">
        <is>
          <t>6. Other adjustments information:</t>
        </is>
      </c>
      <c r="C74" s="14" t="n"/>
      <c r="D74" s="33" t="n"/>
      <c r="E74" s="47" t="n"/>
      <c r="F74" s="40" t="n"/>
      <c r="G74" s="40" t="n"/>
      <c r="H74" s="40" t="n"/>
      <c r="I74" s="48" t="n"/>
      <c r="J74" s="48" t="n"/>
      <c r="K74" s="49" t="n"/>
      <c r="L74" s="10" t="n"/>
      <c r="M74" s="11" t="n"/>
    </row>
    <row r="75">
      <c r="A75" s="18" t="n"/>
      <c r="B75" s="14" t="n"/>
      <c r="C75" s="14" t="n"/>
      <c r="D75" s="33" t="inlineStr">
        <is>
          <t>Adjustments for exposure data quality</t>
        </is>
      </c>
      <c r="E75" s="38" t="n"/>
      <c r="F75" s="39" t="n"/>
      <c r="G75" s="40" t="n"/>
      <c r="H75" s="40" t="str">
        <f>IF(E75="No","If no, why not:","")</f>
        <v/>
      </c>
      <c r="I75" s="41" t="n"/>
      <c r="J75" s="42" t="n"/>
      <c r="K75" s="43" t="n"/>
      <c r="L75" s="10" t="n"/>
      <c r="M75" s="11" t="n"/>
    </row>
    <row r="76">
      <c r="A76" s="18" t="n"/>
      <c r="B76" s="14" t="n"/>
      <c r="C76" s="14" t="n"/>
      <c r="D76" s="33" t="inlineStr">
        <is>
          <t>Adjustments for insurance to value</t>
        </is>
      </c>
      <c r="E76" s="38" t="n"/>
      <c r="F76" s="39" t="n"/>
      <c r="G76" s="40" t="n"/>
      <c r="H76" s="40" t="str">
        <f>IF(E76="No","If no, why not:","")</f>
        <v/>
      </c>
      <c r="I76" s="41" t="n"/>
      <c r="J76" s="42" t="n"/>
      <c r="K76" s="43" t="n"/>
      <c r="L76" s="10" t="n"/>
      <c r="M76" s="11" t="n"/>
    </row>
    <row r="77">
      <c r="A77" s="18" t="n"/>
      <c r="B77" s="14" t="n"/>
      <c r="C77" s="14" t="n"/>
      <c r="D77" s="33" t="inlineStr">
        <is>
          <t>Adjustments for exposure growth</t>
        </is>
      </c>
      <c r="E77" s="44" t="n"/>
      <c r="F77" s="39" t="n"/>
      <c r="G77" s="40" t="n"/>
      <c r="H77" s="40" t="str">
        <f>IF(E77="No","If no, why not:","")</f>
        <v/>
      </c>
      <c r="I77" s="41" t="n"/>
      <c r="J77" s="42" t="n"/>
      <c r="K77" s="43" t="n"/>
      <c r="L77" s="10" t="n"/>
      <c r="M77" s="11" t="n"/>
    </row>
    <row r="78">
      <c r="A78" s="18" t="n"/>
      <c r="B78" s="14" t="n"/>
      <c r="C78" s="14" t="n"/>
      <c r="D78" s="33" t="inlineStr">
        <is>
          <t>Supplemental losses for non-modelled line of business</t>
        </is>
      </c>
      <c r="E78" s="44" t="n"/>
      <c r="F78" s="39" t="n"/>
      <c r="G78" s="40" t="n"/>
      <c r="H78" s="40" t="str">
        <f>IF(E78="No","If no, why not:","")</f>
        <v/>
      </c>
      <c r="I78" s="41" t="n"/>
      <c r="J78" s="42" t="n"/>
      <c r="K78" s="43" t="n"/>
      <c r="L78" s="10" t="n"/>
      <c r="M78" s="11" t="n"/>
    </row>
    <row r="79">
      <c r="A79" s="18" t="n"/>
      <c r="B79" s="14" t="n"/>
      <c r="C79" s="14" t="n"/>
      <c r="D79" s="33" t="inlineStr">
        <is>
          <t>Adjustments for model deficiencies – severity</t>
        </is>
      </c>
      <c r="E79" s="38" t="n"/>
      <c r="F79" s="46" t="n"/>
      <c r="G79" s="40" t="n"/>
      <c r="H79" s="40" t="str">
        <f>IF(E79="No","If no, why not:","")</f>
        <v/>
      </c>
      <c r="I79" s="41" t="n"/>
      <c r="J79" s="42" t="n"/>
      <c r="K79" s="43" t="n"/>
      <c r="L79" s="10" t="n"/>
      <c r="M79" s="11" t="n"/>
    </row>
    <row r="80">
      <c r="A80" s="18" t="n"/>
      <c r="B80" s="14" t="n"/>
      <c r="C80" s="14" t="n"/>
      <c r="D80" s="33" t="inlineStr">
        <is>
          <t>Adjustments for model deficiencies - frequency</t>
        </is>
      </c>
      <c r="E80" s="38" t="n"/>
      <c r="F80" s="46" t="n"/>
      <c r="G80" s="40" t="n"/>
      <c r="H80" s="40" t="str">
        <f>IF(E80="No","If no, why not:","")</f>
        <v/>
      </c>
      <c r="I80" s="41" t="n"/>
      <c r="J80" s="42" t="n"/>
      <c r="K80" s="43" t="n"/>
      <c r="L80" s="10" t="n"/>
      <c r="M80" s="11" t="n"/>
    </row>
    <row r="81">
      <c r="A81" s="18" t="n"/>
      <c r="B81" s="14" t="n"/>
      <c r="C81" s="14" t="n"/>
      <c r="D81" s="33" t="inlineStr">
        <is>
          <t>Additional demand surge loadings</t>
        </is>
      </c>
      <c r="E81" s="38" t="n"/>
      <c r="F81" s="39" t="n"/>
      <c r="G81" s="40" t="n"/>
      <c r="H81" s="40" t="str">
        <f>IF(E81="No","If no, why not:","")</f>
        <v/>
      </c>
      <c r="I81" s="41" t="n"/>
      <c r="J81" s="42" t="n"/>
      <c r="K81" s="43" t="n"/>
      <c r="L81" s="10" t="n"/>
      <c r="M81" s="11" t="n"/>
    </row>
    <row r="82">
      <c r="A82" s="18" t="n"/>
      <c r="B82" s="14" t="n"/>
      <c r="C82" s="14" t="n"/>
      <c r="D82" s="33" t="inlineStr">
        <is>
          <t>Other factors for prudence</t>
        </is>
      </c>
      <c r="E82" s="38" t="n"/>
      <c r="F82" s="39" t="n"/>
      <c r="G82" s="40" t="n"/>
      <c r="H82" s="40" t="str">
        <f>IF(E82="No","If no, why not:","")</f>
        <v/>
      </c>
      <c r="I82" s="41" t="n"/>
      <c r="J82" s="42" t="n"/>
      <c r="K82" s="43" t="n"/>
      <c r="L82" s="10" t="n"/>
      <c r="M82" s="11" t="n"/>
    </row>
    <row r="83" ht="6.75" customHeight="1">
      <c r="A83" s="18" t="n"/>
      <c r="B83" s="14" t="n"/>
      <c r="C83" s="14" t="n"/>
      <c r="D83" s="14" t="n"/>
      <c r="E83" s="52" t="n"/>
      <c r="F83" s="14" t="n"/>
      <c r="G83" s="53" t="n"/>
      <c r="H83" s="53" t="n"/>
      <c r="I83" s="48" t="n"/>
      <c r="J83" s="48" t="n"/>
      <c r="K83" s="49" t="n"/>
      <c r="L83" s="10" t="n"/>
      <c r="M83" s="11" t="n"/>
    </row>
    <row r="84">
      <c r="A84" s="18" t="n"/>
      <c r="B84" s="14" t="n"/>
      <c r="C84" s="14" t="n"/>
      <c r="D84" s="14" t="n"/>
      <c r="E84" s="14" t="n"/>
      <c r="F84" s="33" t="inlineStr">
        <is>
          <t>Average loading factor applied to ground up loss for all adjustments applied:</t>
        </is>
      </c>
      <c r="G84" s="54" t="n"/>
      <c r="H84" s="39" t="n"/>
      <c r="I84" s="48" t="n"/>
      <c r="J84" s="48" t="n"/>
      <c r="K84" s="49" t="n"/>
      <c r="L84" s="10" t="n"/>
      <c r="M84" s="11" t="n"/>
    </row>
    <row r="85">
      <c r="A85" s="18" t="n"/>
      <c r="B85" s="14" t="n"/>
      <c r="C85" s="14" t="n"/>
      <c r="D85" s="14" t="n"/>
      <c r="E85" s="14" t="n"/>
      <c r="F85" s="33" t="inlineStr">
        <is>
          <t>Is this average loading factor determined analytically or estimated?</t>
        </is>
      </c>
      <c r="G85" s="38" t="n"/>
      <c r="H85" s="39" t="n"/>
      <c r="I85" s="48" t="n"/>
      <c r="J85" s="48" t="n"/>
      <c r="K85" s="49" t="n"/>
      <c r="L85" s="10" t="n"/>
      <c r="M85" s="11" t="n"/>
    </row>
    <row r="86" ht="6.75" customHeight="1">
      <c r="A86" s="18" t="n"/>
      <c r="B86" s="14" t="n"/>
      <c r="C86" s="14" t="n"/>
      <c r="D86" s="14" t="n"/>
      <c r="E86" s="14" t="n"/>
      <c r="F86" s="14" t="n"/>
      <c r="G86" s="39" t="n"/>
      <c r="H86" s="39" t="n"/>
      <c r="I86" s="48" t="n"/>
      <c r="J86" s="48" t="n"/>
      <c r="K86" s="49" t="n"/>
      <c r="L86" s="10" t="n"/>
      <c r="M86" s="11" t="n"/>
    </row>
    <row r="87">
      <c r="A87" s="18" t="n"/>
      <c r="B87" s="14" t="n"/>
      <c r="C87" s="14" t="n"/>
      <c r="D87" s="14" t="n"/>
      <c r="E87" s="14" t="n"/>
      <c r="F87" s="33" t="inlineStr">
        <is>
          <t>Which vendor catastrophe models ("cat model") do you include in this modelling?</t>
        </is>
      </c>
      <c r="G87" s="44" t="n"/>
      <c r="H87" s="39" t="n"/>
      <c r="I87" s="48" t="n"/>
      <c r="J87" s="48" t="n"/>
      <c r="K87" s="49" t="n"/>
      <c r="L87" s="10" t="n"/>
      <c r="M87" s="11" t="n"/>
    </row>
    <row r="88">
      <c r="A88" s="18" t="n"/>
      <c r="B88" s="14" t="n"/>
      <c r="C88" s="14" t="n"/>
      <c r="D88" s="14" t="n"/>
      <c r="E88" s="14" t="n"/>
      <c r="F88" s="33" t="inlineStr">
        <is>
          <t>Which version of the model or version of the region-peril models are used for each vendor catastrophe model as appropriate?</t>
        </is>
      </c>
      <c r="G88" s="55" t="n"/>
      <c r="H88" s="56" t="n"/>
      <c r="I88" s="14" t="n"/>
      <c r="J88" s="14" t="n"/>
      <c r="K88" s="15" t="n"/>
      <c r="L88" s="10" t="n"/>
      <c r="M88" s="11" t="n"/>
    </row>
    <row r="89">
      <c r="A89" s="18" t="n"/>
      <c r="B89" s="14" t="n"/>
      <c r="C89" s="14" t="n"/>
      <c r="D89" s="14" t="n"/>
      <c r="E89" s="14" t="n"/>
      <c r="F89" s="14" t="n"/>
      <c r="G89" s="57" t="n"/>
      <c r="H89" s="58" t="n"/>
      <c r="I89" s="14" t="n"/>
      <c r="J89" s="14" t="n"/>
      <c r="K89" s="15" t="n"/>
      <c r="L89" s="10" t="n"/>
      <c r="M89" s="11" t="n"/>
    </row>
    <row r="90" ht="6.75" customHeight="1">
      <c r="A90" s="59" t="n"/>
      <c r="B90" s="60" t="n"/>
      <c r="C90" s="60" t="n"/>
      <c r="D90" s="60" t="n"/>
      <c r="E90" s="60" t="n"/>
      <c r="F90" s="60" t="n"/>
      <c r="G90" s="61" t="n"/>
      <c r="H90" s="61" t="n"/>
      <c r="I90" s="60" t="n"/>
      <c r="J90" s="60" t="n"/>
      <c r="K90" s="62" t="n"/>
      <c r="L90" s="10" t="n"/>
      <c r="M90" s="11" t="n"/>
    </row>
    <row r="91">
      <c r="A91" s="10" t="n"/>
      <c r="B91" s="10" t="n"/>
      <c r="C91" s="10" t="n"/>
      <c r="D91" s="10" t="n"/>
      <c r="E91" s="10" t="n"/>
      <c r="F91" s="10" t="n"/>
      <c r="G91" s="10" t="n"/>
      <c r="H91" s="10" t="n"/>
      <c r="I91" s="10" t="n"/>
      <c r="J91" s="10" t="n"/>
      <c r="K91" s="10" t="n"/>
      <c r="L91" s="10" t="n"/>
      <c r="M91" s="11" t="n"/>
    </row>
    <row r="92">
      <c r="A92" s="10" t="n"/>
      <c r="B92" s="10" t="n"/>
      <c r="C92" s="10" t="n"/>
      <c r="D92" s="10" t="n"/>
      <c r="E92" s="10" t="n"/>
      <c r="F92" s="10" t="n"/>
      <c r="G92" s="10" t="n"/>
      <c r="H92" s="10" t="n"/>
      <c r="I92" s="10" t="n"/>
      <c r="J92" s="10" t="n"/>
      <c r="K92" s="10" t="n"/>
      <c r="L92" s="10" t="n"/>
      <c r="M92" s="10" t="n"/>
    </row>
    <row r="93"/>
    <row r="94"/>
    <row r="95"/>
    <row r="96"/>
    <row r="97"/>
    <row r="98" ht="75" customHeight="1">
      <c r="A98" s="63" t="n"/>
      <c r="B98" s="7" t="inlineStr">
        <is>
          <t>CATASTROPHE RISK RETURN: EP CURVE INSURANCE (TABLE 15A)</t>
        </is>
      </c>
      <c r="C98" s="64" t="n"/>
      <c r="D98" s="64" t="n"/>
      <c r="E98" s="64" t="n"/>
      <c r="F98" s="64" t="n"/>
      <c r="G98" s="64" t="n"/>
      <c r="H98" s="64" t="n"/>
      <c r="I98" s="64" t="n"/>
      <c r="J98" s="8" t="inlineStr">
        <is>
          <t>Back to instructions</t>
        </is>
      </c>
      <c r="K98" s="65" t="n"/>
      <c r="L98" s="10" t="n"/>
      <c r="M98" s="11" t="n"/>
    </row>
    <row r="99" ht="13.5" customHeight="1">
      <c r="A99" s="18" t="n"/>
      <c r="B99" s="13" t="inlineStr">
        <is>
          <t>HIC</t>
        </is>
      </c>
      <c r="C99" s="14" t="n"/>
      <c r="D99" s="14" t="n"/>
      <c r="E99" s="14" t="n"/>
      <c r="F99" s="14" t="n"/>
      <c r="G99" s="14" t="n"/>
      <c r="H99" s="14" t="n"/>
      <c r="I99" s="14" t="n"/>
      <c r="J99" s="14" t="n"/>
      <c r="K99" s="15" t="n"/>
      <c r="L99" s="10" t="n"/>
      <c r="M99" s="11" t="n"/>
    </row>
    <row r="100" ht="13.5" customHeight="1">
      <c r="A100" s="18" t="n"/>
      <c r="B100" s="16">
        <f>DATE(2026,1,1)</f>
        <v>46023.0</v>
      </c>
      <c r="C100" s="14" t="n"/>
      <c r="D100" s="14" t="n"/>
      <c r="E100" s="14" t="n"/>
      <c r="F100" s="14" t="n"/>
      <c r="G100" s="14" t="n"/>
      <c r="H100" s="14" t="n"/>
      <c r="I100" s="14" t="n"/>
      <c r="J100" s="17" t="inlineStr">
        <is>
          <t xml:space="preserve">Schedule X(b) </t>
        </is>
      </c>
      <c r="K100" s="15" t="n"/>
      <c r="L100" s="10" t="n"/>
      <c r="M100" s="11" t="n"/>
    </row>
    <row r="101" ht="6.75" customHeight="1">
      <c r="A101" s="18" t="n"/>
      <c r="B101" s="66" t="n"/>
      <c r="C101" s="14" t="n"/>
      <c r="D101" s="14" t="n"/>
      <c r="E101" s="14" t="n"/>
      <c r="F101" s="14" t="n"/>
      <c r="G101" s="14" t="n"/>
      <c r="H101" s="14" t="n"/>
      <c r="I101" s="14" t="n"/>
      <c r="J101" s="14" t="n"/>
      <c r="K101" s="15" t="n"/>
      <c r="L101" s="10" t="n"/>
      <c r="M101" s="11" t="n"/>
    </row>
    <row r="102">
      <c r="A102" s="18" t="n"/>
      <c r="B102" s="67" t="inlineStr">
        <is>
          <t>Note:The EP curve for insurance will be required only when the percentage of net insurance premiums written is greater than 10% of total net premiums written.</t>
        </is>
      </c>
      <c r="C102" s="67" t="n"/>
      <c r="D102" s="67" t="n"/>
      <c r="E102" s="67" t="n"/>
      <c r="F102" s="67" t="n"/>
      <c r="G102" s="67" t="n"/>
      <c r="H102" s="14" t="n"/>
      <c r="I102" s="14" t="n"/>
      <c r="J102" s="14" t="n"/>
      <c r="K102" s="15" t="n"/>
      <c r="L102" s="10" t="n"/>
      <c r="M102" s="11" t="n"/>
    </row>
    <row r="103" ht="6.75" customHeight="1">
      <c r="A103" s="18" t="n"/>
      <c r="B103" s="67" t="n"/>
      <c r="C103" s="67" t="n"/>
      <c r="D103" s="67" t="n"/>
      <c r="E103" s="67" t="n"/>
      <c r="F103" s="67" t="n"/>
      <c r="G103" s="67" t="n"/>
      <c r="H103" s="14" t="n"/>
      <c r="I103" s="14" t="n"/>
      <c r="J103" s="14" t="n"/>
      <c r="K103" s="15" t="n"/>
      <c r="L103" s="10" t="n"/>
      <c r="M103" s="11" t="n"/>
    </row>
    <row r="104">
      <c r="A104" s="18" t="n"/>
      <c r="B104" s="14" t="n"/>
      <c r="C104" s="19" t="inlineStr">
        <is>
          <t>1. Exceedance probability information:</t>
        </is>
      </c>
      <c r="D104" s="14" t="n"/>
      <c r="E104" s="14" t="n"/>
      <c r="F104" s="14" t="n"/>
      <c r="G104" s="14" t="n"/>
      <c r="H104" s="14" t="n"/>
      <c r="I104" s="14" t="n"/>
      <c r="J104" s="14" t="n"/>
      <c r="K104" s="15" t="n"/>
      <c r="L104" s="10" t="n"/>
      <c r="M104" s="11" t="n"/>
    </row>
    <row r="105">
      <c r="A105" s="18" t="n"/>
      <c r="B105" s="14" t="n"/>
      <c r="C105" s="14" t="n"/>
      <c r="D105" s="20" t="n"/>
      <c r="E105" s="21" t="inlineStr">
        <is>
          <t>Gross Loss</t>
        </is>
      </c>
      <c r="F105" s="22" t="n"/>
      <c r="G105" s="21" t="inlineStr">
        <is>
          <t>Net Loss</t>
        </is>
      </c>
      <c r="H105" s="22" t="n"/>
      <c r="I105" s="14" t="n"/>
      <c r="J105" s="14" t="n"/>
      <c r="K105" s="15" t="n"/>
      <c r="L105" s="10" t="n"/>
      <c r="M105" s="11" t="n"/>
    </row>
    <row r="106" ht="42" customHeight="1">
      <c r="A106" s="18" t="n"/>
      <c r="B106" s="14" t="n"/>
      <c r="C106" s="14" t="n"/>
      <c r="D106" s="23" t="inlineStr">
        <is>
          <t>Loss Return period (years)</t>
        </is>
      </c>
      <c r="E106" s="24" t="inlineStr">
        <is>
          <t>Gross per occurrence loss TVaR</t>
        </is>
      </c>
      <c r="F106" s="24" t="inlineStr">
        <is>
          <t>Gross aggregate TVaR</t>
        </is>
      </c>
      <c r="G106" s="68" t="inlineStr">
        <is>
          <t>Net per occurrence loss TVaR</t>
        </is>
      </c>
      <c r="H106" s="69" t="inlineStr">
        <is>
          <t xml:space="preserve">Net aggregate TVaR </t>
        </is>
      </c>
      <c r="I106" s="14" t="n"/>
      <c r="J106" s="14" t="n"/>
      <c r="K106" s="15" t="n"/>
      <c r="L106" s="25" t="n"/>
      <c r="M106" s="11" t="n"/>
    </row>
    <row r="107">
      <c r="A107" s="18" t="n"/>
      <c r="B107" s="14" t="n"/>
      <c r="C107" s="14" t="n"/>
      <c r="D107" s="26" t="n"/>
      <c r="E107" s="70" t="inlineStr">
        <is>
          <t xml:space="preserve"> ($M)</t>
        </is>
      </c>
      <c r="F107" s="70" t="inlineStr">
        <is>
          <t xml:space="preserve"> ($M)</t>
        </is>
      </c>
      <c r="G107" s="70" t="inlineStr">
        <is>
          <t xml:space="preserve"> ($M)</t>
        </is>
      </c>
      <c r="H107" s="70" t="inlineStr">
        <is>
          <t xml:space="preserve"> ($M)</t>
        </is>
      </c>
      <c r="I107" s="14" t="n"/>
      <c r="J107" s="14" t="n"/>
      <c r="K107" s="15" t="n"/>
      <c r="L107" s="25" t="n"/>
      <c r="M107" s="25" t="n"/>
    </row>
    <row r="108">
      <c r="A108" s="18" t="n"/>
      <c r="B108" s="14" t="n"/>
      <c r="C108" s="14" t="n"/>
      <c r="D108" s="27" t="n">
        <v>50</v>
      </c>
      <c r="E108" s="28" t="n"/>
      <c r="F108" s="28" t="n"/>
      <c r="G108" s="28" t="n"/>
      <c r="H108" s="28" t="n"/>
      <c r="I108" s="14" t="n"/>
      <c r="J108" s="14" t="n"/>
      <c r="K108" s="15" t="n"/>
      <c r="L108" s="10" t="n"/>
      <c r="M108" s="11" t="n"/>
    </row>
    <row r="109">
      <c r="A109" s="18" t="n"/>
      <c r="B109" s="14" t="n"/>
      <c r="C109" s="14" t="n"/>
      <c r="D109" s="27" t="n">
        <v>100</v>
      </c>
      <c r="E109" s="28" t="n"/>
      <c r="F109" s="28" t="n"/>
      <c r="G109" s="28" t="n"/>
      <c r="H109" s="28" t="n"/>
      <c r="I109" s="14" t="n"/>
      <c r="J109" s="14" t="n"/>
      <c r="K109" s="15" t="n"/>
      <c r="L109" s="10" t="n"/>
      <c r="M109" s="11" t="n"/>
    </row>
    <row r="110">
      <c r="A110" s="18" t="n"/>
      <c r="B110" s="14" t="n"/>
      <c r="C110" s="14" t="n"/>
      <c r="D110" s="27" t="n">
        <v>250</v>
      </c>
      <c r="E110" s="28" t="n"/>
      <c r="F110" s="28" t="n"/>
      <c r="G110" s="28" t="n"/>
      <c r="H110" s="28" t="n"/>
      <c r="I110" s="14" t="n"/>
      <c r="J110" s="14" t="n"/>
      <c r="K110" s="15" t="n"/>
      <c r="L110" s="10" t="n"/>
      <c r="M110" s="11" t="n"/>
    </row>
    <row r="111">
      <c r="A111" s="18" t="n"/>
      <c r="B111" s="14" t="n"/>
      <c r="C111" s="14" t="n"/>
      <c r="D111" s="27" t="n">
        <v>500</v>
      </c>
      <c r="E111" s="28" t="n"/>
      <c r="F111" s="28" t="n"/>
      <c r="G111" s="28" t="n"/>
      <c r="H111" s="28" t="n"/>
      <c r="I111" s="14" t="n"/>
      <c r="J111" s="14" t="n"/>
      <c r="K111" s="15" t="n"/>
      <c r="L111" s="10" t="n"/>
      <c r="M111" s="11" t="n"/>
    </row>
    <row r="112">
      <c r="A112" s="18" t="n"/>
      <c r="B112" s="14" t="n"/>
      <c r="C112" s="14" t="n"/>
      <c r="D112" s="30" t="n">
        <v>1000</v>
      </c>
      <c r="E112" s="28" t="n"/>
      <c r="F112" s="28" t="n"/>
      <c r="G112" s="28" t="n"/>
      <c r="H112" s="28" t="n"/>
      <c r="I112" s="14" t="n"/>
      <c r="J112" s="14" t="n"/>
      <c r="K112" s="15" t="n"/>
      <c r="L112" s="10" t="n"/>
      <c r="M112" s="11" t="n"/>
    </row>
    <row r="113" ht="6.75" customHeight="1">
      <c r="A113" s="18" t="n"/>
      <c r="B113" s="14" t="n"/>
      <c r="C113" s="14" t="n"/>
      <c r="D113" s="14" t="n"/>
      <c r="E113" s="14" t="n"/>
      <c r="F113" s="14" t="n"/>
      <c r="G113" s="14" t="n"/>
      <c r="H113" s="14" t="n"/>
      <c r="I113" s="14" t="n"/>
      <c r="J113" s="14" t="n"/>
      <c r="K113" s="15" t="n"/>
      <c r="L113" s="10" t="n"/>
      <c r="M113" s="11" t="n"/>
    </row>
    <row r="114">
      <c r="A114" s="18" t="n"/>
      <c r="B114" s="14" t="n"/>
      <c r="C114" s="14" t="n"/>
      <c r="D114" s="14" t="n"/>
      <c r="E114" s="70" t="inlineStr">
        <is>
          <t>Gross Loss ($M)</t>
        </is>
      </c>
      <c r="F114" s="14" t="n"/>
      <c r="G114" s="14" t="n"/>
      <c r="H114" s="14" t="n"/>
      <c r="I114" s="14" t="n"/>
      <c r="J114" s="70" t="inlineStr">
        <is>
          <t>Net Loss ($M)</t>
        </is>
      </c>
      <c r="K114" s="15" t="n"/>
      <c r="L114" s="10" t="n"/>
      <c r="M114" s="11" t="n"/>
    </row>
    <row r="115">
      <c r="A115" s="18" t="n"/>
      <c r="B115" s="14" t="n"/>
      <c r="C115" s="14" t="n"/>
      <c r="D115" s="33" t="inlineStr">
        <is>
          <t xml:space="preserve">Annual average aggregate gross loss </t>
        </is>
      </c>
      <c r="E115" s="28" t="n"/>
      <c r="F115" s="14" t="n"/>
      <c r="G115" s="14" t="n"/>
      <c r="H115" s="14" t="n"/>
      <c r="I115" s="33" t="inlineStr">
        <is>
          <t>Annual average aggregate net loss (net of reinstatements terms)</t>
        </is>
      </c>
      <c r="J115" s="28" t="n"/>
      <c r="K115" s="15" t="n"/>
      <c r="L115" s="10" t="n"/>
      <c r="M115" s="11" t="n"/>
    </row>
    <row r="116">
      <c r="A116" s="18" t="n"/>
      <c r="B116" s="14" t="n"/>
      <c r="C116" s="14" t="n"/>
      <c r="D116" s="33" t="n"/>
      <c r="E116" s="14" t="n"/>
      <c r="F116" s="14" t="n"/>
      <c r="G116" s="14" t="n"/>
      <c r="H116" s="14" t="n"/>
      <c r="I116" s="33" t="inlineStr">
        <is>
          <t>Reinstatement terms included in Annual average aggregated net loss</t>
        </is>
      </c>
      <c r="J116" s="28" t="n"/>
      <c r="K116" s="15" t="n"/>
      <c r="L116" s="10" t="n"/>
      <c r="M116" s="11" t="n"/>
    </row>
    <row r="117">
      <c r="A117" s="18" t="n"/>
      <c r="B117" s="14" t="n"/>
      <c r="C117" s="14" t="n"/>
      <c r="D117" s="33" t="inlineStr">
        <is>
          <t xml:space="preserve">Standard deviation of annual aggregate gross loss </t>
        </is>
      </c>
      <c r="E117" s="28" t="n"/>
      <c r="F117" s="14" t="n"/>
      <c r="G117" s="14" t="n"/>
      <c r="H117" s="14" t="n"/>
      <c r="I117" s="33" t="inlineStr">
        <is>
          <t>Standard deviation of annual aggregate net loss (net of reinstatements terms)</t>
        </is>
      </c>
      <c r="J117" s="28" t="n"/>
      <c r="K117" s="15" t="n"/>
      <c r="L117" s="10" t="n"/>
      <c r="M117" s="11" t="n"/>
    </row>
    <row r="118" ht="6.75" customHeight="1">
      <c r="A118" s="18" t="n"/>
      <c r="B118" s="14" t="n"/>
      <c r="C118" s="14" t="n"/>
      <c r="D118" s="33" t="n"/>
      <c r="E118" s="71" t="n"/>
      <c r="F118" s="14" t="n"/>
      <c r="G118" s="14" t="n"/>
      <c r="H118" s="14" t="n"/>
      <c r="I118" s="33" t="n"/>
      <c r="J118" s="35" t="n"/>
      <c r="K118" s="15" t="n"/>
      <c r="L118" s="10" t="n"/>
      <c r="M118" s="11" t="n"/>
    </row>
    <row r="119">
      <c r="A119" s="18" t="n"/>
      <c r="B119" s="14" t="n"/>
      <c r="C119" s="14" t="n"/>
      <c r="D119" s="33" t="inlineStr">
        <is>
          <t xml:space="preserve">Total gross statutory property catastrophe premium modelled </t>
        </is>
      </c>
      <c r="E119" s="34" t="n"/>
      <c r="F119" s="14" t="n"/>
      <c r="G119" s="14" t="n"/>
      <c r="H119" s="14" t="n"/>
      <c r="I119" s="33" t="inlineStr">
        <is>
          <t>Total net statutory property catastrophe premium modelled</t>
        </is>
      </c>
      <c r="J119" s="34" t="n"/>
      <c r="K119" s="15" t="n"/>
      <c r="L119" s="10" t="n"/>
      <c r="M119" s="11" t="n"/>
    </row>
    <row r="120">
      <c r="A120" s="18" t="n"/>
      <c r="B120" s="14" t="n"/>
      <c r="C120" s="14" t="n"/>
      <c r="D120" s="33" t="inlineStr">
        <is>
          <t xml:space="preserve">Total gross all other catastrophe premium modelled </t>
        </is>
      </c>
      <c r="E120" s="34" t="n"/>
      <c r="F120" s="14" t="n"/>
      <c r="G120" s="14" t="n"/>
      <c r="H120" s="14" t="n"/>
      <c r="I120" s="33" t="inlineStr">
        <is>
          <t>Total net all other catastrophe premium modelled</t>
        </is>
      </c>
      <c r="J120" s="34" t="n"/>
      <c r="K120" s="15" t="n"/>
      <c r="L120" s="10" t="n"/>
      <c r="M120" s="11" t="n"/>
    </row>
    <row r="121" ht="6.75" customHeight="1">
      <c r="A121" s="18" t="n"/>
      <c r="B121" s="14" t="n"/>
      <c r="C121" s="14" t="n"/>
      <c r="D121" s="14" t="n"/>
      <c r="E121" s="71" t="n"/>
      <c r="F121" s="14" t="n"/>
      <c r="G121" s="14" t="n"/>
      <c r="H121" s="14" t="n"/>
      <c r="I121" s="14" t="n"/>
      <c r="J121" s="71" t="n"/>
      <c r="K121" s="15" t="n"/>
      <c r="L121" s="10" t="n"/>
      <c r="M121" s="11" t="n"/>
    </row>
    <row r="122">
      <c r="A122" s="18" t="n"/>
      <c r="B122" s="14" t="n"/>
      <c r="C122" s="14" t="n"/>
      <c r="D122" s="33" t="inlineStr">
        <is>
          <t>Total gross statutory property catastrophe limits exposed - modelled</t>
        </is>
      </c>
      <c r="E122" s="34" t="n"/>
      <c r="F122" s="14" t="n"/>
      <c r="G122" s="14" t="n"/>
      <c r="H122" s="14" t="n"/>
      <c r="I122" s="33" t="inlineStr">
        <is>
          <t>Total net statutory property catastrophe limits exposed – modelled</t>
        </is>
      </c>
      <c r="J122" s="34" t="n"/>
      <c r="K122" s="15" t="n"/>
      <c r="L122" s="10" t="n"/>
      <c r="M122" s="11" t="n"/>
    </row>
    <row r="123">
      <c r="A123" s="18" t="n"/>
      <c r="B123" s="14" t="n"/>
      <c r="C123" s="14" t="n"/>
      <c r="D123" s="33" t="inlineStr">
        <is>
          <t>Total gross statutory property catastrophe limits exposed - not modelled</t>
        </is>
      </c>
      <c r="E123" s="34" t="n"/>
      <c r="F123" s="14" t="n"/>
      <c r="G123" s="14" t="n"/>
      <c r="H123" s="14" t="n"/>
      <c r="I123" s="33" t="inlineStr">
        <is>
          <t>Total net statutory property catastrophe limits exposed– not modelled</t>
        </is>
      </c>
      <c r="J123" s="34" t="n"/>
      <c r="K123" s="15" t="n"/>
      <c r="L123" s="10" t="n"/>
      <c r="M123" s="11" t="n"/>
    </row>
    <row r="124">
      <c r="A124" s="18" t="n"/>
      <c r="B124" s="14" t="n"/>
      <c r="C124" s="14" t="n"/>
      <c r="D124" s="33" t="inlineStr">
        <is>
          <t>Total gross all other lines limits exposed- modelled</t>
        </is>
      </c>
      <c r="E124" s="37">
        <f>SUMIFS(BSCRInput[sum_pml],BSCRInput[bscr_entity],"HIC",BSCRInput[region],"ALL",BSCRInput[peril_id],1,BSCRInput[is_geocoded],1)/1000000</f>
        <v>164330.5458313984</v>
      </c>
      <c r="F124" s="14" t="n"/>
      <c r="G124" s="14" t="n"/>
      <c r="H124" s="14" t="n"/>
      <c r="I124" s="33" t="inlineStr">
        <is>
          <t>Total net all other lines limits exposed – modelled</t>
        </is>
      </c>
      <c r="J124" s="37">
        <f>SUMIFS(BSCRInput[sum_net],BSCRInput[bscr_entity],"HIC",BSCRInput[region],"ALL",BSCRInput[peril_id],1,BSCRInput[is_geocoded],1)/1000000</f>
        <v>164330.5458313984</v>
      </c>
      <c r="K124" s="15" t="n"/>
      <c r="L124" s="10" t="n"/>
      <c r="M124" s="11" t="n"/>
    </row>
    <row r="125">
      <c r="A125" s="18" t="n"/>
      <c r="B125" s="14" t="n"/>
      <c r="C125" s="14" t="n"/>
      <c r="D125" s="33" t="inlineStr">
        <is>
          <t>Total gross all other lines limits exposed - not modelled</t>
        </is>
      </c>
      <c r="E125" s="37">
        <f>SUMIFS(BSCRInput[sum_pml],BSCRInput[bscr_entity],"HIC",BSCRInput[region],"ALL",BSCRInput[peril_id],1,BSCRInput[is_geocoded],0)/1000000</f>
        <v>13.283935740000002</v>
      </c>
      <c r="F125" s="14" t="n"/>
      <c r="G125" s="14" t="n"/>
      <c r="H125" s="14" t="n"/>
      <c r="I125" s="33" t="inlineStr">
        <is>
          <t>Total net all other lines limits exposed - not modelled</t>
        </is>
      </c>
      <c r="J125" s="37">
        <f>SUMIFS(BSCRInput[sum_net],BSCRInput[bscr_entity],"HIC",BSCRInput[region],"ALL",BSCRInput[peril_id],1,BSCRInput[is_geocoded],0)/1000000</f>
        <v>13.283935740000002</v>
      </c>
      <c r="K125" s="15" t="n"/>
      <c r="L125" s="10" t="n"/>
      <c r="M125" s="11" t="n"/>
    </row>
    <row r="126">
      <c r="A126" s="18" t="n"/>
      <c r="B126" s="14" t="n"/>
      <c r="C126" s="14" t="n"/>
      <c r="D126" s="33" t="inlineStr">
        <is>
          <t>Total gross premium without an occurrence or aggregate limit</t>
        </is>
      </c>
      <c r="E126" s="34" t="n"/>
      <c r="F126" s="14" t="n"/>
      <c r="G126" s="14" t="n"/>
      <c r="H126" s="14" t="n"/>
      <c r="I126" s="33" t="inlineStr">
        <is>
          <t>Total net premium without an occurrence or aggregate limit</t>
        </is>
      </c>
      <c r="J126" s="34" t="n"/>
      <c r="K126" s="15" t="n"/>
      <c r="L126" s="10" t="n"/>
      <c r="M126" s="11" t="n"/>
    </row>
    <row r="127">
      <c r="A127" s="18" t="n"/>
      <c r="B127" s="14" t="n"/>
      <c r="C127" s="14" t="n"/>
      <c r="D127" s="33" t="inlineStr">
        <is>
          <t>Total gross premium with non determinable Total Insured Value (“TIV”)</t>
        </is>
      </c>
      <c r="E127" s="34" t="n"/>
      <c r="F127" s="14" t="n"/>
      <c r="G127" s="14" t="n"/>
      <c r="H127" s="14" t="n"/>
      <c r="I127" s="33" t="inlineStr">
        <is>
          <t>Total net premium with non-determinable TIV:</t>
        </is>
      </c>
      <c r="J127" s="34" t="n"/>
      <c r="K127" s="15" t="n"/>
      <c r="L127" s="10" t="n"/>
      <c r="M127" s="11" t="n"/>
    </row>
    <row r="128" ht="6.75" customHeight="1">
      <c r="A128" s="18" t="n"/>
      <c r="B128" s="14" t="n"/>
      <c r="C128" s="14" t="n"/>
      <c r="D128" s="14" t="n"/>
      <c r="E128" s="14" t="n"/>
      <c r="F128" s="14" t="n"/>
      <c r="G128" s="14" t="n"/>
      <c r="H128" s="14" t="n"/>
      <c r="I128" s="14" t="n"/>
      <c r="J128" s="71" t="n"/>
      <c r="K128" s="15" t="n"/>
      <c r="L128" s="10" t="n"/>
      <c r="M128" s="11" t="n"/>
    </row>
    <row r="129">
      <c r="A129" s="18" t="n"/>
      <c r="B129" s="14" t="n"/>
      <c r="C129" s="19" t="inlineStr">
        <is>
          <t>2. Significant sources of catastrophe risk and associated loss included in the EP Curves:</t>
        </is>
      </c>
      <c r="D129" s="14" t="n"/>
      <c r="E129" s="14" t="n"/>
      <c r="F129" s="14" t="n"/>
      <c r="G129" s="14" t="n"/>
      <c r="H129" s="14" t="n"/>
      <c r="I129" s="48" t="n"/>
      <c r="J129" s="72" t="n"/>
      <c r="K129" s="49" t="n"/>
      <c r="L129" s="10" t="n"/>
      <c r="M129" s="11" t="n"/>
    </row>
    <row r="130">
      <c r="A130" s="18" t="n"/>
      <c r="B130" s="14" t="n"/>
      <c r="C130" s="14" t="n"/>
      <c r="D130" s="33" t="inlineStr">
        <is>
          <t>Allocated loss adjustment expense</t>
        </is>
      </c>
      <c r="E130" s="38" t="n"/>
      <c r="F130" s="39" t="n"/>
      <c r="G130" s="39" t="n"/>
      <c r="H130" s="73" t="str">
        <f>IF(E130="No","If no, why not:","")</f>
        <v/>
      </c>
      <c r="I130" s="41" t="n"/>
      <c r="J130" s="42" t="n"/>
      <c r="K130" s="43" t="n"/>
      <c r="L130" s="10" t="n"/>
      <c r="M130" s="11" t="n"/>
    </row>
    <row r="131">
      <c r="A131" s="18" t="n"/>
      <c r="B131" s="14" t="n"/>
      <c r="C131" s="14" t="n"/>
      <c r="D131" s="33" t="inlineStr">
        <is>
          <t>Property - buildings</t>
        </is>
      </c>
      <c r="E131" s="38" t="n"/>
      <c r="F131" s="39" t="n"/>
      <c r="G131" s="39" t="n"/>
      <c r="H131" s="73" t="str">
        <f>IF(E131="No","If no, why not:","")</f>
        <v/>
      </c>
      <c r="I131" s="41" t="n"/>
      <c r="J131" s="42" t="n"/>
      <c r="K131" s="43" t="n"/>
      <c r="L131" s="10" t="n"/>
      <c r="M131" s="11" t="n"/>
    </row>
    <row r="132">
      <c r="A132" s="18" t="n"/>
      <c r="B132" s="14" t="n"/>
      <c r="C132" s="14" t="n"/>
      <c r="D132" s="33" t="inlineStr">
        <is>
          <t>Property - contents</t>
        </is>
      </c>
      <c r="E132" s="38" t="n"/>
      <c r="F132" s="39" t="n"/>
      <c r="G132" s="39" t="n"/>
      <c r="H132" s="73" t="str">
        <f>IF(E132="No","If no, why not:","")</f>
        <v/>
      </c>
      <c r="I132" s="41" t="n"/>
      <c r="J132" s="42" t="n"/>
      <c r="K132" s="43" t="n"/>
      <c r="L132" s="10" t="n"/>
      <c r="M132" s="11" t="n"/>
    </row>
    <row r="133">
      <c r="A133" s="18" t="n"/>
      <c r="B133" s="14" t="n"/>
      <c r="C133" s="14" t="n"/>
      <c r="D133" s="33" t="inlineStr">
        <is>
          <t>Additional living expenses</t>
        </is>
      </c>
      <c r="E133" s="44" t="n"/>
      <c r="F133" s="39" t="n"/>
      <c r="G133" s="39" t="n"/>
      <c r="H133" s="73" t="str">
        <f>IF(E133="No","If no, why not:","")</f>
        <v/>
      </c>
      <c r="I133" s="41" t="n"/>
      <c r="J133" s="42" t="n"/>
      <c r="K133" s="43" t="n"/>
      <c r="L133" s="10" t="n"/>
      <c r="M133" s="11" t="n"/>
    </row>
    <row r="134">
      <c r="A134" s="18" t="n"/>
      <c r="B134" s="14" t="n"/>
      <c r="C134" s="14" t="n"/>
      <c r="D134" s="33" t="inlineStr">
        <is>
          <t>Business interruption</t>
        </is>
      </c>
      <c r="E134" s="38" t="n"/>
      <c r="F134" s="45" t="n"/>
      <c r="G134" s="46" t="n"/>
      <c r="H134" s="73" t="str">
        <f>IF(E134="No","If no, why not:","")</f>
        <v/>
      </c>
      <c r="I134" s="41" t="n"/>
      <c r="J134" s="42" t="n"/>
      <c r="K134" s="43" t="n"/>
      <c r="L134" s="10" t="n"/>
      <c r="M134" s="11" t="n"/>
    </row>
    <row r="135">
      <c r="A135" s="18" t="n"/>
      <c r="B135" s="14" t="n"/>
      <c r="C135" s="14" t="n"/>
      <c r="D135" s="33" t="inlineStr">
        <is>
          <t>Auto physical damage</t>
        </is>
      </c>
      <c r="E135" s="38" t="n"/>
      <c r="F135" s="45" t="n"/>
      <c r="G135" s="46" t="n"/>
      <c r="H135" s="73" t="str">
        <f>IF(E135="No","If no, why not:","")</f>
        <v/>
      </c>
      <c r="I135" s="41" t="n"/>
      <c r="J135" s="42" t="n"/>
      <c r="K135" s="43" t="n"/>
      <c r="L135" s="10" t="n"/>
      <c r="M135" s="11" t="n"/>
    </row>
    <row r="136">
      <c r="A136" s="18" t="n"/>
      <c r="B136" s="14" t="n"/>
      <c r="C136" s="14" t="n"/>
      <c r="D136" s="33" t="inlineStr">
        <is>
          <t>Worker's compensation</t>
        </is>
      </c>
      <c r="E136" s="38" t="n"/>
      <c r="F136" s="45" t="n"/>
      <c r="G136" s="46" t="n"/>
      <c r="H136" s="73" t="str">
        <f>IF(E136="No","If no, why not:","")</f>
        <v/>
      </c>
      <c r="I136" s="41" t="n"/>
      <c r="J136" s="42" t="n"/>
      <c r="K136" s="43" t="n"/>
      <c r="L136" s="10" t="n"/>
      <c r="M136" s="11" t="n"/>
    </row>
    <row r="137">
      <c r="A137" s="18" t="n"/>
      <c r="B137" s="14" t="n"/>
      <c r="C137" s="14" t="n"/>
      <c r="D137" s="33" t="inlineStr">
        <is>
          <t>Personal accident</t>
        </is>
      </c>
      <c r="E137" s="38" t="n"/>
      <c r="F137" s="45" t="n"/>
      <c r="G137" s="46" t="n"/>
      <c r="H137" s="73" t="str">
        <f>IF(E137="No","If no, why not:","")</f>
        <v/>
      </c>
      <c r="I137" s="41" t="n"/>
      <c r="J137" s="42" t="n"/>
      <c r="K137" s="43" t="n"/>
      <c r="L137" s="10" t="n"/>
      <c r="M137" s="11" t="n"/>
    </row>
    <row r="138">
      <c r="A138" s="18" t="n"/>
      <c r="B138" s="14" t="n"/>
      <c r="C138" s="14" t="n"/>
      <c r="D138" s="33" t="inlineStr">
        <is>
          <t>Life insurance</t>
        </is>
      </c>
      <c r="E138" s="38" t="n"/>
      <c r="F138" s="45" t="n"/>
      <c r="G138" s="46" t="n"/>
      <c r="H138" s="73" t="str">
        <f>IF(E138="No","If no, why not:","")</f>
        <v/>
      </c>
      <c r="I138" s="41" t="n"/>
      <c r="J138" s="42" t="n"/>
      <c r="K138" s="43" t="n"/>
      <c r="L138" s="10" t="n"/>
      <c r="M138" s="11" t="n"/>
    </row>
    <row r="139">
      <c r="A139" s="18" t="n"/>
      <c r="B139" s="14" t="n"/>
      <c r="C139" s="14" t="n"/>
      <c r="D139" s="33" t="inlineStr">
        <is>
          <t>Onshore Energy</t>
        </is>
      </c>
      <c r="E139" s="38" t="n"/>
      <c r="F139" s="45" t="n"/>
      <c r="G139" s="46" t="n"/>
      <c r="H139" s="73" t="str">
        <f>IF(E139="No","If no, why not:","")</f>
        <v/>
      </c>
      <c r="I139" s="41" t="n"/>
      <c r="J139" s="42" t="n"/>
      <c r="K139" s="43" t="n"/>
      <c r="L139" s="10" t="n"/>
      <c r="M139" s="11" t="n"/>
    </row>
    <row r="140">
      <c r="A140" s="18" t="n"/>
      <c r="B140" s="14" t="n"/>
      <c r="C140" s="14" t="n"/>
      <c r="D140" s="33" t="inlineStr">
        <is>
          <t>Offshore Energy</t>
        </is>
      </c>
      <c r="E140" s="38" t="n"/>
      <c r="F140" s="45" t="n"/>
      <c r="G140" s="46" t="n"/>
      <c r="H140" s="73" t="str">
        <f>IF(E140="No","If no, why not:","")</f>
        <v/>
      </c>
      <c r="I140" s="41" t="n"/>
      <c r="J140" s="42" t="n"/>
      <c r="K140" s="43" t="n"/>
      <c r="L140" s="10" t="n"/>
      <c r="M140" s="11" t="n"/>
    </row>
    <row r="141">
      <c r="A141" s="18" t="n"/>
      <c r="B141" s="14" t="n"/>
      <c r="C141" s="14" t="n"/>
      <c r="D141" s="33" t="inlineStr">
        <is>
          <t>Ocean marine</t>
        </is>
      </c>
      <c r="E141" s="38" t="n"/>
      <c r="F141" s="45" t="n"/>
      <c r="G141" s="46" t="n"/>
      <c r="H141" s="73" t="str">
        <f>IF(E141="No","If no, why not:","")</f>
        <v/>
      </c>
      <c r="I141" s="41" t="n"/>
      <c r="J141" s="42" t="n"/>
      <c r="K141" s="43" t="n"/>
      <c r="L141" s="10" t="n"/>
      <c r="M141" s="11" t="n"/>
    </row>
    <row r="142">
      <c r="A142" s="18" t="n"/>
      <c r="B142" s="14" t="n"/>
      <c r="C142" s="14" t="n"/>
      <c r="D142" s="33" t="inlineStr">
        <is>
          <t>Inland marine</t>
        </is>
      </c>
      <c r="E142" s="38" t="n"/>
      <c r="F142" s="45" t="n"/>
      <c r="G142" s="46" t="n"/>
      <c r="H142" s="73" t="str">
        <f>IF(E142="No","If no, why not:","")</f>
        <v/>
      </c>
      <c r="I142" s="41" t="n"/>
      <c r="J142" s="42" t="n"/>
      <c r="K142" s="43" t="n"/>
      <c r="L142" s="10" t="n"/>
      <c r="M142" s="11" t="n"/>
    </row>
    <row r="143">
      <c r="A143" s="18" t="n"/>
      <c r="B143" s="14" t="n"/>
      <c r="C143" s="14" t="n"/>
      <c r="D143" s="33" t="inlineStr">
        <is>
          <t>Flood</t>
        </is>
      </c>
      <c r="E143" s="38" t="n"/>
      <c r="F143" s="45" t="n"/>
      <c r="G143" s="46" t="n"/>
      <c r="H143" s="73" t="str">
        <f>IF(E143="No","If no, why not:","")</f>
        <v/>
      </c>
      <c r="I143" s="41" t="n"/>
      <c r="J143" s="42" t="n"/>
      <c r="K143" s="43" t="n"/>
      <c r="L143" s="10" t="n"/>
      <c r="M143" s="11" t="n"/>
    </row>
    <row r="144">
      <c r="A144" s="18" t="n"/>
      <c r="B144" s="14" t="n"/>
      <c r="C144" s="14" t="n"/>
      <c r="D144" s="33" t="inlineStr">
        <is>
          <t>Crop</t>
        </is>
      </c>
      <c r="E144" s="38" t="n"/>
      <c r="F144" s="45" t="n"/>
      <c r="G144" s="46" t="n"/>
      <c r="H144" s="73" t="str">
        <f>IF(E144="No","If no, why not:","")</f>
        <v/>
      </c>
      <c r="I144" s="41" t="n"/>
      <c r="J144" s="42" t="n"/>
      <c r="K144" s="43" t="n"/>
      <c r="L144" s="10" t="n"/>
      <c r="M144" s="11" t="n"/>
    </row>
    <row r="145">
      <c r="A145" s="18" t="n"/>
      <c r="B145" s="14" t="n"/>
      <c r="C145" s="14" t="n"/>
      <c r="D145" s="33" t="inlineStr">
        <is>
          <t>Other primary insurance</t>
        </is>
      </c>
      <c r="E145" s="38" t="n"/>
      <c r="F145" s="45" t="n"/>
      <c r="G145" s="46" t="n"/>
      <c r="H145" s="73" t="str">
        <f>IF(E145="No","If no, why not:","")</f>
        <v/>
      </c>
      <c r="I145" s="41" t="n"/>
      <c r="J145" s="42" t="n"/>
      <c r="K145" s="43" t="n"/>
      <c r="L145" s="10" t="n"/>
      <c r="M145" s="11" t="n"/>
    </row>
    <row r="146" ht="6.75" customHeight="1">
      <c r="A146" s="18" t="n"/>
      <c r="B146" s="14" t="n"/>
      <c r="C146" s="14" t="n"/>
      <c r="D146" s="14" t="n"/>
      <c r="E146" s="39" t="n"/>
      <c r="F146" s="39" t="n"/>
      <c r="G146" s="39" t="n"/>
      <c r="H146" s="73" t="n"/>
      <c r="I146" s="74" t="n"/>
      <c r="J146" s="74" t="n"/>
      <c r="K146" s="75" t="n"/>
      <c r="L146" s="10" t="n"/>
      <c r="M146" s="11" t="n"/>
    </row>
    <row r="147">
      <c r="A147" s="18" t="n"/>
      <c r="B147" s="14" t="n"/>
      <c r="C147" s="19" t="inlineStr">
        <is>
          <t>3. Assumed reinsurance information:</t>
        </is>
      </c>
      <c r="D147" s="14" t="n"/>
      <c r="E147" s="39" t="n"/>
      <c r="F147" s="39" t="n"/>
      <c r="G147" s="39" t="n"/>
      <c r="H147" s="73" t="n"/>
      <c r="I147" s="74" t="n"/>
      <c r="J147" s="74" t="n"/>
      <c r="K147" s="75" t="n"/>
      <c r="L147" s="10" t="n"/>
      <c r="M147" s="11" t="n"/>
    </row>
    <row r="148">
      <c r="A148" s="18" t="n"/>
      <c r="B148" s="14" t="n"/>
      <c r="C148" s="14" t="n"/>
      <c r="D148" s="33" t="inlineStr">
        <is>
          <t>Proportional - quota share</t>
        </is>
      </c>
      <c r="E148" s="38" t="n"/>
      <c r="F148" s="45" t="n"/>
      <c r="G148" s="46" t="n"/>
      <c r="H148" s="73" t="str">
        <f>IF(E148="No","If no, why not:","")</f>
        <v/>
      </c>
      <c r="I148" s="41" t="n"/>
      <c r="J148" s="42" t="n"/>
      <c r="K148" s="43" t="n"/>
      <c r="L148" s="10" t="n"/>
      <c r="M148" s="11" t="n"/>
    </row>
    <row r="149">
      <c r="A149" s="18" t="n"/>
      <c r="B149" s="14" t="n"/>
      <c r="C149" s="14" t="n"/>
      <c r="D149" s="33" t="inlineStr">
        <is>
          <t>Proportional - surplus share</t>
        </is>
      </c>
      <c r="E149" s="38" t="n"/>
      <c r="F149" s="45" t="n"/>
      <c r="G149" s="46" t="n"/>
      <c r="H149" s="73" t="str">
        <f>IF(E149="No","If no, why not:","")</f>
        <v/>
      </c>
      <c r="I149" s="41" t="n"/>
      <c r="J149" s="42" t="n"/>
      <c r="K149" s="43" t="n"/>
      <c r="L149" s="10" t="n"/>
      <c r="M149" s="11" t="n"/>
    </row>
    <row r="150">
      <c r="A150" s="18" t="n"/>
      <c r="B150" s="14" t="n"/>
      <c r="C150" s="14" t="n"/>
      <c r="D150" s="33" t="inlineStr">
        <is>
          <t>Non-proportional - catastrophe</t>
        </is>
      </c>
      <c r="E150" s="38" t="n"/>
      <c r="F150" s="45" t="n"/>
      <c r="G150" s="46" t="n"/>
      <c r="H150" s="73" t="str">
        <f>IF(E150="No","If no, why not:","")</f>
        <v/>
      </c>
      <c r="I150" s="41" t="n"/>
      <c r="J150" s="42" t="n"/>
      <c r="K150" s="43" t="n"/>
      <c r="L150" s="10" t="n"/>
      <c r="M150" s="11" t="n"/>
    </row>
    <row r="151">
      <c r="A151" s="18" t="n"/>
      <c r="B151" s="14" t="n"/>
      <c r="C151" s="14" t="n"/>
      <c r="D151" s="33" t="inlineStr">
        <is>
          <t>Non-proportional - per risk</t>
        </is>
      </c>
      <c r="E151" s="38" t="n"/>
      <c r="F151" s="45" t="n"/>
      <c r="G151" s="46" t="n"/>
      <c r="H151" s="73" t="str">
        <f>IF(E151="No","If no, why not:","")</f>
        <v/>
      </c>
      <c r="I151" s="41" t="n"/>
      <c r="J151" s="42" t="n"/>
      <c r="K151" s="43" t="n"/>
      <c r="L151" s="10" t="n"/>
      <c r="M151" s="11" t="n"/>
    </row>
    <row r="152">
      <c r="A152" s="18" t="n"/>
      <c r="B152" s="14" t="n"/>
      <c r="C152" s="14" t="n"/>
      <c r="D152" s="33" t="inlineStr">
        <is>
          <t>Other reinsurance assumed</t>
        </is>
      </c>
      <c r="E152" s="38" t="n"/>
      <c r="F152" s="45" t="n"/>
      <c r="G152" s="46" t="n"/>
      <c r="H152" s="73" t="str">
        <f>IF(E152="No","If no, why not:","")</f>
        <v/>
      </c>
      <c r="I152" s="41" t="n"/>
      <c r="J152" s="42" t="n"/>
      <c r="K152" s="43" t="n"/>
      <c r="L152" s="10" t="n"/>
      <c r="M152" s="11" t="n"/>
    </row>
    <row r="153" ht="6.75" customHeight="1">
      <c r="A153" s="18" t="n"/>
      <c r="B153" s="14" t="n"/>
      <c r="C153" s="14" t="n"/>
      <c r="D153" s="33" t="n"/>
      <c r="E153" s="39" t="n"/>
      <c r="F153" s="39" t="n"/>
      <c r="G153" s="39" t="n"/>
      <c r="H153" s="73" t="n"/>
      <c r="I153" s="50" t="n"/>
      <c r="J153" s="50" t="n"/>
      <c r="K153" s="41" t="n"/>
      <c r="L153" s="10" t="n"/>
      <c r="M153" s="11" t="n"/>
    </row>
    <row r="154">
      <c r="A154" s="18" t="n"/>
      <c r="B154" s="14" t="n"/>
      <c r="C154" s="19" t="inlineStr">
        <is>
          <t>4. Pools and assessments information:</t>
        </is>
      </c>
      <c r="D154" s="33" t="n"/>
      <c r="E154" s="39" t="n"/>
      <c r="F154" s="39" t="n"/>
      <c r="G154" s="39" t="n"/>
      <c r="H154" s="73" t="n"/>
      <c r="I154" s="74" t="n"/>
      <c r="J154" s="74" t="n"/>
      <c r="K154" s="75" t="n"/>
      <c r="L154" s="10" t="n"/>
      <c r="M154" s="11" t="n"/>
    </row>
    <row r="155">
      <c r="A155" s="18" t="n"/>
      <c r="B155" s="14" t="n"/>
      <c r="C155" s="51" t="n"/>
      <c r="D155" s="33" t="inlineStr">
        <is>
          <t>Voluntary pools and/or assessments</t>
        </is>
      </c>
      <c r="E155" s="38" t="n"/>
      <c r="F155" s="45" t="n"/>
      <c r="G155" s="46" t="n"/>
      <c r="H155" s="73" t="str">
        <f>IF(E155="No","If no, why not:","")</f>
        <v/>
      </c>
      <c r="I155" s="41" t="n"/>
      <c r="J155" s="42" t="n"/>
      <c r="K155" s="43" t="n"/>
      <c r="L155" s="10" t="n"/>
      <c r="M155" s="11" t="n"/>
    </row>
    <row r="156">
      <c r="A156" s="18" t="n"/>
      <c r="B156" s="14" t="n"/>
      <c r="C156" s="51" t="n"/>
      <c r="D156" s="33" t="inlineStr">
        <is>
          <t>Involuntary pools and/or assessments</t>
        </is>
      </c>
      <c r="E156" s="38" t="n"/>
      <c r="F156" s="45" t="n"/>
      <c r="G156" s="46" t="n"/>
      <c r="H156" s="73" t="str">
        <f>IF(E156="No","If no, why not:","")</f>
        <v/>
      </c>
      <c r="I156" s="41" t="n"/>
      <c r="J156" s="42" t="n"/>
      <c r="K156" s="43" t="n"/>
      <c r="L156" s="10" t="n"/>
      <c r="M156" s="11" t="n"/>
    </row>
    <row r="157" ht="6.75" customHeight="1">
      <c r="A157" s="18" t="n"/>
      <c r="B157" s="14" t="n"/>
      <c r="C157" s="14" t="n"/>
      <c r="D157" s="33" t="n"/>
      <c r="E157" s="39" t="n"/>
      <c r="F157" s="39" t="n"/>
      <c r="G157" s="39" t="n"/>
      <c r="H157" s="73" t="n"/>
      <c r="I157" s="74" t="n"/>
      <c r="J157" s="74" t="n"/>
      <c r="K157" s="75" t="n"/>
      <c r="L157" s="10" t="n"/>
      <c r="M157" s="11" t="n"/>
    </row>
    <row r="158">
      <c r="A158" s="18" t="n"/>
      <c r="B158" s="14" t="n"/>
      <c r="C158" s="19" t="inlineStr">
        <is>
          <t>5. Supplemental perils and model options:</t>
        </is>
      </c>
      <c r="D158" s="33" t="n"/>
      <c r="E158" s="39" t="n"/>
      <c r="F158" s="39" t="n"/>
      <c r="G158" s="39" t="n"/>
      <c r="H158" s="73" t="n"/>
      <c r="I158" s="74" t="n"/>
      <c r="J158" s="74" t="n"/>
      <c r="K158" s="75" t="n"/>
      <c r="L158" s="10" t="n"/>
      <c r="M158" s="11" t="n"/>
    </row>
    <row r="159">
      <c r="A159" s="18" t="n"/>
      <c r="B159" s="14" t="n"/>
      <c r="C159" s="14" t="n"/>
      <c r="D159" s="33" t="inlineStr">
        <is>
          <t>Fire following</t>
        </is>
      </c>
      <c r="E159" s="38" t="n"/>
      <c r="F159" s="45" t="n"/>
      <c r="G159" s="46" t="n"/>
      <c r="H159" s="73" t="str">
        <f>IF(E159="No","If no, why not:","")</f>
        <v/>
      </c>
      <c r="I159" s="41" t="n"/>
      <c r="J159" s="42" t="n"/>
      <c r="K159" s="43" t="n"/>
      <c r="L159" s="10" t="n"/>
      <c r="M159" s="11" t="n"/>
    </row>
    <row r="160">
      <c r="A160" s="18" t="n"/>
      <c r="B160" s="14" t="n"/>
      <c r="C160" s="14" t="n"/>
      <c r="D160" s="33" t="inlineStr">
        <is>
          <t>Sprinkler leakage</t>
        </is>
      </c>
      <c r="E160" s="38" t="n"/>
      <c r="F160" s="45" t="n"/>
      <c r="G160" s="46" t="n"/>
      <c r="H160" s="73" t="str">
        <f>IF(E160="No","If no, why not:","")</f>
        <v/>
      </c>
      <c r="I160" s="41" t="n"/>
      <c r="J160" s="42" t="n"/>
      <c r="K160" s="43" t="n"/>
      <c r="L160" s="10" t="n"/>
      <c r="M160" s="11" t="n"/>
    </row>
    <row r="161">
      <c r="A161" s="18" t="n"/>
      <c r="B161" s="14" t="n"/>
      <c r="C161" s="14" t="n"/>
      <c r="D161" s="33" t="inlineStr">
        <is>
          <t>Storm surge</t>
        </is>
      </c>
      <c r="E161" s="38" t="n"/>
      <c r="F161" s="45" t="n"/>
      <c r="G161" s="46" t="n"/>
      <c r="H161" s="73" t="str">
        <f>IF(E161="No","If no, why not:","")</f>
        <v/>
      </c>
      <c r="I161" s="41" t="n"/>
      <c r="J161" s="42" t="n"/>
      <c r="K161" s="43" t="n"/>
      <c r="L161" s="10" t="n"/>
      <c r="M161" s="11" t="n"/>
    </row>
    <row r="162">
      <c r="A162" s="18" t="n"/>
      <c r="B162" s="14" t="n"/>
      <c r="C162" s="14" t="n"/>
      <c r="D162" s="33" t="inlineStr">
        <is>
          <t>Demand surge</t>
        </is>
      </c>
      <c r="E162" s="38" t="n"/>
      <c r="F162" s="45" t="n"/>
      <c r="G162" s="46" t="n"/>
      <c r="H162" s="73" t="str">
        <f>IF(E162="No","If no, why not:","")</f>
        <v/>
      </c>
      <c r="I162" s="41" t="n"/>
      <c r="J162" s="42" t="n"/>
      <c r="K162" s="43" t="n"/>
      <c r="L162" s="10" t="n"/>
      <c r="M162" s="11" t="n"/>
    </row>
    <row r="163">
      <c r="A163" s="18" t="n"/>
      <c r="B163" s="14" t="n"/>
      <c r="C163" s="14" t="n"/>
      <c r="D163" s="33" t="inlineStr">
        <is>
          <t>Secondary uncertainty</t>
        </is>
      </c>
      <c r="E163" s="38" t="n"/>
      <c r="F163" s="45" t="n"/>
      <c r="G163" s="46" t="n"/>
      <c r="H163" s="73" t="str">
        <f>IF(E163="No","If no, why not:","")</f>
        <v/>
      </c>
      <c r="I163" s="41" t="n"/>
      <c r="J163" s="42" t="n"/>
      <c r="K163" s="43" t="n"/>
      <c r="L163" s="10" t="n"/>
      <c r="M163" s="11" t="n"/>
    </row>
    <row r="164">
      <c r="A164" s="18" t="n"/>
      <c r="B164" s="14" t="n"/>
      <c r="C164" s="14" t="n"/>
      <c r="D164" s="33" t="inlineStr">
        <is>
          <t>Atlantic multi-decadal oscillation selection</t>
        </is>
      </c>
      <c r="E164" s="38" t="n"/>
      <c r="F164" s="39" t="n"/>
      <c r="G164" s="39" t="n"/>
      <c r="H164" s="73" t="str">
        <f>IF(E164="Long-term frequency","If long-term frequency, why:","")</f>
        <v/>
      </c>
      <c r="I164" s="41" t="n"/>
      <c r="J164" s="42" t="n"/>
      <c r="K164" s="43" t="n"/>
      <c r="L164" s="10" t="n"/>
      <c r="M164" s="11" t="n"/>
    </row>
    <row r="165" ht="6.75" customHeight="1">
      <c r="A165" s="18" t="n"/>
      <c r="B165" s="14" t="n"/>
      <c r="C165" s="14" t="n"/>
      <c r="D165" s="33" t="n"/>
      <c r="E165" s="39" t="n"/>
      <c r="F165" s="39" t="n"/>
      <c r="G165" s="39" t="n"/>
      <c r="H165" s="73" t="n"/>
      <c r="I165" s="74" t="n"/>
      <c r="J165" s="74" t="n"/>
      <c r="K165" s="75" t="n"/>
      <c r="L165" s="10" t="n"/>
      <c r="M165" s="11" t="n"/>
    </row>
    <row r="166">
      <c r="A166" s="18" t="n"/>
      <c r="B166" s="14" t="n"/>
      <c r="C166" s="19" t="inlineStr">
        <is>
          <t>6. Other adjustments information:</t>
        </is>
      </c>
      <c r="D166" s="33" t="n"/>
      <c r="E166" s="39" t="n"/>
      <c r="F166" s="39" t="n"/>
      <c r="G166" s="39" t="n"/>
      <c r="H166" s="73" t="n"/>
      <c r="I166" s="74" t="n"/>
      <c r="J166" s="74" t="n"/>
      <c r="K166" s="75" t="n"/>
      <c r="L166" s="10" t="n"/>
      <c r="M166" s="11" t="n"/>
    </row>
    <row r="167">
      <c r="A167" s="18" t="n"/>
      <c r="B167" s="14" t="n"/>
      <c r="C167" s="14" t="n"/>
      <c r="D167" s="33" t="inlineStr">
        <is>
          <t>Adjustments for exposure data quality</t>
        </is>
      </c>
      <c r="E167" s="38" t="n"/>
      <c r="F167" s="39" t="n"/>
      <c r="G167" s="39" t="n"/>
      <c r="H167" s="73" t="str">
        <f>IF(E167="No","If no, why not:","")</f>
        <v/>
      </c>
      <c r="I167" s="41" t="n"/>
      <c r="J167" s="42" t="n"/>
      <c r="K167" s="43" t="n"/>
      <c r="L167" s="10" t="n"/>
      <c r="M167" s="11" t="n"/>
    </row>
    <row r="168">
      <c r="A168" s="18" t="n"/>
      <c r="B168" s="14" t="n"/>
      <c r="C168" s="14" t="n"/>
      <c r="D168" s="33" t="inlineStr">
        <is>
          <t>Adjustments for insurance to value</t>
        </is>
      </c>
      <c r="E168" s="38" t="n"/>
      <c r="F168" s="39" t="n"/>
      <c r="G168" s="39" t="n"/>
      <c r="H168" s="73" t="str">
        <f>IF(E168="No","If no, why not:","")</f>
        <v/>
      </c>
      <c r="I168" s="41" t="n"/>
      <c r="J168" s="42" t="n"/>
      <c r="K168" s="43" t="n"/>
      <c r="L168" s="10" t="n"/>
      <c r="M168" s="11" t="n"/>
    </row>
    <row r="169">
      <c r="A169" s="18" t="n"/>
      <c r="B169" s="14" t="n"/>
      <c r="C169" s="14" t="n"/>
      <c r="D169" s="33" t="inlineStr">
        <is>
          <t>Adjustments for exposure growth</t>
        </is>
      </c>
      <c r="E169" s="44" t="n"/>
      <c r="F169" s="39" t="n"/>
      <c r="G169" s="39" t="n"/>
      <c r="H169" s="73" t="str">
        <f>IF(E169="No","If no, why not:","")</f>
        <v/>
      </c>
      <c r="I169" s="41" t="n"/>
      <c r="J169" s="42" t="n"/>
      <c r="K169" s="43" t="n"/>
      <c r="L169" s="10" t="n"/>
      <c r="M169" s="11" t="n"/>
    </row>
    <row r="170">
      <c r="A170" s="18" t="n"/>
      <c r="B170" s="14" t="n"/>
      <c r="C170" s="14" t="n"/>
      <c r="D170" s="33" t="inlineStr">
        <is>
          <t>Supplemental losses for non-modelled line of business</t>
        </is>
      </c>
      <c r="E170" s="44" t="n"/>
      <c r="F170" s="39" t="n"/>
      <c r="G170" s="39" t="n"/>
      <c r="H170" s="73" t="str">
        <f>IF(E170="No","If no, why not:","")</f>
        <v/>
      </c>
      <c r="I170" s="41" t="n"/>
      <c r="J170" s="42" t="n"/>
      <c r="K170" s="43" t="n"/>
      <c r="L170" s="10" t="n"/>
      <c r="M170" s="11" t="n"/>
    </row>
    <row r="171">
      <c r="A171" s="18" t="n"/>
      <c r="B171" s="14" t="n"/>
      <c r="C171" s="14" t="n"/>
      <c r="D171" s="33" t="inlineStr">
        <is>
          <t>Adjustments for model deficiencies – severity</t>
        </is>
      </c>
      <c r="E171" s="38" t="n"/>
      <c r="F171" s="46" t="n"/>
      <c r="G171" s="39" t="n"/>
      <c r="H171" s="73" t="str">
        <f>IF(E171="No","If no, why not:","")</f>
        <v/>
      </c>
      <c r="I171" s="41" t="n"/>
      <c r="J171" s="42" t="n"/>
      <c r="K171" s="43" t="n"/>
      <c r="L171" s="10" t="n"/>
      <c r="M171" s="11" t="n"/>
    </row>
    <row r="172">
      <c r="A172" s="18" t="n"/>
      <c r="B172" s="14" t="n"/>
      <c r="C172" s="14" t="n"/>
      <c r="D172" s="33" t="inlineStr">
        <is>
          <t>Adjustments for model deficiencies - frequency</t>
        </is>
      </c>
      <c r="E172" s="38" t="n"/>
      <c r="F172" s="46" t="n"/>
      <c r="G172" s="39" t="n"/>
      <c r="H172" s="73" t="str">
        <f>IF(E172="No","If no, why not:","")</f>
        <v/>
      </c>
      <c r="I172" s="41" t="n"/>
      <c r="J172" s="42" t="n"/>
      <c r="K172" s="43" t="n"/>
      <c r="L172" s="10" t="n"/>
      <c r="M172" s="11" t="n"/>
    </row>
    <row r="173">
      <c r="A173" s="18" t="n"/>
      <c r="B173" s="14" t="n"/>
      <c r="C173" s="14" t="n"/>
      <c r="D173" s="33" t="inlineStr">
        <is>
          <t>Additional demand surge loadings</t>
        </is>
      </c>
      <c r="E173" s="38" t="n"/>
      <c r="F173" s="39" t="n"/>
      <c r="G173" s="39" t="n"/>
      <c r="H173" s="73" t="str">
        <f>IF(E173="No","If no, why not:","")</f>
        <v/>
      </c>
      <c r="I173" s="41" t="n"/>
      <c r="J173" s="42" t="n"/>
      <c r="K173" s="43" t="n"/>
      <c r="L173" s="10" t="n"/>
      <c r="M173" s="11" t="n"/>
    </row>
    <row r="174">
      <c r="A174" s="18" t="n"/>
      <c r="B174" s="14" t="n"/>
      <c r="C174" s="14" t="n"/>
      <c r="D174" s="33" t="inlineStr">
        <is>
          <t>Other factors for prudence</t>
        </is>
      </c>
      <c r="E174" s="38" t="n"/>
      <c r="F174" s="39" t="n"/>
      <c r="G174" s="39" t="n"/>
      <c r="H174" s="73" t="str">
        <f>IF(E174="No","If no, why not:","")</f>
        <v/>
      </c>
      <c r="I174" s="41" t="n"/>
      <c r="J174" s="42" t="n"/>
      <c r="K174" s="43" t="n"/>
      <c r="L174" s="10" t="n"/>
      <c r="M174" s="11" t="n"/>
    </row>
    <row r="175" ht="6.75" customHeight="1">
      <c r="A175" s="18" t="n"/>
      <c r="B175" s="14" t="n"/>
      <c r="C175" s="14" t="n"/>
      <c r="D175" s="14" t="n"/>
      <c r="E175" s="73" t="n"/>
      <c r="F175" s="73" t="n"/>
      <c r="G175" s="76" t="n"/>
      <c r="H175" s="76" t="n"/>
      <c r="I175" s="48" t="n"/>
      <c r="J175" s="48" t="n"/>
      <c r="K175" s="49" t="n"/>
      <c r="L175" s="10" t="n"/>
      <c r="M175" s="11" t="n"/>
    </row>
    <row r="176">
      <c r="A176" s="18" t="n"/>
      <c r="B176" s="14" t="n"/>
      <c r="C176" s="14" t="n"/>
      <c r="D176" s="14" t="n"/>
      <c r="E176" s="73" t="n"/>
      <c r="F176" s="33" t="inlineStr">
        <is>
          <t>Average loading factor applied to ground up loss for all adjustments applied</t>
        </is>
      </c>
      <c r="G176" s="77" t="n"/>
      <c r="H176" s="76" t="n"/>
      <c r="I176" s="48" t="n"/>
      <c r="J176" s="48" t="n"/>
      <c r="K176" s="49" t="n"/>
      <c r="L176" s="10" t="n"/>
      <c r="M176" s="11" t="n"/>
    </row>
    <row r="177">
      <c r="A177" s="18" t="n"/>
      <c r="B177" s="14" t="n"/>
      <c r="C177" s="14" t="n"/>
      <c r="D177" s="14" t="n"/>
      <c r="E177" s="73" t="n"/>
      <c r="F177" s="33" t="inlineStr">
        <is>
          <t>Is this average loading factor determined analytically or estimated?</t>
        </is>
      </c>
      <c r="G177" s="78" t="n"/>
      <c r="H177" s="76" t="n"/>
      <c r="I177" s="48" t="n"/>
      <c r="J177" s="48" t="n"/>
      <c r="K177" s="49" t="n"/>
      <c r="L177" s="10" t="n"/>
      <c r="M177" s="11" t="n"/>
    </row>
    <row r="178" ht="6.75" customHeight="1">
      <c r="A178" s="18" t="n"/>
      <c r="B178" s="14" t="n"/>
      <c r="C178" s="14" t="n"/>
      <c r="D178" s="14" t="n"/>
      <c r="E178" s="73" t="n"/>
      <c r="F178" s="79" t="n"/>
      <c r="G178" s="76" t="n"/>
      <c r="H178" s="76" t="n"/>
      <c r="I178" s="48" t="n"/>
      <c r="J178" s="48" t="n"/>
      <c r="K178" s="49" t="n"/>
      <c r="L178" s="10" t="n"/>
      <c r="M178" s="11" t="n"/>
    </row>
    <row r="179">
      <c r="A179" s="18" t="n"/>
      <c r="B179" s="14" t="n"/>
      <c r="C179" s="14" t="n"/>
      <c r="D179" s="14" t="n"/>
      <c r="E179" s="73" t="n"/>
      <c r="F179" s="33" t="inlineStr">
        <is>
          <t>Which cat model do you include in this modelling?</t>
        </is>
      </c>
      <c r="G179" s="80" t="n"/>
      <c r="H179" s="76" t="n"/>
      <c r="I179" s="48" t="n"/>
      <c r="J179" s="48" t="n"/>
      <c r="K179" s="49" t="n"/>
      <c r="L179" s="10" t="n"/>
      <c r="M179" s="11" t="n"/>
    </row>
    <row r="180">
      <c r="A180" s="18" t="n"/>
      <c r="B180" s="14" t="n"/>
      <c r="C180" s="14" t="n"/>
      <c r="D180" s="14" t="n"/>
      <c r="E180" s="73" t="n"/>
      <c r="F180" s="33" t="inlineStr">
        <is>
          <t>Which version of the model or version of the region-peril models are used for each cat model as appropriate?</t>
        </is>
      </c>
      <c r="G180" s="81" t="n"/>
      <c r="H180" s="56" t="n"/>
      <c r="I180" s="14" t="n"/>
      <c r="J180" s="14" t="n"/>
      <c r="K180" s="15" t="n"/>
      <c r="L180" s="10" t="n"/>
      <c r="M180" s="11" t="n"/>
    </row>
    <row r="181">
      <c r="A181" s="18" t="n"/>
      <c r="B181" s="14" t="n"/>
      <c r="C181" s="14" t="n"/>
      <c r="D181" s="14" t="n"/>
      <c r="E181" s="73" t="n"/>
      <c r="F181" s="73" t="n"/>
      <c r="G181" s="57" t="n"/>
      <c r="H181" s="58" t="n"/>
      <c r="I181" s="14" t="n"/>
      <c r="J181" s="14" t="n"/>
      <c r="K181" s="15" t="n"/>
      <c r="L181" s="10" t="n"/>
      <c r="M181" s="11" t="n"/>
    </row>
    <row r="182" ht="6.75" customHeight="1">
      <c r="A182" s="59" t="n"/>
      <c r="B182" s="60" t="n"/>
      <c r="C182" s="60" t="n"/>
      <c r="D182" s="60" t="n"/>
      <c r="E182" s="60" t="n"/>
      <c r="F182" s="60" t="n"/>
      <c r="G182" s="82" t="n"/>
      <c r="H182" s="82" t="n"/>
      <c r="I182" s="60" t="n"/>
      <c r="J182" s="60" t="n"/>
      <c r="K182" s="62" t="n"/>
      <c r="L182" s="10" t="n"/>
      <c r="M182" s="11" t="n"/>
    </row>
    <row r="183"/>
    <row r="184"/>
    <row r="185"/>
    <row r="186"/>
    <row r="187"/>
    <row r="188" ht="75" customHeight="1">
      <c r="A188" s="83" t="n"/>
      <c r="B188" s="84" t="inlineStr">
        <is>
          <t>CATASTROPHE RISK RETURN: EXCEEDANCE PROBABILITY  (EP) CURVE  FOR REGIONS-PERILS (TABLE 15B)</t>
        </is>
      </c>
      <c r="C188" s="85" t="n"/>
      <c r="D188" s="85" t="n"/>
      <c r="E188" s="85" t="n"/>
      <c r="F188" s="85" t="n"/>
      <c r="G188" s="8" t="inlineStr">
        <is>
          <t>Back to instructions</t>
        </is>
      </c>
      <c r="H188" s="86" t="n"/>
      <c r="I188" s="87" t="n"/>
      <c r="J188" s="11" t="n"/>
      <c r="K188" s="11" t="n"/>
      <c r="L188" s="11" t="n"/>
      <c r="M188" s="11" t="n"/>
    </row>
    <row r="189" ht="13.5" customHeight="1">
      <c r="A189" s="88" t="n"/>
      <c r="B189" s="89" t="inlineStr">
        <is>
          <t>HIC</t>
        </is>
      </c>
      <c r="C189" s="90" t="n"/>
      <c r="D189" s="90" t="n"/>
      <c r="E189" s="90" t="n"/>
      <c r="F189" s="90" t="n"/>
      <c r="G189" s="90" t="n"/>
      <c r="H189" s="91" t="n"/>
      <c r="I189" s="92" t="n"/>
      <c r="J189" s="92" t="n"/>
      <c r="K189" s="92" t="n"/>
      <c r="L189" s="92" t="n"/>
      <c r="M189" s="92" t="n"/>
    </row>
    <row r="190" ht="13.5" customHeight="1">
      <c r="A190" s="88" t="n"/>
      <c r="B190" s="93">
        <f>DATE(2026,1,1)</f>
        <v>46023.0</v>
      </c>
      <c r="D190" s="90" t="n"/>
      <c r="E190" s="90" t="n"/>
      <c r="F190" s="90" t="n"/>
      <c r="G190" s="94" t="inlineStr">
        <is>
          <t>SCHEDULE X(c)</t>
        </is>
      </c>
      <c r="H190" s="91" t="n"/>
      <c r="I190" s="92" t="n"/>
      <c r="J190" s="92" t="n"/>
      <c r="K190" s="92" t="n"/>
      <c r="L190" s="92" t="n"/>
      <c r="M190" s="92" t="n"/>
    </row>
    <row r="191" ht="6.75" customHeight="1">
      <c r="A191" s="95" t="n"/>
      <c r="B191" s="90" t="n"/>
      <c r="C191" s="90" t="n"/>
      <c r="D191" s="90" t="n"/>
      <c r="E191" s="90" t="n"/>
      <c r="F191" s="90" t="n"/>
      <c r="G191" s="90" t="n"/>
      <c r="H191" s="90" t="n"/>
      <c r="I191" s="92" t="n"/>
      <c r="J191" s="92" t="n"/>
      <c r="K191" s="92" t="n"/>
      <c r="L191" s="92" t="n"/>
      <c r="M191" s="92" t="n"/>
    </row>
    <row r="192" ht="16.7" customHeight="1">
      <c r="A192" s="96" t="n"/>
      <c r="B192" s="90" t="n"/>
      <c r="C192" s="97" t="inlineStr">
        <is>
          <t>Provide Exceedance Probability information on the following perils in the templates provided below.</t>
        </is>
      </c>
      <c r="H192" s="98" t="n"/>
      <c r="I192" s="92" t="n"/>
      <c r="J192" s="92" t="n"/>
      <c r="K192" s="92" t="n"/>
      <c r="L192" s="92" t="n"/>
      <c r="M192" s="92" t="n"/>
    </row>
    <row r="193" ht="6.75" customHeight="1">
      <c r="A193" s="95" t="n"/>
      <c r="B193" s="90" t="n"/>
      <c r="C193" s="90" t="n"/>
      <c r="D193" s="90" t="n"/>
      <c r="E193" s="90" t="n"/>
      <c r="F193" s="90" t="n"/>
      <c r="G193" s="90" t="n"/>
      <c r="H193" s="90" t="n"/>
      <c r="I193" s="92" t="n"/>
      <c r="J193" s="92" t="n"/>
      <c r="K193" s="92" t="n"/>
      <c r="L193" s="92" t="n"/>
      <c r="M193" s="92" t="n"/>
    </row>
    <row r="194" ht="16.5" customHeight="1">
      <c r="A194" s="95" t="n"/>
      <c r="B194" s="94" t="inlineStr">
        <is>
          <t>a)</t>
        </is>
      </c>
      <c r="C194" s="99" t="inlineStr">
        <is>
          <t>EP CURVE ATLANTIC BASIN HURRICANE</t>
        </is>
      </c>
      <c r="D194" s="90" t="n"/>
      <c r="E194" s="90" t="n"/>
      <c r="F194" s="90" t="n"/>
      <c r="G194" s="90" t="n"/>
      <c r="H194" s="90" t="n"/>
      <c r="I194" s="100" t="n"/>
      <c r="J194" s="92" t="n"/>
      <c r="K194" s="92" t="n"/>
      <c r="L194" s="92" t="n"/>
      <c r="M194" s="92" t="n"/>
    </row>
    <row r="195" ht="6.75" customHeight="1">
      <c r="A195" s="95" t="n"/>
      <c r="B195" s="94" t="n"/>
      <c r="C195" s="99" t="n"/>
      <c r="D195" s="90" t="n"/>
      <c r="E195" s="90" t="n"/>
      <c r="F195" s="90" t="n"/>
      <c r="G195" s="90" t="n"/>
      <c r="H195" s="90" t="n"/>
      <c r="I195" s="92" t="n"/>
      <c r="J195" s="92" t="n"/>
      <c r="K195" s="92" t="n"/>
      <c r="L195" s="92" t="n"/>
      <c r="M195" s="92" t="n"/>
    </row>
    <row r="196" ht="16.5" customHeight="1">
      <c r="A196" s="95" t="n"/>
      <c r="B196" s="101" t="n"/>
      <c r="C196" s="90" t="inlineStr">
        <is>
          <t>Which model(s) is used for  EP Curve Atlantic basin hurricane</t>
        </is>
      </c>
      <c r="D196" s="90" t="n"/>
      <c r="E196" s="90" t="n"/>
      <c r="F196" s="102" t="n"/>
      <c r="G196" s="90" t="n"/>
      <c r="H196" s="90" t="n"/>
      <c r="I196" s="92" t="n"/>
      <c r="J196" s="103" t="n"/>
      <c r="K196" s="92" t="n"/>
      <c r="L196" s="92" t="n"/>
      <c r="M196" s="92" t="n"/>
    </row>
    <row r="197" ht="16.5" customHeight="1">
      <c r="A197" s="95" t="n"/>
      <c r="B197" s="101" t="n"/>
      <c r="C197" s="90" t="inlineStr">
        <is>
          <t>Indicate the model version</t>
        </is>
      </c>
      <c r="D197" s="90" t="n"/>
      <c r="E197" s="90" t="n"/>
      <c r="F197" s="104" t="n"/>
      <c r="G197" s="90" t="n"/>
      <c r="H197" s="90" t="n"/>
      <c r="I197" s="92" t="n"/>
      <c r="J197" s="103" t="n"/>
      <c r="K197" s="92" t="n"/>
      <c r="L197" s="92" t="n"/>
      <c r="M197" s="92" t="n"/>
    </row>
    <row r="198" ht="6.75" customHeight="1">
      <c r="A198" s="95" t="n"/>
      <c r="B198" s="101" t="n"/>
      <c r="C198" s="90" t="n"/>
      <c r="D198" s="90" t="n"/>
      <c r="E198" s="90" t="n"/>
      <c r="F198" s="90" t="n"/>
      <c r="G198" s="90" t="n"/>
      <c r="H198" s="90" t="n"/>
      <c r="I198" s="92" t="n"/>
      <c r="J198" s="92" t="n"/>
      <c r="K198" s="105" t="n"/>
      <c r="L198" s="105" t="n"/>
      <c r="M198" s="105" t="n"/>
    </row>
    <row r="199" ht="17.25" customHeight="1">
      <c r="A199" s="106" t="n"/>
      <c r="B199" s="101" t="n"/>
      <c r="C199" s="107" t="inlineStr">
        <is>
          <t>Exceedance probability information:</t>
        </is>
      </c>
      <c r="D199" s="107" t="n"/>
      <c r="E199" s="90" t="n"/>
      <c r="F199" s="90" t="n"/>
      <c r="G199" s="90" t="n"/>
      <c r="H199" s="90" t="n"/>
      <c r="I199" s="92" t="n"/>
      <c r="J199" s="92" t="n"/>
      <c r="K199" s="92" t="n"/>
      <c r="L199" s="92" t="n"/>
      <c r="M199" s="92" t="n"/>
    </row>
    <row r="200" ht="16.5" customHeight="1">
      <c r="A200" s="95" t="n"/>
      <c r="B200" s="101" t="n"/>
      <c r="C200" s="108" t="n"/>
      <c r="D200" s="109" t="inlineStr">
        <is>
          <t xml:space="preserve"> Gross loss</t>
        </is>
      </c>
      <c r="E200" s="110" t="n"/>
      <c r="F200" s="111" t="inlineStr">
        <is>
          <t xml:space="preserve"> Net loss</t>
        </is>
      </c>
      <c r="G200" s="112" t="n"/>
      <c r="H200" s="90" t="n"/>
      <c r="I200" s="92" t="n"/>
      <c r="J200" s="92" t="n"/>
      <c r="K200" s="92" t="n"/>
      <c r="L200" s="92" t="n"/>
      <c r="M200" s="92" t="n"/>
    </row>
    <row r="201" ht="33" customHeight="1">
      <c r="A201" s="95" t="n"/>
      <c r="B201" s="101" t="n"/>
      <c r="C201" s="113" t="inlineStr">
        <is>
          <t>Loss Return period (years)</t>
        </is>
      </c>
      <c r="D201" s="114" t="inlineStr">
        <is>
          <t>Gross per occurrence loss TVaR</t>
        </is>
      </c>
      <c r="E201" s="115" t="inlineStr">
        <is>
          <t xml:space="preserve">Gross aggregate 
TVaR </t>
        </is>
      </c>
      <c r="F201" s="115" t="inlineStr">
        <is>
          <t>Net per occurrence loss TVaR</t>
        </is>
      </c>
      <c r="G201" s="116" t="inlineStr">
        <is>
          <t>Net aggregate
TVaR</t>
        </is>
      </c>
      <c r="H201" s="90" t="n"/>
      <c r="I201" s="92" t="n"/>
      <c r="J201" s="92" t="n"/>
      <c r="K201" s="92" t="n"/>
      <c r="L201" s="92" t="n"/>
      <c r="M201" s="92" t="n"/>
    </row>
    <row r="202" ht="16.5" customHeight="1">
      <c r="A202" s="95" t="n"/>
      <c r="B202" s="101" t="n"/>
      <c r="C202" s="117" t="n"/>
      <c r="D202" s="118" t="inlineStr">
        <is>
          <t xml:space="preserve"> ($M)</t>
        </is>
      </c>
      <c r="E202" s="118" t="inlineStr">
        <is>
          <t>($M)</t>
        </is>
      </c>
      <c r="F202" s="118" t="inlineStr">
        <is>
          <t>($M)</t>
        </is>
      </c>
      <c r="G202" s="119" t="inlineStr">
        <is>
          <t xml:space="preserve"> ($M)</t>
        </is>
      </c>
      <c r="H202" s="90" t="n"/>
      <c r="I202" s="92" t="n"/>
      <c r="J202" s="92" t="n"/>
      <c r="K202" s="92" t="n"/>
      <c r="L202" s="92" t="n"/>
      <c r="M202" s="92" t="n"/>
    </row>
    <row r="203" ht="16.5" customHeight="1">
      <c r="A203" s="95" t="n"/>
      <c r="B203" s="101" t="n"/>
      <c r="C203" s="120" t="n">
        <v>50</v>
      </c>
      <c r="D203" s="121" t="n"/>
      <c r="E203" s="121" t="n"/>
      <c r="F203" s="121" t="n"/>
      <c r="G203" s="121" t="n"/>
      <c r="H203" s="90" t="n"/>
      <c r="I203" s="92" t="n"/>
      <c r="J203" s="92" t="n"/>
      <c r="K203" s="92" t="n"/>
      <c r="L203" s="92" t="n"/>
      <c r="M203" s="92" t="n"/>
    </row>
    <row r="204" ht="16.5" customHeight="1">
      <c r="A204" s="95" t="n"/>
      <c r="B204" s="101" t="n"/>
      <c r="C204" s="120" t="n">
        <v>100</v>
      </c>
      <c r="D204" s="121" t="n"/>
      <c r="E204" s="121" t="n"/>
      <c r="F204" s="121" t="n"/>
      <c r="G204" s="121" t="n"/>
      <c r="H204" s="90" t="n"/>
      <c r="I204" s="92" t="n"/>
      <c r="J204" s="92" t="n"/>
      <c r="K204" s="92" t="n"/>
      <c r="L204" s="92" t="n"/>
      <c r="M204" s="92" t="n"/>
    </row>
    <row r="205" ht="16.5" customHeight="1">
      <c r="A205" s="95" t="n"/>
      <c r="B205" s="101" t="n"/>
      <c r="C205" s="120" t="n">
        <v>250</v>
      </c>
      <c r="D205" s="121" t="n"/>
      <c r="E205" s="121" t="n"/>
      <c r="F205" s="121" t="n"/>
      <c r="G205" s="121" t="n"/>
      <c r="H205" s="90" t="n"/>
      <c r="I205" s="92" t="n"/>
      <c r="J205" s="92" t="n"/>
      <c r="K205" s="92" t="n"/>
      <c r="L205" s="92" t="n"/>
      <c r="M205" s="92" t="n"/>
    </row>
    <row r="206" ht="16.5" customHeight="1">
      <c r="A206" s="95" t="n"/>
      <c r="B206" s="101" t="n"/>
      <c r="C206" s="120" t="n">
        <v>500</v>
      </c>
      <c r="D206" s="121" t="n"/>
      <c r="E206" s="121" t="n"/>
      <c r="F206" s="121" t="n"/>
      <c r="G206" s="121" t="n"/>
      <c r="H206" s="90" t="n"/>
      <c r="I206" s="92" t="n"/>
      <c r="J206" s="92" t="n"/>
      <c r="K206" s="92" t="n"/>
      <c r="L206" s="92" t="n"/>
      <c r="M206" s="92" t="n"/>
    </row>
    <row r="207" ht="17.25" customHeight="1">
      <c r="A207" s="95" t="n"/>
      <c r="B207" s="101" t="n"/>
      <c r="C207" s="122" t="n">
        <v>1000</v>
      </c>
      <c r="D207" s="121" t="n"/>
      <c r="E207" s="121" t="n"/>
      <c r="F207" s="121" t="n"/>
      <c r="G207" s="121" t="n"/>
      <c r="H207" s="90" t="n"/>
      <c r="I207" s="92" t="n"/>
      <c r="J207" s="92" t="n"/>
      <c r="K207" s="92" t="n"/>
      <c r="L207" s="92" t="n"/>
      <c r="M207" s="92" t="n"/>
    </row>
    <row r="208" ht="6.75" customHeight="1">
      <c r="A208" s="95" t="n"/>
      <c r="B208" s="101" t="n"/>
      <c r="C208" s="90" t="n"/>
      <c r="D208" s="123" t="n"/>
      <c r="E208" s="123" t="n"/>
      <c r="F208" s="123" t="n"/>
      <c r="G208" s="123" t="n"/>
      <c r="H208" s="90" t="n"/>
      <c r="I208" s="92" t="n"/>
      <c r="J208" s="92" t="n"/>
      <c r="K208" s="92" t="n"/>
      <c r="L208" s="92" t="n"/>
      <c r="M208" s="92" t="n"/>
    </row>
    <row r="209" ht="27.2" customHeight="1">
      <c r="A209" s="124" t="n"/>
      <c r="B209" s="101" t="n"/>
      <c r="C209" s="125" t="inlineStr">
        <is>
          <t>Exposure to Atlantic Basin Hurricane</t>
        </is>
      </c>
      <c r="D209" s="110" t="n"/>
      <c r="E209" s="126" t="inlineStr">
        <is>
          <t>Gross</t>
        </is>
      </c>
      <c r="F209" s="127" t="inlineStr">
        <is>
          <t>Net</t>
        </is>
      </c>
      <c r="G209" s="123" t="n"/>
      <c r="H209" s="90" t="n"/>
      <c r="I209" s="92" t="n"/>
      <c r="J209" s="92" t="n"/>
      <c r="K209" s="92" t="n"/>
      <c r="L209" s="92" t="n"/>
      <c r="M209" s="92" t="n"/>
    </row>
    <row r="210" ht="16.5" customHeight="1">
      <c r="A210" s="124" t="n"/>
      <c r="B210" s="101" t="n"/>
      <c r="C210" s="128" t="n"/>
      <c r="D210" s="129" t="n"/>
      <c r="E210" s="118" t="inlineStr">
        <is>
          <t xml:space="preserve"> ($M)</t>
        </is>
      </c>
      <c r="F210" s="119" t="inlineStr">
        <is>
          <t xml:space="preserve"> ($M)</t>
        </is>
      </c>
      <c r="G210" s="123" t="n"/>
      <c r="H210" s="90" t="n"/>
      <c r="I210" s="92" t="n"/>
      <c r="J210" s="92" t="n"/>
      <c r="K210" s="92" t="n"/>
      <c r="L210" s="92" t="n"/>
      <c r="M210" s="92" t="n"/>
    </row>
    <row r="211" ht="16.5" customHeight="1">
      <c r="A211" s="124" t="n"/>
      <c r="B211" s="101" t="n"/>
      <c r="C211" s="130" t="inlineStr">
        <is>
          <t>Total statutory property catastrophe premium</t>
        </is>
      </c>
      <c r="D211" s="131" t="n"/>
      <c r="E211" s="121" t="n"/>
      <c r="F211" s="132" t="n"/>
      <c r="G211" s="123" t="n"/>
      <c r="H211" s="90" t="n"/>
      <c r="I211" s="92" t="n"/>
      <c r="J211" s="92" t="n"/>
      <c r="K211" s="92" t="n"/>
      <c r="L211" s="92" t="n"/>
      <c r="M211" s="92" t="n"/>
    </row>
    <row r="212" ht="16.5" customHeight="1">
      <c r="A212" s="124" t="n"/>
      <c r="B212" s="101" t="n"/>
      <c r="C212" s="130" t="inlineStr">
        <is>
          <t>Total all other statutory premium</t>
        </is>
      </c>
      <c r="D212" s="131" t="n"/>
      <c r="E212" s="133" t="n"/>
      <c r="F212" s="134" t="n"/>
      <c r="G212" s="123" t="n"/>
      <c r="H212" s="90" t="n"/>
      <c r="I212" s="92" t="n"/>
      <c r="J212" s="92" t="n"/>
      <c r="K212" s="92" t="n"/>
      <c r="L212" s="92" t="n"/>
      <c r="M212" s="92" t="n"/>
    </row>
    <row r="213" ht="16.5" customHeight="1">
      <c r="A213" s="124" t="n"/>
      <c r="B213" s="101" t="n"/>
      <c r="C213" s="130" t="inlineStr">
        <is>
          <t>Total statutory property catastrophe limits</t>
        </is>
      </c>
      <c r="D213" s="131" t="n"/>
      <c r="E213" s="133" t="n"/>
      <c r="F213" s="134" t="n"/>
      <c r="G213" s="123" t="n"/>
      <c r="H213" s="90" t="n"/>
      <c r="I213" s="92" t="n"/>
      <c r="J213" s="92" t="n"/>
      <c r="K213" s="92" t="n"/>
      <c r="L213" s="92" t="n"/>
      <c r="M213" s="92" t="n"/>
    </row>
    <row r="214" ht="17.25" customHeight="1">
      <c r="A214" s="124" t="n"/>
      <c r="B214" s="101" t="n"/>
      <c r="C214" s="135" t="inlineStr">
        <is>
          <t>Total all other statutory limits</t>
        </is>
      </c>
      <c r="D214" s="136" t="n"/>
      <c r="E214" s="137">
        <f>SUMIFS(BSCRInput[sum_pml],BSCRInput[bscr_entity],"HIC",BSCRInput[region],"is_nahu",BSCRInput[peril_id],2)/1000000</f>
        <v>30.707145900000004</v>
      </c>
      <c r="F214" s="193">
        <f>SUMIFS(BSCRInput[sum_net],BSCRInput[bscr_entity],"HIC",BSCRInput[region],"is_nahu",BSCRInput[peril_id],2)/1000000</f>
        <v>30.707145900000004</v>
      </c>
      <c r="G214" s="123" t="n"/>
      <c r="H214" s="90" t="n"/>
      <c r="I214" s="92" t="n"/>
      <c r="J214" s="92" t="n"/>
      <c r="K214" s="92" t="n"/>
      <c r="L214" s="92" t="n"/>
      <c r="M214" s="92" t="n"/>
    </row>
    <row r="215" ht="6.75" customHeight="1">
      <c r="A215" s="95" t="n"/>
      <c r="B215" s="101" t="n"/>
      <c r="C215" s="90" t="n"/>
      <c r="D215" s="123" t="n"/>
      <c r="E215" s="123" t="n"/>
      <c r="F215" s="123" t="n"/>
      <c r="G215" s="123" t="n"/>
      <c r="H215" s="90" t="n"/>
      <c r="I215" s="92" t="n"/>
      <c r="J215" s="92" t="n"/>
      <c r="K215" s="92" t="n"/>
      <c r="L215" s="92" t="n"/>
      <c r="M215" s="92" t="n"/>
    </row>
    <row r="216" ht="16.5" customHeight="1">
      <c r="A216" s="95" t="n"/>
      <c r="B216" s="94" t="inlineStr">
        <is>
          <t>b)</t>
        </is>
      </c>
      <c r="C216" s="99" t="inlineStr">
        <is>
          <t>EP CURVE NORTH AMERICAN EARTHQUAKE</t>
        </is>
      </c>
      <c r="D216" s="90" t="n"/>
      <c r="E216" s="90" t="n"/>
      <c r="F216" s="139" t="n"/>
      <c r="G216" s="90" t="n"/>
      <c r="H216" s="90" t="n"/>
      <c r="I216" s="100" t="n"/>
      <c r="J216" s="92" t="n"/>
      <c r="K216" s="92" t="n"/>
      <c r="L216" s="92" t="n"/>
      <c r="M216" s="92" t="n"/>
    </row>
    <row r="217" ht="6.75" customHeight="1">
      <c r="A217" s="95" t="n"/>
      <c r="B217" s="94" t="n"/>
      <c r="C217" s="99" t="n"/>
      <c r="D217" s="90" t="n"/>
      <c r="E217" s="90" t="n"/>
      <c r="F217" s="90" t="n"/>
      <c r="G217" s="90" t="n"/>
      <c r="H217" s="90" t="n"/>
      <c r="I217" s="92" t="n"/>
      <c r="J217" s="92" t="n"/>
      <c r="K217" s="92" t="n"/>
      <c r="L217" s="92" t="n"/>
      <c r="M217" s="92" t="n"/>
    </row>
    <row r="218" ht="16.5" customHeight="1">
      <c r="A218" s="95" t="n"/>
      <c r="B218" s="101" t="n"/>
      <c r="C218" s="90" t="inlineStr">
        <is>
          <t>Which model(s) is used for  EP Curve North American earthquake</t>
        </is>
      </c>
      <c r="D218" s="90" t="n"/>
      <c r="E218" s="90" t="n"/>
      <c r="F218" s="102" t="n"/>
      <c r="G218" s="90" t="n"/>
      <c r="H218" s="90" t="n"/>
      <c r="I218" s="92" t="n"/>
      <c r="J218" s="103" t="n"/>
      <c r="K218" s="92" t="n"/>
      <c r="L218" s="92" t="n"/>
      <c r="M218" s="92" t="n"/>
    </row>
    <row r="219" ht="16.5" customHeight="1">
      <c r="A219" s="95" t="n"/>
      <c r="B219" s="101" t="n"/>
      <c r="C219" s="90" t="inlineStr">
        <is>
          <t>Indicate the model version</t>
        </is>
      </c>
      <c r="D219" s="90" t="n"/>
      <c r="E219" s="90" t="n"/>
      <c r="F219" s="104" t="n"/>
      <c r="G219" s="90" t="n"/>
      <c r="H219" s="90" t="n"/>
      <c r="I219" s="92" t="n"/>
      <c r="J219" s="103" t="n"/>
      <c r="K219" s="92" t="n"/>
      <c r="L219" s="92" t="n"/>
      <c r="M219" s="92" t="n"/>
    </row>
    <row r="220" ht="6.75" customHeight="1">
      <c r="A220" s="95" t="n"/>
      <c r="B220" s="101" t="n"/>
      <c r="C220" s="90" t="n"/>
      <c r="D220" s="90" t="n"/>
      <c r="E220" s="90" t="n"/>
      <c r="F220" s="90" t="n"/>
      <c r="G220" s="90" t="n"/>
      <c r="H220" s="90" t="n"/>
      <c r="I220" s="92" t="n"/>
      <c r="J220" s="92" t="n"/>
      <c r="K220" s="92" t="n"/>
      <c r="L220" s="92" t="n"/>
      <c r="M220" s="92" t="n"/>
    </row>
    <row r="221" ht="17.25" customHeight="1">
      <c r="A221" s="95" t="n"/>
      <c r="B221" s="101" t="n"/>
      <c r="C221" s="107" t="inlineStr">
        <is>
          <t>Exceedance probability information:</t>
        </is>
      </c>
      <c r="D221" s="107" t="n"/>
      <c r="E221" s="90" t="n"/>
      <c r="F221" s="90" t="n"/>
      <c r="G221" s="90" t="n"/>
      <c r="H221" s="90" t="n"/>
      <c r="I221" s="92" t="n"/>
      <c r="J221" s="92" t="n"/>
      <c r="K221" s="92" t="n"/>
      <c r="L221" s="92" t="n"/>
      <c r="M221" s="92" t="n"/>
    </row>
    <row r="222" ht="16.5" customHeight="1">
      <c r="A222" s="95" t="n"/>
      <c r="B222" s="101" t="n"/>
      <c r="C222" s="108" t="n"/>
      <c r="D222" s="109" t="inlineStr">
        <is>
          <t xml:space="preserve"> Gross loss</t>
        </is>
      </c>
      <c r="E222" s="110" t="n"/>
      <c r="F222" s="111" t="inlineStr">
        <is>
          <t xml:space="preserve"> Net loss</t>
        </is>
      </c>
      <c r="G222" s="112" t="n"/>
      <c r="H222" s="90" t="n"/>
      <c r="I222" s="92" t="n"/>
      <c r="J222" s="92" t="n"/>
      <c r="K222" s="92" t="n"/>
      <c r="L222" s="92" t="n"/>
      <c r="M222" s="92" t="n"/>
    </row>
    <row r="223" ht="33" customHeight="1">
      <c r="A223" s="95" t="n"/>
      <c r="B223" s="101" t="n"/>
      <c r="C223" s="113" t="inlineStr">
        <is>
          <t>Loss Return period (years)</t>
        </is>
      </c>
      <c r="D223" s="114" t="inlineStr">
        <is>
          <t>Gross per occurrence loss TVaR</t>
        </is>
      </c>
      <c r="E223" s="115" t="inlineStr">
        <is>
          <t xml:space="preserve">Gross aggregate 
TVaR </t>
        </is>
      </c>
      <c r="F223" s="115" t="inlineStr">
        <is>
          <t>Net per occurrence loss TVaR</t>
        </is>
      </c>
      <c r="G223" s="116" t="inlineStr">
        <is>
          <t>Net aggregate
TVaR</t>
        </is>
      </c>
      <c r="H223" s="90" t="n"/>
      <c r="I223" s="92" t="n"/>
      <c r="J223" s="92" t="n"/>
      <c r="K223" s="92" t="n"/>
      <c r="L223" s="92" t="n"/>
      <c r="M223" s="92" t="n"/>
    </row>
    <row r="224" ht="16.5" customHeight="1">
      <c r="A224" s="95" t="n"/>
      <c r="B224" s="101" t="n"/>
      <c r="C224" s="117" t="n"/>
      <c r="D224" s="118" t="inlineStr">
        <is>
          <t xml:space="preserve"> ($M)</t>
        </is>
      </c>
      <c r="E224" s="118" t="inlineStr">
        <is>
          <t>($M)</t>
        </is>
      </c>
      <c r="F224" s="118" t="inlineStr">
        <is>
          <t>($M)</t>
        </is>
      </c>
      <c r="G224" s="119" t="inlineStr">
        <is>
          <t xml:space="preserve"> ($M)</t>
        </is>
      </c>
      <c r="H224" s="90" t="n"/>
      <c r="I224" s="92" t="n"/>
      <c r="J224" s="92" t="n"/>
      <c r="K224" s="92" t="n"/>
      <c r="L224" s="92" t="n"/>
      <c r="M224" s="92" t="n"/>
    </row>
    <row r="225" ht="16.5" customHeight="1">
      <c r="A225" s="95" t="n"/>
      <c r="B225" s="101" t="n"/>
      <c r="C225" s="120" t="n">
        <v>50</v>
      </c>
      <c r="D225" s="121" t="n"/>
      <c r="E225" s="121" t="n"/>
      <c r="F225" s="121" t="n"/>
      <c r="G225" s="121" t="n"/>
      <c r="H225" s="90" t="n"/>
      <c r="I225" s="92" t="n"/>
      <c r="J225" s="92" t="n"/>
      <c r="K225" s="92" t="n"/>
      <c r="L225" s="92" t="n"/>
      <c r="M225" s="92" t="n"/>
    </row>
    <row r="226" ht="16.5" customHeight="1">
      <c r="A226" s="95" t="n"/>
      <c r="B226" s="101" t="n"/>
      <c r="C226" s="120" t="n">
        <v>100</v>
      </c>
      <c r="D226" s="121" t="n"/>
      <c r="E226" s="121" t="n"/>
      <c r="F226" s="121" t="n"/>
      <c r="G226" s="121" t="n"/>
      <c r="H226" s="90" t="n"/>
      <c r="I226" s="92" t="n"/>
      <c r="J226" s="92" t="n"/>
      <c r="K226" s="92" t="n"/>
      <c r="L226" s="92" t="n"/>
      <c r="M226" s="92" t="n"/>
    </row>
    <row r="227" ht="16.5" customHeight="1">
      <c r="A227" s="95" t="n"/>
      <c r="B227" s="101" t="n"/>
      <c r="C227" s="120" t="n">
        <v>250</v>
      </c>
      <c r="D227" s="121" t="n"/>
      <c r="E227" s="121" t="n"/>
      <c r="F227" s="121" t="n"/>
      <c r="G227" s="121" t="n"/>
      <c r="H227" s="90" t="n"/>
      <c r="I227" s="92" t="n"/>
      <c r="J227" s="92" t="n"/>
      <c r="K227" s="92" t="n"/>
      <c r="L227" s="92" t="n"/>
      <c r="M227" s="92" t="n"/>
    </row>
    <row r="228" ht="16.5" customHeight="1">
      <c r="A228" s="95" t="n"/>
      <c r="B228" s="101" t="n"/>
      <c r="C228" s="120" t="n">
        <v>500</v>
      </c>
      <c r="D228" s="121" t="n"/>
      <c r="E228" s="121" t="n"/>
      <c r="F228" s="121" t="n"/>
      <c r="G228" s="121" t="n"/>
      <c r="H228" s="90" t="n"/>
      <c r="I228" s="92" t="n"/>
      <c r="J228" s="92" t="n"/>
      <c r="K228" s="92" t="n"/>
      <c r="L228" s="92" t="n"/>
      <c r="M228" s="92" t="n"/>
    </row>
    <row r="229" ht="17.25" customHeight="1">
      <c r="A229" s="95" t="n"/>
      <c r="B229" s="101" t="n"/>
      <c r="C229" s="122" t="n">
        <v>1000</v>
      </c>
      <c r="D229" s="121" t="n"/>
      <c r="E229" s="121" t="n"/>
      <c r="F229" s="121" t="n"/>
      <c r="G229" s="121" t="n"/>
      <c r="H229" s="90" t="n"/>
      <c r="I229" s="92" t="n"/>
      <c r="J229" s="92" t="n"/>
      <c r="K229" s="92" t="n"/>
      <c r="L229" s="92" t="n"/>
      <c r="M229" s="92" t="n"/>
    </row>
    <row r="230" ht="6.75" customHeight="1">
      <c r="A230" s="95" t="n"/>
      <c r="B230" s="101" t="n"/>
      <c r="C230" s="90" t="n"/>
      <c r="D230" s="123" t="n"/>
      <c r="E230" s="123" t="n"/>
      <c r="F230" s="123" t="n"/>
      <c r="G230" s="123" t="n"/>
      <c r="H230" s="90" t="n"/>
      <c r="I230" s="92" t="n"/>
      <c r="J230" s="92" t="n"/>
      <c r="K230" s="92" t="n"/>
      <c r="L230" s="92" t="n"/>
      <c r="M230" s="92" t="n"/>
    </row>
    <row r="231" ht="27.2" customHeight="1">
      <c r="A231" s="124" t="n"/>
      <c r="B231" s="101" t="n"/>
      <c r="C231" s="125" t="inlineStr">
        <is>
          <t>Exposure to North American Earthquake</t>
        </is>
      </c>
      <c r="D231" s="110" t="n"/>
      <c r="E231" s="126" t="inlineStr">
        <is>
          <t>Gross</t>
        </is>
      </c>
      <c r="F231" s="127" t="inlineStr">
        <is>
          <t>Net</t>
        </is>
      </c>
      <c r="G231" s="123" t="n"/>
      <c r="H231" s="90" t="n"/>
      <c r="I231" s="92" t="n"/>
      <c r="J231" s="92" t="n"/>
      <c r="K231" s="92" t="n"/>
      <c r="L231" s="92" t="n"/>
      <c r="M231" s="92" t="n"/>
    </row>
    <row r="232" ht="16.5" customHeight="1">
      <c r="A232" s="124" t="n"/>
      <c r="B232" s="101" t="n"/>
      <c r="C232" s="128" t="n"/>
      <c r="D232" s="129" t="n"/>
      <c r="E232" s="118" t="inlineStr">
        <is>
          <t xml:space="preserve"> ($M)</t>
        </is>
      </c>
      <c r="F232" s="119" t="inlineStr">
        <is>
          <t xml:space="preserve"> ($M)</t>
        </is>
      </c>
      <c r="G232" s="123" t="n"/>
      <c r="H232" s="90" t="n"/>
      <c r="I232" s="92" t="n"/>
      <c r="J232" s="92" t="n"/>
      <c r="K232" s="92" t="n"/>
      <c r="L232" s="92" t="n"/>
      <c r="M232" s="92" t="n"/>
    </row>
    <row r="233" ht="16.5" customHeight="1">
      <c r="A233" s="124" t="n"/>
      <c r="B233" s="101" t="n"/>
      <c r="C233" s="130" t="inlineStr">
        <is>
          <t>Total statutory property catastrophe premium</t>
        </is>
      </c>
      <c r="D233" s="131" t="n"/>
      <c r="E233" s="121" t="n"/>
      <c r="F233" s="132" t="n"/>
      <c r="G233" s="123" t="n"/>
      <c r="H233" s="90" t="n"/>
      <c r="I233" s="92" t="n"/>
      <c r="J233" s="92" t="n"/>
      <c r="K233" s="92" t="n"/>
      <c r="L233" s="92" t="n"/>
      <c r="M233" s="92" t="n"/>
    </row>
    <row r="234" ht="16.5" customHeight="1">
      <c r="A234" s="124" t="n"/>
      <c r="B234" s="101" t="n"/>
      <c r="C234" s="130" t="inlineStr">
        <is>
          <t>Total all other statutory premium</t>
        </is>
      </c>
      <c r="D234" s="131" t="n"/>
      <c r="E234" s="140" t="n"/>
      <c r="F234" s="141" t="n"/>
      <c r="G234" s="123" t="n"/>
      <c r="H234" s="90" t="n"/>
      <c r="I234" s="92" t="n"/>
      <c r="J234" s="92" t="n"/>
      <c r="K234" s="92" t="n"/>
      <c r="L234" s="92" t="n"/>
      <c r="M234" s="92" t="n"/>
    </row>
    <row r="235" ht="16.5" customHeight="1">
      <c r="A235" s="124" t="n"/>
      <c r="B235" s="101" t="n"/>
      <c r="C235" s="130" t="inlineStr">
        <is>
          <t>Total statutory property catastrophe limits</t>
        </is>
      </c>
      <c r="D235" s="131" t="n"/>
      <c r="E235" s="133" t="n"/>
      <c r="F235" s="134" t="n"/>
      <c r="G235" s="123" t="n"/>
      <c r="H235" s="90" t="n"/>
      <c r="I235" s="92" t="n"/>
      <c r="J235" s="92" t="n"/>
      <c r="K235" s="92" t="n"/>
      <c r="L235" s="92" t="n"/>
      <c r="M235" s="92" t="n"/>
    </row>
    <row r="236" ht="17.25" customHeight="1">
      <c r="A236" s="124" t="n"/>
      <c r="B236" s="101" t="n"/>
      <c r="C236" s="135" t="inlineStr">
        <is>
          <t>Total all other statutory limits</t>
        </is>
      </c>
      <c r="D236" s="136" t="n"/>
      <c r="E236" s="137">
        <f>SUMIFS(BSCRInput[sum_pml],BSCRInput[bscr_entity],"HIC",BSCRInput[region],"is_na_eq",BSCRInput[peril_id],1)/1000000</f>
        <v>1.06488</v>
      </c>
      <c r="F236" s="193">
        <f>SUMIFS(BSCRInput[sum_net],BSCRInput[bscr_entity],"HIC",BSCRInput[region],"is_na_eq",BSCRInput[peril_id],1)/1000000</f>
        <v>1.06488</v>
      </c>
      <c r="G236" s="123" t="n"/>
      <c r="H236" s="90" t="n"/>
      <c r="I236" s="92" t="n"/>
      <c r="J236" s="92" t="n"/>
      <c r="K236" s="92" t="n"/>
      <c r="L236" s="92" t="n"/>
      <c r="M236" s="92" t="n"/>
    </row>
    <row r="237" ht="6.75" customHeight="1">
      <c r="A237" s="95" t="n"/>
      <c r="B237" s="101" t="n"/>
      <c r="C237" s="90" t="n"/>
      <c r="D237" s="90" t="n"/>
      <c r="E237" s="90" t="n"/>
      <c r="F237" s="90" t="n"/>
      <c r="G237" s="90" t="n"/>
      <c r="H237" s="90" t="n"/>
      <c r="I237" s="92" t="n"/>
      <c r="J237" s="92" t="n"/>
      <c r="K237" s="92" t="n"/>
      <c r="L237" s="92" t="n"/>
      <c r="M237" s="92" t="n"/>
    </row>
    <row r="238" ht="16.5" customHeight="1">
      <c r="A238" s="95" t="n"/>
      <c r="B238" s="94" t="inlineStr">
        <is>
          <t>c)</t>
        </is>
      </c>
      <c r="C238" s="99" t="inlineStr">
        <is>
          <t>EP CURVE EUROPEAN WINDSTORM</t>
        </is>
      </c>
      <c r="D238" s="90" t="n"/>
      <c r="E238" s="90" t="n"/>
      <c r="F238" s="139" t="n"/>
      <c r="G238" s="90" t="n"/>
      <c r="H238" s="90" t="n"/>
      <c r="I238" s="100" t="n"/>
      <c r="J238" s="92" t="n"/>
      <c r="K238" s="92" t="n"/>
      <c r="L238" s="92" t="n"/>
      <c r="M238" s="92" t="n"/>
    </row>
    <row r="239" ht="6.75" customHeight="1">
      <c r="A239" s="95" t="n"/>
      <c r="B239" s="101" t="n"/>
      <c r="C239" s="90" t="n"/>
      <c r="D239" s="90" t="n"/>
      <c r="E239" s="90" t="n"/>
      <c r="F239" s="90" t="n"/>
      <c r="G239" s="90" t="n"/>
      <c r="H239" s="90" t="n"/>
      <c r="I239" s="92" t="n"/>
      <c r="J239" s="92" t="n"/>
      <c r="K239" s="92" t="n"/>
      <c r="L239" s="92" t="n"/>
      <c r="M239" s="92" t="n"/>
    </row>
    <row r="240" ht="16.5" customHeight="1">
      <c r="A240" s="95" t="n"/>
      <c r="B240" s="101" t="n"/>
      <c r="C240" s="90" t="inlineStr">
        <is>
          <t>Which model(s) is used for  EP Curve European windstorm</t>
        </is>
      </c>
      <c r="D240" s="90" t="n"/>
      <c r="E240" s="90" t="n"/>
      <c r="F240" s="102" t="n"/>
      <c r="G240" s="90" t="n"/>
      <c r="H240" s="90" t="n"/>
      <c r="I240" s="92" t="n"/>
      <c r="J240" s="103" t="n"/>
      <c r="K240" s="92" t="n"/>
      <c r="L240" s="92" t="n"/>
      <c r="M240" s="92" t="n"/>
    </row>
    <row r="241" ht="16.5" customHeight="1">
      <c r="A241" s="95" t="n"/>
      <c r="B241" s="101" t="n"/>
      <c r="C241" s="90" t="inlineStr">
        <is>
          <t>Indicate the model version</t>
        </is>
      </c>
      <c r="D241" s="90" t="n"/>
      <c r="E241" s="90" t="n"/>
      <c r="F241" s="104" t="n"/>
      <c r="G241" s="90" t="n"/>
      <c r="H241" s="90" t="n"/>
      <c r="I241" s="92" t="n"/>
      <c r="J241" s="103" t="n"/>
      <c r="K241" s="92" t="n"/>
      <c r="L241" s="92" t="n"/>
      <c r="M241" s="92" t="n"/>
    </row>
    <row r="242" ht="6.75" customHeight="1">
      <c r="A242" s="95" t="n"/>
      <c r="B242" s="101" t="n"/>
      <c r="C242" s="90" t="n"/>
      <c r="D242" s="90" t="n"/>
      <c r="E242" s="90" t="n"/>
      <c r="F242" s="90" t="n"/>
      <c r="G242" s="90" t="n"/>
      <c r="H242" s="90" t="n"/>
      <c r="I242" s="92" t="n"/>
      <c r="J242" s="92" t="n"/>
      <c r="K242" s="92" t="n"/>
      <c r="L242" s="92" t="n"/>
      <c r="M242" s="92" t="n"/>
    </row>
    <row r="243" ht="17.25" customHeight="1">
      <c r="A243" s="95" t="n"/>
      <c r="B243" s="101" t="n"/>
      <c r="C243" s="107" t="inlineStr">
        <is>
          <t>Exceedance probability information:</t>
        </is>
      </c>
      <c r="D243" s="107" t="n"/>
      <c r="E243" s="90" t="n"/>
      <c r="F243" s="90" t="n"/>
      <c r="G243" s="90" t="n"/>
      <c r="H243" s="90" t="n"/>
      <c r="I243" s="92" t="n"/>
      <c r="J243" s="92" t="n"/>
      <c r="K243" s="92" t="n"/>
      <c r="L243" s="92" t="n"/>
      <c r="M243" s="92" t="n"/>
    </row>
    <row r="244" ht="16.5" customHeight="1">
      <c r="A244" s="95" t="n"/>
      <c r="B244" s="101" t="n"/>
      <c r="C244" s="108" t="n"/>
      <c r="D244" s="109" t="inlineStr">
        <is>
          <t xml:space="preserve"> Gross loss</t>
        </is>
      </c>
      <c r="E244" s="110" t="n"/>
      <c r="F244" s="111" t="inlineStr">
        <is>
          <t xml:space="preserve"> Net loss</t>
        </is>
      </c>
      <c r="G244" s="112" t="n"/>
      <c r="H244" s="90" t="n"/>
      <c r="I244" s="92" t="n"/>
      <c r="J244" s="92" t="n"/>
      <c r="K244" s="92" t="n"/>
      <c r="L244" s="92" t="n"/>
      <c r="M244" s="92" t="n"/>
    </row>
    <row r="245" ht="33" customHeight="1">
      <c r="A245" s="95" t="n"/>
      <c r="B245" s="101" t="n"/>
      <c r="C245" s="113" t="inlineStr">
        <is>
          <t>Loss Return period (years)</t>
        </is>
      </c>
      <c r="D245" s="114" t="inlineStr">
        <is>
          <t>Gross per occurrence loss TVaR</t>
        </is>
      </c>
      <c r="E245" s="115" t="inlineStr">
        <is>
          <t xml:space="preserve">Gross aggregate 
TVaR </t>
        </is>
      </c>
      <c r="F245" s="115" t="inlineStr">
        <is>
          <t>Net per occurrence loss TVaR</t>
        </is>
      </c>
      <c r="G245" s="116" t="inlineStr">
        <is>
          <t>Net aggregate
TVaR</t>
        </is>
      </c>
      <c r="H245" s="90" t="n"/>
      <c r="I245" s="92" t="n"/>
      <c r="J245" s="92" t="n"/>
      <c r="K245" s="92" t="n"/>
      <c r="L245" s="92" t="n"/>
      <c r="M245" s="92" t="n"/>
    </row>
    <row r="246" ht="16.5" customHeight="1">
      <c r="A246" s="95" t="n"/>
      <c r="B246" s="101" t="n"/>
      <c r="C246" s="117" t="n"/>
      <c r="D246" s="118" t="inlineStr">
        <is>
          <t xml:space="preserve"> ($M)</t>
        </is>
      </c>
      <c r="E246" s="118" t="inlineStr">
        <is>
          <t>($M)</t>
        </is>
      </c>
      <c r="F246" s="118" t="inlineStr">
        <is>
          <t>($M)</t>
        </is>
      </c>
      <c r="G246" s="119" t="inlineStr">
        <is>
          <t xml:space="preserve"> ($M)</t>
        </is>
      </c>
      <c r="H246" s="90" t="n"/>
      <c r="I246" s="92" t="n"/>
      <c r="J246" s="92" t="n"/>
      <c r="K246" s="92" t="n"/>
      <c r="L246" s="92" t="n"/>
      <c r="M246" s="92" t="n"/>
    </row>
    <row r="247" ht="16.5" customHeight="1">
      <c r="A247" s="95" t="n"/>
      <c r="B247" s="101" t="n"/>
      <c r="C247" s="120" t="n">
        <v>50</v>
      </c>
      <c r="D247" s="121" t="n"/>
      <c r="E247" s="121" t="n"/>
      <c r="F247" s="121" t="n"/>
      <c r="G247" s="121" t="n"/>
      <c r="H247" s="90" t="n"/>
      <c r="I247" s="92" t="n"/>
      <c r="J247" s="92" t="n"/>
      <c r="K247" s="92" t="n"/>
      <c r="L247" s="92" t="n"/>
      <c r="M247" s="92" t="n"/>
    </row>
    <row r="248" ht="16.5" customHeight="1">
      <c r="A248" s="95" t="n"/>
      <c r="B248" s="101" t="n"/>
      <c r="C248" s="120" t="n">
        <v>100</v>
      </c>
      <c r="D248" s="121" t="n"/>
      <c r="E248" s="121" t="n"/>
      <c r="F248" s="121" t="n"/>
      <c r="G248" s="121" t="n"/>
      <c r="H248" s="90" t="n"/>
      <c r="I248" s="92" t="n"/>
      <c r="J248" s="92" t="n"/>
      <c r="K248" s="92" t="n"/>
      <c r="L248" s="92" t="n"/>
      <c r="M248" s="92" t="n"/>
    </row>
    <row r="249" ht="16.5" customHeight="1">
      <c r="A249" s="95" t="n"/>
      <c r="B249" s="101" t="n"/>
      <c r="C249" s="120" t="n">
        <v>250</v>
      </c>
      <c r="D249" s="121" t="n"/>
      <c r="E249" s="121" t="n"/>
      <c r="F249" s="121" t="n"/>
      <c r="G249" s="121" t="n"/>
      <c r="H249" s="90" t="n"/>
      <c r="I249" s="92" t="n"/>
      <c r="J249" s="92" t="n"/>
      <c r="K249" s="92" t="n"/>
      <c r="L249" s="92" t="n"/>
      <c r="M249" s="92" t="n"/>
    </row>
    <row r="250" ht="16.5" customHeight="1">
      <c r="A250" s="95" t="n"/>
      <c r="B250" s="101" t="n"/>
      <c r="C250" s="120" t="n">
        <v>500</v>
      </c>
      <c r="D250" s="121" t="n"/>
      <c r="E250" s="121" t="n"/>
      <c r="F250" s="121" t="n"/>
      <c r="G250" s="121" t="n"/>
      <c r="H250" s="90" t="n"/>
      <c r="I250" s="92" t="n"/>
      <c r="J250" s="92" t="n"/>
      <c r="K250" s="92" t="n"/>
      <c r="L250" s="92" t="n"/>
      <c r="M250" s="92" t="n"/>
    </row>
    <row r="251" ht="17.25" customHeight="1">
      <c r="A251" s="95" t="n"/>
      <c r="B251" s="101" t="n"/>
      <c r="C251" s="122" t="n">
        <v>1000</v>
      </c>
      <c r="D251" s="121" t="n"/>
      <c r="E251" s="121" t="n"/>
      <c r="F251" s="121" t="n"/>
      <c r="G251" s="121" t="n"/>
      <c r="H251" s="90" t="n"/>
      <c r="I251" s="92" t="n"/>
      <c r="J251" s="92" t="n"/>
      <c r="K251" s="92" t="n"/>
      <c r="L251" s="92" t="n"/>
      <c r="M251" s="92" t="n"/>
    </row>
    <row r="252" ht="6.75" customHeight="1">
      <c r="A252" s="95" t="n"/>
      <c r="B252" s="101" t="n"/>
      <c r="C252" s="90" t="n"/>
      <c r="D252" s="123" t="n"/>
      <c r="E252" s="123" t="n"/>
      <c r="F252" s="123" t="n"/>
      <c r="G252" s="123" t="n"/>
      <c r="H252" s="90" t="n"/>
      <c r="I252" s="92" t="n"/>
      <c r="J252" s="92" t="n"/>
      <c r="K252" s="92" t="n"/>
      <c r="L252" s="92" t="n"/>
      <c r="M252" s="92" t="n"/>
    </row>
    <row r="253" ht="27.2" customHeight="1">
      <c r="A253" s="124" t="n"/>
      <c r="B253" s="101" t="n"/>
      <c r="C253" s="125" t="inlineStr">
        <is>
          <t>Exposure to European Windstorm</t>
        </is>
      </c>
      <c r="D253" s="110" t="n"/>
      <c r="E253" s="126" t="inlineStr">
        <is>
          <t>Gross</t>
        </is>
      </c>
      <c r="F253" s="127" t="inlineStr">
        <is>
          <t>Net</t>
        </is>
      </c>
      <c r="G253" s="123" t="n"/>
      <c r="H253" s="90" t="n"/>
      <c r="I253" s="92" t="n"/>
      <c r="J253" s="92" t="n"/>
      <c r="K253" s="92" t="n"/>
      <c r="L253" s="92" t="n"/>
      <c r="M253" s="92" t="n"/>
    </row>
    <row r="254" ht="16.5" customHeight="1">
      <c r="A254" s="124" t="n"/>
      <c r="B254" s="101" t="n"/>
      <c r="C254" s="128" t="n"/>
      <c r="D254" s="129" t="n"/>
      <c r="E254" s="118" t="inlineStr">
        <is>
          <t xml:space="preserve"> ($M)</t>
        </is>
      </c>
      <c r="F254" s="119" t="inlineStr">
        <is>
          <t xml:space="preserve"> ($M)</t>
        </is>
      </c>
      <c r="G254" s="123" t="n"/>
      <c r="H254" s="90" t="n"/>
      <c r="I254" s="92" t="n"/>
      <c r="J254" s="92" t="n"/>
      <c r="K254" s="92" t="n"/>
      <c r="L254" s="92" t="n"/>
      <c r="M254" s="92" t="n"/>
    </row>
    <row r="255" ht="16.5" customHeight="1">
      <c r="A255" s="124" t="n"/>
      <c r="B255" s="101" t="n"/>
      <c r="C255" s="130" t="inlineStr">
        <is>
          <t>Total statutory property catastrophe premium</t>
        </is>
      </c>
      <c r="D255" s="131" t="n"/>
      <c r="E255" s="121" t="n"/>
      <c r="F255" s="132" t="n"/>
      <c r="G255" s="123" t="n"/>
      <c r="H255" s="90" t="n"/>
      <c r="I255" s="92" t="n"/>
      <c r="J255" s="92" t="n"/>
      <c r="K255" s="92" t="n"/>
      <c r="L255" s="92" t="n"/>
      <c r="M255" s="92" t="n"/>
    </row>
    <row r="256" ht="16.5" customHeight="1">
      <c r="A256" s="124" t="n"/>
      <c r="B256" s="101" t="n"/>
      <c r="C256" s="130" t="inlineStr">
        <is>
          <t>Total all other statutory premium</t>
        </is>
      </c>
      <c r="D256" s="131" t="n"/>
      <c r="E256" s="140" t="n"/>
      <c r="F256" s="141" t="n"/>
      <c r="G256" s="123" t="n"/>
      <c r="H256" s="90" t="n"/>
      <c r="I256" s="92" t="n"/>
      <c r="J256" s="92" t="n"/>
      <c r="K256" s="92" t="n"/>
      <c r="L256" s="92" t="n"/>
      <c r="M256" s="92" t="n"/>
    </row>
    <row r="257" ht="16.5" customHeight="1">
      <c r="A257" s="124" t="n"/>
      <c r="B257" s="101" t="n"/>
      <c r="C257" s="130" t="inlineStr">
        <is>
          <t>Total statutory property catastrophe limits</t>
        </is>
      </c>
      <c r="D257" s="131" t="n"/>
      <c r="E257" s="133" t="n"/>
      <c r="F257" s="134" t="n"/>
      <c r="G257" s="123" t="n"/>
      <c r="H257" s="90" t="n"/>
      <c r="I257" s="92" t="n"/>
      <c r="J257" s="92" t="n"/>
      <c r="K257" s="92" t="n"/>
      <c r="L257" s="92" t="n"/>
      <c r="M257" s="92" t="n"/>
    </row>
    <row r="258" ht="17.25" customHeight="1">
      <c r="A258" s="124" t="n"/>
      <c r="B258" s="101" t="n"/>
      <c r="C258" s="135" t="inlineStr">
        <is>
          <t>Total all other statutory limits</t>
        </is>
      </c>
      <c r="D258" s="136" t="n"/>
      <c r="E258" s="137">
        <f>SUMIFS(BSCRInput[sum_pml],BSCRInput[bscr_entity],"HIC",BSCRInput[region],"is_eu",BSCRInput[peril_id],2)/1000000</f>
        <v>165399.76936385417</v>
      </c>
      <c r="F258" s="193">
        <f>SUMIFS(BSCRInput[sum_net],BSCRInput[bscr_entity],"HIC",BSCRInput[region],"is_eu",BSCRInput[peril_id],2)/1000000</f>
        <v>165399.76936385417</v>
      </c>
      <c r="G258" s="123" t="n"/>
      <c r="H258" s="90" t="n"/>
      <c r="I258" s="92" t="n"/>
      <c r="J258" s="92" t="n"/>
      <c r="K258" s="92" t="n"/>
      <c r="L258" s="92" t="n"/>
      <c r="M258" s="92" t="n"/>
    </row>
    <row r="259" ht="6.75" customHeight="1">
      <c r="A259" s="95" t="n"/>
      <c r="B259" s="101" t="n"/>
      <c r="C259" s="90" t="n"/>
      <c r="D259" s="90" t="n"/>
      <c r="E259" s="90" t="n"/>
      <c r="F259" s="90" t="n"/>
      <c r="G259" s="90" t="n"/>
      <c r="H259" s="90" t="n"/>
      <c r="I259" s="92" t="n"/>
      <c r="J259" s="92" t="n"/>
      <c r="K259" s="92" t="n"/>
      <c r="L259" s="92" t="n"/>
      <c r="M259" s="92" t="n"/>
    </row>
    <row r="260" ht="16.5" customHeight="1">
      <c r="A260" s="95" t="n"/>
      <c r="B260" s="94" t="inlineStr">
        <is>
          <t>d)</t>
        </is>
      </c>
      <c r="C260" s="99" t="inlineStr">
        <is>
          <t>EP CURVE JAPANESE EARTH QUAKE</t>
        </is>
      </c>
      <c r="D260" s="90" t="n"/>
      <c r="E260" s="90" t="n"/>
      <c r="F260" s="139" t="n"/>
      <c r="G260" s="90" t="n"/>
      <c r="H260" s="90" t="n"/>
      <c r="I260" s="100" t="n"/>
      <c r="J260" s="92" t="n"/>
      <c r="K260" s="92" t="n"/>
      <c r="L260" s="92" t="n"/>
      <c r="M260" s="92" t="n"/>
    </row>
    <row r="261" ht="6.75" customHeight="1">
      <c r="A261" s="95" t="n"/>
      <c r="B261" s="101" t="n"/>
      <c r="C261" s="90" t="n"/>
      <c r="D261" s="90" t="n"/>
      <c r="E261" s="90" t="n"/>
      <c r="F261" s="90" t="n"/>
      <c r="G261" s="90" t="n"/>
      <c r="H261" s="90" t="n"/>
      <c r="I261" s="92" t="n"/>
      <c r="J261" s="92" t="n"/>
      <c r="K261" s="92" t="n"/>
      <c r="L261" s="92" t="n"/>
      <c r="M261" s="92" t="n"/>
    </row>
    <row r="262" ht="16.5" customHeight="1">
      <c r="A262" s="95" t="n"/>
      <c r="B262" s="101" t="n"/>
      <c r="C262" s="90" t="inlineStr">
        <is>
          <t>Which model(s) is used for  EP Curve Japanese earthquake</t>
        </is>
      </c>
      <c r="D262" s="90" t="n"/>
      <c r="E262" s="90" t="n"/>
      <c r="F262" s="102" t="n"/>
      <c r="G262" s="90" t="n"/>
      <c r="H262" s="90" t="n"/>
      <c r="I262" s="92" t="n"/>
      <c r="J262" s="103" t="n"/>
      <c r="K262" s="92" t="n"/>
      <c r="L262" s="92" t="n"/>
      <c r="M262" s="92" t="n"/>
    </row>
    <row r="263" ht="16.5" customHeight="1">
      <c r="A263" s="95" t="n"/>
      <c r="B263" s="101" t="n"/>
      <c r="C263" s="95" t="inlineStr">
        <is>
          <t>Indicate the model version</t>
        </is>
      </c>
      <c r="D263" s="90" t="n"/>
      <c r="E263" s="90" t="n"/>
      <c r="F263" s="104" t="n"/>
      <c r="G263" s="90" t="n"/>
      <c r="H263" s="90" t="n"/>
      <c r="I263" s="92" t="n"/>
      <c r="J263" s="103" t="n"/>
      <c r="K263" s="92" t="n"/>
      <c r="L263" s="92" t="n"/>
      <c r="M263" s="92" t="n"/>
    </row>
    <row r="264" ht="6.75" customHeight="1">
      <c r="A264" s="95" t="n"/>
      <c r="B264" s="101" t="n"/>
      <c r="C264" s="90" t="n"/>
      <c r="D264" s="90" t="n"/>
      <c r="E264" s="90" t="n"/>
      <c r="F264" s="90" t="n"/>
      <c r="G264" s="90" t="n"/>
      <c r="H264" s="90" t="n"/>
      <c r="I264" s="92" t="n"/>
      <c r="J264" s="92" t="n"/>
      <c r="K264" s="92" t="n"/>
      <c r="L264" s="92" t="n"/>
      <c r="M264" s="92" t="n"/>
    </row>
    <row r="265" ht="17.25" customHeight="1">
      <c r="A265" s="95" t="n"/>
      <c r="B265" s="101" t="n"/>
      <c r="C265" s="107" t="inlineStr">
        <is>
          <t>Exceedance probability information:</t>
        </is>
      </c>
      <c r="D265" s="107" t="n"/>
      <c r="E265" s="90" t="n"/>
      <c r="F265" s="90" t="n"/>
      <c r="G265" s="90" t="n"/>
      <c r="H265" s="90" t="n"/>
      <c r="I265" s="92" t="n"/>
      <c r="J265" s="92" t="n"/>
      <c r="K265" s="92" t="n"/>
      <c r="L265" s="92" t="n"/>
      <c r="M265" s="92" t="n"/>
    </row>
    <row r="266" ht="16.5" customHeight="1">
      <c r="A266" s="95" t="n"/>
      <c r="B266" s="101" t="n"/>
      <c r="C266" s="108" t="n"/>
      <c r="D266" s="109" t="inlineStr">
        <is>
          <t xml:space="preserve"> Gross loss</t>
        </is>
      </c>
      <c r="E266" s="110" t="n"/>
      <c r="F266" s="111" t="inlineStr">
        <is>
          <t xml:space="preserve"> Net loss</t>
        </is>
      </c>
      <c r="G266" s="112" t="n"/>
      <c r="H266" s="90" t="n"/>
      <c r="I266" s="92" t="n"/>
      <c r="J266" s="92" t="n"/>
      <c r="K266" s="92" t="n"/>
      <c r="L266" s="92" t="n"/>
      <c r="M266" s="92" t="n"/>
    </row>
    <row r="267" ht="33" customHeight="1">
      <c r="A267" s="95" t="n"/>
      <c r="B267" s="101" t="n"/>
      <c r="C267" s="113" t="inlineStr">
        <is>
          <t>Loss Return period (years)</t>
        </is>
      </c>
      <c r="D267" s="114" t="inlineStr">
        <is>
          <t>Gross per occurrence loss TVaR</t>
        </is>
      </c>
      <c r="E267" s="115" t="inlineStr">
        <is>
          <t xml:space="preserve">Gross aggregate 
TVaR </t>
        </is>
      </c>
      <c r="F267" s="115" t="inlineStr">
        <is>
          <t>Net per occurrence loss TVaR</t>
        </is>
      </c>
      <c r="G267" s="116" t="inlineStr">
        <is>
          <t>Net aggregate
TVaR</t>
        </is>
      </c>
      <c r="H267" s="90" t="n"/>
      <c r="I267" s="92" t="n"/>
      <c r="J267" s="92" t="n"/>
      <c r="K267" s="92" t="n"/>
      <c r="L267" s="92" t="n"/>
      <c r="M267" s="92" t="n"/>
    </row>
    <row r="268" ht="16.5" customHeight="1">
      <c r="A268" s="95" t="n"/>
      <c r="B268" s="101" t="n"/>
      <c r="C268" s="117" t="n"/>
      <c r="D268" s="118" t="inlineStr">
        <is>
          <t xml:space="preserve"> ($M)</t>
        </is>
      </c>
      <c r="E268" s="118" t="inlineStr">
        <is>
          <t>($M)</t>
        </is>
      </c>
      <c r="F268" s="118" t="inlineStr">
        <is>
          <t>($M)</t>
        </is>
      </c>
      <c r="G268" s="119" t="inlineStr">
        <is>
          <t xml:space="preserve"> ($M)</t>
        </is>
      </c>
      <c r="H268" s="90" t="n"/>
      <c r="I268" s="92" t="n"/>
      <c r="J268" s="92" t="n"/>
      <c r="K268" s="92" t="n"/>
      <c r="L268" s="92" t="n"/>
      <c r="M268" s="92" t="n"/>
    </row>
    <row r="269" ht="16.5" customHeight="1">
      <c r="A269" s="95" t="n"/>
      <c r="B269" s="101" t="n"/>
      <c r="C269" s="120" t="n">
        <v>50</v>
      </c>
      <c r="D269" s="121" t="n"/>
      <c r="E269" s="121" t="n"/>
      <c r="F269" s="121" t="n"/>
      <c r="G269" s="121" t="n"/>
      <c r="H269" s="90" t="n"/>
      <c r="I269" s="92" t="n"/>
      <c r="J269" s="92" t="n"/>
      <c r="K269" s="92" t="n"/>
      <c r="L269" s="92" t="n"/>
      <c r="M269" s="92" t="n"/>
    </row>
    <row r="270" ht="16.5" customHeight="1">
      <c r="A270" s="95" t="n"/>
      <c r="B270" s="101" t="n"/>
      <c r="C270" s="120" t="n">
        <v>100</v>
      </c>
      <c r="D270" s="121" t="n"/>
      <c r="E270" s="121" t="n"/>
      <c r="F270" s="121" t="n"/>
      <c r="G270" s="121" t="n"/>
      <c r="H270" s="90" t="n"/>
      <c r="I270" s="92" t="n"/>
      <c r="J270" s="92" t="n"/>
      <c r="K270" s="92" t="n"/>
      <c r="L270" s="92" t="n"/>
      <c r="M270" s="92" t="n"/>
    </row>
    <row r="271" ht="16.5" customHeight="1">
      <c r="A271" s="95" t="n"/>
      <c r="B271" s="101" t="n"/>
      <c r="C271" s="120" t="n">
        <v>250</v>
      </c>
      <c r="D271" s="121" t="n"/>
      <c r="E271" s="121" t="n"/>
      <c r="F271" s="121" t="n"/>
      <c r="G271" s="121" t="n"/>
      <c r="H271" s="90" t="n"/>
      <c r="I271" s="92" t="n"/>
      <c r="J271" s="92" t="n"/>
      <c r="K271" s="92" t="n"/>
      <c r="L271" s="92" t="n"/>
      <c r="M271" s="92" t="n"/>
    </row>
    <row r="272" ht="16.5" customHeight="1">
      <c r="A272" s="95" t="n"/>
      <c r="B272" s="101" t="n"/>
      <c r="C272" s="120" t="n">
        <v>500</v>
      </c>
      <c r="D272" s="121" t="n"/>
      <c r="E272" s="121" t="n"/>
      <c r="F272" s="121" t="n"/>
      <c r="G272" s="121" t="n"/>
      <c r="H272" s="90" t="n"/>
      <c r="I272" s="92" t="n"/>
      <c r="J272" s="92" t="n"/>
      <c r="K272" s="92" t="n"/>
      <c r="L272" s="92" t="n"/>
      <c r="M272" s="92" t="n"/>
    </row>
    <row r="273" ht="17.25" customHeight="1">
      <c r="A273" s="95" t="n"/>
      <c r="B273" s="101" t="n"/>
      <c r="C273" s="122" t="n">
        <v>1000</v>
      </c>
      <c r="D273" s="121" t="n"/>
      <c r="E273" s="121" t="n"/>
      <c r="F273" s="121" t="n"/>
      <c r="G273" s="121" t="n"/>
      <c r="H273" s="90" t="n"/>
      <c r="I273" s="92" t="n"/>
      <c r="J273" s="92" t="n"/>
      <c r="K273" s="92" t="n"/>
      <c r="L273" s="92" t="n"/>
      <c r="M273" s="92" t="n"/>
    </row>
    <row r="274" ht="6.75" customHeight="1">
      <c r="A274" s="95" t="n"/>
      <c r="B274" s="101" t="n"/>
      <c r="C274" s="90" t="n"/>
      <c r="D274" s="123" t="n"/>
      <c r="E274" s="123" t="n"/>
      <c r="F274" s="123" t="n"/>
      <c r="G274" s="123" t="n"/>
      <c r="H274" s="90" t="n"/>
      <c r="I274" s="92" t="n"/>
      <c r="J274" s="92" t="n"/>
      <c r="K274" s="92" t="n"/>
      <c r="L274" s="92" t="n"/>
      <c r="M274" s="92" t="n"/>
    </row>
    <row r="275" ht="27.2" customHeight="1">
      <c r="A275" s="124" t="n"/>
      <c r="B275" s="101" t="n"/>
      <c r="C275" s="125" t="inlineStr">
        <is>
          <t>Exposure to Japanese Earthquake</t>
        </is>
      </c>
      <c r="D275" s="110" t="n"/>
      <c r="E275" s="126" t="inlineStr">
        <is>
          <t>Gross</t>
        </is>
      </c>
      <c r="F275" s="127" t="inlineStr">
        <is>
          <t>Net</t>
        </is>
      </c>
      <c r="G275" s="123" t="n"/>
      <c r="H275" s="90" t="n"/>
      <c r="I275" s="92" t="n"/>
      <c r="J275" s="92" t="n"/>
      <c r="K275" s="92" t="n"/>
      <c r="L275" s="92" t="n"/>
      <c r="M275" s="92" t="n"/>
    </row>
    <row r="276" ht="16.5" customHeight="1">
      <c r="A276" s="124" t="n"/>
      <c r="B276" s="101" t="n"/>
      <c r="C276" s="128" t="n"/>
      <c r="D276" s="129" t="n"/>
      <c r="E276" s="118" t="inlineStr">
        <is>
          <t xml:space="preserve"> ($M)</t>
        </is>
      </c>
      <c r="F276" s="119" t="inlineStr">
        <is>
          <t xml:space="preserve"> ($M)</t>
        </is>
      </c>
      <c r="G276" s="123" t="n"/>
      <c r="H276" s="90" t="n"/>
      <c r="I276" s="92" t="n"/>
      <c r="J276" s="92" t="n"/>
      <c r="K276" s="92" t="n"/>
      <c r="L276" s="92" t="n"/>
      <c r="M276" s="92" t="n"/>
    </row>
    <row r="277" ht="16.5" customHeight="1">
      <c r="A277" s="124" t="n"/>
      <c r="B277" s="101" t="n"/>
      <c r="C277" s="130" t="inlineStr">
        <is>
          <t>Total statutory property catastrophe premium</t>
        </is>
      </c>
      <c r="D277" s="131" t="n"/>
      <c r="E277" s="121" t="n"/>
      <c r="F277" s="132" t="n"/>
      <c r="G277" s="123" t="n"/>
      <c r="H277" s="90" t="n"/>
      <c r="I277" s="92" t="n"/>
      <c r="J277" s="92" t="n"/>
      <c r="K277" s="92" t="n"/>
      <c r="L277" s="92" t="n"/>
      <c r="M277" s="92" t="n"/>
    </row>
    <row r="278" ht="16.5" customHeight="1">
      <c r="A278" s="124" t="n"/>
      <c r="B278" s="101" t="n"/>
      <c r="C278" s="130" t="inlineStr">
        <is>
          <t>Total all other statutory premium</t>
        </is>
      </c>
      <c r="D278" s="131" t="n"/>
      <c r="E278" s="194" t="n"/>
      <c r="F278" s="195" t="n"/>
      <c r="G278" s="123" t="n"/>
      <c r="H278" s="90" t="n"/>
      <c r="I278" s="92" t="n"/>
      <c r="J278" s="92" t="n"/>
      <c r="K278" s="92" t="n"/>
      <c r="L278" s="92" t="n"/>
      <c r="M278" s="92" t="n"/>
    </row>
    <row r="279" ht="16.5" customHeight="1">
      <c r="A279" s="124" t="n"/>
      <c r="B279" s="101" t="n"/>
      <c r="C279" s="130" t="inlineStr">
        <is>
          <t>Total statutory property catastrophe limits</t>
        </is>
      </c>
      <c r="D279" s="131" t="n"/>
      <c r="E279" s="133" t="n"/>
      <c r="F279" s="134" t="n"/>
      <c r="G279" s="123" t="n"/>
      <c r="H279" s="90" t="n"/>
      <c r="I279" s="92" t="n"/>
      <c r="J279" s="92" t="n"/>
      <c r="K279" s="92" t="n"/>
      <c r="L279" s="92" t="n"/>
      <c r="M279" s="92" t="n"/>
    </row>
    <row r="280" ht="17.25" customHeight="1">
      <c r="A280" s="124" t="n"/>
      <c r="B280" s="101" t="n"/>
      <c r="C280" s="135" t="inlineStr">
        <is>
          <t>Total all other statutory limits</t>
        </is>
      </c>
      <c r="D280" s="136" t="n"/>
      <c r="E280" s="137">
        <f>SUMIFS(BSCRInput[sum_pml],BSCRInput[bscr_entity],"HIC",BSCRInput[region],"is_jp_eq",BSCRInput[peril_id],1)/1000000</f>
        <v>0.3726</v>
      </c>
      <c r="F280" s="193">
        <f>SUMIFS(BSCRInput[sum_net],BSCRInput[bscr_entity],"HIC",BSCRInput[region],"is_jp_eq",BSCRInput[peril_id],1)/1000000</f>
        <v>0.3726</v>
      </c>
      <c r="G280" s="123" t="n"/>
      <c r="H280" s="90" t="n"/>
      <c r="I280" s="92" t="n"/>
      <c r="J280" s="92" t="n"/>
      <c r="K280" s="92" t="n"/>
      <c r="L280" s="92" t="n"/>
      <c r="M280" s="92" t="n"/>
    </row>
    <row r="281" ht="6.75" customHeight="1">
      <c r="A281" s="95" t="n"/>
      <c r="B281" s="101" t="n"/>
      <c r="C281" s="90" t="n"/>
      <c r="D281" s="90" t="n"/>
      <c r="E281" s="90" t="n"/>
      <c r="F281" s="90" t="n"/>
      <c r="G281" s="90" t="n"/>
      <c r="H281" s="90" t="n"/>
      <c r="I281" s="92" t="n"/>
      <c r="J281" s="92" t="n"/>
      <c r="K281" s="92" t="n"/>
      <c r="L281" s="92" t="n"/>
      <c r="M281" s="92" t="n"/>
    </row>
    <row r="282" ht="16.5" customHeight="1">
      <c r="A282" s="95" t="n"/>
      <c r="B282" s="94" t="inlineStr">
        <is>
          <t>e)</t>
        </is>
      </c>
      <c r="C282" s="99" t="inlineStr">
        <is>
          <t>EP CURVE JAPANESE TYPHOON</t>
        </is>
      </c>
      <c r="D282" s="90" t="n"/>
      <c r="E282" s="90" t="n"/>
      <c r="F282" s="139" t="n"/>
      <c r="G282" s="90" t="n"/>
      <c r="H282" s="90" t="n"/>
      <c r="I282" s="100" t="n"/>
      <c r="J282" s="92" t="n"/>
      <c r="K282" s="92" t="n"/>
      <c r="L282" s="92" t="n"/>
      <c r="M282" s="92" t="n"/>
    </row>
    <row r="283" ht="6.75" customHeight="1">
      <c r="A283" s="95" t="n"/>
      <c r="B283" s="101" t="n"/>
      <c r="C283" s="90" t="n"/>
      <c r="D283" s="90" t="n"/>
      <c r="E283" s="90" t="n"/>
      <c r="F283" s="90" t="n"/>
      <c r="G283" s="90" t="n"/>
      <c r="H283" s="90" t="n"/>
      <c r="I283" s="92" t="n"/>
      <c r="J283" s="92" t="n"/>
      <c r="K283" s="92" t="n"/>
      <c r="L283" s="92" t="n"/>
      <c r="M283" s="92" t="n"/>
    </row>
    <row r="284" ht="16.5" customHeight="1">
      <c r="A284" s="95" t="n"/>
      <c r="B284" s="101" t="n"/>
      <c r="C284" s="90" t="inlineStr">
        <is>
          <t xml:space="preserve">Which model(s) is used for  EP Curve Japanese typhoon </t>
        </is>
      </c>
      <c r="D284" s="90" t="n"/>
      <c r="E284" s="90" t="n"/>
      <c r="F284" s="102" t="n"/>
      <c r="G284" s="90" t="n"/>
      <c r="H284" s="90" t="n"/>
      <c r="I284" s="92" t="n"/>
      <c r="J284" s="103" t="n"/>
      <c r="K284" s="92" t="n"/>
      <c r="L284" s="92" t="n"/>
      <c r="M284" s="92" t="n"/>
    </row>
    <row r="285" ht="16.5" customHeight="1">
      <c r="A285" s="95" t="n"/>
      <c r="B285" s="101" t="n"/>
      <c r="C285" s="95" t="inlineStr">
        <is>
          <t>Indicate the model version</t>
        </is>
      </c>
      <c r="D285" s="90" t="n"/>
      <c r="E285" s="90" t="n"/>
      <c r="F285" s="104" t="n"/>
      <c r="G285" s="90" t="n"/>
      <c r="H285" s="90" t="n"/>
      <c r="I285" s="92" t="n"/>
      <c r="J285" s="103" t="n"/>
      <c r="K285" s="92" t="n"/>
      <c r="L285" s="92" t="n"/>
      <c r="M285" s="92" t="n"/>
    </row>
    <row r="286" ht="6.75" customHeight="1">
      <c r="A286" s="95" t="n"/>
      <c r="B286" s="101" t="n"/>
      <c r="C286" s="90" t="n"/>
      <c r="D286" s="90" t="n"/>
      <c r="E286" s="90" t="n"/>
      <c r="F286" s="90" t="n"/>
      <c r="G286" s="90" t="n"/>
      <c r="H286" s="90" t="n"/>
      <c r="I286" s="92" t="n"/>
      <c r="J286" s="92" t="n"/>
      <c r="K286" s="92" t="n"/>
      <c r="L286" s="92" t="n"/>
      <c r="M286" s="92" t="n"/>
    </row>
    <row r="287" ht="17.25" customHeight="1">
      <c r="A287" s="95" t="n"/>
      <c r="B287" s="101" t="n"/>
      <c r="C287" s="107" t="inlineStr">
        <is>
          <t>Exceedance probability information:</t>
        </is>
      </c>
      <c r="D287" s="107" t="n"/>
      <c r="E287" s="90" t="n"/>
      <c r="F287" s="90" t="n"/>
      <c r="G287" s="90" t="n"/>
      <c r="H287" s="90" t="n"/>
      <c r="I287" s="92" t="n"/>
      <c r="J287" s="92" t="n"/>
      <c r="K287" s="92" t="n"/>
      <c r="L287" s="92" t="n"/>
      <c r="M287" s="92" t="n"/>
    </row>
    <row r="288" ht="17.25" customHeight="1">
      <c r="A288" s="95" t="n"/>
      <c r="B288" s="101" t="n"/>
      <c r="C288" s="108" t="n"/>
      <c r="D288" s="142" t="inlineStr">
        <is>
          <t xml:space="preserve"> Gross loss</t>
        </is>
      </c>
      <c r="E288" s="143" t="n"/>
      <c r="F288" s="111" t="inlineStr">
        <is>
          <t xml:space="preserve"> Net loss</t>
        </is>
      </c>
      <c r="G288" s="112" t="n"/>
      <c r="H288" s="90" t="n"/>
      <c r="I288" s="92" t="n"/>
      <c r="J288" s="92" t="n"/>
      <c r="K288" s="92" t="n"/>
      <c r="L288" s="92" t="n"/>
      <c r="M288" s="92" t="n"/>
    </row>
    <row r="289" ht="33" customHeight="1">
      <c r="A289" s="95" t="n"/>
      <c r="B289" s="101" t="n"/>
      <c r="C289" s="144" t="inlineStr">
        <is>
          <t>Loss Return period (years)</t>
        </is>
      </c>
      <c r="D289" s="114" t="inlineStr">
        <is>
          <t>Gross per occurrence loss TVaR</t>
        </is>
      </c>
      <c r="E289" s="115" t="inlineStr">
        <is>
          <t xml:space="preserve">Gross aggregate 
TVaR </t>
        </is>
      </c>
      <c r="F289" s="145" t="inlineStr">
        <is>
          <t>Net per occurrence loss TVaR</t>
        </is>
      </c>
      <c r="G289" s="116" t="inlineStr">
        <is>
          <t>Net aggregate
TVaR</t>
        </is>
      </c>
      <c r="H289" s="90" t="n"/>
      <c r="I289" s="92" t="n"/>
      <c r="J289" s="92" t="n"/>
      <c r="K289" s="92" t="n"/>
      <c r="L289" s="92" t="n"/>
      <c r="M289" s="92" t="n"/>
    </row>
    <row r="290" ht="16.5" customHeight="1">
      <c r="A290" s="95" t="n"/>
      <c r="B290" s="101" t="n"/>
      <c r="C290" s="117" t="n"/>
      <c r="D290" s="118" t="inlineStr">
        <is>
          <t xml:space="preserve"> ($M)</t>
        </is>
      </c>
      <c r="E290" s="118" t="inlineStr">
        <is>
          <t>($M)</t>
        </is>
      </c>
      <c r="F290" s="118" t="inlineStr">
        <is>
          <t>($M)</t>
        </is>
      </c>
      <c r="G290" s="119" t="inlineStr">
        <is>
          <t xml:space="preserve"> ($M)</t>
        </is>
      </c>
      <c r="H290" s="90" t="n"/>
      <c r="I290" s="92" t="n"/>
      <c r="J290" s="92" t="n"/>
      <c r="K290" s="92" t="n"/>
      <c r="L290" s="92" t="n"/>
      <c r="M290" s="92" t="n"/>
    </row>
    <row r="291" ht="16.5" customHeight="1">
      <c r="A291" s="95" t="n"/>
      <c r="B291" s="101" t="n"/>
      <c r="C291" s="120" t="n">
        <v>50</v>
      </c>
      <c r="D291" s="121" t="n"/>
      <c r="E291" s="121" t="n"/>
      <c r="F291" s="121" t="n"/>
      <c r="G291" s="121" t="n"/>
      <c r="H291" s="90" t="n"/>
      <c r="I291" s="92" t="n"/>
      <c r="J291" s="92" t="n"/>
      <c r="K291" s="92" t="n"/>
      <c r="L291" s="92" t="n"/>
      <c r="M291" s="92" t="n"/>
    </row>
    <row r="292" ht="16.5" customHeight="1">
      <c r="A292" s="95" t="n"/>
      <c r="B292" s="101" t="n"/>
      <c r="C292" s="120" t="n">
        <v>100</v>
      </c>
      <c r="D292" s="121" t="n"/>
      <c r="E292" s="121" t="n"/>
      <c r="F292" s="121" t="n"/>
      <c r="G292" s="121" t="n"/>
      <c r="H292" s="90" t="n"/>
      <c r="I292" s="92" t="n"/>
      <c r="J292" s="92" t="n"/>
      <c r="K292" s="92" t="n"/>
      <c r="L292" s="92" t="n"/>
      <c r="M292" s="92" t="n"/>
    </row>
    <row r="293" ht="16.5" customHeight="1">
      <c r="A293" s="95" t="n"/>
      <c r="B293" s="101" t="n"/>
      <c r="C293" s="120" t="n">
        <v>250</v>
      </c>
      <c r="D293" s="121" t="n"/>
      <c r="E293" s="121" t="n"/>
      <c r="F293" s="121" t="n"/>
      <c r="G293" s="121" t="n"/>
      <c r="H293" s="90" t="n"/>
      <c r="I293" s="92" t="n"/>
      <c r="J293" s="92" t="n"/>
      <c r="K293" s="92" t="n"/>
      <c r="L293" s="92" t="n"/>
      <c r="M293" s="92" t="n"/>
    </row>
    <row r="294" ht="16.5" customHeight="1">
      <c r="A294" s="95" t="n"/>
      <c r="B294" s="101" t="n"/>
      <c r="C294" s="120" t="n">
        <v>500</v>
      </c>
      <c r="D294" s="121" t="n"/>
      <c r="E294" s="121" t="n"/>
      <c r="F294" s="121" t="n"/>
      <c r="G294" s="121" t="n"/>
      <c r="H294" s="90" t="n"/>
      <c r="I294" s="92" t="n"/>
      <c r="J294" s="92" t="n"/>
      <c r="K294" s="92" t="n"/>
      <c r="L294" s="92" t="n"/>
      <c r="M294" s="92" t="n"/>
    </row>
    <row r="295" ht="17.25" customHeight="1">
      <c r="A295" s="95" t="n"/>
      <c r="B295" s="101" t="n"/>
      <c r="C295" s="122" t="n">
        <v>1000</v>
      </c>
      <c r="D295" s="121" t="n"/>
      <c r="E295" s="121" t="n"/>
      <c r="F295" s="121" t="n"/>
      <c r="G295" s="121" t="n"/>
      <c r="H295" s="90" t="n"/>
      <c r="I295" s="92" t="n"/>
      <c r="J295" s="92" t="n"/>
      <c r="K295" s="92" t="n"/>
      <c r="L295" s="92" t="n"/>
      <c r="M295" s="92" t="n"/>
    </row>
    <row r="296" ht="6.75" customHeight="1">
      <c r="A296" s="95" t="n"/>
      <c r="B296" s="90" t="n"/>
      <c r="C296" s="90" t="n"/>
      <c r="D296" s="123" t="n"/>
      <c r="E296" s="123" t="n"/>
      <c r="F296" s="123" t="n"/>
      <c r="G296" s="123" t="n"/>
      <c r="H296" s="90" t="n"/>
      <c r="I296" s="92" t="n"/>
      <c r="J296" s="92" t="n"/>
      <c r="K296" s="92" t="n"/>
      <c r="L296" s="92" t="n"/>
      <c r="M296" s="92" t="n"/>
    </row>
    <row r="297" ht="27.2" customHeight="1">
      <c r="A297" s="124" t="n"/>
      <c r="B297" s="90" t="n"/>
      <c r="C297" s="125" t="inlineStr">
        <is>
          <t>Exposure to Japanese Typhoon</t>
        </is>
      </c>
      <c r="D297" s="110" t="n"/>
      <c r="E297" s="126" t="inlineStr">
        <is>
          <t>Gross</t>
        </is>
      </c>
      <c r="F297" s="127" t="inlineStr">
        <is>
          <t>Net</t>
        </is>
      </c>
      <c r="G297" s="123" t="n"/>
      <c r="H297" s="90" t="n"/>
      <c r="I297" s="92" t="n"/>
      <c r="J297" s="92" t="n"/>
      <c r="K297" s="92" t="n"/>
      <c r="L297" s="92" t="n"/>
      <c r="M297" s="92" t="n"/>
    </row>
    <row r="298" ht="16.5" customHeight="1">
      <c r="A298" s="124" t="n"/>
      <c r="B298" s="90" t="n"/>
      <c r="C298" s="128" t="n"/>
      <c r="D298" s="129" t="n"/>
      <c r="E298" s="118" t="inlineStr">
        <is>
          <t xml:space="preserve"> ($M)</t>
        </is>
      </c>
      <c r="F298" s="119" t="inlineStr">
        <is>
          <t xml:space="preserve"> ($M)</t>
        </is>
      </c>
      <c r="G298" s="123" t="n"/>
      <c r="H298" s="90" t="n"/>
      <c r="I298" s="92" t="n"/>
      <c r="J298" s="92" t="n"/>
      <c r="K298" s="92" t="n"/>
      <c r="L298" s="92" t="n"/>
      <c r="M298" s="92" t="n"/>
    </row>
    <row r="299" ht="16.5" customHeight="1">
      <c r="A299" s="124" t="n"/>
      <c r="B299" s="90" t="n"/>
      <c r="C299" s="130" t="inlineStr">
        <is>
          <t>Total statutory property catastrophe premium</t>
        </is>
      </c>
      <c r="D299" s="131" t="n"/>
      <c r="E299" s="121" t="n"/>
      <c r="F299" s="132" t="n"/>
      <c r="G299" s="123" t="n"/>
      <c r="H299" s="90" t="n"/>
      <c r="I299" s="92" t="n"/>
      <c r="J299" s="92" t="n"/>
      <c r="K299" s="92" t="n"/>
      <c r="L299" s="92" t="n"/>
      <c r="M299" s="92" t="n"/>
    </row>
    <row r="300" ht="16.5" customHeight="1">
      <c r="A300" s="124" t="n"/>
      <c r="B300" s="90" t="n"/>
      <c r="C300" s="130" t="inlineStr">
        <is>
          <t>Total all other statutory premium</t>
        </is>
      </c>
      <c r="D300" s="131" t="n"/>
      <c r="E300" s="194" t="n"/>
      <c r="F300" s="195" t="n"/>
      <c r="G300" s="123" t="n"/>
      <c r="H300" s="90" t="n"/>
      <c r="I300" s="92" t="n"/>
      <c r="J300" s="92" t="n"/>
      <c r="K300" s="92" t="n"/>
      <c r="L300" s="92" t="n"/>
      <c r="M300" s="92" t="n"/>
    </row>
    <row r="301" ht="16.5" customHeight="1">
      <c r="A301" s="124" t="n"/>
      <c r="B301" s="90" t="n"/>
      <c r="C301" s="130" t="inlineStr">
        <is>
          <t>Total statutory property catastrophe limits</t>
        </is>
      </c>
      <c r="D301" s="131" t="n"/>
      <c r="E301" s="133" t="n"/>
      <c r="F301" s="134" t="n"/>
      <c r="G301" s="123" t="n"/>
      <c r="H301" s="90" t="n"/>
      <c r="I301" s="92" t="n"/>
      <c r="J301" s="92" t="n"/>
      <c r="K301" s="92" t="n"/>
      <c r="L301" s="92" t="n"/>
      <c r="M301" s="92" t="n"/>
    </row>
    <row r="302" ht="17.25" customHeight="1">
      <c r="A302" s="124" t="n"/>
      <c r="B302" s="90" t="n"/>
      <c r="C302" s="135" t="inlineStr">
        <is>
          <t>Total all other statutory limits</t>
        </is>
      </c>
      <c r="D302" s="136" t="n"/>
      <c r="E302" s="137">
        <f>SUMIFS(BSCRInput[sum_pml],BSCRInput[bscr_entity],"HIC",BSCRInput[region],"is_jp",BSCRInput[peril_id],2)/1000000</f>
        <v>0.3726</v>
      </c>
      <c r="F302" s="193">
        <f>SUMIFS(BSCRInput[sum_net],BSCRInput[bscr_entity],"HIC",BSCRInput[region],"is_jp",BSCRInput[peril_id],2)/1000000</f>
        <v>0.3726</v>
      </c>
      <c r="G302" s="123" t="n"/>
      <c r="H302" s="90" t="n"/>
      <c r="I302" s="92" t="n"/>
      <c r="J302" s="92" t="n"/>
      <c r="K302" s="92" t="n"/>
      <c r="L302" s="92" t="n"/>
      <c r="M302" s="92" t="n"/>
    </row>
    <row r="303" ht="6.75" customHeight="1">
      <c r="A303" s="146" t="n"/>
      <c r="B303" s="14" t="n"/>
      <c r="C303" s="14" t="n"/>
      <c r="D303" s="14" t="n"/>
      <c r="E303" s="14" t="n"/>
      <c r="F303" s="14" t="n"/>
      <c r="G303" s="14" t="n"/>
      <c r="H303" s="14" t="n"/>
      <c r="I303" s="92" t="n"/>
      <c r="J303" s="92" t="n"/>
      <c r="K303" s="92" t="n"/>
      <c r="L303" s="92" t="n"/>
      <c r="M303" s="92" t="n"/>
    </row>
    <row r="304"/>
    <row r="305"/>
    <row r="306"/>
    <row r="307"/>
    <row r="308"/>
    <row r="309" ht="72.75" customHeight="1">
      <c r="A309" s="63" t="n"/>
      <c r="B309" s="147" t="inlineStr">
        <is>
          <t>CATASTROPHE RISK RETURN: DATA  ANALYSIS (TABLE 15E)</t>
        </is>
      </c>
      <c r="C309" s="64" t="n"/>
      <c r="D309" s="64" t="n"/>
      <c r="E309" s="64" t="n"/>
      <c r="F309" s="64" t="n"/>
      <c r="G309" s="64" t="n"/>
      <c r="H309" s="64" t="n"/>
      <c r="I309" s="64" t="n"/>
      <c r="J309" s="64" t="inlineStr">
        <is>
          <t>Back to instructions</t>
        </is>
      </c>
      <c r="K309" s="64" t="n"/>
      <c r="L309" s="64" t="n"/>
      <c r="M309" s="8" t="n"/>
    </row>
    <row r="310" ht="16.5" customHeight="1">
      <c r="A310" s="88" t="n"/>
      <c r="B310" s="148" t="inlineStr">
        <is>
          <t>HIC</t>
        </is>
      </c>
      <c r="C310" s="149" t="n"/>
      <c r="D310" s="90" t="n"/>
      <c r="E310" s="90" t="n"/>
      <c r="F310" s="90" t="n"/>
      <c r="G310" s="90" t="n"/>
      <c r="H310" s="90" t="n"/>
      <c r="I310" s="90" t="n"/>
      <c r="J310" s="90" t="n"/>
      <c r="K310" s="90" t="n"/>
      <c r="L310" s="90" t="n"/>
      <c r="M310" s="90" t="n"/>
    </row>
    <row r="311" ht="16.5" customHeight="1">
      <c r="A311" s="88" t="n"/>
      <c r="B311" s="150">
        <f>DATE(2026,1,1)</f>
        <v>46023.0</v>
      </c>
      <c r="E311" s="90" t="n"/>
      <c r="F311" s="90" t="n"/>
      <c r="G311" s="90" t="n"/>
      <c r="H311" s="90" t="n"/>
      <c r="I311" s="90" t="n"/>
      <c r="J311" s="90" t="n"/>
      <c r="K311" s="90" t="n"/>
      <c r="L311" s="151" t="n"/>
      <c r="M311" s="94" t="inlineStr">
        <is>
          <t>Schedule X(f)</t>
        </is>
      </c>
    </row>
    <row r="312" ht="9.199999999999999" customHeight="1">
      <c r="A312" s="152" t="n"/>
      <c r="B312" s="153" t="n"/>
      <c r="C312" s="154" t="n"/>
      <c r="D312" s="154" t="n"/>
      <c r="E312" s="154" t="n"/>
      <c r="F312" s="154" t="n"/>
      <c r="G312" s="154" t="n"/>
      <c r="H312" s="154" t="n"/>
      <c r="I312" s="154" t="n"/>
      <c r="J312" s="154" t="n"/>
      <c r="K312" s="154" t="n"/>
      <c r="L312" s="154" t="n"/>
      <c r="M312" s="154" t="n"/>
    </row>
    <row r="313" ht="15.75" customHeight="1">
      <c r="A313" s="152" t="n"/>
      <c r="B313" s="155" t="n">
        <v>1</v>
      </c>
      <c r="C313" s="155" t="inlineStr">
        <is>
          <t>For all contracts written by the insurance group, provide splits of those that are:</t>
        </is>
      </c>
      <c r="D313" s="154" t="n"/>
      <c r="E313" s="154" t="n"/>
      <c r="F313" s="154" t="n"/>
      <c r="G313" s="154" t="n"/>
      <c r="H313" s="154" t="n"/>
      <c r="I313" s="154" t="n"/>
      <c r="J313" s="154" t="n"/>
      <c r="K313" s="154" t="n"/>
      <c r="L313" s="154" t="n"/>
      <c r="M313" s="154" t="n"/>
    </row>
    <row r="314" ht="9.199999999999999" customHeight="1">
      <c r="A314" s="152" t="n"/>
      <c r="B314" s="155" t="n"/>
      <c r="C314" s="154" t="n"/>
      <c r="D314" s="154" t="n"/>
      <c r="E314" s="154" t="n"/>
      <c r="F314" s="154" t="n"/>
      <c r="G314" s="154" t="n"/>
      <c r="H314" s="154" t="n"/>
      <c r="I314" s="154" t="n"/>
      <c r="J314" s="154" t="n"/>
      <c r="K314" s="154" t="n"/>
      <c r="L314" s="154" t="n"/>
      <c r="M314" s="154" t="n"/>
    </row>
    <row r="315" ht="26.85" customHeight="1">
      <c r="A315" s="152" t="n"/>
      <c r="B315" s="155" t="n"/>
      <c r="C315" s="154" t="n"/>
      <c r="D315" s="154" t="n"/>
      <c r="E315" s="156" t="inlineStr">
        <is>
          <t>U.S. specific contracts - all exposures</t>
        </is>
      </c>
      <c r="F315" s="157" t="n"/>
      <c r="G315" s="22" t="n"/>
      <c r="H315" s="156" t="inlineStr">
        <is>
          <t>All other contracts - all exposures</t>
        </is>
      </c>
      <c r="I315" s="157" t="n"/>
      <c r="J315" s="22" t="n"/>
      <c r="K315" s="156" t="inlineStr">
        <is>
          <t>Total</t>
        </is>
      </c>
      <c r="L315" s="157" t="n"/>
      <c r="M315" s="22" t="n"/>
    </row>
    <row r="316" ht="31.5" customHeight="1">
      <c r="A316" s="152" t="n"/>
      <c r="B316" s="155" t="n"/>
      <c r="C316" s="154" t="n"/>
      <c r="D316" s="154" t="n"/>
      <c r="E316" s="158" t="inlineStr">
        <is>
          <t>Contract count</t>
        </is>
      </c>
      <c r="F316" s="158" t="inlineStr">
        <is>
          <t xml:space="preserve">Gross limit provided </t>
        </is>
      </c>
      <c r="G316" s="158" t="inlineStr">
        <is>
          <t>Net limit provided</t>
        </is>
      </c>
      <c r="H316" s="158" t="inlineStr">
        <is>
          <t>Contract count</t>
        </is>
      </c>
      <c r="I316" s="158" t="inlineStr">
        <is>
          <t xml:space="preserve">Gross limit provided </t>
        </is>
      </c>
      <c r="J316" s="158" t="inlineStr">
        <is>
          <t>Net limit provided</t>
        </is>
      </c>
      <c r="K316" s="158" t="inlineStr">
        <is>
          <t>Contract count</t>
        </is>
      </c>
      <c r="L316" s="158" t="inlineStr">
        <is>
          <t xml:space="preserve">Gross limit provided </t>
        </is>
      </c>
      <c r="M316" s="158" t="inlineStr">
        <is>
          <t>Net limit provided</t>
        </is>
      </c>
    </row>
    <row r="317" ht="15.75" customHeight="1">
      <c r="A317" s="152" t="n"/>
      <c r="B317" s="155" t="n"/>
      <c r="C317" s="154" t="n"/>
      <c r="D317" s="154" t="n"/>
      <c r="E317" s="159" t="n"/>
      <c r="F317" s="158" t="inlineStr">
        <is>
          <t>($M)</t>
        </is>
      </c>
      <c r="G317" s="158" t="inlineStr">
        <is>
          <t>($M)</t>
        </is>
      </c>
      <c r="H317" s="159" t="n"/>
      <c r="I317" s="158" t="inlineStr">
        <is>
          <t>($M)</t>
        </is>
      </c>
      <c r="J317" s="158" t="inlineStr">
        <is>
          <t>($M)</t>
        </is>
      </c>
      <c r="K317" s="159" t="n"/>
      <c r="L317" s="158" t="inlineStr">
        <is>
          <t>($M)</t>
        </is>
      </c>
      <c r="M317" s="158" t="inlineStr">
        <is>
          <t>($M)</t>
        </is>
      </c>
    </row>
    <row r="318" ht="15.75" customHeight="1">
      <c r="A318" s="152" t="n"/>
      <c r="B318" s="155" t="n"/>
      <c r="C318" s="154" t="n"/>
      <c r="D318" s="160" t="inlineStr">
        <is>
          <t>modellable</t>
        </is>
      </c>
      <c r="E318" s="161">
        <f>SUMIFS(BSCRInput[count_policies],BSCRInput[bscr_entity],"HIC",BSCRInput[region],"ALL",BSCRInput[peril_id],1,BSCRInput[is_geocoded],1,BSCRInput[cntrycode],"US")</f>
        <v>31.0</v>
      </c>
      <c r="F318" s="162">
        <f>SUMIFS(BSCRInput[sum_pml],BSCRInput[bscr_entity],"HIC",BSCRInput[region],"ALL",BSCRInput[peril_id],1,BSCRInput[is_geocoded],1,BSCRInput[cntrycode],"US")/1000000</f>
        <v>30.570795900000004</v>
      </c>
      <c r="G318" s="162">
        <f>SUMIFS(BSCRInput[sum_net],BSCRInput[bscr_entity],"HIC",BSCRInput[region],"ALL",BSCRInput[peril_id],1,BSCRInput[is_geocoded],1,BSCRInput[cntrycode],"US")/1000000</f>
        <v>30.570795900000004</v>
      </c>
      <c r="H318" s="161">
        <f>(SUMIFS(BSCRInput[count_policies],BSCRInput[bscr_entity],"HIC",BSCRInput[region],"ALL",BSCRInput[peril_id],1,BSCRInput[is_geocoded],1)-SUMIFS(BSCRInput[count_policies],BSCRInput[bscr_entity],"HIC",BSCRInput[region],"ALL",BSCRInput[peril_id],1,BSCRInput[is_geocoded],1,BSCRInput[cntrycode],"US"))</f>
        <v>173626.0</v>
      </c>
      <c r="I318" s="162">
        <f>(SUMIFS(BSCRInput[sum_pml],BSCRInput[bscr_entity],"HIC",BSCRInput[region],"ALL",BSCRInput[peril_id],1,BSCRInput[is_geocoded],1)-SUMIFS(BSCRInput[sum_pml],BSCRInput[bscr_entity],"HIC",BSCRInput[region],"ALL",BSCRInput[peril_id],1,BSCRInput[is_geocoded],1,BSCRInput[cntrycode],"US"))/1000000</f>
        <v>164299.9750354984</v>
      </c>
      <c r="J318" s="162">
        <f>(SUMIFS(BSCRInput[sum_net],BSCRInput[bscr_entity],"HIC",BSCRInput[region],"ALL",BSCRInput[peril_id],1,BSCRInput[is_geocoded],1)-SUMIFS(BSCRInput[sum_net],BSCRInput[bscr_entity],"HIC",BSCRInput[region],"ALL",BSCRInput[peril_id],1,BSCRInput[is_geocoded],1,BSCRInput[cntrycode],"US"))/1000000</f>
        <v>164299.9750354984</v>
      </c>
      <c r="K318" s="163">
        <f>SUMIFS(BSCRInput[count_policies],BSCRInput[bscr_entity],"HIC",BSCRInput[region],"ALL",BSCRInput[peril_id],1,BSCRInput[is_geocoded],1)</f>
        <v>173657.0</v>
      </c>
      <c r="L318" s="164">
        <f>SUMIFS(BSCRInput[sum_pml],BSCRInput[bscr_entity],"HIC",BSCRInput[region],"ALL",BSCRInput[peril_id],1,BSCRInput[is_geocoded],1)/1000000</f>
        <v>164330.5458313984</v>
      </c>
      <c r="M318" s="164">
        <f>SUMIFS(BSCRInput[sum_net],BSCRInput[bscr_entity],"HIC",BSCRInput[region],"ALL",BSCRInput[peril_id],1,BSCRInput[is_geocoded],1)/1000000</f>
        <v>164330.5458313984</v>
      </c>
    </row>
    <row r="319" ht="15.75" customHeight="1">
      <c r="A319" s="152" t="n"/>
      <c r="B319" s="155" t="n"/>
      <c r="C319" s="154" t="n"/>
      <c r="D319" s="160" t="inlineStr">
        <is>
          <t>Not modellable</t>
        </is>
      </c>
      <c r="E319" s="161">
        <f>SUMIFS(BSCRInput[count_policies],BSCRInput[bscr_entity],"HIC",BSCRInput[region],"ALL",BSCRInput[peril_id],1,BSCRInput[is_geocoded],0,BSCRInput[cntrycode],"US")</f>
        <v>1.0</v>
      </c>
      <c r="F319" s="162">
        <f>SUMIFS(BSCRInput[sum_pml],BSCRInput[bscr_entity],"HIC",BSCRInput[region],"ALL",BSCRInput[peril_id],1,BSCRInput[is_geocoded],0,BSCRInput[cntrycode],"US")/1000000</f>
        <v>0.13635</v>
      </c>
      <c r="G319" s="162">
        <f>SUMIFS(BSCRInput[sum_net],BSCRInput[bscr_entity],"HIC",BSCRInput[region],"ALL",BSCRInput[peril_id],1,BSCRInput[is_geocoded],0,BSCRInput[cntrycode],"US")/1000000</f>
        <v>0.13635</v>
      </c>
      <c r="H319" s="161">
        <f>(SUMIFS(BSCRInput[count_policies],BSCRInput[bscr_entity],"HIC",BSCRInput[region],"ALL",BSCRInput[peril_id],1,BSCRInput[is_geocoded],0)-SUMIFS(BSCRInput[count_policies],BSCRInput[bscr_entity],"HIC",BSCRInput[region],"ALL",BSCRInput[peril_id],1,BSCRInput[is_geocoded],0,BSCRInput[cntrycode],"US"))</f>
        <v>25.0</v>
      </c>
      <c r="I319" s="162">
        <f>(SUMIFS(BSCRInput[sum_pml],BSCRInput[bscr_entity],"HIC",BSCRInput[region],"ALL",BSCRInput[peril_id],1,BSCRInput[is_geocoded],0)-SUMIFS(BSCRInput[sum_pml],BSCRInput[bscr_entity],"HIC",BSCRInput[region],"ALL",BSCRInput[peril_id],1,BSCRInput[is_geocoded],0,BSCRInput[cntrycode],"US"))/1000000</f>
        <v>13.147585740000002</v>
      </c>
      <c r="J319" s="162">
        <f>(SUMIFS(BSCRInput[sum_net],BSCRInput[bscr_entity],"HIC",BSCRInput[region],"ALL",BSCRInput[peril_id],1,BSCRInput[is_geocoded],0)-SUMIFS(BSCRInput[sum_net],BSCRInput[bscr_entity],"HIC",BSCRInput[region],"ALL",BSCRInput[peril_id],1,BSCRInput[is_geocoded],0,BSCRInput[cntrycode],"US"))/1000000</f>
        <v>13.147585740000002</v>
      </c>
      <c r="K319" s="163">
        <f>SUMIFS(BSCRInput[count_policies],BSCRInput[bscr_entity],"HIC",BSCRInput[region],"ALL",BSCRInput[peril_id],1,BSCRInput[is_geocoded],0)</f>
        <v>26.0</v>
      </c>
      <c r="L319" s="164">
        <f>SUMIFS(BSCRInput[sum_pml],BSCRInput[bscr_entity],"HIC",BSCRInput[region],"ALL",BSCRInput[peril_id],1,BSCRInput[is_geocoded],0)/1000000</f>
        <v>13.283935740000002</v>
      </c>
      <c r="M319" s="164">
        <f>SUMIFS(BSCRInput[sum_net],BSCRInput[bscr_entity],"HIC",BSCRInput[region],"ALL",BSCRInput[peril_id],1,BSCRInput[is_geocoded],0)/1000000</f>
        <v>13.283935740000002</v>
      </c>
    </row>
    <row r="320" ht="15.75" customHeight="1">
      <c r="A320" s="152" t="n"/>
      <c r="B320" s="155" t="n"/>
      <c r="C320" s="154" t="n"/>
      <c r="D320" s="160" t="inlineStr">
        <is>
          <t>Total</t>
        </is>
      </c>
      <c r="E320" s="165">
        <f>SUMIFS(BSCRInput[count_policies],BSCRInput[bscr_entity],"HIC",BSCRInput[region],"ALL",BSCRInput[peril_id],1,BSCRInput[cntrycode],"US")</f>
        <v>32.0</v>
      </c>
      <c r="F320" s="166">
        <f>SUMIFS(BSCRInput[sum_pml],BSCRInput[bscr_entity],"HIC",BSCRInput[region],"ALL",BSCRInput[peril_id],1,BSCRInput[cntrycode],"US")/1000000</f>
        <v>30.707145900000004</v>
      </c>
      <c r="G320" s="166">
        <f>SUMIFS(BSCRInput[sum_net],BSCRInput[bscr_entity],"HIC",BSCRInput[region],"ALL",BSCRInput[peril_id],1,BSCRInput[cntrycode],"US")/1000000</f>
        <v>30.707145900000004</v>
      </c>
      <c r="H320" s="165">
        <f>(SUMIFS(BSCRInput[count_policies],BSCRInput[bscr_entity],"HIC",BSCRInput[region],"ALL",BSCRInput[peril_id],1)-SUMIFS(BSCRInput[count_policies],BSCRInput[bscr_entity],"HIC",BSCRInput[region],"ALL",BSCRInput[peril_id],1,BSCRInput[cntrycode],"US"))</f>
        <v>173651.0</v>
      </c>
      <c r="I320" s="166">
        <f>(SUMIFS(BSCRInput[sum_pml],BSCRInput[bscr_entity],"HIC",BSCRInput[region],"ALL",BSCRInput[peril_id],1)-SUMIFS(BSCRInput[sum_pml],BSCRInput[bscr_entity],"HIC",BSCRInput[region],"ALL",BSCRInput[peril_id],1,BSCRInput[cntrycode],"US"))/1000000</f>
        <v>164313.12262123844</v>
      </c>
      <c r="J320" s="166">
        <f>(SUMIFS(BSCRInput[sum_net],BSCRInput[bscr_entity],"HIC",BSCRInput[region],"ALL",BSCRInput[peril_id],1)-SUMIFS(BSCRInput[sum_net],BSCRInput[bscr_entity],"HIC",BSCRInput[region],"ALL",BSCRInput[peril_id],1,BSCRInput[cntrycode],"US"))/1000000</f>
        <v>164313.12262123844</v>
      </c>
      <c r="K320" s="165">
        <f>SUMIFS(BSCRInput[count_policies],BSCRInput[bscr_entity],"HIC",BSCRInput[region],"ALL",BSCRInput[peril_id],1)</f>
        <v>173683.0</v>
      </c>
      <c r="L320" s="166">
        <f>SUMIFS(BSCRInput[sum_pml],BSCRInput[bscr_entity],"HIC",BSCRInput[region],"ALL",BSCRInput[peril_id],1)/1000000</f>
        <v>164343.82976713844</v>
      </c>
      <c r="M320" s="166">
        <f>SUMIFS(BSCRInput[sum_net],BSCRInput[bscr_entity],"HIC",BSCRInput[region],"ALL",BSCRInput[peril_id],1)/1000000</f>
        <v>164343.82976713844</v>
      </c>
    </row>
    <row r="321" ht="9.199999999999999" customHeight="1">
      <c r="A321" s="152" t="n"/>
      <c r="B321" s="155" t="n"/>
      <c r="C321" s="154" t="n"/>
      <c r="D321" s="154" t="n"/>
      <c r="E321" s="154" t="n"/>
      <c r="F321" s="154" t="n"/>
      <c r="G321" s="154" t="n"/>
      <c r="H321" s="154" t="n"/>
      <c r="I321" s="154" t="n"/>
      <c r="J321" s="154" t="n"/>
      <c r="K321" s="154" t="n"/>
      <c r="L321" s="154" t="n"/>
      <c r="M321" s="154" t="n"/>
    </row>
    <row r="322" ht="15.75" customHeight="1">
      <c r="A322" s="152" t="n"/>
      <c r="B322" s="155" t="n">
        <v>2</v>
      </c>
      <c r="C322" s="155" t="inlineStr">
        <is>
          <t>For those contracts that are written by the insurance group that may be modelled, provide splits of those that are:</t>
        </is>
      </c>
      <c r="D322" s="154" t="n"/>
      <c r="E322" s="154" t="n"/>
      <c r="F322" s="154" t="n"/>
      <c r="G322" s="154" t="n"/>
      <c r="H322" s="154" t="n"/>
      <c r="I322" s="154" t="n"/>
      <c r="J322" s="154" t="n"/>
      <c r="K322" s="154" t="n"/>
      <c r="L322" s="167" t="n"/>
      <c r="M322" s="167" t="n"/>
    </row>
    <row r="323" ht="9.199999999999999" customHeight="1">
      <c r="A323" s="152" t="n"/>
      <c r="B323" s="155" t="n"/>
      <c r="C323" s="154" t="n"/>
      <c r="D323" s="154" t="n"/>
      <c r="E323" s="154" t="n"/>
      <c r="F323" s="154" t="n"/>
      <c r="G323" s="154" t="n"/>
      <c r="H323" s="154" t="n"/>
      <c r="I323" s="154" t="n"/>
      <c r="J323" s="154" t="n"/>
      <c r="K323" s="154" t="n"/>
      <c r="L323" s="154" t="n"/>
      <c r="M323" s="154" t="n"/>
    </row>
    <row r="324" ht="27.2" customHeight="1">
      <c r="A324" s="152" t="n"/>
      <c r="B324" s="155" t="n"/>
      <c r="C324" s="154" t="n"/>
      <c r="D324" s="154" t="n"/>
      <c r="E324" s="156" t="str">
        <f>+E315</f>
        <v>U.S. specific contracts - all exposures</v>
      </c>
      <c r="F324" s="157" t="n"/>
      <c r="G324" s="22" t="n"/>
      <c r="H324" s="156" t="str">
        <f>+H315</f>
        <v>All other contracts - all exposures</v>
      </c>
      <c r="I324" s="157" t="n"/>
      <c r="J324" s="22" t="n"/>
      <c r="K324" s="156" t="inlineStr">
        <is>
          <t>Total</t>
        </is>
      </c>
      <c r="L324" s="157" t="n"/>
      <c r="M324" s="22" t="n"/>
    </row>
    <row r="325" ht="31.5" customHeight="1">
      <c r="A325" s="152" t="n"/>
      <c r="B325" s="155" t="n"/>
      <c r="C325" s="154" t="n"/>
      <c r="D325" s="154" t="n"/>
      <c r="E325" s="158" t="inlineStr">
        <is>
          <t>Contract count</t>
        </is>
      </c>
      <c r="F325" s="158" t="inlineStr">
        <is>
          <t xml:space="preserve">Gross limit provided </t>
        </is>
      </c>
      <c r="G325" s="158" t="inlineStr">
        <is>
          <t>Net limit provided</t>
        </is>
      </c>
      <c r="H325" s="158" t="inlineStr">
        <is>
          <t>Contract count</t>
        </is>
      </c>
      <c r="I325" s="158" t="inlineStr">
        <is>
          <t xml:space="preserve">Gross limit provided </t>
        </is>
      </c>
      <c r="J325" s="158" t="inlineStr">
        <is>
          <t>Net limit provided</t>
        </is>
      </c>
      <c r="K325" s="158" t="inlineStr">
        <is>
          <t>Contract count</t>
        </is>
      </c>
      <c r="L325" s="158" t="inlineStr">
        <is>
          <t xml:space="preserve">Gross limit provided </t>
        </is>
      </c>
      <c r="M325" s="158" t="inlineStr">
        <is>
          <t>Net limit provided</t>
        </is>
      </c>
    </row>
    <row r="326" ht="15.75" customHeight="1">
      <c r="A326" s="152" t="n"/>
      <c r="B326" s="155" t="n"/>
      <c r="C326" s="154" t="n"/>
      <c r="D326" s="154" t="n"/>
      <c r="E326" s="159" t="n"/>
      <c r="F326" s="158" t="inlineStr">
        <is>
          <t>($M)</t>
        </is>
      </c>
      <c r="G326" s="158" t="inlineStr">
        <is>
          <t>($M)</t>
        </is>
      </c>
      <c r="H326" s="159" t="n"/>
      <c r="I326" s="158" t="inlineStr">
        <is>
          <t>($M)</t>
        </is>
      </c>
      <c r="J326" s="158" t="inlineStr">
        <is>
          <t>($M)</t>
        </is>
      </c>
      <c r="K326" s="159" t="n"/>
      <c r="L326" s="158" t="inlineStr">
        <is>
          <t>($M)</t>
        </is>
      </c>
      <c r="M326" s="158" t="inlineStr">
        <is>
          <t>($M)</t>
        </is>
      </c>
    </row>
    <row r="327" ht="15.75" customHeight="1">
      <c r="A327" s="152" t="n"/>
      <c r="B327" s="155" t="n"/>
      <c r="C327" s="154" t="n"/>
      <c r="D327" s="160" t="inlineStr">
        <is>
          <t>modelled</t>
        </is>
      </c>
      <c r="E327" s="161">
        <f>SUMIFS(BSCRInput[count_policies],BSCRInput[bscr_entity],"HIC",BSCRInput[region],"ALL",BSCRInput[peril_id],1,BSCRInput[is_geocoded],1,BSCRInput[cntrycode],"US")</f>
        <v>31.0</v>
      </c>
      <c r="F327" s="162">
        <f>SUMIFS(BSCRInput[sum_pml],BSCRInput[bscr_entity],"HIC",BSCRInput[region],"ALL",BSCRInput[peril_id],1,BSCRInput[is_geocoded],1,BSCRInput[cntrycode],"US")/1000000</f>
        <v>30.570795900000004</v>
      </c>
      <c r="G327" s="162">
        <f>SUMIFS(BSCRInput[sum_net],BSCRInput[bscr_entity],"HIC",BSCRInput[region],"ALL",BSCRInput[peril_id],1,BSCRInput[is_geocoded],1,BSCRInput[cntrycode],"US")/1000000</f>
        <v>30.570795900000004</v>
      </c>
      <c r="H327" s="161">
        <f>(SUMIFS(BSCRInput[count_policies],BSCRInput[bscr_entity],"HIC",BSCRInput[region],"ALL",BSCRInput[peril_id],1,BSCRInput[is_geocoded],1)-SUMIFS(BSCRInput[count_policies],BSCRInput[bscr_entity],"HIC",BSCRInput[region],"ALL",BSCRInput[peril_id],1,BSCRInput[is_geocoded],1,BSCRInput[cntrycode],"US"))</f>
        <v>173626.0</v>
      </c>
      <c r="I327" s="162">
        <f>(SUMIFS(BSCRInput[sum_pml],BSCRInput[bscr_entity],"HIC",BSCRInput[region],"ALL",BSCRInput[peril_id],1,BSCRInput[is_geocoded],1)-SUMIFS(BSCRInput[sum_pml],BSCRInput[bscr_entity],"HIC",BSCRInput[region],"ALL",BSCRInput[peril_id],1,BSCRInput[is_geocoded],1,BSCRInput[cntrycode],"US"))/1000000</f>
        <v>164299.9750354984</v>
      </c>
      <c r="J327" s="162">
        <f>(SUMIFS(BSCRInput[sum_net],BSCRInput[bscr_entity],"HIC",BSCRInput[region],"ALL",BSCRInput[peril_id],1,BSCRInput[is_geocoded],1)-SUMIFS(BSCRInput[sum_net],BSCRInput[bscr_entity],"HIC",BSCRInput[region],"ALL",BSCRInput[peril_id],1,BSCRInput[is_geocoded],1,BSCRInput[cntrycode],"US"))/1000000</f>
        <v>164299.9750354984</v>
      </c>
      <c r="K327" s="163">
        <f>SUMIFS(BSCRInput[count_policies],BSCRInput[bscr_entity],"HIC",BSCRInput[region],"ALL",BSCRInput[peril_id],1,BSCRInput[is_geocoded],1)</f>
        <v>173657.0</v>
      </c>
      <c r="L327" s="164">
        <f>SUMIFS(BSCRInput[sum_pml],BSCRInput[bscr_entity],"HIC",BSCRInput[region],"ALL",BSCRInput[peril_id],1,BSCRInput[is_geocoded],1)/1000000</f>
        <v>164330.5458313984</v>
      </c>
      <c r="M327" s="164">
        <f>SUMIFS(BSCRInput[sum_net],BSCRInput[bscr_entity],"HIC",BSCRInput[region],"ALL",BSCRInput[peril_id],1,BSCRInput[is_geocoded],1)/1000000</f>
        <v>164330.5458313984</v>
      </c>
    </row>
    <row r="328" ht="15.75" customHeight="1">
      <c r="A328" s="152" t="n"/>
      <c r="B328" s="155" t="n"/>
      <c r="C328" s="154" t="n"/>
      <c r="D328" s="160" t="inlineStr">
        <is>
          <t>Not modelled</t>
        </is>
      </c>
      <c r="E328" s="161">
        <f>SUMIFS(BSCRInput[count_policies],BSCRInput[bscr_entity],"HIC",BSCRInput[region],"ALL",BSCRInput[peril_id],1,BSCRInput[is_geocoded],0,BSCRInput[cntrycode],"US")</f>
        <v>1.0</v>
      </c>
      <c r="F328" s="162">
        <f>SUMIFS(BSCRInput[sum_pml],BSCRInput[bscr_entity],"HIC",BSCRInput[region],"ALL",BSCRInput[peril_id],1,BSCRInput[is_geocoded],0,BSCRInput[cntrycode],"US")/1000000</f>
        <v>0.13635</v>
      </c>
      <c r="G328" s="162">
        <f>SUMIFS(BSCRInput[sum_net],BSCRInput[bscr_entity],"HIC",BSCRInput[region],"ALL",BSCRInput[peril_id],1,BSCRInput[is_geocoded],0,BSCRInput[cntrycode],"US")/1000000</f>
        <v>0.13635</v>
      </c>
      <c r="H328" s="161">
        <f>(SUMIFS(BSCRInput[count_policies],BSCRInput[bscr_entity],"HIC",BSCRInput[region],"ALL",BSCRInput[peril_id],1,BSCRInput[is_geocoded],0)-SUMIFS(BSCRInput[count_policies],BSCRInput[bscr_entity],"HIC",BSCRInput[region],"ALL",BSCRInput[peril_id],1,BSCRInput[is_geocoded],0,BSCRInput[cntrycode],"US"))</f>
        <v>25.0</v>
      </c>
      <c r="I328" s="162">
        <f>(SUMIFS(BSCRInput[sum_pml],BSCRInput[bscr_entity],"HIC",BSCRInput[region],"ALL",BSCRInput[peril_id],1,BSCRInput[is_geocoded],0)-SUMIFS(BSCRInput[sum_pml],BSCRInput[bscr_entity],"HIC",BSCRInput[region],"ALL",BSCRInput[peril_id],1,BSCRInput[is_geocoded],0,BSCRInput[cntrycode],"US"))/1000000</f>
        <v>13.147585740000002</v>
      </c>
      <c r="J328" s="162">
        <f>(SUMIFS(BSCRInput[sum_net],BSCRInput[bscr_entity],"HIC",BSCRInput[region],"ALL",BSCRInput[peril_id],1,BSCRInput[is_geocoded],0)-SUMIFS(BSCRInput[sum_net],BSCRInput[bscr_entity],"HIC",BSCRInput[region],"ALL",BSCRInput[peril_id],1,BSCRInput[is_geocoded],0,BSCRInput[cntrycode],"US"))/1000000</f>
        <v>13.147585740000002</v>
      </c>
      <c r="K328" s="163">
        <f>SUMIFS(BSCRInput[count_policies],BSCRInput[bscr_entity],"HIC",BSCRInput[region],"ALL",BSCRInput[peril_id],1,BSCRInput[is_geocoded],0)</f>
        <v>26.0</v>
      </c>
      <c r="L328" s="164">
        <f>SUMIFS(BSCRInput[sum_pml],BSCRInput[bscr_entity],"HIC",BSCRInput[region],"ALL",BSCRInput[peril_id],1,BSCRInput[is_geocoded],0)/1000000</f>
        <v>13.283935740000002</v>
      </c>
      <c r="M328" s="164">
        <f>SUMIFS(BSCRInput[sum_net],BSCRInput[bscr_entity],"HIC",BSCRInput[region],"ALL",BSCRInput[peril_id],1,BSCRInput[is_geocoded],0)/1000000</f>
        <v>13.283935740000002</v>
      </c>
    </row>
    <row r="329" ht="15.75" customHeight="1">
      <c r="A329" s="152" t="n"/>
      <c r="B329" s="155" t="n"/>
      <c r="C329" s="154" t="n"/>
      <c r="D329" s="160" t="inlineStr">
        <is>
          <t>Total</t>
        </is>
      </c>
      <c r="E329" s="165">
        <f>SUMIFS(BSCRInput[count_policies],BSCRInput[bscr_entity],"HIC",BSCRInput[region],"ALL",BSCRInput[peril_id],1,BSCRInput[cntrycode],"US")</f>
        <v>32.0</v>
      </c>
      <c r="F329" s="166">
        <f>SUMIFS(BSCRInput[sum_pml],BSCRInput[bscr_entity],"HIC",BSCRInput[region],"ALL",BSCRInput[peril_id],1,BSCRInput[cntrycode],"US")/1000000</f>
        <v>30.707145900000004</v>
      </c>
      <c r="G329" s="166">
        <f>SUMIFS(BSCRInput[sum_net],BSCRInput[bscr_entity],"HIC",BSCRInput[region],"ALL",BSCRInput[peril_id],1,BSCRInput[cntrycode],"US")/1000000</f>
        <v>30.707145900000004</v>
      </c>
      <c r="H329" s="165">
        <f>(SUMIFS(BSCRInput[count_policies],BSCRInput[bscr_entity],"HIC",BSCRInput[region],"ALL",BSCRInput[peril_id],1)-SUMIFS(BSCRInput[count_policies],BSCRInput[bscr_entity],"HIC",BSCRInput[region],"ALL",BSCRInput[peril_id],1,BSCRInput[cntrycode],"US"))</f>
        <v>173651.0</v>
      </c>
      <c r="I329" s="166">
        <f>(SUMIFS(BSCRInput[sum_pml],BSCRInput[bscr_entity],"HIC",BSCRInput[region],"ALL",BSCRInput[peril_id],1)-SUMIFS(BSCRInput[sum_pml],BSCRInput[bscr_entity],"HIC",BSCRInput[region],"ALL",BSCRInput[peril_id],1,BSCRInput[cntrycode],"US"))/1000000</f>
        <v>164313.12262123844</v>
      </c>
      <c r="J329" s="166">
        <f>(SUMIFS(BSCRInput[sum_net],BSCRInput[bscr_entity],"HIC",BSCRInput[region],"ALL",BSCRInput[peril_id],1)-SUMIFS(BSCRInput[sum_net],BSCRInput[bscr_entity],"HIC",BSCRInput[region],"ALL",BSCRInput[peril_id],1,BSCRInput[cntrycode],"US"))/1000000</f>
        <v>164313.12262123844</v>
      </c>
      <c r="K329" s="165">
        <f>SUMIFS(BSCRInput[count_policies],BSCRInput[bscr_entity],"HIC",BSCRInput[region],"ALL",BSCRInput[peril_id],1)</f>
        <v>173683.0</v>
      </c>
      <c r="L329" s="166">
        <f>SUMIFS(BSCRInput[sum_pml],BSCRInput[bscr_entity],"HIC",BSCRInput[region],"ALL",BSCRInput[peril_id],1)/1000000</f>
        <v>164343.82976713844</v>
      </c>
      <c r="M329" s="166">
        <f>SUMIFS(BSCRInput[sum_net],BSCRInput[bscr_entity],"HIC",BSCRInput[region],"ALL",BSCRInput[peril_id],1)/1000000</f>
        <v>164343.82976713844</v>
      </c>
    </row>
    <row r="330" ht="9.199999999999999" customHeight="1">
      <c r="A330" s="152" t="n"/>
      <c r="B330" s="155" t="n"/>
      <c r="C330" s="154" t="n"/>
      <c r="D330" s="160" t="n"/>
      <c r="E330" s="154" t="n"/>
      <c r="F330" s="154" t="n"/>
      <c r="G330" s="154" t="n"/>
      <c r="H330" s="154" t="n"/>
      <c r="I330" s="154" t="n"/>
      <c r="J330" s="154" t="n"/>
      <c r="K330" s="154" t="n"/>
      <c r="L330" s="154" t="n"/>
      <c r="M330" s="154" t="n"/>
    </row>
    <row r="331" ht="15.75" customHeight="1">
      <c r="A331" s="152" t="n"/>
      <c r="B331" s="155" t="n">
        <v>3</v>
      </c>
      <c r="C331" s="155" t="inlineStr">
        <is>
          <t>For those contracts that are written by the insurance group that are modelled, provide splits of those that are:</t>
        </is>
      </c>
      <c r="D331" s="160" t="n"/>
      <c r="E331" s="154" t="n"/>
      <c r="F331" s="154" t="n"/>
      <c r="G331" s="154" t="n"/>
      <c r="H331" s="154" t="n"/>
      <c r="I331" s="154" t="n"/>
      <c r="J331" s="154" t="n"/>
      <c r="K331" s="154" t="n"/>
      <c r="L331" s="154" t="n"/>
      <c r="M331" s="154" t="n"/>
    </row>
    <row r="332" ht="9.199999999999999" customHeight="1">
      <c r="A332" s="152" t="n"/>
      <c r="B332" s="155" t="n"/>
      <c r="C332" s="154" t="n"/>
      <c r="D332" s="160" t="n"/>
      <c r="E332" s="154" t="n"/>
      <c r="F332" s="154" t="n"/>
      <c r="G332" s="154" t="n"/>
      <c r="H332" s="154" t="n"/>
      <c r="I332" s="154" t="n"/>
      <c r="J332" s="154" t="n"/>
      <c r="K332" s="154" t="n"/>
      <c r="L332" s="154" t="n"/>
      <c r="M332" s="154" t="n"/>
    </row>
    <row r="333" ht="27.2" customHeight="1">
      <c r="A333" s="152" t="n"/>
      <c r="B333" s="155" t="n"/>
      <c r="C333" s="154" t="n"/>
      <c r="D333" s="160" t="n"/>
      <c r="E333" s="156" t="str">
        <f>+E315</f>
        <v>U.S. specific contracts - all exposures</v>
      </c>
      <c r="F333" s="157" t="n"/>
      <c r="G333" s="22" t="n"/>
      <c r="H333" s="156" t="str">
        <f>+H315</f>
        <v>All other contracts - all exposures</v>
      </c>
      <c r="I333" s="157" t="n"/>
      <c r="J333" s="22" t="n"/>
      <c r="K333" s="156" t="inlineStr">
        <is>
          <t>Total</t>
        </is>
      </c>
      <c r="L333" s="157" t="n"/>
      <c r="M333" s="22" t="n"/>
    </row>
    <row r="334" ht="31.5" customHeight="1">
      <c r="A334" s="152" t="n"/>
      <c r="B334" s="155" t="n"/>
      <c r="C334" s="154" t="n"/>
      <c r="D334" s="154" t="n"/>
      <c r="E334" s="158" t="inlineStr">
        <is>
          <t>Contract count</t>
        </is>
      </c>
      <c r="F334" s="158" t="inlineStr">
        <is>
          <t xml:space="preserve">Gross limit provided </t>
        </is>
      </c>
      <c r="G334" s="158" t="inlineStr">
        <is>
          <t>Net limit provided</t>
        </is>
      </c>
      <c r="H334" s="158" t="inlineStr">
        <is>
          <t>Contract count</t>
        </is>
      </c>
      <c r="I334" s="158" t="inlineStr">
        <is>
          <t xml:space="preserve">Gross limit provided </t>
        </is>
      </c>
      <c r="J334" s="158" t="inlineStr">
        <is>
          <t>Net limit provided</t>
        </is>
      </c>
      <c r="K334" s="158" t="inlineStr">
        <is>
          <t>Contract count</t>
        </is>
      </c>
      <c r="L334" s="158" t="inlineStr">
        <is>
          <t xml:space="preserve">Gross limit provided </t>
        </is>
      </c>
      <c r="M334" s="158" t="inlineStr">
        <is>
          <t>Net limit provided</t>
        </is>
      </c>
    </row>
    <row r="335" ht="15.75" customHeight="1">
      <c r="A335" s="152" t="n"/>
      <c r="B335" s="155" t="n"/>
      <c r="C335" s="154" t="n"/>
      <c r="D335" s="154" t="n"/>
      <c r="E335" s="159" t="n"/>
      <c r="F335" s="158" t="inlineStr">
        <is>
          <t>($M)</t>
        </is>
      </c>
      <c r="G335" s="158" t="inlineStr">
        <is>
          <t>($M)</t>
        </is>
      </c>
      <c r="H335" s="159" t="n"/>
      <c r="I335" s="158" t="inlineStr">
        <is>
          <t>($M)</t>
        </is>
      </c>
      <c r="J335" s="158" t="inlineStr">
        <is>
          <t>($M)</t>
        </is>
      </c>
      <c r="K335" s="159" t="n"/>
      <c r="L335" s="158" t="inlineStr">
        <is>
          <t>($M)</t>
        </is>
      </c>
      <c r="M335" s="158" t="inlineStr">
        <is>
          <t>($M)</t>
        </is>
      </c>
    </row>
    <row r="336" ht="15.75" customHeight="1">
      <c r="A336" s="152" t="n"/>
      <c r="B336" s="155" t="n"/>
      <c r="C336" s="154" t="n"/>
      <c r="D336" s="160" t="inlineStr">
        <is>
          <t>Detailed exposure data</t>
        </is>
      </c>
      <c r="E336" s="161">
        <f>SUMIFS(BSCRInput[count_policies],BSCRInput[bscr_entity],"HIC",BSCRInput[region],"ALL",BSCRInput[peril_id],1,BSCRInput[is_geocoded],1,BSCRInput[cntrycode],"US")</f>
        <v>31.0</v>
      </c>
      <c r="F336" s="162">
        <f>SUMIFS(BSCRInput[sum_pml],BSCRInput[bscr_entity],"HIC",BSCRInput[region],"ALL",BSCRInput[peril_id],1,BSCRInput[is_geocoded],1,BSCRInput[cntrycode],"US")/1000000</f>
        <v>30.570795900000004</v>
      </c>
      <c r="G336" s="162">
        <f>SUMIFS(BSCRInput[sum_net],BSCRInput[bscr_entity],"HIC",BSCRInput[region],"ALL",BSCRInput[peril_id],1,BSCRInput[is_geocoded],1,BSCRInput[cntrycode],"US")/1000000</f>
        <v>30.570795900000004</v>
      </c>
      <c r="H336" s="161">
        <f>(SUMIFS(BSCRInput[count_policies],BSCRInput[bscr_entity],"HIC",BSCRInput[region],"ALL",BSCRInput[peril_id],1,BSCRInput[is_geocoded],1)-SUMIFS(BSCRInput[count_policies],BSCRInput[bscr_entity],"HIC",BSCRInput[region],"ALL",BSCRInput[peril_id],1,BSCRInput[is_geocoded],1,BSCRInput[cntrycode],"US"))</f>
        <v>173626.0</v>
      </c>
      <c r="I336" s="162">
        <f>(SUMIFS(BSCRInput[sum_pml],BSCRInput[bscr_entity],"HIC",BSCRInput[region],"ALL",BSCRInput[peril_id],1,BSCRInput[is_geocoded],1)-SUMIFS(BSCRInput[sum_pml],BSCRInput[bscr_entity],"HIC",BSCRInput[region],"ALL",BSCRInput[peril_id],1,BSCRInput[is_geocoded],1,BSCRInput[cntrycode],"US"))/1000000</f>
        <v>164299.9750354984</v>
      </c>
      <c r="J336" s="162">
        <f>(SUMIFS(BSCRInput[sum_net],BSCRInput[bscr_entity],"HIC",BSCRInput[region],"ALL",BSCRInput[peril_id],1,BSCRInput[is_geocoded],1)-SUMIFS(BSCRInput[sum_net],BSCRInput[bscr_entity],"HIC",BSCRInput[region],"ALL",BSCRInput[peril_id],1,BSCRInput[is_geocoded],1,BSCRInput[cntrycode],"US"))/1000000</f>
        <v>164299.9750354984</v>
      </c>
      <c r="K336" s="163">
        <f>SUMIFS(BSCRInput[count_policies],BSCRInput[bscr_entity],"HIC",BSCRInput[region],"ALL",BSCRInput[peril_id],1,BSCRInput[is_geocoded],1)</f>
        <v>173657.0</v>
      </c>
      <c r="L336" s="164">
        <f>SUMIFS(BSCRInput[sum_pml],BSCRInput[bscr_entity],"HIC",BSCRInput[region],"ALL",BSCRInput[peril_id],1,BSCRInput[is_geocoded],1)/1000000</f>
        <v>164330.5458313984</v>
      </c>
      <c r="M336" s="164">
        <f>SUMIFS(BSCRInput[sum_net],BSCRInput[bscr_entity],"HIC",BSCRInput[region],"ALL",BSCRInput[peril_id],1,BSCRInput[is_geocoded],1)/1000000</f>
        <v>164330.5458313984</v>
      </c>
    </row>
    <row r="337" ht="15.75" customHeight="1">
      <c r="A337" s="152" t="n"/>
      <c r="B337" s="155" t="n"/>
      <c r="C337" s="154" t="n"/>
      <c r="D337" s="160" t="inlineStr">
        <is>
          <t>Aggregate exposure data</t>
        </is>
      </c>
      <c r="E337" s="161">
        <f>0</f>
        <v>0.0</v>
      </c>
      <c r="F337" s="162">
        <f>0</f>
        <v>0.0</v>
      </c>
      <c r="G337" s="162">
        <f>0</f>
        <v>0.0</v>
      </c>
      <c r="H337" s="161">
        <f>0</f>
        <v>0.0</v>
      </c>
      <c r="I337" s="162">
        <f>0</f>
        <v>0.0</v>
      </c>
      <c r="J337" s="162">
        <f>0</f>
        <v>0.0</v>
      </c>
      <c r="K337" s="163">
        <f>0</f>
        <v>0.0</v>
      </c>
      <c r="L337" s="164">
        <f>0</f>
        <v>0.0</v>
      </c>
      <c r="M337" s="164">
        <f>0</f>
        <v>0.0</v>
      </c>
    </row>
    <row r="338" ht="42.75" customHeight="1">
      <c r="A338" s="152" t="n"/>
      <c r="B338" s="155" t="n"/>
      <c r="C338" s="168" t="n"/>
      <c r="D338" s="43" t="n"/>
      <c r="E338" s="161">
        <f>0</f>
        <v>0.0</v>
      </c>
      <c r="F338" s="162">
        <f>0</f>
        <v>0.0</v>
      </c>
      <c r="G338" s="162">
        <f>0</f>
        <v>0.0</v>
      </c>
      <c r="H338" s="161">
        <f>0</f>
        <v>0.0</v>
      </c>
      <c r="I338" s="162">
        <f>0</f>
        <v>0.0</v>
      </c>
      <c r="J338" s="162">
        <f>0</f>
        <v>0.0</v>
      </c>
      <c r="K338" s="163">
        <f>0</f>
        <v>0.0</v>
      </c>
      <c r="L338" s="164">
        <f>0</f>
        <v>0.0</v>
      </c>
      <c r="M338" s="164">
        <f>0</f>
        <v>0.0</v>
      </c>
    </row>
    <row r="339" ht="27.2" customHeight="1">
      <c r="A339" s="152" t="n"/>
      <c r="B339" s="155" t="n"/>
      <c r="C339" s="168" t="n"/>
      <c r="D339" s="43" t="n"/>
      <c r="E339" s="161">
        <f>0</f>
        <v>0.0</v>
      </c>
      <c r="F339" s="162">
        <f>0</f>
        <v>0.0</v>
      </c>
      <c r="G339" s="162">
        <f>0</f>
        <v>0.0</v>
      </c>
      <c r="H339" s="161">
        <f>0</f>
        <v>0.0</v>
      </c>
      <c r="I339" s="162">
        <f>0</f>
        <v>0.0</v>
      </c>
      <c r="J339" s="162">
        <f>0</f>
        <v>0.0</v>
      </c>
      <c r="K339" s="163">
        <f>0</f>
        <v>0.0</v>
      </c>
      <c r="L339" s="164">
        <f>0</f>
        <v>0.0</v>
      </c>
      <c r="M339" s="164">
        <f>0</f>
        <v>0.0</v>
      </c>
    </row>
    <row r="340" ht="15.75" customHeight="1">
      <c r="A340" s="152" t="n"/>
      <c r="B340" s="155" t="n"/>
      <c r="C340" s="154" t="n"/>
      <c r="D340" s="160" t="inlineStr">
        <is>
          <t>Other</t>
        </is>
      </c>
      <c r="E340" s="161">
        <f>0</f>
        <v>0.0</v>
      </c>
      <c r="F340" s="162">
        <f>0</f>
        <v>0.0</v>
      </c>
      <c r="G340" s="162">
        <f>0</f>
        <v>0.0</v>
      </c>
      <c r="H340" s="161">
        <f>0</f>
        <v>0.0</v>
      </c>
      <c r="I340" s="162">
        <f>0</f>
        <v>0.0</v>
      </c>
      <c r="J340" s="162">
        <f>0</f>
        <v>0.0</v>
      </c>
      <c r="K340" s="163">
        <f>0</f>
        <v>0.0</v>
      </c>
      <c r="L340" s="164">
        <f>0</f>
        <v>0.0</v>
      </c>
      <c r="M340" s="164">
        <f>0</f>
        <v>0.0</v>
      </c>
    </row>
    <row r="341" ht="15.75" customHeight="1">
      <c r="A341" s="152" t="n"/>
      <c r="B341" s="155" t="n"/>
      <c r="C341" s="154" t="n"/>
      <c r="D341" s="160" t="inlineStr">
        <is>
          <t>Total</t>
        </is>
      </c>
      <c r="E341" s="165">
        <f>SUMIFS(BSCRInput[count_policies],BSCRInput[bscr_entity],"HIC",BSCRInput[region],"ALL",BSCRInput[peril_id],1,BSCRInput[is_geocoded],1,BSCRInput[cntrycode],"US")</f>
        <v>31.0</v>
      </c>
      <c r="F341" s="169">
        <f>SUMIFS(BSCRInput[sum_pml],BSCRInput[bscr_entity],"HIC",BSCRInput[region],"ALL",BSCRInput[peril_id],1,BSCRInput[is_geocoded],1,BSCRInput[cntrycode],"US")/1000000</f>
        <v>30.570795900000004</v>
      </c>
      <c r="G341" s="169">
        <f>SUMIFS(BSCRInput[sum_net],BSCRInput[bscr_entity],"HIC",BSCRInput[region],"ALL",BSCRInput[peril_id],1,BSCRInput[is_geocoded],1,BSCRInput[cntrycode],"US")/1000000</f>
        <v>30.570795900000004</v>
      </c>
      <c r="H341" s="170">
        <f>(SUMIFS(BSCRInput[count_policies],BSCRInput[bscr_entity],"HIC",BSCRInput[region],"ALL",BSCRInput[peril_id],1,BSCRInput[is_geocoded],1)-SUMIFS(BSCRInput[count_policies],BSCRInput[bscr_entity],"HIC",BSCRInput[region],"ALL",BSCRInput[peril_id],1,BSCRInput[is_geocoded],1,BSCRInput[cntrycode],"US"))</f>
        <v>173626.0</v>
      </c>
      <c r="I341" s="169">
        <f>(SUMIFS(BSCRInput[sum_pml],BSCRInput[bscr_entity],"HIC",BSCRInput[region],"ALL",BSCRInput[peril_id],1,BSCRInput[is_geocoded],1)-SUMIFS(BSCRInput[sum_pml],BSCRInput[bscr_entity],"HIC",BSCRInput[region],"ALL",BSCRInput[peril_id],1,BSCRInput[is_geocoded],1,BSCRInput[cntrycode],"US"))/1000000</f>
        <v>164299.9750354984</v>
      </c>
      <c r="J341" s="166">
        <f>(SUMIFS(BSCRInput[sum_net],BSCRInput[bscr_entity],"HIC",BSCRInput[region],"ALL",BSCRInput[peril_id],1,BSCRInput[is_geocoded],1)-SUMIFS(BSCRInput[sum_net],BSCRInput[bscr_entity],"HIC",BSCRInput[region],"ALL",BSCRInput[peril_id],1,BSCRInput[is_geocoded],1,BSCRInput[cntrycode],"US"))/1000000</f>
        <v>164299.9750354984</v>
      </c>
      <c r="K341" s="165">
        <f>SUMIFS(BSCRInput[count_policies],BSCRInput[bscr_entity],"HIC",BSCRInput[region],"ALL",BSCRInput[peril_id],1,BSCRInput[is_geocoded],1)</f>
        <v>173657.0</v>
      </c>
      <c r="L341" s="166">
        <f>SUMIFS(BSCRInput[sum_pml],BSCRInput[bscr_entity],"HIC",BSCRInput[region],"ALL",BSCRInput[peril_id],1,BSCRInput[is_geocoded],1)/1000000</f>
        <v>164330.5458313984</v>
      </c>
      <c r="M341" s="166">
        <f>SUMIFS(BSCRInput[sum_net],BSCRInput[bscr_entity],"HIC",BSCRInput[region],"ALL",BSCRInput[peril_id],1,BSCRInput[is_geocoded],1)/1000000</f>
        <v>164330.5458313984</v>
      </c>
    </row>
    <row r="342" ht="9.199999999999999" customHeight="1">
      <c r="A342" s="152" t="n"/>
      <c r="B342" s="155" t="n"/>
      <c r="C342" s="154" t="n"/>
      <c r="D342" s="160" t="n"/>
      <c r="E342" s="167" t="n"/>
      <c r="F342" s="167" t="n"/>
      <c r="G342" s="167" t="n"/>
      <c r="H342" s="154" t="n"/>
      <c r="I342" s="154" t="n"/>
      <c r="J342" s="154" t="n"/>
      <c r="K342" s="154" t="n"/>
      <c r="L342" s="154" t="n"/>
      <c r="M342" s="154" t="n"/>
    </row>
    <row r="343" ht="15.75" customHeight="1">
      <c r="A343" s="152" t="n"/>
      <c r="B343" s="155" t="n"/>
      <c r="C343" s="154" t="inlineStr">
        <is>
          <t>If other is selected, describe the methodology as appropriate:</t>
        </is>
      </c>
      <c r="D343" s="154" t="n"/>
      <c r="E343" s="167" t="n"/>
      <c r="F343" s="167" t="n"/>
      <c r="G343" s="167" t="n"/>
      <c r="H343" s="154" t="n"/>
      <c r="I343" s="154" t="n"/>
      <c r="J343" s="154" t="n"/>
      <c r="K343" s="154" t="n"/>
      <c r="L343" s="154" t="n"/>
      <c r="M343" s="154" t="n"/>
    </row>
    <row r="344" ht="15.75" customHeight="1">
      <c r="A344" s="152" t="n"/>
      <c r="B344" s="155" t="n"/>
      <c r="C344" s="171" t="n"/>
      <c r="D344" s="45" t="n"/>
      <c r="E344" s="45" t="n"/>
      <c r="F344" s="45" t="n"/>
      <c r="G344" s="45" t="n"/>
      <c r="H344" s="45" t="n"/>
      <c r="I344" s="45" t="n"/>
      <c r="J344" s="45" t="n"/>
      <c r="K344" s="45" t="n"/>
      <c r="L344" s="45" t="n"/>
      <c r="M344" s="46" t="n"/>
    </row>
    <row r="345" ht="9.199999999999999" customHeight="1">
      <c r="A345" s="152" t="n"/>
      <c r="B345" s="155" t="n"/>
      <c r="C345" s="154" t="n"/>
      <c r="D345" s="154" t="n"/>
      <c r="E345" s="154" t="n"/>
      <c r="F345" s="154" t="n"/>
      <c r="G345" s="154" t="n"/>
      <c r="H345" s="154" t="n"/>
      <c r="I345" s="154" t="n"/>
      <c r="J345" s="154" t="n"/>
      <c r="K345" s="154" t="n"/>
      <c r="L345" s="154" t="n"/>
      <c r="M345" s="154" t="n"/>
    </row>
    <row r="346" ht="15.75" customHeight="1">
      <c r="A346" s="152" t="n"/>
      <c r="B346" s="155" t="n">
        <v>4</v>
      </c>
      <c r="C346" s="155" t="inlineStr">
        <is>
          <t xml:space="preserve">For those contracts that are written by the insurance group that may be modelled (but are not modelled), provide splits of those that are: </t>
        </is>
      </c>
      <c r="D346" s="154" t="n"/>
      <c r="E346" s="154" t="n"/>
      <c r="F346" s="154" t="n"/>
      <c r="G346" s="154" t="n"/>
      <c r="H346" s="154" t="n"/>
      <c r="I346" s="154" t="n"/>
      <c r="J346" s="154" t="n"/>
      <c r="K346" s="154" t="n"/>
      <c r="L346" s="154" t="n"/>
      <c r="M346" s="154" t="n"/>
    </row>
    <row r="347" ht="9.199999999999999" customHeight="1">
      <c r="A347" s="152" t="n"/>
      <c r="B347" s="155" t="n"/>
      <c r="C347" s="154" t="n"/>
      <c r="D347" s="154" t="n"/>
      <c r="E347" s="154" t="n"/>
      <c r="F347" s="154" t="n"/>
      <c r="G347" s="154" t="n"/>
      <c r="H347" s="154" t="n"/>
      <c r="I347" s="154" t="n"/>
      <c r="J347" s="154" t="n"/>
      <c r="K347" s="154" t="n"/>
      <c r="L347" s="154" t="n"/>
      <c r="M347" s="154" t="n"/>
    </row>
    <row r="348" ht="25.5" customHeight="1">
      <c r="A348" s="152" t="n"/>
      <c r="B348" s="155" t="n"/>
      <c r="C348" s="154" t="n"/>
      <c r="D348" s="154" t="n"/>
      <c r="E348" s="156" t="str">
        <f>+E315</f>
        <v>U.S. specific contracts - all exposures</v>
      </c>
      <c r="F348" s="157" t="n"/>
      <c r="G348" s="22" t="n"/>
      <c r="H348" s="156" t="str">
        <f>+H315</f>
        <v>All other contracts - all exposures</v>
      </c>
      <c r="I348" s="157" t="n"/>
      <c r="J348" s="22" t="n"/>
      <c r="K348" s="156" t="inlineStr">
        <is>
          <t>Total</t>
        </is>
      </c>
      <c r="L348" s="157" t="n"/>
      <c r="M348" s="22" t="n"/>
    </row>
    <row r="349" ht="31.5" customHeight="1">
      <c r="A349" s="152" t="n"/>
      <c r="B349" s="155" t="n"/>
      <c r="C349" s="154" t="n"/>
      <c r="D349" s="154" t="n"/>
      <c r="E349" s="158" t="inlineStr">
        <is>
          <t>Contract count</t>
        </is>
      </c>
      <c r="F349" s="158" t="inlineStr">
        <is>
          <t xml:space="preserve">Gross limit provided </t>
        </is>
      </c>
      <c r="G349" s="158" t="inlineStr">
        <is>
          <t>Net limit provided</t>
        </is>
      </c>
      <c r="H349" s="158" t="inlineStr">
        <is>
          <t>Contract count</t>
        </is>
      </c>
      <c r="I349" s="158" t="inlineStr">
        <is>
          <t xml:space="preserve">Gross limit provided </t>
        </is>
      </c>
      <c r="J349" s="158" t="inlineStr">
        <is>
          <t>Net limit provided</t>
        </is>
      </c>
      <c r="K349" s="158" t="inlineStr">
        <is>
          <t>Contract count</t>
        </is>
      </c>
      <c r="L349" s="158" t="inlineStr">
        <is>
          <t xml:space="preserve">Gross limit provided </t>
        </is>
      </c>
      <c r="M349" s="158" t="inlineStr">
        <is>
          <t>Net limit provided</t>
        </is>
      </c>
    </row>
    <row r="350" ht="15.75" customHeight="1">
      <c r="A350" s="152" t="n"/>
      <c r="B350" s="155" t="n"/>
      <c r="C350" s="154" t="n"/>
      <c r="D350" s="154" t="n"/>
      <c r="E350" s="159" t="n"/>
      <c r="F350" s="158" t="inlineStr">
        <is>
          <t>($M)</t>
        </is>
      </c>
      <c r="G350" s="158" t="inlineStr">
        <is>
          <t>($M)</t>
        </is>
      </c>
      <c r="H350" s="159" t="n"/>
      <c r="I350" s="158" t="inlineStr">
        <is>
          <t>($M)</t>
        </is>
      </c>
      <c r="J350" s="158" t="inlineStr">
        <is>
          <t>($M)</t>
        </is>
      </c>
      <c r="K350" s="159" t="n"/>
      <c r="L350" s="158" t="inlineStr">
        <is>
          <t>($M)</t>
        </is>
      </c>
      <c r="M350" s="158" t="inlineStr">
        <is>
          <t>($M)</t>
        </is>
      </c>
    </row>
    <row r="351" ht="15.75" customHeight="1">
      <c r="A351" s="152" t="n"/>
      <c r="B351" s="155" t="n"/>
      <c r="C351" s="154" t="n"/>
      <c r="D351" s="160" t="inlineStr">
        <is>
          <t>Data deficient</t>
        </is>
      </c>
      <c r="E351" s="161">
        <f>SUMIFS(BSCRInput[count_policies],BSCRInput[bscr_entity],"HIC",BSCRInput[region],"ALL",BSCRInput[peril_id],1,BSCRInput[is_geocoded],0,BSCRInput[cntrycode],"US")</f>
        <v>1.0</v>
      </c>
      <c r="F351" s="162">
        <f>SUMIFS(BSCRInput[sum_pml],BSCRInput[bscr_entity],"HIC",BSCRInput[region],"ALL",BSCRInput[peril_id],1,BSCRInput[is_geocoded],0,BSCRInput[cntrycode],"US")/1000000</f>
        <v>0.13635</v>
      </c>
      <c r="G351" s="162">
        <f>SUMIFS(BSCRInput[sum_net],BSCRInput[bscr_entity],"HIC",BSCRInput[region],"ALL",BSCRInput[peril_id],1,BSCRInput[is_geocoded],0,BSCRInput[cntrycode],"US")/1000000</f>
        <v>0.13635</v>
      </c>
      <c r="H351" s="161">
        <f>(SUMIFS(BSCRInput[count_policies],BSCRInput[bscr_entity],"HIC",BSCRInput[region],"ALL",BSCRInput[peril_id],1,BSCRInput[is_geocoded],0)-SUMIFS(BSCRInput[count_policies],BSCRInput[bscr_entity],"HIC",BSCRInput[region],"ALL",BSCRInput[peril_id],1,BSCRInput[is_geocoded],0,BSCRInput[cntrycode],"US"))</f>
        <v>25.0</v>
      </c>
      <c r="I351" s="162">
        <f>(SUMIFS(BSCRInput[sum_pml],BSCRInput[bscr_entity],"HIC",BSCRInput[region],"ALL",BSCRInput[peril_id],1,BSCRInput[is_geocoded],0)-SUMIFS(BSCRInput[sum_pml],BSCRInput[bscr_entity],"HIC",BSCRInput[region],"ALL",BSCRInput[peril_id],1,BSCRInput[is_geocoded],0,BSCRInput[cntrycode],"US"))/1000000</f>
        <v>13.147585740000002</v>
      </c>
      <c r="J351" s="162">
        <f>(SUMIFS(BSCRInput[sum_net],BSCRInput[bscr_entity],"HIC",BSCRInput[region],"ALL",BSCRInput[peril_id],1,BSCRInput[is_geocoded],0)-SUMIFS(BSCRInput[sum_net],BSCRInput[bscr_entity],"HIC",BSCRInput[region],"ALL",BSCRInput[peril_id],1,BSCRInput[is_geocoded],0,BSCRInput[cntrycode],"US"))/1000000</f>
        <v>13.147585740000002</v>
      </c>
      <c r="K351" s="163">
        <f>SUMIFS(BSCRInput[count_policies],BSCRInput[bscr_entity],"HIC",BSCRInput[region],"ALL",BSCRInput[peril_id],1,BSCRInput[is_geocoded],0)</f>
        <v>26.0</v>
      </c>
      <c r="L351" s="164">
        <f>SUMIFS(BSCRInput[sum_pml],BSCRInput[bscr_entity],"HIC",BSCRInput[region],"ALL",BSCRInput[peril_id],1,BSCRInput[is_geocoded],0)/1000000</f>
        <v>13.283935740000002</v>
      </c>
      <c r="M351" s="164">
        <f>SUMIFS(BSCRInput[sum_net],BSCRInput[bscr_entity],"HIC",BSCRInput[region],"ALL",BSCRInput[peril_id],1,BSCRInput[is_geocoded],0)/1000000</f>
        <v>13.283935740000002</v>
      </c>
    </row>
    <row r="352" ht="15.75" customHeight="1">
      <c r="A352" s="152" t="n"/>
      <c r="B352" s="155" t="n"/>
      <c r="C352" s="154" t="n"/>
      <c r="D352" s="160" t="inlineStr">
        <is>
          <t>Model deficient</t>
        </is>
      </c>
      <c r="E352" s="161">
        <f>0</f>
        <v>0.0</v>
      </c>
      <c r="F352" s="162">
        <f>0</f>
        <v>0.0</v>
      </c>
      <c r="G352" s="162">
        <f>0</f>
        <v>0.0</v>
      </c>
      <c r="H352" s="161">
        <f>0</f>
        <v>0.0</v>
      </c>
      <c r="I352" s="162">
        <f>0</f>
        <v>0.0</v>
      </c>
      <c r="J352" s="162">
        <f>0</f>
        <v>0.0</v>
      </c>
      <c r="K352" s="163">
        <f>0</f>
        <v>0.0</v>
      </c>
      <c r="L352" s="164">
        <f>0</f>
        <v>0.0</v>
      </c>
      <c r="M352" s="164">
        <f>0</f>
        <v>0.0</v>
      </c>
    </row>
    <row r="353" ht="15.75" customHeight="1">
      <c r="A353" s="152" t="n"/>
      <c r="B353" s="155" t="n"/>
      <c r="C353" s="154" t="n"/>
      <c r="D353" s="160" t="inlineStr">
        <is>
          <t>Other</t>
        </is>
      </c>
      <c r="E353" s="161">
        <f>0</f>
        <v>0.0</v>
      </c>
      <c r="F353" s="162">
        <f>0</f>
        <v>0.0</v>
      </c>
      <c r="G353" s="162">
        <f>0</f>
        <v>0.0</v>
      </c>
      <c r="H353" s="161">
        <f>0</f>
        <v>0.0</v>
      </c>
      <c r="I353" s="162">
        <f>0</f>
        <v>0.0</v>
      </c>
      <c r="J353" s="162">
        <f>0</f>
        <v>0.0</v>
      </c>
      <c r="K353" s="163">
        <f>0</f>
        <v>0.0</v>
      </c>
      <c r="L353" s="164">
        <f>0</f>
        <v>0.0</v>
      </c>
      <c r="M353" s="164">
        <f>0</f>
        <v>0.0</v>
      </c>
    </row>
    <row r="354" ht="16.5" customHeight="1">
      <c r="A354" s="152" t="n"/>
      <c r="B354" s="155" t="n"/>
      <c r="C354" s="154" t="n"/>
      <c r="D354" s="160" t="inlineStr">
        <is>
          <t>Total</t>
        </is>
      </c>
      <c r="E354" s="165">
        <f>SUMIFS(BSCRInput[count_policies],BSCRInput[bscr_entity],"HIC",BSCRInput[region],"ALL",BSCRInput[peril_id],1,BSCRInput[is_geocoded],0,BSCRInput[cntrycode],"US")</f>
        <v>1.0</v>
      </c>
      <c r="F354" s="166">
        <f>SUMIFS(BSCRInput[sum_pml],BSCRInput[bscr_entity],"HIC",BSCRInput[region],"ALL",BSCRInput[peril_id],1,BSCRInput[is_geocoded],0,BSCRInput[cntrycode],"US")/1000000</f>
        <v>0.13635</v>
      </c>
      <c r="G354" s="166">
        <f>SUMIFS(BSCRInput[sum_net],BSCRInput[bscr_entity],"HIC",BSCRInput[region],"ALL",BSCRInput[peril_id],1,BSCRInput[is_geocoded],0,BSCRInput[cntrycode],"US")/1000000</f>
        <v>0.13635</v>
      </c>
      <c r="H354" s="165">
        <f>(SUMIFS(BSCRInput[count_policies],BSCRInput[bscr_entity],"HIC",BSCRInput[region],"ALL",BSCRInput[peril_id],1,BSCRInput[is_geocoded],0)-SUMIFS(BSCRInput[count_policies],BSCRInput[bscr_entity],"HIC",BSCRInput[region],"ALL",BSCRInput[peril_id],1,BSCRInput[is_geocoded],0,BSCRInput[cntrycode],"US"))</f>
        <v>25.0</v>
      </c>
      <c r="I354" s="166">
        <f>(SUMIFS(BSCRInput[sum_pml],BSCRInput[bscr_entity],"HIC",BSCRInput[region],"ALL",BSCRInput[peril_id],1,BSCRInput[is_geocoded],0)-SUMIFS(BSCRInput[sum_pml],BSCRInput[bscr_entity],"HIC",BSCRInput[region],"ALL",BSCRInput[peril_id],1,BSCRInput[is_geocoded],0,BSCRInput[cntrycode],"US"))/1000000</f>
        <v>13.147585740000002</v>
      </c>
      <c r="J354" s="166">
        <f>(SUMIFS(BSCRInput[sum_net],BSCRInput[bscr_entity],"HIC",BSCRInput[region],"ALL",BSCRInput[peril_id],1,BSCRInput[is_geocoded],0)-SUMIFS(BSCRInput[sum_net],BSCRInput[bscr_entity],"HIC",BSCRInput[region],"ALL",BSCRInput[peril_id],1,BSCRInput[is_geocoded],0,BSCRInput[cntrycode],"US"))/1000000</f>
        <v>13.147585740000002</v>
      </c>
      <c r="K354" s="165">
        <f>SUMIFS(BSCRInput[count_policies],BSCRInput[bscr_entity],"HIC",BSCRInput[region],"ALL",BSCRInput[peril_id],1,BSCRInput[is_geocoded],0)</f>
        <v>26.0</v>
      </c>
      <c r="L354" s="166">
        <f>SUMIFS(BSCRInput[sum_pml],BSCRInput[bscr_entity],"HIC",BSCRInput[region],"ALL",BSCRInput[peril_id],1,BSCRInput[is_geocoded],0)/1000000</f>
        <v>13.283935740000002</v>
      </c>
      <c r="M354" s="166">
        <f>SUMIFS(BSCRInput[sum_net],BSCRInput[bscr_entity],"HIC",BSCRInput[region],"ALL",BSCRInput[peril_id],1,BSCRInput[is_geocoded],0)/1000000</f>
        <v>13.283935740000002</v>
      </c>
    </row>
    <row r="355" ht="9.199999999999999" customHeight="1">
      <c r="A355" s="152" t="n"/>
      <c r="B355" s="155" t="n"/>
      <c r="C355" s="154" t="n"/>
      <c r="D355" s="154" t="n"/>
      <c r="E355" s="154" t="n"/>
      <c r="F355" s="154" t="n"/>
      <c r="G355" s="154" t="n"/>
      <c r="H355" s="154" t="n"/>
      <c r="I355" s="154" t="n"/>
      <c r="J355" s="154" t="n"/>
      <c r="K355" s="154" t="n"/>
      <c r="L355" s="154" t="n"/>
      <c r="M355" s="154" t="n"/>
    </row>
    <row r="356" ht="15.75" customHeight="1">
      <c r="A356" s="152" t="n"/>
      <c r="B356" s="155" t="n"/>
      <c r="C356" s="154" t="inlineStr">
        <is>
          <t>If other is selected, describe the reasons for not modelling the contract(s):</t>
        </is>
      </c>
      <c r="D356" s="154" t="n"/>
      <c r="E356" s="167" t="n"/>
      <c r="F356" s="167" t="n"/>
      <c r="G356" s="167" t="n"/>
      <c r="H356" s="154" t="n"/>
      <c r="I356" s="154" t="n"/>
      <c r="J356" s="154" t="n"/>
      <c r="K356" s="154" t="n"/>
      <c r="L356" s="154" t="n"/>
      <c r="M356" s="154" t="n"/>
    </row>
    <row r="357" ht="15.75" customHeight="1">
      <c r="A357" s="152" t="n"/>
      <c r="B357" s="155" t="n"/>
      <c r="C357" s="171" t="n"/>
      <c r="D357" s="45" t="n"/>
      <c r="E357" s="45" t="n"/>
      <c r="F357" s="45" t="n"/>
      <c r="G357" s="45" t="n"/>
      <c r="H357" s="45" t="n"/>
      <c r="I357" s="45" t="n"/>
      <c r="J357" s="45" t="n"/>
      <c r="K357" s="45" t="n"/>
      <c r="L357" s="45" t="n"/>
      <c r="M357" s="46" t="n"/>
    </row>
    <row r="358" ht="9.199999999999999" customHeight="1">
      <c r="A358" s="152" t="n"/>
      <c r="B358" s="155" t="n"/>
      <c r="C358" s="154" t="n"/>
      <c r="D358" s="154" t="n"/>
      <c r="E358" s="154" t="n"/>
      <c r="F358" s="154" t="n"/>
      <c r="G358" s="154" t="n"/>
      <c r="H358" s="154" t="n"/>
      <c r="I358" s="154" t="n"/>
      <c r="J358" s="154" t="n"/>
      <c r="K358" s="154" t="n"/>
      <c r="L358" s="154" t="n"/>
      <c r="M358" s="154" t="n"/>
    </row>
    <row r="359" ht="30" customHeight="1">
      <c r="A359" s="152" t="n"/>
      <c r="B359" s="172" t="n">
        <v>5</v>
      </c>
      <c r="C359" s="173" t="inlineStr">
        <is>
          <t>For contracts that are written by the insurance group that may be modelled (but are not modelled), describe what the members of the insurance group do from an accumulation perspective.</t>
        </is>
      </c>
    </row>
    <row r="360" ht="9.199999999999999" customHeight="1">
      <c r="A360" s="152" t="n"/>
      <c r="B360" s="155" t="n"/>
      <c r="C360" s="154" t="n"/>
      <c r="D360" s="154" t="n"/>
      <c r="E360" s="154" t="n"/>
      <c r="F360" s="154" t="n"/>
      <c r="G360" s="154" t="n"/>
      <c r="H360" s="154" t="n"/>
      <c r="I360" s="154" t="n"/>
      <c r="J360" s="154" t="n"/>
      <c r="K360" s="154" t="n"/>
      <c r="L360" s="154" t="n"/>
      <c r="M360" s="154" t="n"/>
    </row>
    <row r="361" ht="18" customHeight="1">
      <c r="A361" s="152" t="n"/>
      <c r="B361" s="155" t="n"/>
      <c r="C361" s="171" t="n"/>
      <c r="D361" s="45" t="n"/>
      <c r="E361" s="45" t="n"/>
      <c r="F361" s="45" t="n"/>
      <c r="G361" s="45" t="n"/>
      <c r="H361" s="45" t="n"/>
      <c r="I361" s="45" t="n"/>
      <c r="J361" s="45" t="n"/>
      <c r="K361" s="45" t="n"/>
      <c r="L361" s="45" t="n"/>
      <c r="M361" s="46" t="n"/>
    </row>
    <row r="362" ht="9.199999999999999" customHeight="1">
      <c r="A362" s="152" t="n"/>
      <c r="B362" s="155" t="n"/>
      <c r="C362" s="154" t="n"/>
      <c r="D362" s="154" t="n"/>
      <c r="E362" s="154" t="n"/>
      <c r="F362" s="154" t="n"/>
      <c r="G362" s="154" t="n"/>
      <c r="H362" s="154" t="n"/>
      <c r="I362" s="154" t="n"/>
      <c r="J362" s="154" t="n"/>
      <c r="K362" s="154" t="n"/>
      <c r="L362" s="154" t="n"/>
      <c r="M362" s="154" t="n"/>
    </row>
    <row r="363" ht="15.75" customHeight="1">
      <c r="A363" s="152" t="n"/>
      <c r="B363" s="155" t="n">
        <v>6</v>
      </c>
      <c r="C363" s="155" t="inlineStr">
        <is>
          <t>For contracts that are written by the insurance group that are unable to be modelled, provide splits of those that are:</t>
        </is>
      </c>
      <c r="D363" s="154" t="n"/>
      <c r="E363" s="154" t="n"/>
      <c r="F363" s="154" t="n"/>
      <c r="G363" s="154" t="n"/>
      <c r="H363" s="154" t="n"/>
      <c r="I363" s="154" t="n"/>
      <c r="J363" s="154" t="n"/>
      <c r="K363" s="154" t="n"/>
      <c r="L363" s="154" t="n"/>
      <c r="M363" s="154" t="n"/>
    </row>
    <row r="364" ht="9.199999999999999" customHeight="1">
      <c r="A364" s="152" t="n"/>
      <c r="B364" s="155" t="n"/>
      <c r="C364" s="154" t="n"/>
      <c r="D364" s="154" t="n"/>
      <c r="E364" s="154" t="n"/>
      <c r="F364" s="154" t="n"/>
      <c r="G364" s="154" t="n"/>
      <c r="H364" s="154" t="n"/>
      <c r="I364" s="154" t="n"/>
      <c r="J364" s="154" t="n"/>
      <c r="K364" s="154" t="n"/>
      <c r="L364" s="154" t="n"/>
      <c r="M364" s="154" t="n"/>
    </row>
    <row r="365" ht="21.75" customHeight="1">
      <c r="A365" s="152" t="n"/>
      <c r="B365" s="155" t="n"/>
      <c r="C365" s="154" t="n"/>
      <c r="D365" s="154" t="n"/>
      <c r="E365" s="156" t="str">
        <f>+E315</f>
        <v>U.S. specific contracts - all exposures</v>
      </c>
      <c r="F365" s="157" t="n"/>
      <c r="G365" s="22" t="n"/>
      <c r="H365" s="156" t="str">
        <f>+H315</f>
        <v>All other contracts - all exposures</v>
      </c>
      <c r="I365" s="157" t="n"/>
      <c r="J365" s="22" t="n"/>
      <c r="K365" s="156" t="inlineStr">
        <is>
          <t>Total</t>
        </is>
      </c>
      <c r="L365" s="157" t="n"/>
      <c r="M365" s="22" t="n"/>
    </row>
    <row r="366" ht="31.5" customHeight="1">
      <c r="A366" s="152" t="n"/>
      <c r="B366" s="155" t="n"/>
      <c r="C366" s="154" t="n"/>
      <c r="D366" s="154" t="n"/>
      <c r="E366" s="158" t="inlineStr">
        <is>
          <t>Contract count</t>
        </is>
      </c>
      <c r="F366" s="158" t="inlineStr">
        <is>
          <t xml:space="preserve">Gross limit provided </t>
        </is>
      </c>
      <c r="G366" s="158" t="inlineStr">
        <is>
          <t>Net limit provided</t>
        </is>
      </c>
      <c r="H366" s="158" t="inlineStr">
        <is>
          <t>Contract count</t>
        </is>
      </c>
      <c r="I366" s="158" t="inlineStr">
        <is>
          <t xml:space="preserve">Gross limit provided </t>
        </is>
      </c>
      <c r="J366" s="158" t="inlineStr">
        <is>
          <t>Net limit provided</t>
        </is>
      </c>
      <c r="K366" s="158" t="inlineStr">
        <is>
          <t>Contract count</t>
        </is>
      </c>
      <c r="L366" s="158" t="inlineStr">
        <is>
          <t xml:space="preserve">Gross limit provided </t>
        </is>
      </c>
      <c r="M366" s="158" t="inlineStr">
        <is>
          <t>Net limit provided</t>
        </is>
      </c>
    </row>
    <row r="367" ht="17.25" customHeight="1">
      <c r="A367" s="152" t="n"/>
      <c r="B367" s="155" t="n"/>
      <c r="C367" s="154" t="n"/>
      <c r="D367" s="154" t="n"/>
      <c r="E367" s="159" t="n"/>
      <c r="F367" s="158" t="inlineStr">
        <is>
          <t>($M)</t>
        </is>
      </c>
      <c r="G367" s="158" t="inlineStr">
        <is>
          <t>($M)</t>
        </is>
      </c>
      <c r="H367" s="159" t="n"/>
      <c r="I367" s="158" t="inlineStr">
        <is>
          <t>($M)</t>
        </is>
      </c>
      <c r="J367" s="158" t="inlineStr">
        <is>
          <t>($M)</t>
        </is>
      </c>
      <c r="K367" s="159" t="n"/>
      <c r="L367" s="158" t="inlineStr">
        <is>
          <t>($M)</t>
        </is>
      </c>
      <c r="M367" s="158" t="inlineStr">
        <is>
          <t>($M)</t>
        </is>
      </c>
    </row>
    <row r="368" ht="15.75" customHeight="1">
      <c r="A368" s="152" t="n"/>
      <c r="B368" s="155" t="n"/>
      <c r="C368" s="154" t="n"/>
      <c r="D368" s="160" t="inlineStr">
        <is>
          <t>Data deficient</t>
        </is>
      </c>
      <c r="E368" s="196">
        <f>SUMIFS(BSCRInput[count_policies],BSCRInput[bscr_entity],"HIC",BSCRInput[region],"ALL",BSCRInput[peril_id],1,BSCRInput[is_geocoded],0,BSCRInput[cntrycode],"US")</f>
        <v>1.0</v>
      </c>
      <c r="F368" s="197">
        <f>SUMIFS(BSCRInput[sum_pml],BSCRInput[bscr_entity],"HIC",BSCRInput[region],"ALL",BSCRInput[peril_id],1,BSCRInput[is_geocoded],0,BSCRInput[cntrycode],"US")/1000000</f>
        <v>0.13635</v>
      </c>
      <c r="G368" s="197">
        <f>SUMIFS(BSCRInput[sum_net],BSCRInput[bscr_entity],"HIC",BSCRInput[region],"ALL",BSCRInput[peril_id],1,BSCRInput[is_geocoded],0,BSCRInput[cntrycode],"US")/1000000</f>
        <v>0.13635</v>
      </c>
      <c r="H368" s="196">
        <f>(SUMIFS(BSCRInput[count_policies],BSCRInput[bscr_entity],"HIC",BSCRInput[region],"ALL",BSCRInput[peril_id],1,BSCRInput[is_geocoded],0)-SUMIFS(BSCRInput[count_policies],BSCRInput[bscr_entity],"HIC",BSCRInput[region],"ALL",BSCRInput[peril_id],1,BSCRInput[is_geocoded],0,BSCRInput[cntrycode],"US"))</f>
        <v>25.0</v>
      </c>
      <c r="I368" s="197">
        <f>(SUMIFS(BSCRInput[sum_pml],BSCRInput[bscr_entity],"HIC",BSCRInput[region],"ALL",BSCRInput[peril_id],1,BSCRInput[is_geocoded],0)-SUMIFS(BSCRInput[sum_pml],BSCRInput[bscr_entity],"HIC",BSCRInput[region],"ALL",BSCRInput[peril_id],1,BSCRInput[is_geocoded],0,BSCRInput[cntrycode],"US"))/1000000</f>
        <v>13.147585740000002</v>
      </c>
      <c r="J368" s="197">
        <f>(SUMIFS(BSCRInput[sum_net],BSCRInput[bscr_entity],"HIC",BSCRInput[region],"ALL",BSCRInput[peril_id],1,BSCRInput[is_geocoded],0)-SUMIFS(BSCRInput[sum_net],BSCRInput[bscr_entity],"HIC",BSCRInput[region],"ALL",BSCRInput[peril_id],1,BSCRInput[is_geocoded],0,BSCRInput[cntrycode],"US"))/1000000</f>
        <v>13.147585740000002</v>
      </c>
      <c r="K368" s="174">
        <f>SUMIFS(BSCRInput[count_policies],BSCRInput[bscr_entity],"HIC",BSCRInput[region],"ALL",BSCRInput[peril_id],1,BSCRInput[is_geocoded],0)</f>
        <v>26.0</v>
      </c>
      <c r="L368" s="175">
        <f>SUMIFS(BSCRInput[sum_pml],BSCRInput[bscr_entity],"HIC",BSCRInput[region],"ALL",BSCRInput[peril_id],1,BSCRInput[is_geocoded],0)/1000000</f>
        <v>13.283935740000002</v>
      </c>
      <c r="M368" s="176">
        <f>SUMIFS(BSCRInput[sum_net],BSCRInput[bscr_entity],"HIC",BSCRInput[region],"ALL",BSCRInput[peril_id],1,BSCRInput[is_geocoded],0)/1000000</f>
        <v>13.283935740000002</v>
      </c>
    </row>
    <row r="369" ht="15.75" customHeight="1">
      <c r="A369" s="152" t="n"/>
      <c r="B369" s="155" t="n"/>
      <c r="C369" s="154" t="n"/>
      <c r="D369" s="160" t="inlineStr">
        <is>
          <t>No catastrophe model exists</t>
        </is>
      </c>
      <c r="E369" s="161">
        <f>0</f>
        <v>0.0</v>
      </c>
      <c r="F369" s="162">
        <f>0</f>
        <v>0.0</v>
      </c>
      <c r="G369" s="162">
        <f>0</f>
        <v>0.0</v>
      </c>
      <c r="H369" s="161">
        <f>0</f>
        <v>0.0</v>
      </c>
      <c r="I369" s="162">
        <f>0</f>
        <v>0.0</v>
      </c>
      <c r="J369" s="162">
        <f>0</f>
        <v>0.0</v>
      </c>
      <c r="K369" s="177">
        <f>0</f>
        <v>0.0</v>
      </c>
      <c r="L369" s="164">
        <f>0</f>
        <v>0.0</v>
      </c>
      <c r="M369" s="178">
        <f>0</f>
        <v>0.0</v>
      </c>
    </row>
    <row r="370" ht="15.75" customHeight="1">
      <c r="A370" s="152" t="n"/>
      <c r="B370" s="155" t="n"/>
      <c r="C370" s="154" t="n"/>
      <c r="D370" s="160" t="inlineStr">
        <is>
          <t>Model deficient</t>
        </is>
      </c>
      <c r="E370" s="161">
        <f>0</f>
        <v>0.0</v>
      </c>
      <c r="F370" s="162">
        <f>0</f>
        <v>0.0</v>
      </c>
      <c r="G370" s="162">
        <f>0</f>
        <v>0.0</v>
      </c>
      <c r="H370" s="161">
        <f>0</f>
        <v>0.0</v>
      </c>
      <c r="I370" s="162">
        <f>0</f>
        <v>0.0</v>
      </c>
      <c r="J370" s="162">
        <f>0</f>
        <v>0.0</v>
      </c>
      <c r="K370" s="177">
        <f>0</f>
        <v>0.0</v>
      </c>
      <c r="L370" s="164">
        <f>0</f>
        <v>0.0</v>
      </c>
      <c r="M370" s="178">
        <f>0</f>
        <v>0.0</v>
      </c>
    </row>
    <row r="371" ht="15.75" customHeight="1">
      <c r="A371" s="152" t="n"/>
      <c r="B371" s="155" t="n"/>
      <c r="C371" s="154" t="n"/>
      <c r="D371" s="160" t="inlineStr">
        <is>
          <t>Other</t>
        </is>
      </c>
      <c r="E371" s="161">
        <f>0</f>
        <v>0.0</v>
      </c>
      <c r="F371" s="162">
        <f>0</f>
        <v>0.0</v>
      </c>
      <c r="G371" s="162">
        <f>0</f>
        <v>0.0</v>
      </c>
      <c r="H371" s="161">
        <f>0</f>
        <v>0.0</v>
      </c>
      <c r="I371" s="162">
        <f>0</f>
        <v>0.0</v>
      </c>
      <c r="J371" s="162">
        <f>0</f>
        <v>0.0</v>
      </c>
      <c r="K371" s="177">
        <f>0</f>
        <v>0.0</v>
      </c>
      <c r="L371" s="164">
        <f>0</f>
        <v>0.0</v>
      </c>
      <c r="M371" s="178">
        <f>0</f>
        <v>0.0</v>
      </c>
    </row>
    <row r="372" ht="15.75" customHeight="1">
      <c r="A372" s="152" t="n"/>
      <c r="B372" s="155" t="n"/>
      <c r="C372" s="154" t="n"/>
      <c r="D372" s="160" t="inlineStr">
        <is>
          <t>Total</t>
        </is>
      </c>
      <c r="E372" s="165">
        <f>SUMIFS(BSCRInput[count_policies],BSCRInput[bscr_entity],"HIC",BSCRInput[region],"ALL",BSCRInput[peril_id],1,BSCRInput[is_geocoded],0,BSCRInput[cntrycode],"US")</f>
        <v>1.0</v>
      </c>
      <c r="F372" s="166">
        <f>SUMIFS(BSCRInput[sum_pml],BSCRInput[bscr_entity],"HIC",BSCRInput[region],"ALL",BSCRInput[peril_id],1,BSCRInput[is_geocoded],0,BSCRInput[cntrycode],"US")/1000000</f>
        <v>0.13635</v>
      </c>
      <c r="G372" s="166">
        <f>SUMIFS(BSCRInput[sum_net],BSCRInput[bscr_entity],"HIC",BSCRInput[region],"ALL",BSCRInput[peril_id],1,BSCRInput[is_geocoded],0,BSCRInput[cntrycode],"US")/1000000</f>
        <v>0.13635</v>
      </c>
      <c r="H372" s="165">
        <f>(SUMIFS(BSCRInput[count_policies],BSCRInput[bscr_entity],"HIC",BSCRInput[region],"ALL",BSCRInput[peril_id],1,BSCRInput[is_geocoded],0)-SUMIFS(BSCRInput[count_policies],BSCRInput[bscr_entity],"HIC",BSCRInput[region],"ALL",BSCRInput[peril_id],1,BSCRInput[is_geocoded],0,BSCRInput[cntrycode],"US"))</f>
        <v>25.0</v>
      </c>
      <c r="I372" s="166">
        <f>(SUMIFS(BSCRInput[sum_pml],BSCRInput[bscr_entity],"HIC",BSCRInput[region],"ALL",BSCRInput[peril_id],1,BSCRInput[is_geocoded],0)-SUMIFS(BSCRInput[sum_pml],BSCRInput[bscr_entity],"HIC",BSCRInput[region],"ALL",BSCRInput[peril_id],1,BSCRInput[is_geocoded],0,BSCRInput[cntrycode],"US"))/1000000</f>
        <v>13.147585740000002</v>
      </c>
      <c r="J372" s="166">
        <f>(SUMIFS(BSCRInput[sum_net],BSCRInput[bscr_entity],"HIC",BSCRInput[region],"ALL",BSCRInput[peril_id],1,BSCRInput[is_geocoded],0)-SUMIFS(BSCRInput[sum_net],BSCRInput[bscr_entity],"HIC",BSCRInput[region],"ALL",BSCRInput[peril_id],1,BSCRInput[is_geocoded],0,BSCRInput[cntrycode],"US"))/1000000</f>
        <v>13.147585740000002</v>
      </c>
      <c r="K372" s="165">
        <f>SUMIFS(BSCRInput[count_policies],BSCRInput[bscr_entity],"HIC",BSCRInput[region],"ALL",BSCRInput[peril_id],1,BSCRInput[is_geocoded],0)</f>
        <v>26.0</v>
      </c>
      <c r="L372" s="166">
        <f>SUMIFS(BSCRInput[sum_pml],BSCRInput[bscr_entity],"HIC",BSCRInput[region],"ALL",BSCRInput[peril_id],1,BSCRInput[is_geocoded],0)/1000000</f>
        <v>13.283935740000002</v>
      </c>
      <c r="M372" s="166">
        <f>SUMIFS(BSCRInput[sum_net],BSCRInput[bscr_entity],"HIC",BSCRInput[region],"ALL",BSCRInput[peril_id],1,BSCRInput[is_geocoded],0)/1000000</f>
        <v>13.283935740000002</v>
      </c>
    </row>
    <row r="373" ht="9.199999999999999" customHeight="1">
      <c r="A373" s="152" t="n"/>
      <c r="B373" s="155" t="n"/>
      <c r="C373" s="154" t="n"/>
      <c r="D373" s="154" t="n"/>
      <c r="E373" s="154" t="n"/>
      <c r="F373" s="154" t="n"/>
      <c r="G373" s="154" t="n"/>
      <c r="H373" s="154" t="n"/>
      <c r="I373" s="154" t="n"/>
      <c r="J373" s="154" t="n"/>
      <c r="K373" s="154" t="n"/>
      <c r="L373" s="154" t="n"/>
      <c r="M373" s="154" t="n"/>
    </row>
    <row r="374" ht="15.75" customHeight="1">
      <c r="A374" s="152" t="n"/>
      <c r="B374" s="155" t="n"/>
      <c r="C374" s="154" t="inlineStr">
        <is>
          <t>If other is selected, describe the reasons for not modelling the contract(s):</t>
        </is>
      </c>
      <c r="D374" s="154" t="n"/>
      <c r="E374" s="167" t="n"/>
      <c r="F374" s="167" t="n"/>
      <c r="G374" s="167" t="n"/>
      <c r="H374" s="154" t="n"/>
      <c r="I374" s="154" t="n"/>
      <c r="J374" s="154" t="n"/>
      <c r="K374" s="154" t="n"/>
      <c r="L374" s="154" t="n"/>
      <c r="M374" s="154" t="n"/>
    </row>
    <row r="375" ht="15.75" customHeight="1">
      <c r="A375" s="152" t="n"/>
      <c r="B375" s="155" t="n"/>
      <c r="C375" s="171" t="n"/>
      <c r="D375" s="179" t="n"/>
      <c r="E375" s="179" t="n"/>
      <c r="F375" s="179" t="n"/>
      <c r="G375" s="179" t="n"/>
      <c r="H375" s="179" t="n"/>
      <c r="I375" s="179" t="n"/>
      <c r="J375" s="179" t="n"/>
      <c r="K375" s="179" t="n"/>
      <c r="L375" s="179" t="n"/>
      <c r="M375" s="56" t="n"/>
    </row>
    <row r="376" ht="6.75" customHeight="1">
      <c r="A376" s="152" t="n"/>
      <c r="B376" s="155" t="n"/>
      <c r="C376" s="57" t="n"/>
      <c r="D376" s="180" t="n"/>
      <c r="E376" s="180" t="n"/>
      <c r="F376" s="180" t="n"/>
      <c r="G376" s="180" t="n"/>
      <c r="H376" s="180" t="n"/>
      <c r="I376" s="180" t="n"/>
      <c r="J376" s="180" t="n"/>
      <c r="K376" s="180" t="n"/>
      <c r="L376" s="180" t="n"/>
      <c r="M376" s="58" t="n"/>
    </row>
    <row r="377" ht="9.199999999999999" customHeight="1">
      <c r="A377" s="152" t="n"/>
      <c r="B377" s="155" t="n"/>
      <c r="C377" s="181" t="n"/>
      <c r="D377" s="181" t="n"/>
      <c r="E377" s="181" t="n"/>
      <c r="F377" s="181" t="n"/>
      <c r="G377" s="181" t="n"/>
      <c r="H377" s="181" t="n"/>
      <c r="I377" s="181" t="n"/>
      <c r="J377" s="181" t="n"/>
      <c r="K377" s="181" t="n"/>
      <c r="L377" s="181" t="n"/>
      <c r="M377" s="181" t="n"/>
    </row>
    <row r="378" ht="15.75" customHeight="1">
      <c r="A378" s="152" t="n"/>
      <c r="B378" s="155" t="n">
        <v>7</v>
      </c>
      <c r="C378" s="155" t="inlineStr">
        <is>
          <t>What percentage of total net premiums written represents contracts with no limits?</t>
        </is>
      </c>
      <c r="D378" s="154" t="n"/>
      <c r="E378" s="154" t="n"/>
      <c r="F378" s="154" t="n"/>
      <c r="G378" s="154" t="n"/>
      <c r="H378" s="154" t="n"/>
      <c r="I378" s="182" t="n"/>
      <c r="J378" s="154" t="n"/>
      <c r="K378" s="154" t="n"/>
      <c r="L378" s="154" t="n"/>
      <c r="M378" s="154" t="n"/>
    </row>
    <row r="379" ht="9.199999999999999" customHeight="1">
      <c r="A379" s="152" t="n"/>
      <c r="B379" s="155" t="n"/>
      <c r="C379" s="154" t="n"/>
      <c r="D379" s="154" t="n"/>
      <c r="E379" s="154" t="n"/>
      <c r="F379" s="154" t="n"/>
      <c r="G379" s="154" t="n"/>
      <c r="H379" s="154" t="n"/>
      <c r="I379" s="154" t="n"/>
      <c r="J379" s="154" t="n"/>
      <c r="K379" s="154" t="n"/>
      <c r="L379" s="154" t="n"/>
      <c r="M379" s="154" t="n"/>
    </row>
    <row r="380" ht="15.75" customHeight="1">
      <c r="A380" s="152" t="n"/>
      <c r="B380" s="155" t="n">
        <v>8</v>
      </c>
      <c r="C380" s="155" t="inlineStr">
        <is>
          <t>For contracts that are written by the insurance group that are not modellable, describe what the members of the insurance group do from an accumulation perspective.</t>
        </is>
      </c>
      <c r="D380" s="154" t="n"/>
      <c r="E380" s="154" t="n"/>
      <c r="F380" s="154" t="n"/>
      <c r="G380" s="154" t="n"/>
      <c r="H380" s="154" t="n"/>
      <c r="I380" s="154" t="n"/>
      <c r="J380" s="154" t="n"/>
      <c r="K380" s="154" t="n"/>
      <c r="L380" s="154" t="n"/>
      <c r="M380" s="154" t="n"/>
    </row>
    <row r="381" ht="9.199999999999999" customHeight="1">
      <c r="A381" s="152" t="n"/>
      <c r="B381" s="155" t="n"/>
      <c r="C381" s="154" t="n"/>
      <c r="D381" s="154" t="n"/>
      <c r="E381" s="154" t="n"/>
      <c r="F381" s="154" t="n"/>
      <c r="G381" s="154" t="n"/>
      <c r="H381" s="154" t="n"/>
      <c r="I381" s="154" t="n"/>
      <c r="J381" s="154" t="n"/>
      <c r="K381" s="154" t="n"/>
      <c r="L381" s="154" t="n"/>
      <c r="M381" s="154" t="n"/>
    </row>
    <row r="382" ht="15.6" customHeight="1">
      <c r="A382" s="152" t="n"/>
      <c r="B382" s="155" t="n"/>
      <c r="C382" s="183" t="n"/>
      <c r="D382" s="45" t="n"/>
      <c r="E382" s="45" t="n"/>
      <c r="F382" s="45" t="n"/>
      <c r="G382" s="45" t="n"/>
      <c r="H382" s="45" t="n"/>
      <c r="I382" s="45" t="n"/>
      <c r="J382" s="45" t="n"/>
      <c r="K382" s="45" t="n"/>
      <c r="L382" s="45" t="n"/>
      <c r="M382" s="46" t="n"/>
    </row>
    <row r="383" ht="9.199999999999999" customHeight="1">
      <c r="A383" s="152" t="n"/>
      <c r="B383" s="155" t="n"/>
      <c r="C383" s="154" t="n"/>
      <c r="D383" s="154" t="n"/>
      <c r="E383" s="154" t="n"/>
      <c r="F383" s="154" t="n"/>
      <c r="G383" s="154" t="n"/>
      <c r="H383" s="154" t="n"/>
      <c r="I383" s="154" t="n"/>
      <c r="J383" s="154" t="n"/>
      <c r="K383" s="154" t="n"/>
      <c r="L383" s="154" t="n"/>
      <c r="M383" s="154" t="n"/>
    </row>
    <row r="384" ht="27.2" customHeight="1">
      <c r="A384" s="152" t="n"/>
      <c r="B384" s="184" t="n">
        <v>9</v>
      </c>
      <c r="C384" s="185" t="inlineStr">
        <is>
          <t>If there are contracts that are written by the insurance group that have no occurrence limits or where TIV has not been included in the exposure in the above exhibits, describe how this exposure is included in the above data.</t>
        </is>
      </c>
      <c r="M384" s="185" t="n"/>
    </row>
    <row r="385" ht="9.199999999999999" customHeight="1">
      <c r="A385" s="152" t="n"/>
      <c r="B385" s="155" t="n"/>
      <c r="C385" s="154" t="n"/>
      <c r="D385" s="154" t="n"/>
      <c r="E385" s="154" t="n"/>
      <c r="F385" s="154" t="n"/>
      <c r="G385" s="154" t="n"/>
      <c r="H385" s="154" t="n"/>
      <c r="I385" s="154" t="n"/>
      <c r="J385" s="154" t="n"/>
      <c r="K385" s="154" t="n"/>
      <c r="L385" s="154" t="n"/>
      <c r="M385" s="154" t="n"/>
    </row>
    <row r="386" ht="13.5" customHeight="1">
      <c r="A386" s="152" t="n"/>
      <c r="B386" s="155" t="n"/>
      <c r="C386" s="171" t="n"/>
      <c r="D386" s="45" t="n"/>
      <c r="E386" s="45" t="n"/>
      <c r="F386" s="45" t="n"/>
      <c r="G386" s="45" t="n"/>
      <c r="H386" s="45" t="n"/>
      <c r="I386" s="45" t="n"/>
      <c r="J386" s="45" t="n"/>
      <c r="K386" s="45" t="n"/>
      <c r="L386" s="45" t="n"/>
      <c r="M386" s="46" t="n"/>
    </row>
    <row r="387" ht="9.199999999999999" customHeight="1">
      <c r="A387" s="186" t="n"/>
      <c r="B387" s="187" t="n"/>
      <c r="C387" s="188" t="n"/>
      <c r="D387" s="188" t="n"/>
      <c r="E387" s="188" t="n"/>
      <c r="F387" s="188" t="n"/>
      <c r="G387" s="188" t="n"/>
      <c r="H387" s="188" t="n"/>
      <c r="I387" s="188" t="n"/>
      <c r="J387" s="188" t="n"/>
      <c r="K387" s="188" t="n"/>
      <c r="L387" s="188" t="n"/>
      <c r="M387" s="188" t="n"/>
    </row>
    <row r="388">
      <c r="A388" s="10" t="n"/>
      <c r="B388" s="189" t="n"/>
      <c r="C388" s="10" t="n"/>
      <c r="D388" s="10" t="n"/>
      <c r="E388" s="10" t="n"/>
      <c r="F388" s="10" t="n"/>
      <c r="G388" s="10" t="n"/>
      <c r="H388" s="10" t="n"/>
      <c r="I388" s="10" t="n"/>
      <c r="J388" s="10" t="n"/>
      <c r="K388" s="10" t="n"/>
      <c r="L388" s="10" t="n"/>
      <c r="M388" s="10" t="n"/>
    </row>
  </sheetData>
  <sheetProtection selectLockedCells="0" selectUnlockedCells="0" sheet="1" objects="0" insertRows="1" insertHyperlinks="1" autoFilter="1" scenarios="0" formatColumns="1" deleteColumns="1" insertColumns="1" pivotTables="1" deleteRows="1" formatCells="1" formatRows="1" sort="1"/>
  <mergeCells count="204">
    <mergeCell ref="E161:G161"/>
    <mergeCell ref="C210:D210"/>
    <mergeCell ref="I72:K72"/>
    <mergeCell ref="I159:K159"/>
    <mergeCell ref="C234:D234"/>
    <mergeCell ref="I56:K56"/>
    <mergeCell ref="I161:K161"/>
    <mergeCell ref="E79:F79"/>
    <mergeCell ref="E171:F171"/>
    <mergeCell ref="C302:D302"/>
    <mergeCell ref="C212:D212"/>
    <mergeCell ref="E315:G315"/>
    <mergeCell ref="I79:K79"/>
    <mergeCell ref="E57:G57"/>
    <mergeCell ref="C277:D277"/>
    <mergeCell ref="I82:K82"/>
    <mergeCell ref="C276:D276"/>
    <mergeCell ref="E365:G365"/>
    <mergeCell ref="C214:D214"/>
    <mergeCell ref="I63:K63"/>
    <mergeCell ref="E105:F105"/>
    <mergeCell ref="C192:G192"/>
    <mergeCell ref="I137:K137"/>
    <mergeCell ref="I50:K50"/>
    <mergeCell ref="C375:M376"/>
    <mergeCell ref="I59:K59"/>
    <mergeCell ref="E58:G58"/>
    <mergeCell ref="C278:D278"/>
    <mergeCell ref="I139:K139"/>
    <mergeCell ref="I174:K174"/>
    <mergeCell ref="C361:M361"/>
    <mergeCell ref="C253:D253"/>
    <mergeCell ref="I49:K49"/>
    <mergeCell ref="E42:G42"/>
    <mergeCell ref="E151:G151"/>
    <mergeCell ref="I45:K45"/>
    <mergeCell ref="E141:G141"/>
    <mergeCell ref="H315:J315"/>
    <mergeCell ref="E135:G135"/>
    <mergeCell ref="E44:G44"/>
    <mergeCell ref="E138:G138"/>
    <mergeCell ref="G180:H181"/>
    <mergeCell ref="I47:K47"/>
    <mergeCell ref="C254:D254"/>
    <mergeCell ref="E143:G143"/>
    <mergeCell ref="I141:K141"/>
    <mergeCell ref="I150:K150"/>
    <mergeCell ref="E60:G60"/>
    <mergeCell ref="C235:D235"/>
    <mergeCell ref="E69:G69"/>
    <mergeCell ref="E149:G149"/>
    <mergeCell ref="I143:K143"/>
    <mergeCell ref="E59:G59"/>
    <mergeCell ref="I152:K152"/>
    <mergeCell ref="E46:G46"/>
    <mergeCell ref="C280:D280"/>
    <mergeCell ref="I167:K167"/>
    <mergeCell ref="I142:K142"/>
    <mergeCell ref="E70:G70"/>
    <mergeCell ref="E162:G162"/>
    <mergeCell ref="C211:D211"/>
    <mergeCell ref="I64:K64"/>
    <mergeCell ref="E144:G144"/>
    <mergeCell ref="I78:K78"/>
    <mergeCell ref="C382:M382"/>
    <mergeCell ref="I169:K169"/>
    <mergeCell ref="I51:K51"/>
    <mergeCell ref="E159:G159"/>
    <mergeCell ref="E134:G134"/>
    <mergeCell ref="E348:G348"/>
    <mergeCell ref="E47:G47"/>
    <mergeCell ref="E56:G56"/>
    <mergeCell ref="E145:G145"/>
    <mergeCell ref="E139:G139"/>
    <mergeCell ref="I81:K81"/>
    <mergeCell ref="E43:G43"/>
    <mergeCell ref="H333:J333"/>
    <mergeCell ref="E71:G71"/>
    <mergeCell ref="I164:K164"/>
    <mergeCell ref="E172:F172"/>
    <mergeCell ref="F288:G288"/>
    <mergeCell ref="I145:K145"/>
    <mergeCell ref="H348:J348"/>
    <mergeCell ref="I163:K163"/>
    <mergeCell ref="E140:G140"/>
    <mergeCell ref="K333:M333"/>
    <mergeCell ref="E324:G324"/>
    <mergeCell ref="I76:K76"/>
    <mergeCell ref="E333:G333"/>
    <mergeCell ref="B188:F188"/>
    <mergeCell ref="E63:G63"/>
    <mergeCell ref="I156:K156"/>
    <mergeCell ref="F266:G266"/>
    <mergeCell ref="E137:G137"/>
    <mergeCell ref="C279:D279"/>
    <mergeCell ref="C357:M357"/>
    <mergeCell ref="H365:J365"/>
    <mergeCell ref="I75:K75"/>
    <mergeCell ref="I53:K53"/>
    <mergeCell ref="C344:M344"/>
    <mergeCell ref="I130:K130"/>
    <mergeCell ref="I68:K68"/>
    <mergeCell ref="C386:M386"/>
    <mergeCell ref="C256:D256"/>
    <mergeCell ref="I52:K52"/>
    <mergeCell ref="I67:K67"/>
    <mergeCell ref="E45:G45"/>
    <mergeCell ref="I39:K39"/>
    <mergeCell ref="I132:K132"/>
    <mergeCell ref="I48:K48"/>
    <mergeCell ref="E13:F13"/>
    <mergeCell ref="A3:M4"/>
    <mergeCell ref="G13:H13"/>
    <mergeCell ref="C255:D255"/>
    <mergeCell ref="E136:G136"/>
    <mergeCell ref="I38:K38"/>
    <mergeCell ref="D244:E244"/>
    <mergeCell ref="F244:G244"/>
    <mergeCell ref="A1:M1"/>
    <mergeCell ref="C257:D257"/>
    <mergeCell ref="C297:D297"/>
    <mergeCell ref="E80:F80"/>
    <mergeCell ref="K348:M348"/>
    <mergeCell ref="I40:K40"/>
    <mergeCell ref="H324:J324"/>
    <mergeCell ref="I168:K168"/>
    <mergeCell ref="C299:D299"/>
    <mergeCell ref="I80:K80"/>
    <mergeCell ref="C209:D209"/>
    <mergeCell ref="I160:K160"/>
    <mergeCell ref="E142:G142"/>
    <mergeCell ref="B311:D311"/>
    <mergeCell ref="I136:K136"/>
    <mergeCell ref="I70:K70"/>
    <mergeCell ref="F222:G222"/>
    <mergeCell ref="K365:M365"/>
    <mergeCell ref="I144:K144"/>
    <mergeCell ref="I57:K57"/>
    <mergeCell ref="E64:G64"/>
    <mergeCell ref="C258:D258"/>
    <mergeCell ref="K315:M315"/>
    <mergeCell ref="C298:D298"/>
    <mergeCell ref="K324:M324"/>
    <mergeCell ref="E51:G51"/>
    <mergeCell ref="E156:G156"/>
    <mergeCell ref="C338:D338"/>
    <mergeCell ref="I41:K41"/>
    <mergeCell ref="I134:K134"/>
    <mergeCell ref="G105:H105"/>
    <mergeCell ref="D222:E222"/>
    <mergeCell ref="E155:G155"/>
    <mergeCell ref="C275:D275"/>
    <mergeCell ref="B190:C190"/>
    <mergeCell ref="I71:K71"/>
    <mergeCell ref="I162:K162"/>
    <mergeCell ref="I131:K131"/>
    <mergeCell ref="I43:K43"/>
    <mergeCell ref="I58:K58"/>
    <mergeCell ref="I171:K171"/>
    <mergeCell ref="E148:G148"/>
    <mergeCell ref="C231:D231"/>
    <mergeCell ref="I155:K155"/>
    <mergeCell ref="D266:E266"/>
    <mergeCell ref="I42:K42"/>
    <mergeCell ref="E49:G49"/>
    <mergeCell ref="I173:K173"/>
    <mergeCell ref="D288:E288"/>
    <mergeCell ref="G88:H89"/>
    <mergeCell ref="I170:K170"/>
    <mergeCell ref="E163:G163"/>
    <mergeCell ref="I148:K148"/>
    <mergeCell ref="C301:D301"/>
    <mergeCell ref="C236:D236"/>
    <mergeCell ref="I44:K44"/>
    <mergeCell ref="I138:K138"/>
    <mergeCell ref="D200:E200"/>
    <mergeCell ref="C232:D232"/>
    <mergeCell ref="I172:K172"/>
    <mergeCell ref="F200:G200"/>
    <mergeCell ref="C300:D300"/>
    <mergeCell ref="C213:D213"/>
    <mergeCell ref="I60:K60"/>
    <mergeCell ref="E53:G53"/>
    <mergeCell ref="B10:C10"/>
    <mergeCell ref="I69:K69"/>
    <mergeCell ref="I140:K140"/>
    <mergeCell ref="E50:G50"/>
    <mergeCell ref="C384:L384"/>
    <mergeCell ref="I149:K149"/>
    <mergeCell ref="E68:G68"/>
    <mergeCell ref="I77:K77"/>
    <mergeCell ref="E160:G160"/>
    <mergeCell ref="I46:K46"/>
    <mergeCell ref="I133:K133"/>
    <mergeCell ref="C233:D233"/>
    <mergeCell ref="C359:M359"/>
    <mergeCell ref="E52:G52"/>
    <mergeCell ref="E67:G67"/>
    <mergeCell ref="I151:K151"/>
    <mergeCell ref="E150:G150"/>
    <mergeCell ref="E48:G48"/>
    <mergeCell ref="C339:D339"/>
    <mergeCell ref="I135:K135"/>
    <mergeCell ref="E152:G152"/>
  </mergeCells>
  <hyperlinks>
    <hyperlink xmlns:r="http://schemas.openxmlformats.org/officeDocument/2006/relationships" ref="B6" r:id="rId1"/>
    <hyperlink xmlns:r="http://schemas.openxmlformats.org/officeDocument/2006/relationships" ref="E6" r:id="rId2"/>
    <hyperlink xmlns:r="http://schemas.openxmlformats.org/officeDocument/2006/relationships" ref="H6" r:id="rId3"/>
    <hyperlink xmlns:r="http://schemas.openxmlformats.org/officeDocument/2006/relationships" ref="K6" r:id="rId4"/>
    <hyperlink xmlns:r="http://schemas.openxmlformats.org/officeDocument/2006/relationships" ref="J8" r:id="rId5"/>
    <hyperlink xmlns:r="http://schemas.openxmlformats.org/officeDocument/2006/relationships" ref="J98" r:id="rId6"/>
    <hyperlink xmlns:r="http://schemas.openxmlformats.org/officeDocument/2006/relationships" ref="G188" r:id="rId7"/>
    <hyperlink xmlns:r="http://schemas.openxmlformats.org/officeDocument/2006/relationships" ref="J309" r:id="rId8"/>
  </hyperlinks>
  <pageMargins left="0.75" right="0.75" top="1" bottom="1" header="0.5" footer="0.5"/>
  <pageSetup orientation="landscape" paperSize="8" fitToHeight="0" fitToWidth="1"/>
  <rowBreaks count="4" manualBreakCount="4">
    <brk id="92" min="0" max="16383" man="1"/>
    <brk id="182" min="0" max="16383" man="1"/>
    <brk id="303" min="0" max="16383" man="1"/>
    <brk id="388" min="0" max="16383" man="1"/>
  </rowBreaks>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M388"/>
  <sheetViews>
    <sheetView showGridLines="0" zoomScale="65" workbookViewId="0">
      <pane xSplit="4" ySplit="7" topLeftCell="E8"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3" customWidth="1" min="3" max="3"/>
    <col width="36" customWidth="1" min="4" max="4"/>
    <col width="16" customWidth="1" min="5" max="5"/>
    <col width="16" customWidth="1" min="6" max="6"/>
    <col width="16" customWidth="1" min="7" max="7"/>
    <col width="16" customWidth="1" min="8" max="8"/>
    <col width="35" customWidth="1" min="9" max="9"/>
    <col width="16" customWidth="1" min="10" max="10"/>
    <col width="16" customWidth="1" min="11" max="11"/>
    <col width="16" customWidth="1" min="12" max="12"/>
    <col width="16" customWidth="1" min="13" max="13"/>
  </cols>
  <sheetData>
    <row r="1" ht="32" customHeight="1">
      <c r="A1" s="1" t="inlineStr">
        <is>
          <t>HIG — BSCR working schedules</t>
        </is>
      </c>
    </row>
    <row r="2">
      <c r="A2" t="inlineStr">
        <is>
          <t>Entity</t>
        </is>
      </c>
      <c r="B2" t="inlineStr">
        <is>
          <t>HIG</t>
        </is>
      </c>
      <c r="D2" t="inlineStr">
        <is>
          <t>Input basis</t>
        </is>
      </c>
      <c r="E2" t="inlineStr">
        <is>
          <t>Current SQL</t>
        </is>
      </c>
      <c r="G2" t="inlineStr">
        <is>
          <t>Coverage</t>
        </is>
      </c>
      <c r="H2" t="str">
        <f>IF(COUNTIFS(BSCRInput[bscr_entity],"HIG",BSCRInput[region],"ALL",BSCRInput[peril_id],1)=0,"NO INPUT FOR ENTITY","INPUT PRESENT")</f>
        <v>INPUT PRESENT</v>
      </c>
    </row>
    <row r="3">
      <c r="A3" s="5" t="inlineStr">
        <is>
          <t>Green = automatic. Blue = manual, not supplied by SQL. Counts/geocoding use the agreed historical proxy; premiums and EP losses are NOT automatically complete.</t>
        </is>
      </c>
    </row>
    <row r="4"/>
    <row r="5"/>
    <row r="6">
      <c r="B6" t="inlineStr">
        <is>
          <t>Schedule X(a)</t>
        </is>
      </c>
      <c r="E6" t="inlineStr">
        <is>
          <t>Schedule X(b)</t>
        </is>
      </c>
      <c r="H6" t="inlineStr">
        <is>
          <t>Schedule X(c)</t>
        </is>
      </c>
      <c r="K6" t="inlineStr">
        <is>
          <t>Schedule X(f)</t>
        </is>
      </c>
    </row>
    <row r="7"/>
    <row r="8" ht="75" customHeight="1">
      <c r="A8" s="6" t="n"/>
      <c r="B8" s="7" t="inlineStr">
        <is>
          <t>CATASTROPHE RISK RETURN: EP CURVE TOTAL (TABLE 15)</t>
        </is>
      </c>
      <c r="C8" s="7" t="n"/>
      <c r="D8" s="7" t="n"/>
      <c r="E8" s="7" t="n"/>
      <c r="F8" s="7" t="n"/>
      <c r="G8" s="7" t="n"/>
      <c r="H8" s="7" t="n"/>
      <c r="I8" s="7" t="n"/>
      <c r="J8" s="8" t="inlineStr">
        <is>
          <t>Back to instructions</t>
        </is>
      </c>
      <c r="K8" s="9" t="n"/>
      <c r="L8" s="10" t="n"/>
      <c r="M8" s="11" t="n"/>
    </row>
    <row r="9" ht="13.5" customHeight="1">
      <c r="A9" s="12" t="n"/>
      <c r="B9" s="13" t="inlineStr">
        <is>
          <t>HIG</t>
        </is>
      </c>
      <c r="C9" s="14" t="n"/>
      <c r="D9" s="14" t="n"/>
      <c r="E9" s="14" t="n"/>
      <c r="F9" s="14" t="n"/>
      <c r="G9" s="14" t="n"/>
      <c r="H9" s="14" t="n"/>
      <c r="I9" s="14" t="n"/>
      <c r="J9" s="14" t="n"/>
      <c r="K9" s="15" t="n"/>
      <c r="L9" s="10" t="n"/>
      <c r="M9" s="11" t="n"/>
    </row>
    <row r="10" ht="13.5" customHeight="1">
      <c r="A10" s="12" t="n"/>
      <c r="B10" s="16">
        <f>DATE(2026,1,1)</f>
        <v>46023.0</v>
      </c>
      <c r="D10" s="14" t="n"/>
      <c r="E10" s="14" t="n"/>
      <c r="F10" s="14" t="n"/>
      <c r="G10" s="14" t="n"/>
      <c r="H10" s="14" t="n"/>
      <c r="I10" s="14" t="n"/>
      <c r="J10" s="17" t="inlineStr">
        <is>
          <t>Schedule X(a)</t>
        </is>
      </c>
      <c r="K10" s="15" t="n"/>
      <c r="L10" s="10" t="n"/>
      <c r="M10" s="11" t="n"/>
    </row>
    <row r="11" ht="6.75" customHeight="1">
      <c r="A11" s="12" t="n"/>
      <c r="B11" s="14" t="n"/>
      <c r="C11" s="14" t="n"/>
      <c r="D11" s="14" t="n"/>
      <c r="E11" s="14" t="n"/>
      <c r="F11" s="14" t="n"/>
      <c r="G11" s="14" t="n"/>
      <c r="H11" s="14" t="n"/>
      <c r="I11" s="14" t="n"/>
      <c r="J11" s="14" t="n"/>
      <c r="K11" s="15" t="n"/>
      <c r="L11" s="10" t="n"/>
      <c r="M11" s="11" t="n"/>
    </row>
    <row r="12">
      <c r="A12" s="18" t="n"/>
      <c r="B12" s="19" t="inlineStr">
        <is>
          <t>1. Exceedance probability information:</t>
        </is>
      </c>
      <c r="C12" s="14" t="n"/>
      <c r="D12" s="14" t="n"/>
      <c r="E12" s="14" t="n"/>
      <c r="F12" s="14" t="n"/>
      <c r="G12" s="14" t="n"/>
      <c r="H12" s="14" t="n"/>
      <c r="I12" s="14" t="n"/>
      <c r="J12" s="14" t="n"/>
      <c r="K12" s="15" t="n"/>
      <c r="L12" s="10" t="n"/>
      <c r="M12" s="11" t="n"/>
    </row>
    <row r="13">
      <c r="A13" s="18" t="n"/>
      <c r="B13" s="14" t="n"/>
      <c r="C13" s="14" t="n"/>
      <c r="D13" s="20" t="n"/>
      <c r="E13" s="21" t="inlineStr">
        <is>
          <t xml:space="preserve"> Gross loss</t>
        </is>
      </c>
      <c r="F13" s="22" t="n"/>
      <c r="G13" s="21" t="inlineStr">
        <is>
          <t xml:space="preserve"> Net loss</t>
        </is>
      </c>
      <c r="H13" s="22" t="n"/>
      <c r="I13" s="14" t="n"/>
      <c r="J13" s="14" t="n"/>
      <c r="K13" s="15" t="n"/>
      <c r="L13" s="10" t="n"/>
      <c r="M13" s="11" t="n"/>
    </row>
    <row r="14" ht="55.35" customHeight="1">
      <c r="A14" s="18" t="n"/>
      <c r="B14" s="14" t="n"/>
      <c r="C14" s="14" t="n"/>
      <c r="D14" s="23" t="inlineStr">
        <is>
          <t>Loss Return period (years)</t>
        </is>
      </c>
      <c r="E14" s="24" t="inlineStr">
        <is>
          <t>Gross per occurrence loss TVaR</t>
        </is>
      </c>
      <c r="F14" s="24" t="inlineStr">
        <is>
          <t>Gross aggregate TVaR</t>
        </is>
      </c>
      <c r="G14" s="24" t="inlineStr">
        <is>
          <t>Net per occurrence loss TVaR</t>
        </is>
      </c>
      <c r="H14" s="24" t="inlineStr">
        <is>
          <t xml:space="preserve">Net aggregate TVaR </t>
        </is>
      </c>
      <c r="I14" s="14" t="n"/>
      <c r="J14" s="14" t="n"/>
      <c r="K14" s="15" t="n"/>
      <c r="L14" s="25" t="n"/>
      <c r="M14" s="11" t="n"/>
    </row>
    <row r="15">
      <c r="A15" s="18" t="n"/>
      <c r="B15" s="14" t="n"/>
      <c r="C15" s="14" t="n"/>
      <c r="D15" s="26" t="n"/>
      <c r="E15" s="21" t="inlineStr">
        <is>
          <t xml:space="preserve"> (US$M)</t>
        </is>
      </c>
      <c r="F15" s="21" t="inlineStr">
        <is>
          <t xml:space="preserve"> (US$M)</t>
        </is>
      </c>
      <c r="G15" s="21" t="inlineStr">
        <is>
          <t xml:space="preserve"> (US$M)</t>
        </is>
      </c>
      <c r="H15" s="21" t="inlineStr">
        <is>
          <t xml:space="preserve"> (US$M)</t>
        </is>
      </c>
      <c r="I15" s="14" t="n"/>
      <c r="J15" s="14" t="n"/>
      <c r="K15" s="15" t="n"/>
      <c r="L15" s="25" t="n"/>
      <c r="M15" s="11" t="n"/>
    </row>
    <row r="16">
      <c r="A16" s="18" t="n"/>
      <c r="B16" s="14" t="n"/>
      <c r="C16" s="14" t="n"/>
      <c r="D16" s="27" t="n">
        <v>50</v>
      </c>
      <c r="E16" s="28" t="n"/>
      <c r="F16" s="28" t="n"/>
      <c r="G16" s="28" t="n"/>
      <c r="H16" s="28" t="n"/>
      <c r="I16" s="14" t="n"/>
      <c r="J16" s="14" t="n"/>
      <c r="K16" s="15" t="n"/>
      <c r="L16" s="10" t="n"/>
      <c r="M16" s="11" t="n"/>
    </row>
    <row r="17">
      <c r="A17" s="18" t="n"/>
      <c r="B17" s="14" t="n"/>
      <c r="C17" s="14" t="n"/>
      <c r="D17" s="27" t="n">
        <v>100</v>
      </c>
      <c r="E17" s="29" t="n"/>
      <c r="F17" s="29" t="n"/>
      <c r="G17" s="29" t="n"/>
      <c r="H17" s="29" t="n"/>
      <c r="I17" s="14" t="n"/>
      <c r="J17" s="14" t="n"/>
      <c r="K17" s="15" t="n"/>
      <c r="L17" s="10" t="n"/>
      <c r="M17" s="11" t="n"/>
    </row>
    <row r="18">
      <c r="A18" s="18" t="n"/>
      <c r="B18" s="14" t="n"/>
      <c r="C18" s="14" t="n"/>
      <c r="D18" s="27" t="n">
        <v>250</v>
      </c>
      <c r="E18" s="29" t="n"/>
      <c r="F18" s="29" t="n"/>
      <c r="G18" s="29" t="n"/>
      <c r="H18" s="29" t="n"/>
      <c r="I18" s="14" t="n"/>
      <c r="J18" s="14" t="n"/>
      <c r="K18" s="15" t="n"/>
      <c r="L18" s="10" t="n"/>
      <c r="M18" s="11" t="n"/>
    </row>
    <row r="19">
      <c r="A19" s="18" t="n"/>
      <c r="B19" s="14" t="n"/>
      <c r="C19" s="14" t="n"/>
      <c r="D19" s="27" t="n">
        <v>500</v>
      </c>
      <c r="E19" s="29" t="n"/>
      <c r="F19" s="29" t="n"/>
      <c r="G19" s="29" t="n"/>
      <c r="H19" s="29" t="n"/>
      <c r="I19" s="14" t="n"/>
      <c r="J19" s="14" t="n"/>
      <c r="K19" s="15" t="n"/>
      <c r="L19" s="10" t="n"/>
      <c r="M19" s="11" t="n"/>
    </row>
    <row r="20">
      <c r="A20" s="18" t="n"/>
      <c r="B20" s="14" t="n"/>
      <c r="C20" s="14" t="n"/>
      <c r="D20" s="30" t="n">
        <v>1000</v>
      </c>
      <c r="E20" s="31" t="n"/>
      <c r="F20" s="31" t="n"/>
      <c r="G20" s="31" t="n"/>
      <c r="H20" s="31" t="n"/>
      <c r="I20" s="14" t="n"/>
      <c r="J20" s="14" t="n"/>
      <c r="K20" s="15" t="n"/>
      <c r="L20" s="10" t="n"/>
      <c r="M20" s="11" t="n"/>
    </row>
    <row r="21" ht="6.75" customHeight="1">
      <c r="A21" s="18" t="n"/>
      <c r="B21" s="14" t="n"/>
      <c r="C21" s="14" t="n"/>
      <c r="D21" s="14" t="n"/>
      <c r="E21" s="32" t="n"/>
      <c r="F21" s="32" t="n"/>
      <c r="G21" s="32" t="n"/>
      <c r="H21" s="32" t="n"/>
      <c r="I21" s="14" t="n"/>
      <c r="J21" s="14" t="n"/>
      <c r="K21" s="15" t="n"/>
      <c r="L21" s="10" t="n"/>
      <c r="M21" s="11" t="n"/>
    </row>
    <row r="22" ht="12.95" customHeight="1">
      <c r="A22" s="18" t="n"/>
      <c r="B22" s="14" t="n"/>
      <c r="C22" s="14" t="n"/>
      <c r="D22" s="14" t="n"/>
      <c r="E22" s="21" t="inlineStr">
        <is>
          <t xml:space="preserve"> Gross Loss (US$M)</t>
        </is>
      </c>
      <c r="F22" s="14" t="n"/>
      <c r="G22" s="14" t="n"/>
      <c r="H22" s="14" t="n"/>
      <c r="I22" s="14" t="n"/>
      <c r="J22" s="21" t="inlineStr">
        <is>
          <t xml:space="preserve"> Net Loss (US$M)</t>
        </is>
      </c>
      <c r="K22" s="15" t="n"/>
      <c r="L22" s="10" t="n"/>
      <c r="M22" s="11" t="n"/>
    </row>
    <row r="23">
      <c r="A23" s="18" t="n"/>
      <c r="B23" s="14" t="n"/>
      <c r="C23" s="14" t="n"/>
      <c r="D23" s="33" t="inlineStr">
        <is>
          <t>Annual average aggregate gross loss</t>
        </is>
      </c>
      <c r="E23" s="34" t="n"/>
      <c r="F23" s="14" t="n"/>
      <c r="G23" s="14" t="n"/>
      <c r="H23" s="14" t="n"/>
      <c r="I23" s="33" t="inlineStr">
        <is>
          <t>Annual average aggregate net loss (net of reinstatements terms)</t>
        </is>
      </c>
      <c r="J23" s="34" t="n"/>
      <c r="K23" s="15" t="n"/>
      <c r="L23" s="10" t="n"/>
      <c r="M23" s="11" t="n"/>
    </row>
    <row r="24">
      <c r="A24" s="18" t="n"/>
      <c r="B24" s="14" t="n"/>
      <c r="C24" s="14" t="n"/>
      <c r="D24" s="33" t="n"/>
      <c r="E24" s="14" t="n"/>
      <c r="F24" s="14" t="n"/>
      <c r="G24" s="14" t="n"/>
      <c r="H24" s="14" t="n"/>
      <c r="I24" s="33" t="inlineStr">
        <is>
          <t>Reinstatement terms included in Annual average aggregated net loss</t>
        </is>
      </c>
      <c r="J24" s="34" t="n"/>
      <c r="K24" s="15" t="n"/>
      <c r="L24" s="10" t="n"/>
      <c r="M24" s="11" t="n"/>
    </row>
    <row r="25">
      <c r="A25" s="18" t="n"/>
      <c r="B25" s="14" t="n"/>
      <c r="C25" s="14" t="n"/>
      <c r="D25" s="33" t="inlineStr">
        <is>
          <t>Standard deviation of annual aggregate gross loss</t>
        </is>
      </c>
      <c r="E25" s="34" t="n"/>
      <c r="F25" s="14" t="n"/>
      <c r="G25" s="14" t="n"/>
      <c r="H25" s="14" t="n"/>
      <c r="I25" s="33" t="inlineStr">
        <is>
          <t>Standard deviation of annual aggregate net loss (net of reinstatements terms)</t>
        </is>
      </c>
      <c r="J25" s="34" t="n"/>
      <c r="K25" s="15" t="n"/>
      <c r="L25" s="10" t="n"/>
      <c r="M25" s="11" t="n"/>
    </row>
    <row r="26">
      <c r="A26" s="18" t="n"/>
      <c r="B26" s="14" t="n"/>
      <c r="C26" s="14" t="n"/>
      <c r="D26" s="33" t="n"/>
      <c r="E26" s="32" t="n"/>
      <c r="F26" s="14" t="n"/>
      <c r="G26" s="14" t="n"/>
      <c r="H26" s="14" t="n"/>
      <c r="I26" s="33" t="n"/>
      <c r="J26" s="35" t="n"/>
      <c r="K26" s="15" t="n"/>
      <c r="L26" s="10" t="n"/>
      <c r="M26" s="11" t="n"/>
    </row>
    <row r="27">
      <c r="A27" s="18" t="n"/>
      <c r="B27" s="14" t="n"/>
      <c r="C27" s="14" t="n"/>
      <c r="D27" s="33" t="inlineStr">
        <is>
          <t xml:space="preserve">Total gross statutory property catastrophe premium modelled </t>
        </is>
      </c>
      <c r="E27" s="34" t="n"/>
      <c r="F27" s="14" t="n"/>
      <c r="G27" s="14" t="n"/>
      <c r="H27" s="14" t="n"/>
      <c r="I27" s="33" t="inlineStr">
        <is>
          <t>Total net statutory property catastrophe premium modelled</t>
        </is>
      </c>
      <c r="J27" s="34" t="n"/>
      <c r="K27" s="15" t="n"/>
      <c r="L27" s="10" t="n"/>
      <c r="M27" s="11" t="n"/>
    </row>
    <row r="28">
      <c r="A28" s="18" t="n"/>
      <c r="B28" s="14" t="n"/>
      <c r="C28" s="14" t="n"/>
      <c r="D28" s="33" t="inlineStr">
        <is>
          <t>Total gross all other catastrophe premium modelled</t>
        </is>
      </c>
      <c r="E28" s="34" t="n"/>
      <c r="F28" s="14" t="n"/>
      <c r="G28" s="14" t="n"/>
      <c r="H28" s="14" t="n"/>
      <c r="I28" s="33" t="inlineStr">
        <is>
          <t>Total net all other catastrophe premium modelled</t>
        </is>
      </c>
      <c r="J28" s="34" t="n"/>
      <c r="K28" s="15" t="n"/>
      <c r="L28" s="10" t="n"/>
      <c r="M28" s="11" t="n"/>
    </row>
    <row r="29" ht="6.75" customHeight="1">
      <c r="A29" s="18" t="n"/>
      <c r="B29" s="14" t="n"/>
      <c r="C29" s="14" t="n"/>
      <c r="D29" s="14" t="n"/>
      <c r="E29" s="32" t="n"/>
      <c r="F29" s="14" t="n"/>
      <c r="G29" s="14" t="n"/>
      <c r="H29" s="14" t="n"/>
      <c r="I29" s="14" t="n"/>
      <c r="J29" s="71" t="n"/>
      <c r="K29" s="15" t="n"/>
      <c r="L29" s="10" t="n"/>
      <c r="M29" s="11" t="n"/>
    </row>
    <row r="30">
      <c r="A30" s="18" t="n"/>
      <c r="B30" s="14" t="n"/>
      <c r="C30" s="14" t="n"/>
      <c r="D30" s="33" t="inlineStr">
        <is>
          <t>Total gross statutory property catastrophe limits exposed - modelled</t>
        </is>
      </c>
      <c r="E30" s="34" t="n"/>
      <c r="F30" s="14" t="n"/>
      <c r="G30" s="14" t="n"/>
      <c r="H30" s="14" t="n"/>
      <c r="I30" s="33" t="inlineStr">
        <is>
          <t>Total net statutory property catastrophe limits exposed – modelled</t>
        </is>
      </c>
      <c r="J30" s="34" t="n"/>
      <c r="K30" s="15" t="n"/>
      <c r="L30" s="10" t="n"/>
      <c r="M30" s="11" t="n"/>
    </row>
    <row r="31">
      <c r="A31" s="18" t="n"/>
      <c r="B31" s="14" t="n"/>
      <c r="C31" s="14" t="n"/>
      <c r="D31" s="33" t="inlineStr">
        <is>
          <t>Total gross statutory property catastrophe limits exposed - not modelled</t>
        </is>
      </c>
      <c r="E31" s="34" t="n"/>
      <c r="F31" s="14" t="n"/>
      <c r="G31" s="14" t="n"/>
      <c r="H31" s="14" t="n"/>
      <c r="I31" s="33" t="inlineStr">
        <is>
          <t>Total net statutory property catastrophe limits exposed– not modelled</t>
        </is>
      </c>
      <c r="J31" s="34" t="n"/>
      <c r="K31" s="15" t="n"/>
      <c r="L31" s="10" t="n"/>
      <c r="M31" s="11" t="n"/>
    </row>
    <row r="32">
      <c r="A32" s="18" t="n"/>
      <c r="B32" s="14" t="n"/>
      <c r="C32" s="14" t="n"/>
      <c r="D32" s="33" t="inlineStr">
        <is>
          <t>Total gross all other lines limits exposed - modelled</t>
        </is>
      </c>
      <c r="E32" s="37">
        <f>SUMIFS(BSCRInput[sum_pml],BSCRInput[bscr_entity],"HIG",BSCRInput[region],"ALL",BSCRInput[peril_id],1,BSCRInput[is_geocoded],1)/1000000</f>
        <v>9764.713547875139</v>
      </c>
      <c r="F32" s="14" t="n"/>
      <c r="G32" s="14" t="n"/>
      <c r="H32" s="14" t="n"/>
      <c r="I32" s="33" t="inlineStr">
        <is>
          <t>Total net all other lines limits exposed – modelled</t>
        </is>
      </c>
      <c r="J32" s="37">
        <f>SUMIFS(BSCRInput[sum_net],BSCRInput[bscr_entity],"HIG",BSCRInput[region],"ALL",BSCRInput[peril_id],1,BSCRInput[is_geocoded],1)/1000000</f>
        <v>7784.579491810239</v>
      </c>
      <c r="K32" s="15" t="n"/>
      <c r="L32" s="10" t="n"/>
      <c r="M32" s="11" t="n"/>
    </row>
    <row r="33">
      <c r="A33" s="18" t="n"/>
      <c r="B33" s="14" t="n"/>
      <c r="C33" s="14" t="n"/>
      <c r="D33" s="33" t="inlineStr">
        <is>
          <t>Total gross all other lines limits exposed  - not modelled</t>
        </is>
      </c>
      <c r="E33" s="37">
        <f>SUMIFS(BSCRInput[sum_pml],BSCRInput[bscr_entity],"HIG",BSCRInput[region],"ALL",BSCRInput[peril_id],1,BSCRInput[is_geocoded],0)/1000000</f>
        <v>159.1493211238102</v>
      </c>
      <c r="F33" s="14" t="n"/>
      <c r="G33" s="14" t="n"/>
      <c r="H33" s="14" t="n"/>
      <c r="I33" s="33" t="inlineStr">
        <is>
          <t>Total net all other lines limits exposed - not modelled</t>
        </is>
      </c>
      <c r="J33" s="37">
        <f>SUMIFS(BSCRInput[sum_net],BSCRInput[bscr_entity],"HIG",BSCRInput[region],"ALL",BSCRInput[peril_id],1,BSCRInput[is_geocoded],0)/1000000</f>
        <v>92.24912249038593</v>
      </c>
      <c r="K33" s="15" t="n"/>
      <c r="L33" s="10" t="n"/>
      <c r="M33" s="11" t="n"/>
    </row>
    <row r="34">
      <c r="A34" s="18" t="n"/>
      <c r="B34" s="14" t="n"/>
      <c r="C34" s="14" t="n"/>
      <c r="D34" s="33" t="inlineStr">
        <is>
          <t>Total gross premium without an occurrence or aggregate limit:</t>
        </is>
      </c>
      <c r="E34" s="34" t="n"/>
      <c r="F34" s="14" t="n"/>
      <c r="G34" s="14" t="n"/>
      <c r="H34" s="14" t="n"/>
      <c r="I34" s="33" t="inlineStr">
        <is>
          <t>Total net premium without an occurrence or aggregate limit</t>
        </is>
      </c>
      <c r="J34" s="34" t="n"/>
      <c r="K34" s="15" t="n"/>
      <c r="L34" s="10" t="n"/>
      <c r="M34" s="11" t="n"/>
    </row>
    <row r="35">
      <c r="A35" s="18" t="n"/>
      <c r="B35" s="14" t="n"/>
      <c r="C35" s="14" t="n"/>
      <c r="D35" s="33" t="inlineStr">
        <is>
          <t>Total gross premium with non determinable Total Insured Value (“TIV”):</t>
        </is>
      </c>
      <c r="E35" s="34" t="n"/>
      <c r="F35" s="14" t="n"/>
      <c r="G35" s="14" t="n"/>
      <c r="H35" s="14" t="n"/>
      <c r="I35" s="33" t="inlineStr">
        <is>
          <t>Total net premium with non-determinable TIV:</t>
        </is>
      </c>
      <c r="J35" s="34" t="n"/>
      <c r="K35" s="15" t="n"/>
      <c r="L35" s="10" t="n"/>
      <c r="M35" s="11" t="n"/>
    </row>
    <row r="36" ht="6.75" customHeight="1">
      <c r="A36" s="18" t="n"/>
      <c r="B36" s="14" t="n"/>
      <c r="C36" s="14" t="n"/>
      <c r="D36" s="14" t="n"/>
      <c r="E36" s="32" t="n"/>
      <c r="F36" s="14" t="n"/>
      <c r="G36" s="14" t="n"/>
      <c r="H36" s="14" t="n"/>
      <c r="I36" s="14" t="n"/>
      <c r="J36" s="14" t="n"/>
      <c r="K36" s="15" t="n"/>
      <c r="L36" s="10" t="n"/>
      <c r="M36" s="11" t="n"/>
    </row>
    <row r="37">
      <c r="A37" s="18" t="n"/>
      <c r="B37" s="19" t="inlineStr">
        <is>
          <t>2. Significant sources of catastrophe risk and associated loss included in the EP Curves</t>
        </is>
      </c>
      <c r="C37" s="14" t="n"/>
      <c r="D37" s="14" t="n"/>
      <c r="E37" s="32" t="n"/>
      <c r="F37" s="14" t="n"/>
      <c r="G37" s="14" t="n"/>
      <c r="H37" s="14" t="n"/>
      <c r="I37" s="14" t="n"/>
      <c r="J37" s="14" t="n"/>
      <c r="K37" s="15" t="n"/>
      <c r="L37" s="10" t="n"/>
      <c r="M37" s="11" t="n"/>
    </row>
    <row r="38">
      <c r="A38" s="18" t="n"/>
      <c r="B38" s="14" t="n"/>
      <c r="C38" s="14" t="n"/>
      <c r="D38" s="33" t="inlineStr">
        <is>
          <t>Allocated loss adjustment expense</t>
        </is>
      </c>
      <c r="E38" s="38" t="n"/>
      <c r="F38" s="39" t="n"/>
      <c r="G38" s="39" t="n"/>
      <c r="H38" s="40" t="str">
        <f>IF(E38="No","If no, why not:","")</f>
        <v/>
      </c>
      <c r="I38" s="41" t="n"/>
      <c r="J38" s="42" t="n"/>
      <c r="K38" s="43" t="n"/>
      <c r="L38" s="10" t="n"/>
      <c r="M38" s="11" t="n"/>
    </row>
    <row r="39">
      <c r="A39" s="18" t="n"/>
      <c r="B39" s="14" t="n"/>
      <c r="C39" s="14" t="n"/>
      <c r="D39" s="33" t="inlineStr">
        <is>
          <t>Property - buildings</t>
        </is>
      </c>
      <c r="E39" s="38" t="n"/>
      <c r="F39" s="39" t="n"/>
      <c r="G39" s="39" t="n"/>
      <c r="H39" s="40" t="str">
        <f>IF(E39="No","If no, why not:","")</f>
        <v/>
      </c>
      <c r="I39" s="41" t="n"/>
      <c r="J39" s="42" t="n"/>
      <c r="K39" s="43" t="n"/>
      <c r="L39" s="10" t="n"/>
      <c r="M39" s="11" t="n"/>
    </row>
    <row r="40">
      <c r="A40" s="18" t="n"/>
      <c r="B40" s="14" t="n"/>
      <c r="C40" s="14" t="n"/>
      <c r="D40" s="33" t="inlineStr">
        <is>
          <t>Property - contents</t>
        </is>
      </c>
      <c r="E40" s="38" t="n"/>
      <c r="F40" s="39" t="n"/>
      <c r="G40" s="39" t="n"/>
      <c r="H40" s="40" t="str">
        <f>IF(E40="No","If no, why not:","")</f>
        <v/>
      </c>
      <c r="I40" s="41" t="n"/>
      <c r="J40" s="42" t="n"/>
      <c r="K40" s="43" t="n"/>
      <c r="L40" s="10" t="n"/>
      <c r="M40" s="11" t="n"/>
    </row>
    <row r="41">
      <c r="A41" s="18" t="n"/>
      <c r="B41" s="14" t="n"/>
      <c r="C41" s="14" t="n"/>
      <c r="D41" s="33" t="inlineStr">
        <is>
          <t>Additional living expenses</t>
        </is>
      </c>
      <c r="E41" s="44" t="n"/>
      <c r="F41" s="39" t="n"/>
      <c r="G41" s="39" t="n"/>
      <c r="H41" s="40" t="str">
        <f>IF(E41="No","If no, why not:","")</f>
        <v/>
      </c>
      <c r="I41" s="41" t="n"/>
      <c r="J41" s="42" t="n"/>
      <c r="K41" s="43" t="n"/>
      <c r="L41" s="10" t="n"/>
      <c r="M41" s="11" t="n"/>
    </row>
    <row r="42">
      <c r="A42" s="18" t="n"/>
      <c r="B42" s="14" t="n"/>
      <c r="C42" s="14" t="n"/>
      <c r="D42" s="33" t="inlineStr">
        <is>
          <t>Business interruption</t>
        </is>
      </c>
      <c r="E42" s="38" t="n"/>
      <c r="F42" s="45" t="n"/>
      <c r="G42" s="46" t="n"/>
      <c r="H42" s="40" t="str">
        <f>IF(E42="No","If no, why not:","")</f>
        <v/>
      </c>
      <c r="I42" s="41" t="n"/>
      <c r="J42" s="42" t="n"/>
      <c r="K42" s="43" t="n"/>
      <c r="L42" s="10" t="n"/>
      <c r="M42" s="11" t="n"/>
    </row>
    <row r="43">
      <c r="A43" s="18" t="n"/>
      <c r="B43" s="14" t="n"/>
      <c r="C43" s="14" t="n"/>
      <c r="D43" s="33" t="inlineStr">
        <is>
          <t>Auto physical damage</t>
        </is>
      </c>
      <c r="E43" s="38" t="n"/>
      <c r="F43" s="45" t="n"/>
      <c r="G43" s="46" t="n"/>
      <c r="H43" s="40" t="str">
        <f>IF(E43="No","If no, why not:","")</f>
        <v/>
      </c>
      <c r="I43" s="41" t="n"/>
      <c r="J43" s="42" t="n"/>
      <c r="K43" s="43" t="n"/>
      <c r="L43" s="10" t="n"/>
      <c r="M43" s="11" t="n"/>
    </row>
    <row r="44">
      <c r="A44" s="18" t="n"/>
      <c r="B44" s="14" t="n"/>
      <c r="C44" s="14" t="n"/>
      <c r="D44" s="33" t="inlineStr">
        <is>
          <t>Worker's compensation</t>
        </is>
      </c>
      <c r="E44" s="38" t="n"/>
      <c r="F44" s="45" t="n"/>
      <c r="G44" s="46" t="n"/>
      <c r="H44" s="40" t="str">
        <f>IF(E44="No","If no, why not:","")</f>
        <v/>
      </c>
      <c r="I44" s="41" t="n"/>
      <c r="J44" s="42" t="n"/>
      <c r="K44" s="43" t="n"/>
      <c r="L44" s="10" t="n"/>
      <c r="M44" s="11" t="n"/>
    </row>
    <row r="45">
      <c r="A45" s="18" t="n"/>
      <c r="B45" s="14" t="n"/>
      <c r="C45" s="14" t="n"/>
      <c r="D45" s="33" t="inlineStr">
        <is>
          <t>Personal accident</t>
        </is>
      </c>
      <c r="E45" s="38" t="n"/>
      <c r="F45" s="45" t="n"/>
      <c r="G45" s="46" t="n"/>
      <c r="H45" s="40" t="str">
        <f>IF(E45="No","If no, why not:","")</f>
        <v/>
      </c>
      <c r="I45" s="41" t="n"/>
      <c r="J45" s="42" t="n"/>
      <c r="K45" s="43" t="n"/>
      <c r="L45" s="10" t="n"/>
      <c r="M45" s="11" t="n"/>
    </row>
    <row r="46">
      <c r="A46" s="18" t="n"/>
      <c r="B46" s="14" t="n"/>
      <c r="C46" s="14" t="n"/>
      <c r="D46" s="33" t="inlineStr">
        <is>
          <t>Life insurance</t>
        </is>
      </c>
      <c r="E46" s="38" t="n"/>
      <c r="F46" s="45" t="n"/>
      <c r="G46" s="46" t="n"/>
      <c r="H46" s="40" t="str">
        <f>IF(E46="No","If no, why not:","")</f>
        <v/>
      </c>
      <c r="I46" s="41" t="n"/>
      <c r="J46" s="42" t="n"/>
      <c r="K46" s="43" t="n"/>
      <c r="L46" s="10" t="n"/>
      <c r="M46" s="11" t="n"/>
    </row>
    <row r="47">
      <c r="A47" s="18" t="n"/>
      <c r="B47" s="14" t="n"/>
      <c r="C47" s="14" t="n"/>
      <c r="D47" s="33" t="inlineStr">
        <is>
          <t>Onshore energy</t>
        </is>
      </c>
      <c r="E47" s="38" t="n"/>
      <c r="F47" s="45" t="n"/>
      <c r="G47" s="46" t="n"/>
      <c r="H47" s="40" t="str">
        <f>IF(E47="No","If no, why not:","")</f>
        <v/>
      </c>
      <c r="I47" s="41" t="n"/>
      <c r="J47" s="42" t="n"/>
      <c r="K47" s="43" t="n"/>
      <c r="L47" s="10" t="n"/>
      <c r="M47" s="11" t="n"/>
    </row>
    <row r="48">
      <c r="A48" s="18" t="n"/>
      <c r="B48" s="14" t="n"/>
      <c r="C48" s="14" t="n"/>
      <c r="D48" s="33" t="inlineStr">
        <is>
          <t>Offshore energy</t>
        </is>
      </c>
      <c r="E48" s="38" t="n"/>
      <c r="F48" s="45" t="n"/>
      <c r="G48" s="46" t="n"/>
      <c r="H48" s="40" t="str">
        <f>IF(E48="No","If no, why not:","")</f>
        <v/>
      </c>
      <c r="I48" s="41" t="n"/>
      <c r="J48" s="42" t="n"/>
      <c r="K48" s="43" t="n"/>
      <c r="L48" s="10" t="n"/>
      <c r="M48" s="11" t="n"/>
    </row>
    <row r="49">
      <c r="A49" s="18" t="n"/>
      <c r="B49" s="14" t="n"/>
      <c r="C49" s="14" t="n"/>
      <c r="D49" s="33" t="inlineStr">
        <is>
          <t>Ocean marine</t>
        </is>
      </c>
      <c r="E49" s="38" t="n"/>
      <c r="F49" s="45" t="n"/>
      <c r="G49" s="46" t="n"/>
      <c r="H49" s="40" t="str">
        <f>IF(E49="No","If no, why not:","")</f>
        <v/>
      </c>
      <c r="I49" s="41" t="n"/>
      <c r="J49" s="42" t="n"/>
      <c r="K49" s="43" t="n"/>
      <c r="L49" s="10" t="n"/>
      <c r="M49" s="11" t="n"/>
    </row>
    <row r="50">
      <c r="A50" s="18" t="n"/>
      <c r="B50" s="14" t="n"/>
      <c r="C50" s="14" t="n"/>
      <c r="D50" s="33" t="inlineStr">
        <is>
          <t>Inland marine</t>
        </is>
      </c>
      <c r="E50" s="38" t="n"/>
      <c r="F50" s="45" t="n"/>
      <c r="G50" s="46" t="n"/>
      <c r="H50" s="40" t="str">
        <f>IF(E50="No","If no, why not:","")</f>
        <v/>
      </c>
      <c r="I50" s="41" t="n"/>
      <c r="J50" s="42" t="n"/>
      <c r="K50" s="43" t="n"/>
      <c r="L50" s="10" t="n"/>
      <c r="M50" s="11" t="n"/>
    </row>
    <row r="51">
      <c r="A51" s="18" t="n"/>
      <c r="B51" s="14" t="n"/>
      <c r="C51" s="14" t="n"/>
      <c r="D51" s="33" t="inlineStr">
        <is>
          <t>Flood</t>
        </is>
      </c>
      <c r="E51" s="38" t="n"/>
      <c r="F51" s="45" t="n"/>
      <c r="G51" s="46" t="n"/>
      <c r="H51" s="40" t="str">
        <f>IF(E51="No","If no, why not:","")</f>
        <v/>
      </c>
      <c r="I51" s="41" t="n"/>
      <c r="J51" s="42" t="n"/>
      <c r="K51" s="43" t="n"/>
      <c r="L51" s="10" t="n"/>
      <c r="M51" s="11" t="n"/>
    </row>
    <row r="52">
      <c r="A52" s="18" t="n"/>
      <c r="B52" s="14" t="n"/>
      <c r="C52" s="14" t="n"/>
      <c r="D52" s="33" t="inlineStr">
        <is>
          <t>Crop</t>
        </is>
      </c>
      <c r="E52" s="38" t="n"/>
      <c r="F52" s="45" t="n"/>
      <c r="G52" s="46" t="n"/>
      <c r="H52" s="40" t="str">
        <f>IF(E52="No","If no, why not:","")</f>
        <v/>
      </c>
      <c r="I52" s="41" t="n"/>
      <c r="J52" s="42" t="n"/>
      <c r="K52" s="43" t="n"/>
      <c r="L52" s="10" t="n"/>
      <c r="M52" s="11" t="n"/>
    </row>
    <row r="53">
      <c r="A53" s="18" t="n"/>
      <c r="B53" s="14" t="n"/>
      <c r="C53" s="14" t="n"/>
      <c r="D53" s="33" t="inlineStr">
        <is>
          <t>Other primary insurance</t>
        </is>
      </c>
      <c r="E53" s="38" t="n"/>
      <c r="F53" s="45" t="n"/>
      <c r="G53" s="46" t="n"/>
      <c r="H53" s="40" t="str">
        <f>IF(E53="No","If no, why not:","")</f>
        <v/>
      </c>
      <c r="I53" s="41" t="n"/>
      <c r="J53" s="42" t="n"/>
      <c r="K53" s="43" t="n"/>
      <c r="L53" s="10" t="n"/>
      <c r="M53" s="11" t="n"/>
    </row>
    <row r="54" ht="6.75" customHeight="1">
      <c r="A54" s="18" t="n"/>
      <c r="B54" s="14" t="n"/>
      <c r="C54" s="14" t="n"/>
      <c r="D54" s="14" t="n"/>
      <c r="E54" s="47" t="n"/>
      <c r="F54" s="40" t="n"/>
      <c r="G54" s="40" t="n"/>
      <c r="H54" s="40" t="n"/>
      <c r="I54" s="48" t="n"/>
      <c r="J54" s="48" t="n"/>
      <c r="K54" s="49" t="n"/>
      <c r="L54" s="10" t="n"/>
      <c r="M54" s="11" t="n"/>
    </row>
    <row r="55">
      <c r="A55" s="18" t="n"/>
      <c r="B55" s="19" t="inlineStr">
        <is>
          <t>3. Assumed reinsurance information:</t>
        </is>
      </c>
      <c r="C55" s="14" t="n"/>
      <c r="D55" s="14" t="n"/>
      <c r="E55" s="47" t="n"/>
      <c r="F55" s="40" t="n"/>
      <c r="G55" s="40" t="n"/>
      <c r="H55" s="40" t="n"/>
      <c r="I55" s="48" t="n"/>
      <c r="J55" s="48" t="n"/>
      <c r="K55" s="49" t="n"/>
      <c r="L55" s="10" t="n"/>
      <c r="M55" s="11" t="n"/>
    </row>
    <row r="56">
      <c r="A56" s="18" t="n"/>
      <c r="B56" s="14" t="n"/>
      <c r="C56" s="14" t="n"/>
      <c r="D56" s="33" t="inlineStr">
        <is>
          <t>Proportional - quota share</t>
        </is>
      </c>
      <c r="E56" s="38" t="n"/>
      <c r="F56" s="45" t="n"/>
      <c r="G56" s="46" t="n"/>
      <c r="H56" s="40" t="str">
        <f>IF(E56="No","If no, why not:","")</f>
        <v/>
      </c>
      <c r="I56" s="41" t="n"/>
      <c r="J56" s="42" t="n"/>
      <c r="K56" s="43" t="n"/>
      <c r="L56" s="10" t="n"/>
      <c r="M56" s="11" t="n"/>
    </row>
    <row r="57">
      <c r="A57" s="18" t="n"/>
      <c r="B57" s="14" t="n"/>
      <c r="C57" s="14" t="n"/>
      <c r="D57" s="33" t="inlineStr">
        <is>
          <t>Proportional - surplus share</t>
        </is>
      </c>
      <c r="E57" s="38" t="n"/>
      <c r="F57" s="45" t="n"/>
      <c r="G57" s="46" t="n"/>
      <c r="H57" s="40" t="str">
        <f>IF(E57="No","If no, why not:","")</f>
        <v/>
      </c>
      <c r="I57" s="41" t="n"/>
      <c r="J57" s="42" t="n"/>
      <c r="K57" s="43" t="n"/>
      <c r="L57" s="10" t="n"/>
      <c r="M57" s="11" t="n"/>
    </row>
    <row r="58">
      <c r="A58" s="18" t="n"/>
      <c r="B58" s="14" t="n"/>
      <c r="C58" s="14" t="n"/>
      <c r="D58" s="33" t="inlineStr">
        <is>
          <t>Non-proportional - catastrophe</t>
        </is>
      </c>
      <c r="E58" s="38" t="n"/>
      <c r="F58" s="45" t="n"/>
      <c r="G58" s="46" t="n"/>
      <c r="H58" s="40" t="str">
        <f>IF(E58="No","If no, why not:","")</f>
        <v/>
      </c>
      <c r="I58" s="41" t="n"/>
      <c r="J58" s="42" t="n"/>
      <c r="K58" s="43" t="n"/>
      <c r="L58" s="10" t="n"/>
      <c r="M58" s="11" t="n"/>
    </row>
    <row r="59">
      <c r="A59" s="18" t="n"/>
      <c r="B59" s="14" t="n"/>
      <c r="C59" s="14" t="n"/>
      <c r="D59" s="33" t="inlineStr">
        <is>
          <t>Non-proportional - per risk</t>
        </is>
      </c>
      <c r="E59" s="38" t="n"/>
      <c r="F59" s="45" t="n"/>
      <c r="G59" s="46" t="n"/>
      <c r="H59" s="40" t="str">
        <f>IF(E59="No","If no, why not:","")</f>
        <v/>
      </c>
      <c r="I59" s="41" t="n"/>
      <c r="J59" s="42" t="n"/>
      <c r="K59" s="43" t="n"/>
      <c r="L59" s="10" t="n"/>
      <c r="M59" s="11" t="n"/>
    </row>
    <row r="60">
      <c r="A60" s="18" t="n"/>
      <c r="B60" s="14" t="n"/>
      <c r="C60" s="14" t="n"/>
      <c r="D60" s="33" t="inlineStr">
        <is>
          <t>Other reinsurance assumed</t>
        </is>
      </c>
      <c r="E60" s="38" t="n"/>
      <c r="F60" s="45" t="n"/>
      <c r="G60" s="46" t="n"/>
      <c r="H60" s="40" t="str">
        <f>IF(E60="No","If no, why not:","")</f>
        <v/>
      </c>
      <c r="I60" s="41" t="n"/>
      <c r="J60" s="42" t="n"/>
      <c r="K60" s="43" t="n"/>
      <c r="L60" s="10" t="n"/>
      <c r="M60" s="11" t="n"/>
    </row>
    <row r="61" ht="6.75" customHeight="1">
      <c r="A61" s="18" t="n"/>
      <c r="B61" s="14" t="n"/>
      <c r="C61" s="14" t="n"/>
      <c r="D61" s="33" t="n"/>
      <c r="E61" s="40" t="n"/>
      <c r="F61" s="40" t="n"/>
      <c r="G61" s="40" t="n"/>
      <c r="H61" s="40" t="n"/>
      <c r="I61" s="50" t="n"/>
      <c r="J61" s="50" t="n"/>
      <c r="K61" s="41" t="n"/>
      <c r="L61" s="10" t="n"/>
      <c r="M61" s="11" t="n"/>
    </row>
    <row r="62">
      <c r="A62" s="18" t="n"/>
      <c r="B62" s="19" t="inlineStr">
        <is>
          <t>4. Pools and assessments information:</t>
        </is>
      </c>
      <c r="C62" s="14" t="n"/>
      <c r="D62" s="33" t="n"/>
      <c r="E62" s="47" t="n"/>
      <c r="F62" s="40" t="n"/>
      <c r="G62" s="40" t="n"/>
      <c r="H62" s="40" t="n"/>
      <c r="I62" s="48" t="n"/>
      <c r="J62" s="48" t="n"/>
      <c r="K62" s="49" t="n"/>
      <c r="L62" s="10" t="n"/>
      <c r="M62" s="11" t="n"/>
    </row>
    <row r="63">
      <c r="A63" s="18" t="n"/>
      <c r="B63" s="51" t="n"/>
      <c r="C63" s="14" t="n"/>
      <c r="D63" s="33" t="inlineStr">
        <is>
          <t>Voluntary pools and/or assessments</t>
        </is>
      </c>
      <c r="E63" s="38" t="n"/>
      <c r="F63" s="45" t="n"/>
      <c r="G63" s="46" t="n"/>
      <c r="H63" s="40" t="str">
        <f>IF(E63="No","If no, why not:","")</f>
        <v/>
      </c>
      <c r="I63" s="41" t="n"/>
      <c r="J63" s="42" t="n"/>
      <c r="K63" s="43" t="n"/>
      <c r="L63" s="10" t="n"/>
      <c r="M63" s="11" t="n"/>
    </row>
    <row r="64">
      <c r="A64" s="18" t="n"/>
      <c r="B64" s="51" t="n"/>
      <c r="C64" s="14" t="n"/>
      <c r="D64" s="33" t="inlineStr">
        <is>
          <t>Involuntary pools and/or assessments</t>
        </is>
      </c>
      <c r="E64" s="38" t="n"/>
      <c r="F64" s="45" t="n"/>
      <c r="G64" s="46" t="n"/>
      <c r="H64" s="40" t="str">
        <f>IF(E64="No","If no, why not:","")</f>
        <v/>
      </c>
      <c r="I64" s="41" t="n"/>
      <c r="J64" s="42" t="n"/>
      <c r="K64" s="43" t="n"/>
      <c r="L64" s="10" t="n"/>
      <c r="M64" s="11" t="n"/>
    </row>
    <row r="65" ht="6.75" customHeight="1">
      <c r="A65" s="18" t="n"/>
      <c r="B65" s="14" t="n"/>
      <c r="C65" s="14" t="n"/>
      <c r="D65" s="33" t="n"/>
      <c r="E65" s="40" t="n"/>
      <c r="F65" s="40" t="n"/>
      <c r="G65" s="40" t="n"/>
      <c r="H65" s="40" t="n"/>
      <c r="I65" s="48" t="n"/>
      <c r="J65" s="48" t="n"/>
      <c r="K65" s="49" t="n"/>
      <c r="L65" s="10" t="n"/>
      <c r="M65" s="11" t="n"/>
    </row>
    <row r="66">
      <c r="A66" s="18" t="n"/>
      <c r="B66" s="19" t="inlineStr">
        <is>
          <t>5. Supplemental perils and model options:</t>
        </is>
      </c>
      <c r="C66" s="14" t="n"/>
      <c r="D66" s="33" t="n"/>
      <c r="E66" s="47" t="n"/>
      <c r="F66" s="40" t="n"/>
      <c r="G66" s="40" t="n"/>
      <c r="H66" s="40" t="n"/>
      <c r="I66" s="48" t="n"/>
      <c r="J66" s="48" t="n"/>
      <c r="K66" s="49" t="n"/>
      <c r="L66" s="10" t="n"/>
      <c r="M66" s="11" t="n"/>
    </row>
    <row r="67">
      <c r="A67" s="18" t="n"/>
      <c r="B67" s="14" t="n"/>
      <c r="C67" s="14" t="n"/>
      <c r="D67" s="33" t="inlineStr">
        <is>
          <t>Fire following</t>
        </is>
      </c>
      <c r="E67" s="38" t="n"/>
      <c r="F67" s="45" t="n"/>
      <c r="G67" s="46" t="n"/>
      <c r="H67" s="40" t="str">
        <f>IF(E67="No","If no, why not:","")</f>
        <v/>
      </c>
      <c r="I67" s="41" t="n"/>
      <c r="J67" s="42" t="n"/>
      <c r="K67" s="43" t="n"/>
      <c r="L67" s="10" t="n"/>
      <c r="M67" s="11" t="n"/>
    </row>
    <row r="68">
      <c r="A68" s="18" t="n"/>
      <c r="B68" s="14" t="n"/>
      <c r="C68" s="14" t="n"/>
      <c r="D68" s="33" t="inlineStr">
        <is>
          <t>Sprinkler leakage</t>
        </is>
      </c>
      <c r="E68" s="38" t="n"/>
      <c r="F68" s="45" t="n"/>
      <c r="G68" s="46" t="n"/>
      <c r="H68" s="40" t="str">
        <f>IF(E68="No","If no, why not:","")</f>
        <v/>
      </c>
      <c r="I68" s="41" t="n"/>
      <c r="J68" s="42" t="n"/>
      <c r="K68" s="43" t="n"/>
      <c r="L68" s="10" t="n"/>
      <c r="M68" s="11" t="n"/>
    </row>
    <row r="69">
      <c r="A69" s="18" t="n"/>
      <c r="B69" s="14" t="n"/>
      <c r="C69" s="14" t="n"/>
      <c r="D69" s="33" t="inlineStr">
        <is>
          <t>Storm surge</t>
        </is>
      </c>
      <c r="E69" s="38" t="n"/>
      <c r="F69" s="45" t="n"/>
      <c r="G69" s="46" t="n"/>
      <c r="H69" s="40" t="str">
        <f>IF(E69="No","If no, why not:","")</f>
        <v/>
      </c>
      <c r="I69" s="41" t="n"/>
      <c r="J69" s="42" t="n"/>
      <c r="K69" s="43" t="n"/>
      <c r="L69" s="10" t="n"/>
      <c r="M69" s="11" t="n"/>
    </row>
    <row r="70">
      <c r="A70" s="18" t="n"/>
      <c r="B70" s="14" t="n"/>
      <c r="C70" s="14" t="n"/>
      <c r="D70" s="33" t="inlineStr">
        <is>
          <t>Demand surge</t>
        </is>
      </c>
      <c r="E70" s="38" t="n"/>
      <c r="F70" s="45" t="n"/>
      <c r="G70" s="46" t="n"/>
      <c r="H70" s="40" t="str">
        <f>IF(E70="No","If no, why not:","")</f>
        <v/>
      </c>
      <c r="I70" s="41" t="n"/>
      <c r="J70" s="42" t="n"/>
      <c r="K70" s="43" t="n"/>
      <c r="L70" s="10" t="n"/>
      <c r="M70" s="11" t="n"/>
    </row>
    <row r="71">
      <c r="A71" s="18" t="n"/>
      <c r="B71" s="14" t="n"/>
      <c r="C71" s="14" t="n"/>
      <c r="D71" s="33" t="inlineStr">
        <is>
          <t>Secondary uncertainty</t>
        </is>
      </c>
      <c r="E71" s="38" t="n"/>
      <c r="F71" s="45" t="n"/>
      <c r="G71" s="46" t="n"/>
      <c r="H71" s="40" t="str">
        <f>IF(E71="No","If no, why not:","")</f>
        <v/>
      </c>
      <c r="I71" s="41" t="n"/>
      <c r="J71" s="42" t="n"/>
      <c r="K71" s="43" t="n"/>
      <c r="L71" s="10" t="n"/>
      <c r="M71" s="11" t="n"/>
    </row>
    <row r="72">
      <c r="A72" s="18" t="n"/>
      <c r="B72" s="14" t="n"/>
      <c r="C72" s="14" t="n"/>
      <c r="D72" s="33" t="inlineStr">
        <is>
          <t>Atlantic multi-decadal oscillation selection</t>
        </is>
      </c>
      <c r="E72" s="38" t="n"/>
      <c r="F72" s="39" t="n"/>
      <c r="G72" s="39" t="n"/>
      <c r="H72" s="40" t="str">
        <f>IF(E72="Long-term frequency","If long-term frequency, why:","")</f>
        <v/>
      </c>
      <c r="I72" s="41" t="n"/>
      <c r="J72" s="42" t="n"/>
      <c r="K72" s="43" t="n"/>
      <c r="L72" s="10" t="n"/>
      <c r="M72" s="11" t="n"/>
    </row>
    <row r="73" ht="6.75" customHeight="1">
      <c r="A73" s="18" t="n"/>
      <c r="B73" s="14" t="n"/>
      <c r="C73" s="14" t="n"/>
      <c r="D73" s="33" t="n"/>
      <c r="E73" s="40" t="n"/>
      <c r="F73" s="40" t="n"/>
      <c r="G73" s="40" t="n"/>
      <c r="H73" s="40" t="n"/>
      <c r="I73" s="48" t="n"/>
      <c r="J73" s="48" t="n"/>
      <c r="K73" s="49" t="n"/>
      <c r="L73" s="10" t="n"/>
      <c r="M73" s="11" t="n"/>
    </row>
    <row r="74">
      <c r="A74" s="18" t="n"/>
      <c r="B74" s="19" t="inlineStr">
        <is>
          <t>6. Other adjustments information:</t>
        </is>
      </c>
      <c r="C74" s="14" t="n"/>
      <c r="D74" s="33" t="n"/>
      <c r="E74" s="47" t="n"/>
      <c r="F74" s="40" t="n"/>
      <c r="G74" s="40" t="n"/>
      <c r="H74" s="40" t="n"/>
      <c r="I74" s="48" t="n"/>
      <c r="J74" s="48" t="n"/>
      <c r="K74" s="49" t="n"/>
      <c r="L74" s="10" t="n"/>
      <c r="M74" s="11" t="n"/>
    </row>
    <row r="75">
      <c r="A75" s="18" t="n"/>
      <c r="B75" s="14" t="n"/>
      <c r="C75" s="14" t="n"/>
      <c r="D75" s="33" t="inlineStr">
        <is>
          <t>Adjustments for exposure data quality</t>
        </is>
      </c>
      <c r="E75" s="38" t="n"/>
      <c r="F75" s="39" t="n"/>
      <c r="G75" s="40" t="n"/>
      <c r="H75" s="40" t="str">
        <f>IF(E75="No","If no, why not:","")</f>
        <v/>
      </c>
      <c r="I75" s="41" t="n"/>
      <c r="J75" s="42" t="n"/>
      <c r="K75" s="43" t="n"/>
      <c r="L75" s="10" t="n"/>
      <c r="M75" s="11" t="n"/>
    </row>
    <row r="76">
      <c r="A76" s="18" t="n"/>
      <c r="B76" s="14" t="n"/>
      <c r="C76" s="14" t="n"/>
      <c r="D76" s="33" t="inlineStr">
        <is>
          <t>Adjustments for insurance to value</t>
        </is>
      </c>
      <c r="E76" s="38" t="n"/>
      <c r="F76" s="39" t="n"/>
      <c r="G76" s="40" t="n"/>
      <c r="H76" s="40" t="str">
        <f>IF(E76="No","If no, why not:","")</f>
        <v/>
      </c>
      <c r="I76" s="41" t="n"/>
      <c r="J76" s="42" t="n"/>
      <c r="K76" s="43" t="n"/>
      <c r="L76" s="10" t="n"/>
      <c r="M76" s="11" t="n"/>
    </row>
    <row r="77">
      <c r="A77" s="18" t="n"/>
      <c r="B77" s="14" t="n"/>
      <c r="C77" s="14" t="n"/>
      <c r="D77" s="33" t="inlineStr">
        <is>
          <t>Adjustments for exposure growth</t>
        </is>
      </c>
      <c r="E77" s="44" t="n"/>
      <c r="F77" s="39" t="n"/>
      <c r="G77" s="40" t="n"/>
      <c r="H77" s="40" t="str">
        <f>IF(E77="No","If no, why not:","")</f>
        <v/>
      </c>
      <c r="I77" s="41" t="n"/>
      <c r="J77" s="42" t="n"/>
      <c r="K77" s="43" t="n"/>
      <c r="L77" s="10" t="n"/>
      <c r="M77" s="11" t="n"/>
    </row>
    <row r="78">
      <c r="A78" s="18" t="n"/>
      <c r="B78" s="14" t="n"/>
      <c r="C78" s="14" t="n"/>
      <c r="D78" s="33" t="inlineStr">
        <is>
          <t>Supplemental losses for non-modelled line of business</t>
        </is>
      </c>
      <c r="E78" s="44" t="n"/>
      <c r="F78" s="39" t="n"/>
      <c r="G78" s="40" t="n"/>
      <c r="H78" s="40" t="str">
        <f>IF(E78="No","If no, why not:","")</f>
        <v/>
      </c>
      <c r="I78" s="41" t="n"/>
      <c r="J78" s="42" t="n"/>
      <c r="K78" s="43" t="n"/>
      <c r="L78" s="10" t="n"/>
      <c r="M78" s="11" t="n"/>
    </row>
    <row r="79">
      <c r="A79" s="18" t="n"/>
      <c r="B79" s="14" t="n"/>
      <c r="C79" s="14" t="n"/>
      <c r="D79" s="33" t="inlineStr">
        <is>
          <t>Adjustments for model deficiencies – severity</t>
        </is>
      </c>
      <c r="E79" s="38" t="n"/>
      <c r="F79" s="46" t="n"/>
      <c r="G79" s="40" t="n"/>
      <c r="H79" s="40" t="str">
        <f>IF(E79="No","If no, why not:","")</f>
        <v/>
      </c>
      <c r="I79" s="41" t="n"/>
      <c r="J79" s="42" t="n"/>
      <c r="K79" s="43" t="n"/>
      <c r="L79" s="10" t="n"/>
      <c r="M79" s="11" t="n"/>
    </row>
    <row r="80">
      <c r="A80" s="18" t="n"/>
      <c r="B80" s="14" t="n"/>
      <c r="C80" s="14" t="n"/>
      <c r="D80" s="33" t="inlineStr">
        <is>
          <t>Adjustments for model deficiencies - frequency</t>
        </is>
      </c>
      <c r="E80" s="38" t="n"/>
      <c r="F80" s="46" t="n"/>
      <c r="G80" s="40" t="n"/>
      <c r="H80" s="40" t="str">
        <f>IF(E80="No","If no, why not:","")</f>
        <v/>
      </c>
      <c r="I80" s="41" t="n"/>
      <c r="J80" s="42" t="n"/>
      <c r="K80" s="43" t="n"/>
      <c r="L80" s="10" t="n"/>
      <c r="M80" s="11" t="n"/>
    </row>
    <row r="81">
      <c r="A81" s="18" t="n"/>
      <c r="B81" s="14" t="n"/>
      <c r="C81" s="14" t="n"/>
      <c r="D81" s="33" t="inlineStr">
        <is>
          <t>Additional demand surge loadings</t>
        </is>
      </c>
      <c r="E81" s="38" t="n"/>
      <c r="F81" s="39" t="n"/>
      <c r="G81" s="40" t="n"/>
      <c r="H81" s="40" t="str">
        <f>IF(E81="No","If no, why not:","")</f>
        <v/>
      </c>
      <c r="I81" s="41" t="n"/>
      <c r="J81" s="42" t="n"/>
      <c r="K81" s="43" t="n"/>
      <c r="L81" s="10" t="n"/>
      <c r="M81" s="11" t="n"/>
    </row>
    <row r="82">
      <c r="A82" s="18" t="n"/>
      <c r="B82" s="14" t="n"/>
      <c r="C82" s="14" t="n"/>
      <c r="D82" s="33" t="inlineStr">
        <is>
          <t>Other factors for prudence</t>
        </is>
      </c>
      <c r="E82" s="38" t="n"/>
      <c r="F82" s="39" t="n"/>
      <c r="G82" s="40" t="n"/>
      <c r="H82" s="40" t="str">
        <f>IF(E82="No","If no, why not:","")</f>
        <v/>
      </c>
      <c r="I82" s="41" t="n"/>
      <c r="J82" s="42" t="n"/>
      <c r="K82" s="43" t="n"/>
      <c r="L82" s="10" t="n"/>
      <c r="M82" s="11" t="n"/>
    </row>
    <row r="83" ht="6.75" customHeight="1">
      <c r="A83" s="18" t="n"/>
      <c r="B83" s="14" t="n"/>
      <c r="C83" s="14" t="n"/>
      <c r="D83" s="14" t="n"/>
      <c r="E83" s="52" t="n"/>
      <c r="F83" s="14" t="n"/>
      <c r="G83" s="53" t="n"/>
      <c r="H83" s="53" t="n"/>
      <c r="I83" s="48" t="n"/>
      <c r="J83" s="48" t="n"/>
      <c r="K83" s="49" t="n"/>
      <c r="L83" s="10" t="n"/>
      <c r="M83" s="11" t="n"/>
    </row>
    <row r="84">
      <c r="A84" s="18" t="n"/>
      <c r="B84" s="14" t="n"/>
      <c r="C84" s="14" t="n"/>
      <c r="D84" s="14" t="n"/>
      <c r="E84" s="14" t="n"/>
      <c r="F84" s="33" t="inlineStr">
        <is>
          <t>Average loading factor applied to ground up loss for all adjustments applied:</t>
        </is>
      </c>
      <c r="G84" s="54" t="n"/>
      <c r="H84" s="39" t="n"/>
      <c r="I84" s="48" t="n"/>
      <c r="J84" s="48" t="n"/>
      <c r="K84" s="49" t="n"/>
      <c r="L84" s="10" t="n"/>
      <c r="M84" s="11" t="n"/>
    </row>
    <row r="85">
      <c r="A85" s="18" t="n"/>
      <c r="B85" s="14" t="n"/>
      <c r="C85" s="14" t="n"/>
      <c r="D85" s="14" t="n"/>
      <c r="E85" s="14" t="n"/>
      <c r="F85" s="33" t="inlineStr">
        <is>
          <t>Is this average loading factor determined analytically or estimated?</t>
        </is>
      </c>
      <c r="G85" s="38" t="n"/>
      <c r="H85" s="39" t="n"/>
      <c r="I85" s="48" t="n"/>
      <c r="J85" s="48" t="n"/>
      <c r="K85" s="49" t="n"/>
      <c r="L85" s="10" t="n"/>
      <c r="M85" s="11" t="n"/>
    </row>
    <row r="86" ht="6.75" customHeight="1">
      <c r="A86" s="18" t="n"/>
      <c r="B86" s="14" t="n"/>
      <c r="C86" s="14" t="n"/>
      <c r="D86" s="14" t="n"/>
      <c r="E86" s="14" t="n"/>
      <c r="F86" s="14" t="n"/>
      <c r="G86" s="39" t="n"/>
      <c r="H86" s="39" t="n"/>
      <c r="I86" s="48" t="n"/>
      <c r="J86" s="48" t="n"/>
      <c r="K86" s="49" t="n"/>
      <c r="L86" s="10" t="n"/>
      <c r="M86" s="11" t="n"/>
    </row>
    <row r="87">
      <c r="A87" s="18" t="n"/>
      <c r="B87" s="14" t="n"/>
      <c r="C87" s="14" t="n"/>
      <c r="D87" s="14" t="n"/>
      <c r="E87" s="14" t="n"/>
      <c r="F87" s="33" t="inlineStr">
        <is>
          <t>Which vendor catastrophe models ("cat model") do you include in this modelling?</t>
        </is>
      </c>
      <c r="G87" s="44" t="n"/>
      <c r="H87" s="39" t="n"/>
      <c r="I87" s="48" t="n"/>
      <c r="J87" s="48" t="n"/>
      <c r="K87" s="49" t="n"/>
      <c r="L87" s="10" t="n"/>
      <c r="M87" s="11" t="n"/>
    </row>
    <row r="88">
      <c r="A88" s="18" t="n"/>
      <c r="B88" s="14" t="n"/>
      <c r="C88" s="14" t="n"/>
      <c r="D88" s="14" t="n"/>
      <c r="E88" s="14" t="n"/>
      <c r="F88" s="33" t="inlineStr">
        <is>
          <t>Which version of the model or version of the region-peril models are used for each vendor catastrophe model as appropriate?</t>
        </is>
      </c>
      <c r="G88" s="55" t="n"/>
      <c r="H88" s="56" t="n"/>
      <c r="I88" s="14" t="n"/>
      <c r="J88" s="14" t="n"/>
      <c r="K88" s="15" t="n"/>
      <c r="L88" s="10" t="n"/>
      <c r="M88" s="11" t="n"/>
    </row>
    <row r="89">
      <c r="A89" s="18" t="n"/>
      <c r="B89" s="14" t="n"/>
      <c r="C89" s="14" t="n"/>
      <c r="D89" s="14" t="n"/>
      <c r="E89" s="14" t="n"/>
      <c r="F89" s="14" t="n"/>
      <c r="G89" s="57" t="n"/>
      <c r="H89" s="58" t="n"/>
      <c r="I89" s="14" t="n"/>
      <c r="J89" s="14" t="n"/>
      <c r="K89" s="15" t="n"/>
      <c r="L89" s="10" t="n"/>
      <c r="M89" s="11" t="n"/>
    </row>
    <row r="90" ht="6.75" customHeight="1">
      <c r="A90" s="59" t="n"/>
      <c r="B90" s="60" t="n"/>
      <c r="C90" s="60" t="n"/>
      <c r="D90" s="60" t="n"/>
      <c r="E90" s="60" t="n"/>
      <c r="F90" s="60" t="n"/>
      <c r="G90" s="61" t="n"/>
      <c r="H90" s="61" t="n"/>
      <c r="I90" s="60" t="n"/>
      <c r="J90" s="60" t="n"/>
      <c r="K90" s="62" t="n"/>
      <c r="L90" s="10" t="n"/>
      <c r="M90" s="11" t="n"/>
    </row>
    <row r="91">
      <c r="A91" s="10" t="n"/>
      <c r="B91" s="10" t="n"/>
      <c r="C91" s="10" t="n"/>
      <c r="D91" s="10" t="n"/>
      <c r="E91" s="10" t="n"/>
      <c r="F91" s="10" t="n"/>
      <c r="G91" s="10" t="n"/>
      <c r="H91" s="10" t="n"/>
      <c r="I91" s="10" t="n"/>
      <c r="J91" s="10" t="n"/>
      <c r="K91" s="10" t="n"/>
      <c r="L91" s="10" t="n"/>
      <c r="M91" s="11" t="n"/>
    </row>
    <row r="92">
      <c r="A92" s="10" t="n"/>
      <c r="B92" s="10" t="n"/>
      <c r="C92" s="10" t="n"/>
      <c r="D92" s="10" t="n"/>
      <c r="E92" s="10" t="n"/>
      <c r="F92" s="10" t="n"/>
      <c r="G92" s="10" t="n"/>
      <c r="H92" s="10" t="n"/>
      <c r="I92" s="10" t="n"/>
      <c r="J92" s="10" t="n"/>
      <c r="K92" s="10" t="n"/>
      <c r="L92" s="10" t="n"/>
      <c r="M92" s="10" t="n"/>
    </row>
    <row r="93"/>
    <row r="94"/>
    <row r="95"/>
    <row r="96"/>
    <row r="97"/>
    <row r="98" ht="75" customHeight="1">
      <c r="A98" s="63" t="n"/>
      <c r="B98" s="7" t="inlineStr">
        <is>
          <t>CATASTROPHE RISK RETURN: EP CURVE INSURANCE (TABLE 15A)</t>
        </is>
      </c>
      <c r="C98" s="64" t="n"/>
      <c r="D98" s="64" t="n"/>
      <c r="E98" s="64" t="n"/>
      <c r="F98" s="64" t="n"/>
      <c r="G98" s="64" t="n"/>
      <c r="H98" s="64" t="n"/>
      <c r="I98" s="64" t="n"/>
      <c r="J98" s="8" t="inlineStr">
        <is>
          <t>Back to instructions</t>
        </is>
      </c>
      <c r="K98" s="65" t="n"/>
      <c r="L98" s="10" t="n"/>
      <c r="M98" s="11" t="n"/>
    </row>
    <row r="99" ht="13.5" customHeight="1">
      <c r="A99" s="18" t="n"/>
      <c r="B99" s="13" t="inlineStr">
        <is>
          <t>HIG</t>
        </is>
      </c>
      <c r="C99" s="14" t="n"/>
      <c r="D99" s="14" t="n"/>
      <c r="E99" s="14" t="n"/>
      <c r="F99" s="14" t="n"/>
      <c r="G99" s="14" t="n"/>
      <c r="H99" s="14" t="n"/>
      <c r="I99" s="14" t="n"/>
      <c r="J99" s="14" t="n"/>
      <c r="K99" s="15" t="n"/>
      <c r="L99" s="10" t="n"/>
      <c r="M99" s="11" t="n"/>
    </row>
    <row r="100" ht="13.5" customHeight="1">
      <c r="A100" s="18" t="n"/>
      <c r="B100" s="16">
        <f>DATE(2026,1,1)</f>
        <v>46023.0</v>
      </c>
      <c r="C100" s="14" t="n"/>
      <c r="D100" s="14" t="n"/>
      <c r="E100" s="14" t="n"/>
      <c r="F100" s="14" t="n"/>
      <c r="G100" s="14" t="n"/>
      <c r="H100" s="14" t="n"/>
      <c r="I100" s="14" t="n"/>
      <c r="J100" s="17" t="inlineStr">
        <is>
          <t xml:space="preserve">Schedule X(b) </t>
        </is>
      </c>
      <c r="K100" s="15" t="n"/>
      <c r="L100" s="10" t="n"/>
      <c r="M100" s="11" t="n"/>
    </row>
    <row r="101" ht="6.75" customHeight="1">
      <c r="A101" s="18" t="n"/>
      <c r="B101" s="66" t="n"/>
      <c r="C101" s="14" t="n"/>
      <c r="D101" s="14" t="n"/>
      <c r="E101" s="14" t="n"/>
      <c r="F101" s="14" t="n"/>
      <c r="G101" s="14" t="n"/>
      <c r="H101" s="14" t="n"/>
      <c r="I101" s="14" t="n"/>
      <c r="J101" s="14" t="n"/>
      <c r="K101" s="15" t="n"/>
      <c r="L101" s="10" t="n"/>
      <c r="M101" s="11" t="n"/>
    </row>
    <row r="102">
      <c r="A102" s="18" t="n"/>
      <c r="B102" s="67" t="inlineStr">
        <is>
          <t>Note:The EP curve for insurance will be required only when the percentage of net insurance premiums written is greater than 10% of total net premiums written.</t>
        </is>
      </c>
      <c r="C102" s="67" t="n"/>
      <c r="D102" s="67" t="n"/>
      <c r="E102" s="67" t="n"/>
      <c r="F102" s="67" t="n"/>
      <c r="G102" s="67" t="n"/>
      <c r="H102" s="14" t="n"/>
      <c r="I102" s="14" t="n"/>
      <c r="J102" s="14" t="n"/>
      <c r="K102" s="15" t="n"/>
      <c r="L102" s="10" t="n"/>
      <c r="M102" s="11" t="n"/>
    </row>
    <row r="103" ht="6.75" customHeight="1">
      <c r="A103" s="18" t="n"/>
      <c r="B103" s="67" t="n"/>
      <c r="C103" s="67" t="n"/>
      <c r="D103" s="67" t="n"/>
      <c r="E103" s="67" t="n"/>
      <c r="F103" s="67" t="n"/>
      <c r="G103" s="67" t="n"/>
      <c r="H103" s="14" t="n"/>
      <c r="I103" s="14" t="n"/>
      <c r="J103" s="14" t="n"/>
      <c r="K103" s="15" t="n"/>
      <c r="L103" s="10" t="n"/>
      <c r="M103" s="11" t="n"/>
    </row>
    <row r="104">
      <c r="A104" s="18" t="n"/>
      <c r="B104" s="14" t="n"/>
      <c r="C104" s="19" t="inlineStr">
        <is>
          <t>1. Exceedance probability information:</t>
        </is>
      </c>
      <c r="D104" s="14" t="n"/>
      <c r="E104" s="14" t="n"/>
      <c r="F104" s="14" t="n"/>
      <c r="G104" s="14" t="n"/>
      <c r="H104" s="14" t="n"/>
      <c r="I104" s="14" t="n"/>
      <c r="J104" s="14" t="n"/>
      <c r="K104" s="15" t="n"/>
      <c r="L104" s="10" t="n"/>
      <c r="M104" s="11" t="n"/>
    </row>
    <row r="105">
      <c r="A105" s="18" t="n"/>
      <c r="B105" s="14" t="n"/>
      <c r="C105" s="14" t="n"/>
      <c r="D105" s="20" t="n"/>
      <c r="E105" s="21" t="inlineStr">
        <is>
          <t>Gross Loss</t>
        </is>
      </c>
      <c r="F105" s="22" t="n"/>
      <c r="G105" s="21" t="inlineStr">
        <is>
          <t>Net Loss</t>
        </is>
      </c>
      <c r="H105" s="22" t="n"/>
      <c r="I105" s="14" t="n"/>
      <c r="J105" s="14" t="n"/>
      <c r="K105" s="15" t="n"/>
      <c r="L105" s="10" t="n"/>
      <c r="M105" s="11" t="n"/>
    </row>
    <row r="106" ht="42" customHeight="1">
      <c r="A106" s="18" t="n"/>
      <c r="B106" s="14" t="n"/>
      <c r="C106" s="14" t="n"/>
      <c r="D106" s="23" t="inlineStr">
        <is>
          <t>Loss Return period (years)</t>
        </is>
      </c>
      <c r="E106" s="24" t="inlineStr">
        <is>
          <t>Gross per occurrence loss TVaR</t>
        </is>
      </c>
      <c r="F106" s="24" t="inlineStr">
        <is>
          <t>Gross aggregate TVaR</t>
        </is>
      </c>
      <c r="G106" s="68" t="inlineStr">
        <is>
          <t>Net per occurrence loss TVaR</t>
        </is>
      </c>
      <c r="H106" s="69" t="inlineStr">
        <is>
          <t xml:space="preserve">Net aggregate TVaR </t>
        </is>
      </c>
      <c r="I106" s="14" t="n"/>
      <c r="J106" s="14" t="n"/>
      <c r="K106" s="15" t="n"/>
      <c r="L106" s="25" t="n"/>
      <c r="M106" s="11" t="n"/>
    </row>
    <row r="107">
      <c r="A107" s="18" t="n"/>
      <c r="B107" s="14" t="n"/>
      <c r="C107" s="14" t="n"/>
      <c r="D107" s="26" t="n"/>
      <c r="E107" s="70" t="inlineStr">
        <is>
          <t xml:space="preserve"> ($M)</t>
        </is>
      </c>
      <c r="F107" s="70" t="inlineStr">
        <is>
          <t xml:space="preserve"> ($M)</t>
        </is>
      </c>
      <c r="G107" s="70" t="inlineStr">
        <is>
          <t xml:space="preserve"> ($M)</t>
        </is>
      </c>
      <c r="H107" s="70" t="inlineStr">
        <is>
          <t xml:space="preserve"> ($M)</t>
        </is>
      </c>
      <c r="I107" s="14" t="n"/>
      <c r="J107" s="14" t="n"/>
      <c r="K107" s="15" t="n"/>
      <c r="L107" s="25" t="n"/>
      <c r="M107" s="25" t="n"/>
    </row>
    <row r="108">
      <c r="A108" s="18" t="n"/>
      <c r="B108" s="14" t="n"/>
      <c r="C108" s="14" t="n"/>
      <c r="D108" s="27" t="n">
        <v>50</v>
      </c>
      <c r="E108" s="28" t="n"/>
      <c r="F108" s="28" t="n"/>
      <c r="G108" s="28" t="n"/>
      <c r="H108" s="28" t="n"/>
      <c r="I108" s="14" t="n"/>
      <c r="J108" s="14" t="n"/>
      <c r="K108" s="15" t="n"/>
      <c r="L108" s="10" t="n"/>
      <c r="M108" s="11" t="n"/>
    </row>
    <row r="109">
      <c r="A109" s="18" t="n"/>
      <c r="B109" s="14" t="n"/>
      <c r="C109" s="14" t="n"/>
      <c r="D109" s="27" t="n">
        <v>100</v>
      </c>
      <c r="E109" s="28" t="n"/>
      <c r="F109" s="28" t="n"/>
      <c r="G109" s="28" t="n"/>
      <c r="H109" s="28" t="n"/>
      <c r="I109" s="14" t="n"/>
      <c r="J109" s="14" t="n"/>
      <c r="K109" s="15" t="n"/>
      <c r="L109" s="10" t="n"/>
      <c r="M109" s="11" t="n"/>
    </row>
    <row r="110">
      <c r="A110" s="18" t="n"/>
      <c r="B110" s="14" t="n"/>
      <c r="C110" s="14" t="n"/>
      <c r="D110" s="27" t="n">
        <v>250</v>
      </c>
      <c r="E110" s="28" t="n"/>
      <c r="F110" s="28" t="n"/>
      <c r="G110" s="28" t="n"/>
      <c r="H110" s="28" t="n"/>
      <c r="I110" s="14" t="n"/>
      <c r="J110" s="14" t="n"/>
      <c r="K110" s="15" t="n"/>
      <c r="L110" s="10" t="n"/>
      <c r="M110" s="11" t="n"/>
    </row>
    <row r="111">
      <c r="A111" s="18" t="n"/>
      <c r="B111" s="14" t="n"/>
      <c r="C111" s="14" t="n"/>
      <c r="D111" s="27" t="n">
        <v>500</v>
      </c>
      <c r="E111" s="28" t="n"/>
      <c r="F111" s="28" t="n"/>
      <c r="G111" s="28" t="n"/>
      <c r="H111" s="28" t="n"/>
      <c r="I111" s="14" t="n"/>
      <c r="J111" s="14" t="n"/>
      <c r="K111" s="15" t="n"/>
      <c r="L111" s="10" t="n"/>
      <c r="M111" s="11" t="n"/>
    </row>
    <row r="112">
      <c r="A112" s="18" t="n"/>
      <c r="B112" s="14" t="n"/>
      <c r="C112" s="14" t="n"/>
      <c r="D112" s="30" t="n">
        <v>1000</v>
      </c>
      <c r="E112" s="28" t="n"/>
      <c r="F112" s="28" t="n"/>
      <c r="G112" s="28" t="n"/>
      <c r="H112" s="28" t="n"/>
      <c r="I112" s="14" t="n"/>
      <c r="J112" s="14" t="n"/>
      <c r="K112" s="15" t="n"/>
      <c r="L112" s="10" t="n"/>
      <c r="M112" s="11" t="n"/>
    </row>
    <row r="113" ht="6.75" customHeight="1">
      <c r="A113" s="18" t="n"/>
      <c r="B113" s="14" t="n"/>
      <c r="C113" s="14" t="n"/>
      <c r="D113" s="14" t="n"/>
      <c r="E113" s="14" t="n"/>
      <c r="F113" s="14" t="n"/>
      <c r="G113" s="14" t="n"/>
      <c r="H113" s="14" t="n"/>
      <c r="I113" s="14" t="n"/>
      <c r="J113" s="14" t="n"/>
      <c r="K113" s="15" t="n"/>
      <c r="L113" s="10" t="n"/>
      <c r="M113" s="11" t="n"/>
    </row>
    <row r="114">
      <c r="A114" s="18" t="n"/>
      <c r="B114" s="14" t="n"/>
      <c r="C114" s="14" t="n"/>
      <c r="D114" s="14" t="n"/>
      <c r="E114" s="70" t="inlineStr">
        <is>
          <t>Gross Loss ($M)</t>
        </is>
      </c>
      <c r="F114" s="14" t="n"/>
      <c r="G114" s="14" t="n"/>
      <c r="H114" s="14" t="n"/>
      <c r="I114" s="14" t="n"/>
      <c r="J114" s="70" t="inlineStr">
        <is>
          <t>Net Loss ($M)</t>
        </is>
      </c>
      <c r="K114" s="15" t="n"/>
      <c r="L114" s="10" t="n"/>
      <c r="M114" s="11" t="n"/>
    </row>
    <row r="115">
      <c r="A115" s="18" t="n"/>
      <c r="B115" s="14" t="n"/>
      <c r="C115" s="14" t="n"/>
      <c r="D115" s="33" t="inlineStr">
        <is>
          <t xml:space="preserve">Annual average aggregate gross loss </t>
        </is>
      </c>
      <c r="E115" s="28" t="n"/>
      <c r="F115" s="14" t="n"/>
      <c r="G115" s="14" t="n"/>
      <c r="H115" s="14" t="n"/>
      <c r="I115" s="33" t="inlineStr">
        <is>
          <t>Annual average aggregate net loss (net of reinstatements terms)</t>
        </is>
      </c>
      <c r="J115" s="28" t="n"/>
      <c r="K115" s="15" t="n"/>
      <c r="L115" s="10" t="n"/>
      <c r="M115" s="11" t="n"/>
    </row>
    <row r="116">
      <c r="A116" s="18" t="n"/>
      <c r="B116" s="14" t="n"/>
      <c r="C116" s="14" t="n"/>
      <c r="D116" s="33" t="n"/>
      <c r="E116" s="14" t="n"/>
      <c r="F116" s="14" t="n"/>
      <c r="G116" s="14" t="n"/>
      <c r="H116" s="14" t="n"/>
      <c r="I116" s="33" t="inlineStr">
        <is>
          <t>Reinstatement terms included in Annual average aggregated net loss</t>
        </is>
      </c>
      <c r="J116" s="28" t="n"/>
      <c r="K116" s="15" t="n"/>
      <c r="L116" s="10" t="n"/>
      <c r="M116" s="11" t="n"/>
    </row>
    <row r="117">
      <c r="A117" s="18" t="n"/>
      <c r="B117" s="14" t="n"/>
      <c r="C117" s="14" t="n"/>
      <c r="D117" s="33" t="inlineStr">
        <is>
          <t xml:space="preserve">Standard deviation of annual aggregate gross loss </t>
        </is>
      </c>
      <c r="E117" s="28" t="n"/>
      <c r="F117" s="14" t="n"/>
      <c r="G117" s="14" t="n"/>
      <c r="H117" s="14" t="n"/>
      <c r="I117" s="33" t="inlineStr">
        <is>
          <t>Standard deviation of annual aggregate net loss (net of reinstatements terms)</t>
        </is>
      </c>
      <c r="J117" s="28" t="n"/>
      <c r="K117" s="15" t="n"/>
      <c r="L117" s="10" t="n"/>
      <c r="M117" s="11" t="n"/>
    </row>
    <row r="118" ht="6.75" customHeight="1">
      <c r="A118" s="18" t="n"/>
      <c r="B118" s="14" t="n"/>
      <c r="C118" s="14" t="n"/>
      <c r="D118" s="33" t="n"/>
      <c r="E118" s="71" t="n"/>
      <c r="F118" s="14" t="n"/>
      <c r="G118" s="14" t="n"/>
      <c r="H118" s="14" t="n"/>
      <c r="I118" s="33" t="n"/>
      <c r="J118" s="35" t="n"/>
      <c r="K118" s="15" t="n"/>
      <c r="L118" s="10" t="n"/>
      <c r="M118" s="11" t="n"/>
    </row>
    <row r="119">
      <c r="A119" s="18" t="n"/>
      <c r="B119" s="14" t="n"/>
      <c r="C119" s="14" t="n"/>
      <c r="D119" s="33" t="inlineStr">
        <is>
          <t xml:space="preserve">Total gross statutory property catastrophe premium modelled </t>
        </is>
      </c>
      <c r="E119" s="34" t="n"/>
      <c r="F119" s="14" t="n"/>
      <c r="G119" s="14" t="n"/>
      <c r="H119" s="14" t="n"/>
      <c r="I119" s="33" t="inlineStr">
        <is>
          <t>Total net statutory property catastrophe premium modelled</t>
        </is>
      </c>
      <c r="J119" s="34" t="n"/>
      <c r="K119" s="15" t="n"/>
      <c r="L119" s="10" t="n"/>
      <c r="M119" s="11" t="n"/>
    </row>
    <row r="120">
      <c r="A120" s="18" t="n"/>
      <c r="B120" s="14" t="n"/>
      <c r="C120" s="14" t="n"/>
      <c r="D120" s="33" t="inlineStr">
        <is>
          <t xml:space="preserve">Total gross all other catastrophe premium modelled </t>
        </is>
      </c>
      <c r="E120" s="34" t="n"/>
      <c r="F120" s="14" t="n"/>
      <c r="G120" s="14" t="n"/>
      <c r="H120" s="14" t="n"/>
      <c r="I120" s="33" t="inlineStr">
        <is>
          <t>Total net all other catastrophe premium modelled</t>
        </is>
      </c>
      <c r="J120" s="34" t="n"/>
      <c r="K120" s="15" t="n"/>
      <c r="L120" s="10" t="n"/>
      <c r="M120" s="11" t="n"/>
    </row>
    <row r="121" ht="6.75" customHeight="1">
      <c r="A121" s="18" t="n"/>
      <c r="B121" s="14" t="n"/>
      <c r="C121" s="14" t="n"/>
      <c r="D121" s="14" t="n"/>
      <c r="E121" s="71" t="n"/>
      <c r="F121" s="14" t="n"/>
      <c r="G121" s="14" t="n"/>
      <c r="H121" s="14" t="n"/>
      <c r="I121" s="14" t="n"/>
      <c r="J121" s="71" t="n"/>
      <c r="K121" s="15" t="n"/>
      <c r="L121" s="10" t="n"/>
      <c r="M121" s="11" t="n"/>
    </row>
    <row r="122">
      <c r="A122" s="18" t="n"/>
      <c r="B122" s="14" t="n"/>
      <c r="C122" s="14" t="n"/>
      <c r="D122" s="33" t="inlineStr">
        <is>
          <t>Total gross statutory property catastrophe limits exposed - modelled</t>
        </is>
      </c>
      <c r="E122" s="34" t="n"/>
      <c r="F122" s="14" t="n"/>
      <c r="G122" s="14" t="n"/>
      <c r="H122" s="14" t="n"/>
      <c r="I122" s="33" t="inlineStr">
        <is>
          <t>Total net statutory property catastrophe limits exposed – modelled</t>
        </is>
      </c>
      <c r="J122" s="34" t="n"/>
      <c r="K122" s="15" t="n"/>
      <c r="L122" s="10" t="n"/>
      <c r="M122" s="11" t="n"/>
    </row>
    <row r="123">
      <c r="A123" s="18" t="n"/>
      <c r="B123" s="14" t="n"/>
      <c r="C123" s="14" t="n"/>
      <c r="D123" s="33" t="inlineStr">
        <is>
          <t>Total gross statutory property catastrophe limits exposed - not modelled</t>
        </is>
      </c>
      <c r="E123" s="34" t="n"/>
      <c r="F123" s="14" t="n"/>
      <c r="G123" s="14" t="n"/>
      <c r="H123" s="14" t="n"/>
      <c r="I123" s="33" t="inlineStr">
        <is>
          <t>Total net statutory property catastrophe limits exposed– not modelled</t>
        </is>
      </c>
      <c r="J123" s="34" t="n"/>
      <c r="K123" s="15" t="n"/>
      <c r="L123" s="10" t="n"/>
      <c r="M123" s="11" t="n"/>
    </row>
    <row r="124">
      <c r="A124" s="18" t="n"/>
      <c r="B124" s="14" t="n"/>
      <c r="C124" s="14" t="n"/>
      <c r="D124" s="33" t="inlineStr">
        <is>
          <t>Total gross all other lines limits exposed- modelled</t>
        </is>
      </c>
      <c r="E124" s="37">
        <f>SUMIFS(BSCRInput[sum_pml],BSCRInput[bscr_entity],"HIG",BSCRInput[region],"ALL",BSCRInput[peril_id],1,BSCRInput[is_geocoded],1)/1000000</f>
        <v>9764.713547875139</v>
      </c>
      <c r="F124" s="14" t="n"/>
      <c r="G124" s="14" t="n"/>
      <c r="H124" s="14" t="n"/>
      <c r="I124" s="33" t="inlineStr">
        <is>
          <t>Total net all other lines limits exposed – modelled</t>
        </is>
      </c>
      <c r="J124" s="37">
        <f>SUMIFS(BSCRInput[sum_net],BSCRInput[bscr_entity],"HIG",BSCRInput[region],"ALL",BSCRInput[peril_id],1,BSCRInput[is_geocoded],1)/1000000</f>
        <v>7784.579491810239</v>
      </c>
      <c r="K124" s="15" t="n"/>
      <c r="L124" s="10" t="n"/>
      <c r="M124" s="11" t="n"/>
    </row>
    <row r="125">
      <c r="A125" s="18" t="n"/>
      <c r="B125" s="14" t="n"/>
      <c r="C125" s="14" t="n"/>
      <c r="D125" s="33" t="inlineStr">
        <is>
          <t>Total gross all other lines limits exposed - not modelled</t>
        </is>
      </c>
      <c r="E125" s="37">
        <f>SUMIFS(BSCRInput[sum_pml],BSCRInput[bscr_entity],"HIG",BSCRInput[region],"ALL",BSCRInput[peril_id],1,BSCRInput[is_geocoded],0)/1000000</f>
        <v>159.1493211238102</v>
      </c>
      <c r="F125" s="14" t="n"/>
      <c r="G125" s="14" t="n"/>
      <c r="H125" s="14" t="n"/>
      <c r="I125" s="33" t="inlineStr">
        <is>
          <t>Total net all other lines limits exposed - not modelled</t>
        </is>
      </c>
      <c r="J125" s="37">
        <f>SUMIFS(BSCRInput[sum_net],BSCRInput[bscr_entity],"HIG",BSCRInput[region],"ALL",BSCRInput[peril_id],1,BSCRInput[is_geocoded],0)/1000000</f>
        <v>92.24912249038593</v>
      </c>
      <c r="K125" s="15" t="n"/>
      <c r="L125" s="10" t="n"/>
      <c r="M125" s="11" t="n"/>
    </row>
    <row r="126">
      <c r="A126" s="18" t="n"/>
      <c r="B126" s="14" t="n"/>
      <c r="C126" s="14" t="n"/>
      <c r="D126" s="33" t="inlineStr">
        <is>
          <t>Total gross premium without an occurrence or aggregate limit</t>
        </is>
      </c>
      <c r="E126" s="34" t="n"/>
      <c r="F126" s="14" t="n"/>
      <c r="G126" s="14" t="n"/>
      <c r="H126" s="14" t="n"/>
      <c r="I126" s="33" t="inlineStr">
        <is>
          <t>Total net premium without an occurrence or aggregate limit</t>
        </is>
      </c>
      <c r="J126" s="34" t="n"/>
      <c r="K126" s="15" t="n"/>
      <c r="L126" s="10" t="n"/>
      <c r="M126" s="11" t="n"/>
    </row>
    <row r="127">
      <c r="A127" s="18" t="n"/>
      <c r="B127" s="14" t="n"/>
      <c r="C127" s="14" t="n"/>
      <c r="D127" s="33" t="inlineStr">
        <is>
          <t>Total gross premium with non determinable Total Insured Value (“TIV”)</t>
        </is>
      </c>
      <c r="E127" s="34" t="n"/>
      <c r="F127" s="14" t="n"/>
      <c r="G127" s="14" t="n"/>
      <c r="H127" s="14" t="n"/>
      <c r="I127" s="33" t="inlineStr">
        <is>
          <t>Total net premium with non-determinable TIV:</t>
        </is>
      </c>
      <c r="J127" s="34" t="n"/>
      <c r="K127" s="15" t="n"/>
      <c r="L127" s="10" t="n"/>
      <c r="M127" s="11" t="n"/>
    </row>
    <row r="128" ht="6.75" customHeight="1">
      <c r="A128" s="18" t="n"/>
      <c r="B128" s="14" t="n"/>
      <c r="C128" s="14" t="n"/>
      <c r="D128" s="14" t="n"/>
      <c r="E128" s="14" t="n"/>
      <c r="F128" s="14" t="n"/>
      <c r="G128" s="14" t="n"/>
      <c r="H128" s="14" t="n"/>
      <c r="I128" s="14" t="n"/>
      <c r="J128" s="71" t="n"/>
      <c r="K128" s="15" t="n"/>
      <c r="L128" s="10" t="n"/>
      <c r="M128" s="11" t="n"/>
    </row>
    <row r="129">
      <c r="A129" s="18" t="n"/>
      <c r="B129" s="14" t="n"/>
      <c r="C129" s="19" t="inlineStr">
        <is>
          <t>2. Significant sources of catastrophe risk and associated loss included in the EP Curves:</t>
        </is>
      </c>
      <c r="D129" s="14" t="n"/>
      <c r="E129" s="14" t="n"/>
      <c r="F129" s="14" t="n"/>
      <c r="G129" s="14" t="n"/>
      <c r="H129" s="14" t="n"/>
      <c r="I129" s="48" t="n"/>
      <c r="J129" s="72" t="n"/>
      <c r="K129" s="49" t="n"/>
      <c r="L129" s="10" t="n"/>
      <c r="M129" s="11" t="n"/>
    </row>
    <row r="130">
      <c r="A130" s="18" t="n"/>
      <c r="B130" s="14" t="n"/>
      <c r="C130" s="14" t="n"/>
      <c r="D130" s="33" t="inlineStr">
        <is>
          <t>Allocated loss adjustment expense</t>
        </is>
      </c>
      <c r="E130" s="38" t="n"/>
      <c r="F130" s="39" t="n"/>
      <c r="G130" s="39" t="n"/>
      <c r="H130" s="73" t="str">
        <f>IF(E130="No","If no, why not:","")</f>
        <v/>
      </c>
      <c r="I130" s="41" t="n"/>
      <c r="J130" s="42" t="n"/>
      <c r="K130" s="43" t="n"/>
      <c r="L130" s="10" t="n"/>
      <c r="M130" s="11" t="n"/>
    </row>
    <row r="131">
      <c r="A131" s="18" t="n"/>
      <c r="B131" s="14" t="n"/>
      <c r="C131" s="14" t="n"/>
      <c r="D131" s="33" t="inlineStr">
        <is>
          <t>Property - buildings</t>
        </is>
      </c>
      <c r="E131" s="38" t="n"/>
      <c r="F131" s="39" t="n"/>
      <c r="G131" s="39" t="n"/>
      <c r="H131" s="73" t="str">
        <f>IF(E131="No","If no, why not:","")</f>
        <v/>
      </c>
      <c r="I131" s="41" t="n"/>
      <c r="J131" s="42" t="n"/>
      <c r="K131" s="43" t="n"/>
      <c r="L131" s="10" t="n"/>
      <c r="M131" s="11" t="n"/>
    </row>
    <row r="132">
      <c r="A132" s="18" t="n"/>
      <c r="B132" s="14" t="n"/>
      <c r="C132" s="14" t="n"/>
      <c r="D132" s="33" t="inlineStr">
        <is>
          <t>Property - contents</t>
        </is>
      </c>
      <c r="E132" s="38" t="n"/>
      <c r="F132" s="39" t="n"/>
      <c r="G132" s="39" t="n"/>
      <c r="H132" s="73" t="str">
        <f>IF(E132="No","If no, why not:","")</f>
        <v/>
      </c>
      <c r="I132" s="41" t="n"/>
      <c r="J132" s="42" t="n"/>
      <c r="K132" s="43" t="n"/>
      <c r="L132" s="10" t="n"/>
      <c r="M132" s="11" t="n"/>
    </row>
    <row r="133">
      <c r="A133" s="18" t="n"/>
      <c r="B133" s="14" t="n"/>
      <c r="C133" s="14" t="n"/>
      <c r="D133" s="33" t="inlineStr">
        <is>
          <t>Additional living expenses</t>
        </is>
      </c>
      <c r="E133" s="44" t="n"/>
      <c r="F133" s="39" t="n"/>
      <c r="G133" s="39" t="n"/>
      <c r="H133" s="73" t="str">
        <f>IF(E133="No","If no, why not:","")</f>
        <v/>
      </c>
      <c r="I133" s="41" t="n"/>
      <c r="J133" s="42" t="n"/>
      <c r="K133" s="43" t="n"/>
      <c r="L133" s="10" t="n"/>
      <c r="M133" s="11" t="n"/>
    </row>
    <row r="134">
      <c r="A134" s="18" t="n"/>
      <c r="B134" s="14" t="n"/>
      <c r="C134" s="14" t="n"/>
      <c r="D134" s="33" t="inlineStr">
        <is>
          <t>Business interruption</t>
        </is>
      </c>
      <c r="E134" s="38" t="n"/>
      <c r="F134" s="45" t="n"/>
      <c r="G134" s="46" t="n"/>
      <c r="H134" s="73" t="str">
        <f>IF(E134="No","If no, why not:","")</f>
        <v/>
      </c>
      <c r="I134" s="41" t="n"/>
      <c r="J134" s="42" t="n"/>
      <c r="K134" s="43" t="n"/>
      <c r="L134" s="10" t="n"/>
      <c r="M134" s="11" t="n"/>
    </row>
    <row r="135">
      <c r="A135" s="18" t="n"/>
      <c r="B135" s="14" t="n"/>
      <c r="C135" s="14" t="n"/>
      <c r="D135" s="33" t="inlineStr">
        <is>
          <t>Auto physical damage</t>
        </is>
      </c>
      <c r="E135" s="38" t="n"/>
      <c r="F135" s="45" t="n"/>
      <c r="G135" s="46" t="n"/>
      <c r="H135" s="73" t="str">
        <f>IF(E135="No","If no, why not:","")</f>
        <v/>
      </c>
      <c r="I135" s="41" t="n"/>
      <c r="J135" s="42" t="n"/>
      <c r="K135" s="43" t="n"/>
      <c r="L135" s="10" t="n"/>
      <c r="M135" s="11" t="n"/>
    </row>
    <row r="136">
      <c r="A136" s="18" t="n"/>
      <c r="B136" s="14" t="n"/>
      <c r="C136" s="14" t="n"/>
      <c r="D136" s="33" t="inlineStr">
        <is>
          <t>Worker's compensation</t>
        </is>
      </c>
      <c r="E136" s="38" t="n"/>
      <c r="F136" s="45" t="n"/>
      <c r="G136" s="46" t="n"/>
      <c r="H136" s="73" t="str">
        <f>IF(E136="No","If no, why not:","")</f>
        <v/>
      </c>
      <c r="I136" s="41" t="n"/>
      <c r="J136" s="42" t="n"/>
      <c r="K136" s="43" t="n"/>
      <c r="L136" s="10" t="n"/>
      <c r="M136" s="11" t="n"/>
    </row>
    <row r="137">
      <c r="A137" s="18" t="n"/>
      <c r="B137" s="14" t="n"/>
      <c r="C137" s="14" t="n"/>
      <c r="D137" s="33" t="inlineStr">
        <is>
          <t>Personal accident</t>
        </is>
      </c>
      <c r="E137" s="38" t="n"/>
      <c r="F137" s="45" t="n"/>
      <c r="G137" s="46" t="n"/>
      <c r="H137" s="73" t="str">
        <f>IF(E137="No","If no, why not:","")</f>
        <v/>
      </c>
      <c r="I137" s="41" t="n"/>
      <c r="J137" s="42" t="n"/>
      <c r="K137" s="43" t="n"/>
      <c r="L137" s="10" t="n"/>
      <c r="M137" s="11" t="n"/>
    </row>
    <row r="138">
      <c r="A138" s="18" t="n"/>
      <c r="B138" s="14" t="n"/>
      <c r="C138" s="14" t="n"/>
      <c r="D138" s="33" t="inlineStr">
        <is>
          <t>Life insurance</t>
        </is>
      </c>
      <c r="E138" s="38" t="n"/>
      <c r="F138" s="45" t="n"/>
      <c r="G138" s="46" t="n"/>
      <c r="H138" s="73" t="str">
        <f>IF(E138="No","If no, why not:","")</f>
        <v/>
      </c>
      <c r="I138" s="41" t="n"/>
      <c r="J138" s="42" t="n"/>
      <c r="K138" s="43" t="n"/>
      <c r="L138" s="10" t="n"/>
      <c r="M138" s="11" t="n"/>
    </row>
    <row r="139">
      <c r="A139" s="18" t="n"/>
      <c r="B139" s="14" t="n"/>
      <c r="C139" s="14" t="n"/>
      <c r="D139" s="33" t="inlineStr">
        <is>
          <t>Onshore Energy</t>
        </is>
      </c>
      <c r="E139" s="38" t="n"/>
      <c r="F139" s="45" t="n"/>
      <c r="G139" s="46" t="n"/>
      <c r="H139" s="73" t="str">
        <f>IF(E139="No","If no, why not:","")</f>
        <v/>
      </c>
      <c r="I139" s="41" t="n"/>
      <c r="J139" s="42" t="n"/>
      <c r="K139" s="43" t="n"/>
      <c r="L139" s="10" t="n"/>
      <c r="M139" s="11" t="n"/>
    </row>
    <row r="140">
      <c r="A140" s="18" t="n"/>
      <c r="B140" s="14" t="n"/>
      <c r="C140" s="14" t="n"/>
      <c r="D140" s="33" t="inlineStr">
        <is>
          <t>Offshore Energy</t>
        </is>
      </c>
      <c r="E140" s="38" t="n"/>
      <c r="F140" s="45" t="n"/>
      <c r="G140" s="46" t="n"/>
      <c r="H140" s="73" t="str">
        <f>IF(E140="No","If no, why not:","")</f>
        <v/>
      </c>
      <c r="I140" s="41" t="n"/>
      <c r="J140" s="42" t="n"/>
      <c r="K140" s="43" t="n"/>
      <c r="L140" s="10" t="n"/>
      <c r="M140" s="11" t="n"/>
    </row>
    <row r="141">
      <c r="A141" s="18" t="n"/>
      <c r="B141" s="14" t="n"/>
      <c r="C141" s="14" t="n"/>
      <c r="D141" s="33" t="inlineStr">
        <is>
          <t>Ocean marine</t>
        </is>
      </c>
      <c r="E141" s="38" t="n"/>
      <c r="F141" s="45" t="n"/>
      <c r="G141" s="46" t="n"/>
      <c r="H141" s="73" t="str">
        <f>IF(E141="No","If no, why not:","")</f>
        <v/>
      </c>
      <c r="I141" s="41" t="n"/>
      <c r="J141" s="42" t="n"/>
      <c r="K141" s="43" t="n"/>
      <c r="L141" s="10" t="n"/>
      <c r="M141" s="11" t="n"/>
    </row>
    <row r="142">
      <c r="A142" s="18" t="n"/>
      <c r="B142" s="14" t="n"/>
      <c r="C142" s="14" t="n"/>
      <c r="D142" s="33" t="inlineStr">
        <is>
          <t>Inland marine</t>
        </is>
      </c>
      <c r="E142" s="38" t="n"/>
      <c r="F142" s="45" t="n"/>
      <c r="G142" s="46" t="n"/>
      <c r="H142" s="73" t="str">
        <f>IF(E142="No","If no, why not:","")</f>
        <v/>
      </c>
      <c r="I142" s="41" t="n"/>
      <c r="J142" s="42" t="n"/>
      <c r="K142" s="43" t="n"/>
      <c r="L142" s="10" t="n"/>
      <c r="M142" s="11" t="n"/>
    </row>
    <row r="143">
      <c r="A143" s="18" t="n"/>
      <c r="B143" s="14" t="n"/>
      <c r="C143" s="14" t="n"/>
      <c r="D143" s="33" t="inlineStr">
        <is>
          <t>Flood</t>
        </is>
      </c>
      <c r="E143" s="38" t="n"/>
      <c r="F143" s="45" t="n"/>
      <c r="G143" s="46" t="n"/>
      <c r="H143" s="73" t="str">
        <f>IF(E143="No","If no, why not:","")</f>
        <v/>
      </c>
      <c r="I143" s="41" t="n"/>
      <c r="J143" s="42" t="n"/>
      <c r="K143" s="43" t="n"/>
      <c r="L143" s="10" t="n"/>
      <c r="M143" s="11" t="n"/>
    </row>
    <row r="144">
      <c r="A144" s="18" t="n"/>
      <c r="B144" s="14" t="n"/>
      <c r="C144" s="14" t="n"/>
      <c r="D144" s="33" t="inlineStr">
        <is>
          <t>Crop</t>
        </is>
      </c>
      <c r="E144" s="38" t="n"/>
      <c r="F144" s="45" t="n"/>
      <c r="G144" s="46" t="n"/>
      <c r="H144" s="73" t="str">
        <f>IF(E144="No","If no, why not:","")</f>
        <v/>
      </c>
      <c r="I144" s="41" t="n"/>
      <c r="J144" s="42" t="n"/>
      <c r="K144" s="43" t="n"/>
      <c r="L144" s="10" t="n"/>
      <c r="M144" s="11" t="n"/>
    </row>
    <row r="145">
      <c r="A145" s="18" t="n"/>
      <c r="B145" s="14" t="n"/>
      <c r="C145" s="14" t="n"/>
      <c r="D145" s="33" t="inlineStr">
        <is>
          <t>Other primary insurance</t>
        </is>
      </c>
      <c r="E145" s="38" t="n"/>
      <c r="F145" s="45" t="n"/>
      <c r="G145" s="46" t="n"/>
      <c r="H145" s="73" t="str">
        <f>IF(E145="No","If no, why not:","")</f>
        <v/>
      </c>
      <c r="I145" s="41" t="n"/>
      <c r="J145" s="42" t="n"/>
      <c r="K145" s="43" t="n"/>
      <c r="L145" s="10" t="n"/>
      <c r="M145" s="11" t="n"/>
    </row>
    <row r="146" ht="6.75" customHeight="1">
      <c r="A146" s="18" t="n"/>
      <c r="B146" s="14" t="n"/>
      <c r="C146" s="14" t="n"/>
      <c r="D146" s="14" t="n"/>
      <c r="E146" s="39" t="n"/>
      <c r="F146" s="39" t="n"/>
      <c r="G146" s="39" t="n"/>
      <c r="H146" s="73" t="n"/>
      <c r="I146" s="74" t="n"/>
      <c r="J146" s="74" t="n"/>
      <c r="K146" s="75" t="n"/>
      <c r="L146" s="10" t="n"/>
      <c r="M146" s="11" t="n"/>
    </row>
    <row r="147">
      <c r="A147" s="18" t="n"/>
      <c r="B147" s="14" t="n"/>
      <c r="C147" s="19" t="inlineStr">
        <is>
          <t>3. Assumed reinsurance information:</t>
        </is>
      </c>
      <c r="D147" s="14" t="n"/>
      <c r="E147" s="39" t="n"/>
      <c r="F147" s="39" t="n"/>
      <c r="G147" s="39" t="n"/>
      <c r="H147" s="73" t="n"/>
      <c r="I147" s="74" t="n"/>
      <c r="J147" s="74" t="n"/>
      <c r="K147" s="75" t="n"/>
      <c r="L147" s="10" t="n"/>
      <c r="M147" s="11" t="n"/>
    </row>
    <row r="148">
      <c r="A148" s="18" t="n"/>
      <c r="B148" s="14" t="n"/>
      <c r="C148" s="14" t="n"/>
      <c r="D148" s="33" t="inlineStr">
        <is>
          <t>Proportional - quota share</t>
        </is>
      </c>
      <c r="E148" s="38" t="n"/>
      <c r="F148" s="45" t="n"/>
      <c r="G148" s="46" t="n"/>
      <c r="H148" s="73" t="str">
        <f>IF(E148="No","If no, why not:","")</f>
        <v/>
      </c>
      <c r="I148" s="41" t="n"/>
      <c r="J148" s="42" t="n"/>
      <c r="K148" s="43" t="n"/>
      <c r="L148" s="10" t="n"/>
      <c r="M148" s="11" t="n"/>
    </row>
    <row r="149">
      <c r="A149" s="18" t="n"/>
      <c r="B149" s="14" t="n"/>
      <c r="C149" s="14" t="n"/>
      <c r="D149" s="33" t="inlineStr">
        <is>
          <t>Proportional - surplus share</t>
        </is>
      </c>
      <c r="E149" s="38" t="n"/>
      <c r="F149" s="45" t="n"/>
      <c r="G149" s="46" t="n"/>
      <c r="H149" s="73" t="str">
        <f>IF(E149="No","If no, why not:","")</f>
        <v/>
      </c>
      <c r="I149" s="41" t="n"/>
      <c r="J149" s="42" t="n"/>
      <c r="K149" s="43" t="n"/>
      <c r="L149" s="10" t="n"/>
      <c r="M149" s="11" t="n"/>
    </row>
    <row r="150">
      <c r="A150" s="18" t="n"/>
      <c r="B150" s="14" t="n"/>
      <c r="C150" s="14" t="n"/>
      <c r="D150" s="33" t="inlineStr">
        <is>
          <t>Non-proportional - catastrophe</t>
        </is>
      </c>
      <c r="E150" s="38" t="n"/>
      <c r="F150" s="45" t="n"/>
      <c r="G150" s="46" t="n"/>
      <c r="H150" s="73" t="str">
        <f>IF(E150="No","If no, why not:","")</f>
        <v/>
      </c>
      <c r="I150" s="41" t="n"/>
      <c r="J150" s="42" t="n"/>
      <c r="K150" s="43" t="n"/>
      <c r="L150" s="10" t="n"/>
      <c r="M150" s="11" t="n"/>
    </row>
    <row r="151">
      <c r="A151" s="18" t="n"/>
      <c r="B151" s="14" t="n"/>
      <c r="C151" s="14" t="n"/>
      <c r="D151" s="33" t="inlineStr">
        <is>
          <t>Non-proportional - per risk</t>
        </is>
      </c>
      <c r="E151" s="38" t="n"/>
      <c r="F151" s="45" t="n"/>
      <c r="G151" s="46" t="n"/>
      <c r="H151" s="73" t="str">
        <f>IF(E151="No","If no, why not:","")</f>
        <v/>
      </c>
      <c r="I151" s="41" t="n"/>
      <c r="J151" s="42" t="n"/>
      <c r="K151" s="43" t="n"/>
      <c r="L151" s="10" t="n"/>
      <c r="M151" s="11" t="n"/>
    </row>
    <row r="152">
      <c r="A152" s="18" t="n"/>
      <c r="B152" s="14" t="n"/>
      <c r="C152" s="14" t="n"/>
      <c r="D152" s="33" t="inlineStr">
        <is>
          <t>Other reinsurance assumed</t>
        </is>
      </c>
      <c r="E152" s="38" t="n"/>
      <c r="F152" s="45" t="n"/>
      <c r="G152" s="46" t="n"/>
      <c r="H152" s="73" t="str">
        <f>IF(E152="No","If no, why not:","")</f>
        <v/>
      </c>
      <c r="I152" s="41" t="n"/>
      <c r="J152" s="42" t="n"/>
      <c r="K152" s="43" t="n"/>
      <c r="L152" s="10" t="n"/>
      <c r="M152" s="11" t="n"/>
    </row>
    <row r="153" ht="6.75" customHeight="1">
      <c r="A153" s="18" t="n"/>
      <c r="B153" s="14" t="n"/>
      <c r="C153" s="14" t="n"/>
      <c r="D153" s="33" t="n"/>
      <c r="E153" s="39" t="n"/>
      <c r="F153" s="39" t="n"/>
      <c r="G153" s="39" t="n"/>
      <c r="H153" s="73" t="n"/>
      <c r="I153" s="50" t="n"/>
      <c r="J153" s="50" t="n"/>
      <c r="K153" s="41" t="n"/>
      <c r="L153" s="10" t="n"/>
      <c r="M153" s="11" t="n"/>
    </row>
    <row r="154">
      <c r="A154" s="18" t="n"/>
      <c r="B154" s="14" t="n"/>
      <c r="C154" s="19" t="inlineStr">
        <is>
          <t>4. Pools and assessments information:</t>
        </is>
      </c>
      <c r="D154" s="33" t="n"/>
      <c r="E154" s="39" t="n"/>
      <c r="F154" s="39" t="n"/>
      <c r="G154" s="39" t="n"/>
      <c r="H154" s="73" t="n"/>
      <c r="I154" s="74" t="n"/>
      <c r="J154" s="74" t="n"/>
      <c r="K154" s="75" t="n"/>
      <c r="L154" s="10" t="n"/>
      <c r="M154" s="11" t="n"/>
    </row>
    <row r="155">
      <c r="A155" s="18" t="n"/>
      <c r="B155" s="14" t="n"/>
      <c r="C155" s="51" t="n"/>
      <c r="D155" s="33" t="inlineStr">
        <is>
          <t>Voluntary pools and/or assessments</t>
        </is>
      </c>
      <c r="E155" s="38" t="n"/>
      <c r="F155" s="45" t="n"/>
      <c r="G155" s="46" t="n"/>
      <c r="H155" s="73" t="str">
        <f>IF(E155="No","If no, why not:","")</f>
        <v/>
      </c>
      <c r="I155" s="41" t="n"/>
      <c r="J155" s="42" t="n"/>
      <c r="K155" s="43" t="n"/>
      <c r="L155" s="10" t="n"/>
      <c r="M155" s="11" t="n"/>
    </row>
    <row r="156">
      <c r="A156" s="18" t="n"/>
      <c r="B156" s="14" t="n"/>
      <c r="C156" s="51" t="n"/>
      <c r="D156" s="33" t="inlineStr">
        <is>
          <t>Involuntary pools and/or assessments</t>
        </is>
      </c>
      <c r="E156" s="38" t="n"/>
      <c r="F156" s="45" t="n"/>
      <c r="G156" s="46" t="n"/>
      <c r="H156" s="73" t="str">
        <f>IF(E156="No","If no, why not:","")</f>
        <v/>
      </c>
      <c r="I156" s="41" t="n"/>
      <c r="J156" s="42" t="n"/>
      <c r="K156" s="43" t="n"/>
      <c r="L156" s="10" t="n"/>
      <c r="M156" s="11" t="n"/>
    </row>
    <row r="157" ht="6.75" customHeight="1">
      <c r="A157" s="18" t="n"/>
      <c r="B157" s="14" t="n"/>
      <c r="C157" s="14" t="n"/>
      <c r="D157" s="33" t="n"/>
      <c r="E157" s="39" t="n"/>
      <c r="F157" s="39" t="n"/>
      <c r="G157" s="39" t="n"/>
      <c r="H157" s="73" t="n"/>
      <c r="I157" s="74" t="n"/>
      <c r="J157" s="74" t="n"/>
      <c r="K157" s="75" t="n"/>
      <c r="L157" s="10" t="n"/>
      <c r="M157" s="11" t="n"/>
    </row>
    <row r="158">
      <c r="A158" s="18" t="n"/>
      <c r="B158" s="14" t="n"/>
      <c r="C158" s="19" t="inlineStr">
        <is>
          <t>5. Supplemental perils and model options:</t>
        </is>
      </c>
      <c r="D158" s="33" t="n"/>
      <c r="E158" s="39" t="n"/>
      <c r="F158" s="39" t="n"/>
      <c r="G158" s="39" t="n"/>
      <c r="H158" s="73" t="n"/>
      <c r="I158" s="74" t="n"/>
      <c r="J158" s="74" t="n"/>
      <c r="K158" s="75" t="n"/>
      <c r="L158" s="10" t="n"/>
      <c r="M158" s="11" t="n"/>
    </row>
    <row r="159">
      <c r="A159" s="18" t="n"/>
      <c r="B159" s="14" t="n"/>
      <c r="C159" s="14" t="n"/>
      <c r="D159" s="33" t="inlineStr">
        <is>
          <t>Fire following</t>
        </is>
      </c>
      <c r="E159" s="38" t="n"/>
      <c r="F159" s="45" t="n"/>
      <c r="G159" s="46" t="n"/>
      <c r="H159" s="73" t="str">
        <f>IF(E159="No","If no, why not:","")</f>
        <v/>
      </c>
      <c r="I159" s="41" t="n"/>
      <c r="J159" s="42" t="n"/>
      <c r="K159" s="43" t="n"/>
      <c r="L159" s="10" t="n"/>
      <c r="M159" s="11" t="n"/>
    </row>
    <row r="160">
      <c r="A160" s="18" t="n"/>
      <c r="B160" s="14" t="n"/>
      <c r="C160" s="14" t="n"/>
      <c r="D160" s="33" t="inlineStr">
        <is>
          <t>Sprinkler leakage</t>
        </is>
      </c>
      <c r="E160" s="38" t="n"/>
      <c r="F160" s="45" t="n"/>
      <c r="G160" s="46" t="n"/>
      <c r="H160" s="73" t="str">
        <f>IF(E160="No","If no, why not:","")</f>
        <v/>
      </c>
      <c r="I160" s="41" t="n"/>
      <c r="J160" s="42" t="n"/>
      <c r="K160" s="43" t="n"/>
      <c r="L160" s="10" t="n"/>
      <c r="M160" s="11" t="n"/>
    </row>
    <row r="161">
      <c r="A161" s="18" t="n"/>
      <c r="B161" s="14" t="n"/>
      <c r="C161" s="14" t="n"/>
      <c r="D161" s="33" t="inlineStr">
        <is>
          <t>Storm surge</t>
        </is>
      </c>
      <c r="E161" s="38" t="n"/>
      <c r="F161" s="45" t="n"/>
      <c r="G161" s="46" t="n"/>
      <c r="H161" s="73" t="str">
        <f>IF(E161="No","If no, why not:","")</f>
        <v/>
      </c>
      <c r="I161" s="41" t="n"/>
      <c r="J161" s="42" t="n"/>
      <c r="K161" s="43" t="n"/>
      <c r="L161" s="10" t="n"/>
      <c r="M161" s="11" t="n"/>
    </row>
    <row r="162">
      <c r="A162" s="18" t="n"/>
      <c r="B162" s="14" t="n"/>
      <c r="C162" s="14" t="n"/>
      <c r="D162" s="33" t="inlineStr">
        <is>
          <t>Demand surge</t>
        </is>
      </c>
      <c r="E162" s="38" t="n"/>
      <c r="F162" s="45" t="n"/>
      <c r="G162" s="46" t="n"/>
      <c r="H162" s="73" t="str">
        <f>IF(E162="No","If no, why not:","")</f>
        <v/>
      </c>
      <c r="I162" s="41" t="n"/>
      <c r="J162" s="42" t="n"/>
      <c r="K162" s="43" t="n"/>
      <c r="L162" s="10" t="n"/>
      <c r="M162" s="11" t="n"/>
    </row>
    <row r="163">
      <c r="A163" s="18" t="n"/>
      <c r="B163" s="14" t="n"/>
      <c r="C163" s="14" t="n"/>
      <c r="D163" s="33" t="inlineStr">
        <is>
          <t>Secondary uncertainty</t>
        </is>
      </c>
      <c r="E163" s="38" t="n"/>
      <c r="F163" s="45" t="n"/>
      <c r="G163" s="46" t="n"/>
      <c r="H163" s="73" t="str">
        <f>IF(E163="No","If no, why not:","")</f>
        <v/>
      </c>
      <c r="I163" s="41" t="n"/>
      <c r="J163" s="42" t="n"/>
      <c r="K163" s="43" t="n"/>
      <c r="L163" s="10" t="n"/>
      <c r="M163" s="11" t="n"/>
    </row>
    <row r="164">
      <c r="A164" s="18" t="n"/>
      <c r="B164" s="14" t="n"/>
      <c r="C164" s="14" t="n"/>
      <c r="D164" s="33" t="inlineStr">
        <is>
          <t>Atlantic multi-decadal oscillation selection</t>
        </is>
      </c>
      <c r="E164" s="38" t="n"/>
      <c r="F164" s="39" t="n"/>
      <c r="G164" s="39" t="n"/>
      <c r="H164" s="73" t="str">
        <f>IF(E164="Long-term frequency","If long-term frequency, why:","")</f>
        <v/>
      </c>
      <c r="I164" s="41" t="n"/>
      <c r="J164" s="42" t="n"/>
      <c r="K164" s="43" t="n"/>
      <c r="L164" s="10" t="n"/>
      <c r="M164" s="11" t="n"/>
    </row>
    <row r="165" ht="6.75" customHeight="1">
      <c r="A165" s="18" t="n"/>
      <c r="B165" s="14" t="n"/>
      <c r="C165" s="14" t="n"/>
      <c r="D165" s="33" t="n"/>
      <c r="E165" s="39" t="n"/>
      <c r="F165" s="39" t="n"/>
      <c r="G165" s="39" t="n"/>
      <c r="H165" s="73" t="n"/>
      <c r="I165" s="74" t="n"/>
      <c r="J165" s="74" t="n"/>
      <c r="K165" s="75" t="n"/>
      <c r="L165" s="10" t="n"/>
      <c r="M165" s="11" t="n"/>
    </row>
    <row r="166">
      <c r="A166" s="18" t="n"/>
      <c r="B166" s="14" t="n"/>
      <c r="C166" s="19" t="inlineStr">
        <is>
          <t>6. Other adjustments information:</t>
        </is>
      </c>
      <c r="D166" s="33" t="n"/>
      <c r="E166" s="39" t="n"/>
      <c r="F166" s="39" t="n"/>
      <c r="G166" s="39" t="n"/>
      <c r="H166" s="73" t="n"/>
      <c r="I166" s="74" t="n"/>
      <c r="J166" s="74" t="n"/>
      <c r="K166" s="75" t="n"/>
      <c r="L166" s="10" t="n"/>
      <c r="M166" s="11" t="n"/>
    </row>
    <row r="167">
      <c r="A167" s="18" t="n"/>
      <c r="B167" s="14" t="n"/>
      <c r="C167" s="14" t="n"/>
      <c r="D167" s="33" t="inlineStr">
        <is>
          <t>Adjustments for exposure data quality</t>
        </is>
      </c>
      <c r="E167" s="38" t="n"/>
      <c r="F167" s="39" t="n"/>
      <c r="G167" s="39" t="n"/>
      <c r="H167" s="73" t="str">
        <f>IF(E167="No","If no, why not:","")</f>
        <v/>
      </c>
      <c r="I167" s="41" t="n"/>
      <c r="J167" s="42" t="n"/>
      <c r="K167" s="43" t="n"/>
      <c r="L167" s="10" t="n"/>
      <c r="M167" s="11" t="n"/>
    </row>
    <row r="168">
      <c r="A168" s="18" t="n"/>
      <c r="B168" s="14" t="n"/>
      <c r="C168" s="14" t="n"/>
      <c r="D168" s="33" t="inlineStr">
        <is>
          <t>Adjustments for insurance to value</t>
        </is>
      </c>
      <c r="E168" s="38" t="n"/>
      <c r="F168" s="39" t="n"/>
      <c r="G168" s="39" t="n"/>
      <c r="H168" s="73" t="str">
        <f>IF(E168="No","If no, why not:","")</f>
        <v/>
      </c>
      <c r="I168" s="41" t="n"/>
      <c r="J168" s="42" t="n"/>
      <c r="K168" s="43" t="n"/>
      <c r="L168" s="10" t="n"/>
      <c r="M168" s="11" t="n"/>
    </row>
    <row r="169">
      <c r="A169" s="18" t="n"/>
      <c r="B169" s="14" t="n"/>
      <c r="C169" s="14" t="n"/>
      <c r="D169" s="33" t="inlineStr">
        <is>
          <t>Adjustments for exposure growth</t>
        </is>
      </c>
      <c r="E169" s="44" t="n"/>
      <c r="F169" s="39" t="n"/>
      <c r="G169" s="39" t="n"/>
      <c r="H169" s="73" t="str">
        <f>IF(E169="No","If no, why not:","")</f>
        <v/>
      </c>
      <c r="I169" s="41" t="n"/>
      <c r="J169" s="42" t="n"/>
      <c r="K169" s="43" t="n"/>
      <c r="L169" s="10" t="n"/>
      <c r="M169" s="11" t="n"/>
    </row>
    <row r="170">
      <c r="A170" s="18" t="n"/>
      <c r="B170" s="14" t="n"/>
      <c r="C170" s="14" t="n"/>
      <c r="D170" s="33" t="inlineStr">
        <is>
          <t>Supplemental losses for non-modelled line of business</t>
        </is>
      </c>
      <c r="E170" s="44" t="n"/>
      <c r="F170" s="39" t="n"/>
      <c r="G170" s="39" t="n"/>
      <c r="H170" s="73" t="str">
        <f>IF(E170="No","If no, why not:","")</f>
        <v/>
      </c>
      <c r="I170" s="41" t="n"/>
      <c r="J170" s="42" t="n"/>
      <c r="K170" s="43" t="n"/>
      <c r="L170" s="10" t="n"/>
      <c r="M170" s="11" t="n"/>
    </row>
    <row r="171">
      <c r="A171" s="18" t="n"/>
      <c r="B171" s="14" t="n"/>
      <c r="C171" s="14" t="n"/>
      <c r="D171" s="33" t="inlineStr">
        <is>
          <t>Adjustments for model deficiencies – severity</t>
        </is>
      </c>
      <c r="E171" s="38" t="n"/>
      <c r="F171" s="46" t="n"/>
      <c r="G171" s="39" t="n"/>
      <c r="H171" s="73" t="str">
        <f>IF(E171="No","If no, why not:","")</f>
        <v/>
      </c>
      <c r="I171" s="41" t="n"/>
      <c r="J171" s="42" t="n"/>
      <c r="K171" s="43" t="n"/>
      <c r="L171" s="10" t="n"/>
      <c r="M171" s="11" t="n"/>
    </row>
    <row r="172">
      <c r="A172" s="18" t="n"/>
      <c r="B172" s="14" t="n"/>
      <c r="C172" s="14" t="n"/>
      <c r="D172" s="33" t="inlineStr">
        <is>
          <t>Adjustments for model deficiencies - frequency</t>
        </is>
      </c>
      <c r="E172" s="38" t="n"/>
      <c r="F172" s="46" t="n"/>
      <c r="G172" s="39" t="n"/>
      <c r="H172" s="73" t="str">
        <f>IF(E172="No","If no, why not:","")</f>
        <v/>
      </c>
      <c r="I172" s="41" t="n"/>
      <c r="J172" s="42" t="n"/>
      <c r="K172" s="43" t="n"/>
      <c r="L172" s="10" t="n"/>
      <c r="M172" s="11" t="n"/>
    </row>
    <row r="173">
      <c r="A173" s="18" t="n"/>
      <c r="B173" s="14" t="n"/>
      <c r="C173" s="14" t="n"/>
      <c r="D173" s="33" t="inlineStr">
        <is>
          <t>Additional demand surge loadings</t>
        </is>
      </c>
      <c r="E173" s="38" t="n"/>
      <c r="F173" s="39" t="n"/>
      <c r="G173" s="39" t="n"/>
      <c r="H173" s="73" t="str">
        <f>IF(E173="No","If no, why not:","")</f>
        <v/>
      </c>
      <c r="I173" s="41" t="n"/>
      <c r="J173" s="42" t="n"/>
      <c r="K173" s="43" t="n"/>
      <c r="L173" s="10" t="n"/>
      <c r="M173" s="11" t="n"/>
    </row>
    <row r="174">
      <c r="A174" s="18" t="n"/>
      <c r="B174" s="14" t="n"/>
      <c r="C174" s="14" t="n"/>
      <c r="D174" s="33" t="inlineStr">
        <is>
          <t>Other factors for prudence</t>
        </is>
      </c>
      <c r="E174" s="38" t="n"/>
      <c r="F174" s="39" t="n"/>
      <c r="G174" s="39" t="n"/>
      <c r="H174" s="73" t="str">
        <f>IF(E174="No","If no, why not:","")</f>
        <v/>
      </c>
      <c r="I174" s="41" t="n"/>
      <c r="J174" s="42" t="n"/>
      <c r="K174" s="43" t="n"/>
      <c r="L174" s="10" t="n"/>
      <c r="M174" s="11" t="n"/>
    </row>
    <row r="175" ht="6.75" customHeight="1">
      <c r="A175" s="18" t="n"/>
      <c r="B175" s="14" t="n"/>
      <c r="C175" s="14" t="n"/>
      <c r="D175" s="14" t="n"/>
      <c r="E175" s="73" t="n"/>
      <c r="F175" s="73" t="n"/>
      <c r="G175" s="76" t="n"/>
      <c r="H175" s="76" t="n"/>
      <c r="I175" s="48" t="n"/>
      <c r="J175" s="48" t="n"/>
      <c r="K175" s="49" t="n"/>
      <c r="L175" s="10" t="n"/>
      <c r="M175" s="11" t="n"/>
    </row>
    <row r="176">
      <c r="A176" s="18" t="n"/>
      <c r="B176" s="14" t="n"/>
      <c r="C176" s="14" t="n"/>
      <c r="D176" s="14" t="n"/>
      <c r="E176" s="73" t="n"/>
      <c r="F176" s="33" t="inlineStr">
        <is>
          <t>Average loading factor applied to ground up loss for all adjustments applied</t>
        </is>
      </c>
      <c r="G176" s="77" t="n"/>
      <c r="H176" s="76" t="n"/>
      <c r="I176" s="48" t="n"/>
      <c r="J176" s="48" t="n"/>
      <c r="K176" s="49" t="n"/>
      <c r="L176" s="10" t="n"/>
      <c r="M176" s="11" t="n"/>
    </row>
    <row r="177">
      <c r="A177" s="18" t="n"/>
      <c r="B177" s="14" t="n"/>
      <c r="C177" s="14" t="n"/>
      <c r="D177" s="14" t="n"/>
      <c r="E177" s="73" t="n"/>
      <c r="F177" s="33" t="inlineStr">
        <is>
          <t>Is this average loading factor determined analytically or estimated?</t>
        </is>
      </c>
      <c r="G177" s="78" t="n"/>
      <c r="H177" s="76" t="n"/>
      <c r="I177" s="48" t="n"/>
      <c r="J177" s="48" t="n"/>
      <c r="K177" s="49" t="n"/>
      <c r="L177" s="10" t="n"/>
      <c r="M177" s="11" t="n"/>
    </row>
    <row r="178" ht="6.75" customHeight="1">
      <c r="A178" s="18" t="n"/>
      <c r="B178" s="14" t="n"/>
      <c r="C178" s="14" t="n"/>
      <c r="D178" s="14" t="n"/>
      <c r="E178" s="73" t="n"/>
      <c r="F178" s="79" t="n"/>
      <c r="G178" s="76" t="n"/>
      <c r="H178" s="76" t="n"/>
      <c r="I178" s="48" t="n"/>
      <c r="J178" s="48" t="n"/>
      <c r="K178" s="49" t="n"/>
      <c r="L178" s="10" t="n"/>
      <c r="M178" s="11" t="n"/>
    </row>
    <row r="179">
      <c r="A179" s="18" t="n"/>
      <c r="B179" s="14" t="n"/>
      <c r="C179" s="14" t="n"/>
      <c r="D179" s="14" t="n"/>
      <c r="E179" s="73" t="n"/>
      <c r="F179" s="33" t="inlineStr">
        <is>
          <t>Which cat model do you include in this modelling?</t>
        </is>
      </c>
      <c r="G179" s="80" t="n"/>
      <c r="H179" s="76" t="n"/>
      <c r="I179" s="48" t="n"/>
      <c r="J179" s="48" t="n"/>
      <c r="K179" s="49" t="n"/>
      <c r="L179" s="10" t="n"/>
      <c r="M179" s="11" t="n"/>
    </row>
    <row r="180">
      <c r="A180" s="18" t="n"/>
      <c r="B180" s="14" t="n"/>
      <c r="C180" s="14" t="n"/>
      <c r="D180" s="14" t="n"/>
      <c r="E180" s="73" t="n"/>
      <c r="F180" s="33" t="inlineStr">
        <is>
          <t>Which version of the model or version of the region-peril models are used for each cat model as appropriate?</t>
        </is>
      </c>
      <c r="G180" s="81" t="n"/>
      <c r="H180" s="56" t="n"/>
      <c r="I180" s="14" t="n"/>
      <c r="J180" s="14" t="n"/>
      <c r="K180" s="15" t="n"/>
      <c r="L180" s="10" t="n"/>
      <c r="M180" s="11" t="n"/>
    </row>
    <row r="181">
      <c r="A181" s="18" t="n"/>
      <c r="B181" s="14" t="n"/>
      <c r="C181" s="14" t="n"/>
      <c r="D181" s="14" t="n"/>
      <c r="E181" s="73" t="n"/>
      <c r="F181" s="73" t="n"/>
      <c r="G181" s="57" t="n"/>
      <c r="H181" s="58" t="n"/>
      <c r="I181" s="14" t="n"/>
      <c r="J181" s="14" t="n"/>
      <c r="K181" s="15" t="n"/>
      <c r="L181" s="10" t="n"/>
      <c r="M181" s="11" t="n"/>
    </row>
    <row r="182" ht="6.75" customHeight="1">
      <c r="A182" s="59" t="n"/>
      <c r="B182" s="60" t="n"/>
      <c r="C182" s="60" t="n"/>
      <c r="D182" s="60" t="n"/>
      <c r="E182" s="60" t="n"/>
      <c r="F182" s="60" t="n"/>
      <c r="G182" s="82" t="n"/>
      <c r="H182" s="82" t="n"/>
      <c r="I182" s="60" t="n"/>
      <c r="J182" s="60" t="n"/>
      <c r="K182" s="62" t="n"/>
      <c r="L182" s="10" t="n"/>
      <c r="M182" s="11" t="n"/>
    </row>
    <row r="183"/>
    <row r="184"/>
    <row r="185"/>
    <row r="186"/>
    <row r="187"/>
    <row r="188" ht="75" customHeight="1">
      <c r="A188" s="83" t="n"/>
      <c r="B188" s="84" t="inlineStr">
        <is>
          <t>CATASTROPHE RISK RETURN: EXCEEDANCE PROBABILITY  (EP) CURVE  FOR REGIONS-PERILS (TABLE 15B)</t>
        </is>
      </c>
      <c r="C188" s="85" t="n"/>
      <c r="D188" s="85" t="n"/>
      <c r="E188" s="85" t="n"/>
      <c r="F188" s="85" t="n"/>
      <c r="G188" s="8" t="inlineStr">
        <is>
          <t>Back to instructions</t>
        </is>
      </c>
      <c r="H188" s="86" t="n"/>
      <c r="I188" s="87" t="n"/>
      <c r="J188" s="11" t="n"/>
      <c r="K188" s="11" t="n"/>
      <c r="L188" s="11" t="n"/>
      <c r="M188" s="11" t="n"/>
    </row>
    <row r="189" ht="13.5" customHeight="1">
      <c r="A189" s="88" t="n"/>
      <c r="B189" s="89" t="inlineStr">
        <is>
          <t>HIG</t>
        </is>
      </c>
      <c r="C189" s="90" t="n"/>
      <c r="D189" s="90" t="n"/>
      <c r="E189" s="90" t="n"/>
      <c r="F189" s="90" t="n"/>
      <c r="G189" s="90" t="n"/>
      <c r="H189" s="91" t="n"/>
      <c r="I189" s="92" t="n"/>
      <c r="J189" s="92" t="n"/>
      <c r="K189" s="92" t="n"/>
      <c r="L189" s="92" t="n"/>
      <c r="M189" s="92" t="n"/>
    </row>
    <row r="190" ht="13.5" customHeight="1">
      <c r="A190" s="88" t="n"/>
      <c r="B190" s="93">
        <f>DATE(2026,1,1)</f>
        <v>46023.0</v>
      </c>
      <c r="D190" s="90" t="n"/>
      <c r="E190" s="90" t="n"/>
      <c r="F190" s="90" t="n"/>
      <c r="G190" s="94" t="inlineStr">
        <is>
          <t>SCHEDULE X(c)</t>
        </is>
      </c>
      <c r="H190" s="91" t="n"/>
      <c r="I190" s="92" t="n"/>
      <c r="J190" s="92" t="n"/>
      <c r="K190" s="92" t="n"/>
      <c r="L190" s="92" t="n"/>
      <c r="M190" s="92" t="n"/>
    </row>
    <row r="191" ht="6.75" customHeight="1">
      <c r="A191" s="95" t="n"/>
      <c r="B191" s="90" t="n"/>
      <c r="C191" s="90" t="n"/>
      <c r="D191" s="90" t="n"/>
      <c r="E191" s="90" t="n"/>
      <c r="F191" s="90" t="n"/>
      <c r="G191" s="90" t="n"/>
      <c r="H191" s="90" t="n"/>
      <c r="I191" s="92" t="n"/>
      <c r="J191" s="92" t="n"/>
      <c r="K191" s="92" t="n"/>
      <c r="L191" s="92" t="n"/>
      <c r="M191" s="92" t="n"/>
    </row>
    <row r="192" ht="16.7" customHeight="1">
      <c r="A192" s="96" t="n"/>
      <c r="B192" s="90" t="n"/>
      <c r="C192" s="97" t="inlineStr">
        <is>
          <t>Provide Exceedance Probability information on the following perils in the templates provided below.</t>
        </is>
      </c>
      <c r="H192" s="98" t="n"/>
      <c r="I192" s="92" t="n"/>
      <c r="J192" s="92" t="n"/>
      <c r="K192" s="92" t="n"/>
      <c r="L192" s="92" t="n"/>
      <c r="M192" s="92" t="n"/>
    </row>
    <row r="193" ht="6.75" customHeight="1">
      <c r="A193" s="95" t="n"/>
      <c r="B193" s="90" t="n"/>
      <c r="C193" s="90" t="n"/>
      <c r="D193" s="90" t="n"/>
      <c r="E193" s="90" t="n"/>
      <c r="F193" s="90" t="n"/>
      <c r="G193" s="90" t="n"/>
      <c r="H193" s="90" t="n"/>
      <c r="I193" s="92" t="n"/>
      <c r="J193" s="92" t="n"/>
      <c r="K193" s="92" t="n"/>
      <c r="L193" s="92" t="n"/>
      <c r="M193" s="92" t="n"/>
    </row>
    <row r="194" ht="16.5" customHeight="1">
      <c r="A194" s="95" t="n"/>
      <c r="B194" s="94" t="inlineStr">
        <is>
          <t>a)</t>
        </is>
      </c>
      <c r="C194" s="99" t="inlineStr">
        <is>
          <t>EP CURVE ATLANTIC BASIN HURRICANE</t>
        </is>
      </c>
      <c r="D194" s="90" t="n"/>
      <c r="E194" s="90" t="n"/>
      <c r="F194" s="90" t="n"/>
      <c r="G194" s="90" t="n"/>
      <c r="H194" s="90" t="n"/>
      <c r="I194" s="100" t="n"/>
      <c r="J194" s="92" t="n"/>
      <c r="K194" s="92" t="n"/>
      <c r="L194" s="92" t="n"/>
      <c r="M194" s="92" t="n"/>
    </row>
    <row r="195" ht="6.75" customHeight="1">
      <c r="A195" s="95" t="n"/>
      <c r="B195" s="94" t="n"/>
      <c r="C195" s="99" t="n"/>
      <c r="D195" s="90" t="n"/>
      <c r="E195" s="90" t="n"/>
      <c r="F195" s="90" t="n"/>
      <c r="G195" s="90" t="n"/>
      <c r="H195" s="90" t="n"/>
      <c r="I195" s="92" t="n"/>
      <c r="J195" s="92" t="n"/>
      <c r="K195" s="92" t="n"/>
      <c r="L195" s="92" t="n"/>
      <c r="M195" s="92" t="n"/>
    </row>
    <row r="196" ht="16.5" customHeight="1">
      <c r="A196" s="95" t="n"/>
      <c r="B196" s="101" t="n"/>
      <c r="C196" s="90" t="inlineStr">
        <is>
          <t>Which model(s) is used for  EP Curve Atlantic basin hurricane</t>
        </is>
      </c>
      <c r="D196" s="90" t="n"/>
      <c r="E196" s="90" t="n"/>
      <c r="F196" s="102" t="n"/>
      <c r="G196" s="90" t="n"/>
      <c r="H196" s="90" t="n"/>
      <c r="I196" s="92" t="n"/>
      <c r="J196" s="103" t="n"/>
      <c r="K196" s="92" t="n"/>
      <c r="L196" s="92" t="n"/>
      <c r="M196" s="92" t="n"/>
    </row>
    <row r="197" ht="16.5" customHeight="1">
      <c r="A197" s="95" t="n"/>
      <c r="B197" s="101" t="n"/>
      <c r="C197" s="90" t="inlineStr">
        <is>
          <t>Indicate the model version</t>
        </is>
      </c>
      <c r="D197" s="90" t="n"/>
      <c r="E197" s="90" t="n"/>
      <c r="F197" s="104" t="n"/>
      <c r="G197" s="90" t="n"/>
      <c r="H197" s="90" t="n"/>
      <c r="I197" s="92" t="n"/>
      <c r="J197" s="103" t="n"/>
      <c r="K197" s="92" t="n"/>
      <c r="L197" s="92" t="n"/>
      <c r="M197" s="92" t="n"/>
    </row>
    <row r="198" ht="6.75" customHeight="1">
      <c r="A198" s="95" t="n"/>
      <c r="B198" s="101" t="n"/>
      <c r="C198" s="90" t="n"/>
      <c r="D198" s="90" t="n"/>
      <c r="E198" s="90" t="n"/>
      <c r="F198" s="90" t="n"/>
      <c r="G198" s="90" t="n"/>
      <c r="H198" s="90" t="n"/>
      <c r="I198" s="92" t="n"/>
      <c r="J198" s="92" t="n"/>
      <c r="K198" s="105" t="n"/>
      <c r="L198" s="105" t="n"/>
      <c r="M198" s="105" t="n"/>
    </row>
    <row r="199" ht="17.25" customHeight="1">
      <c r="A199" s="106" t="n"/>
      <c r="B199" s="101" t="n"/>
      <c r="C199" s="107" t="inlineStr">
        <is>
          <t>Exceedance probability information:</t>
        </is>
      </c>
      <c r="D199" s="107" t="n"/>
      <c r="E199" s="90" t="n"/>
      <c r="F199" s="90" t="n"/>
      <c r="G199" s="90" t="n"/>
      <c r="H199" s="90" t="n"/>
      <c r="I199" s="92" t="n"/>
      <c r="J199" s="92" t="n"/>
      <c r="K199" s="92" t="n"/>
      <c r="L199" s="92" t="n"/>
      <c r="M199" s="92" t="n"/>
    </row>
    <row r="200" ht="16.5" customHeight="1">
      <c r="A200" s="95" t="n"/>
      <c r="B200" s="101" t="n"/>
      <c r="C200" s="108" t="n"/>
      <c r="D200" s="109" t="inlineStr">
        <is>
          <t xml:space="preserve"> Gross loss</t>
        </is>
      </c>
      <c r="E200" s="110" t="n"/>
      <c r="F200" s="111" t="inlineStr">
        <is>
          <t xml:space="preserve"> Net loss</t>
        </is>
      </c>
      <c r="G200" s="112" t="n"/>
      <c r="H200" s="90" t="n"/>
      <c r="I200" s="92" t="n"/>
      <c r="J200" s="92" t="n"/>
      <c r="K200" s="92" t="n"/>
      <c r="L200" s="92" t="n"/>
      <c r="M200" s="92" t="n"/>
    </row>
    <row r="201" ht="33" customHeight="1">
      <c r="A201" s="95" t="n"/>
      <c r="B201" s="101" t="n"/>
      <c r="C201" s="113" t="inlineStr">
        <is>
          <t>Loss Return period (years)</t>
        </is>
      </c>
      <c r="D201" s="114" t="inlineStr">
        <is>
          <t>Gross per occurrence loss TVaR</t>
        </is>
      </c>
      <c r="E201" s="115" t="inlineStr">
        <is>
          <t xml:space="preserve">Gross aggregate 
TVaR </t>
        </is>
      </c>
      <c r="F201" s="115" t="inlineStr">
        <is>
          <t>Net per occurrence loss TVaR</t>
        </is>
      </c>
      <c r="G201" s="116" t="inlineStr">
        <is>
          <t>Net aggregate
TVaR</t>
        </is>
      </c>
      <c r="H201" s="90" t="n"/>
      <c r="I201" s="92" t="n"/>
      <c r="J201" s="92" t="n"/>
      <c r="K201" s="92" t="n"/>
      <c r="L201" s="92" t="n"/>
      <c r="M201" s="92" t="n"/>
    </row>
    <row r="202" ht="16.5" customHeight="1">
      <c r="A202" s="95" t="n"/>
      <c r="B202" s="101" t="n"/>
      <c r="C202" s="117" t="n"/>
      <c r="D202" s="118" t="inlineStr">
        <is>
          <t xml:space="preserve"> ($M)</t>
        </is>
      </c>
      <c r="E202" s="118" t="inlineStr">
        <is>
          <t>($M)</t>
        </is>
      </c>
      <c r="F202" s="118" t="inlineStr">
        <is>
          <t>($M)</t>
        </is>
      </c>
      <c r="G202" s="119" t="inlineStr">
        <is>
          <t xml:space="preserve"> ($M)</t>
        </is>
      </c>
      <c r="H202" s="90" t="n"/>
      <c r="I202" s="92" t="n"/>
      <c r="J202" s="92" t="n"/>
      <c r="K202" s="92" t="n"/>
      <c r="L202" s="92" t="n"/>
      <c r="M202" s="92" t="n"/>
    </row>
    <row r="203" ht="16.5" customHeight="1">
      <c r="A203" s="95" t="n"/>
      <c r="B203" s="101" t="n"/>
      <c r="C203" s="120" t="n">
        <v>50</v>
      </c>
      <c r="D203" s="121" t="n"/>
      <c r="E203" s="121" t="n"/>
      <c r="F203" s="121" t="n"/>
      <c r="G203" s="121" t="n"/>
      <c r="H203" s="90" t="n"/>
      <c r="I203" s="92" t="n"/>
      <c r="J203" s="92" t="n"/>
      <c r="K203" s="92" t="n"/>
      <c r="L203" s="92" t="n"/>
      <c r="M203" s="92" t="n"/>
    </row>
    <row r="204" ht="16.5" customHeight="1">
      <c r="A204" s="95" t="n"/>
      <c r="B204" s="101" t="n"/>
      <c r="C204" s="120" t="n">
        <v>100</v>
      </c>
      <c r="D204" s="121" t="n"/>
      <c r="E204" s="121" t="n"/>
      <c r="F204" s="121" t="n"/>
      <c r="G204" s="121" t="n"/>
      <c r="H204" s="90" t="n"/>
      <c r="I204" s="92" t="n"/>
      <c r="J204" s="92" t="n"/>
      <c r="K204" s="92" t="n"/>
      <c r="L204" s="92" t="n"/>
      <c r="M204" s="92" t="n"/>
    </row>
    <row r="205" ht="16.5" customHeight="1">
      <c r="A205" s="95" t="n"/>
      <c r="B205" s="101" t="n"/>
      <c r="C205" s="120" t="n">
        <v>250</v>
      </c>
      <c r="D205" s="121" t="n"/>
      <c r="E205" s="121" t="n"/>
      <c r="F205" s="121" t="n"/>
      <c r="G205" s="121" t="n"/>
      <c r="H205" s="90" t="n"/>
      <c r="I205" s="92" t="n"/>
      <c r="J205" s="92" t="n"/>
      <c r="K205" s="92" t="n"/>
      <c r="L205" s="92" t="n"/>
      <c r="M205" s="92" t="n"/>
    </row>
    <row r="206" ht="16.5" customHeight="1">
      <c r="A206" s="95" t="n"/>
      <c r="B206" s="101" t="n"/>
      <c r="C206" s="120" t="n">
        <v>500</v>
      </c>
      <c r="D206" s="121" t="n"/>
      <c r="E206" s="121" t="n"/>
      <c r="F206" s="121" t="n"/>
      <c r="G206" s="121" t="n"/>
      <c r="H206" s="90" t="n"/>
      <c r="I206" s="92" t="n"/>
      <c r="J206" s="92" t="n"/>
      <c r="K206" s="92" t="n"/>
      <c r="L206" s="92" t="n"/>
      <c r="M206" s="92" t="n"/>
    </row>
    <row r="207" ht="17.25" customHeight="1">
      <c r="A207" s="95" t="n"/>
      <c r="B207" s="101" t="n"/>
      <c r="C207" s="122" t="n">
        <v>1000</v>
      </c>
      <c r="D207" s="121" t="n"/>
      <c r="E207" s="121" t="n"/>
      <c r="F207" s="121" t="n"/>
      <c r="G207" s="121" t="n"/>
      <c r="H207" s="90" t="n"/>
      <c r="I207" s="92" t="n"/>
      <c r="J207" s="92" t="n"/>
      <c r="K207" s="92" t="n"/>
      <c r="L207" s="92" t="n"/>
      <c r="M207" s="92" t="n"/>
    </row>
    <row r="208" ht="6.75" customHeight="1">
      <c r="A208" s="95" t="n"/>
      <c r="B208" s="101" t="n"/>
      <c r="C208" s="90" t="n"/>
      <c r="D208" s="123" t="n"/>
      <c r="E208" s="123" t="n"/>
      <c r="F208" s="123" t="n"/>
      <c r="G208" s="123" t="n"/>
      <c r="H208" s="90" t="n"/>
      <c r="I208" s="92" t="n"/>
      <c r="J208" s="92" t="n"/>
      <c r="K208" s="92" t="n"/>
      <c r="L208" s="92" t="n"/>
      <c r="M208" s="92" t="n"/>
    </row>
    <row r="209" ht="27.2" customHeight="1">
      <c r="A209" s="124" t="n"/>
      <c r="B209" s="101" t="n"/>
      <c r="C209" s="125" t="inlineStr">
        <is>
          <t>Exposure to Atlantic Basin Hurricane</t>
        </is>
      </c>
      <c r="D209" s="110" t="n"/>
      <c r="E209" s="126" t="inlineStr">
        <is>
          <t>Gross</t>
        </is>
      </c>
      <c r="F209" s="127" t="inlineStr">
        <is>
          <t>Net</t>
        </is>
      </c>
      <c r="G209" s="123" t="n"/>
      <c r="H209" s="90" t="n"/>
      <c r="I209" s="92" t="n"/>
      <c r="J209" s="92" t="n"/>
      <c r="K209" s="92" t="n"/>
      <c r="L209" s="92" t="n"/>
      <c r="M209" s="92" t="n"/>
    </row>
    <row r="210" ht="16.5" customHeight="1">
      <c r="A210" s="124" t="n"/>
      <c r="B210" s="101" t="n"/>
      <c r="C210" s="128" t="n"/>
      <c r="D210" s="129" t="n"/>
      <c r="E210" s="118" t="inlineStr">
        <is>
          <t xml:space="preserve"> ($M)</t>
        </is>
      </c>
      <c r="F210" s="119" t="inlineStr">
        <is>
          <t xml:space="preserve"> ($M)</t>
        </is>
      </c>
      <c r="G210" s="123" t="n"/>
      <c r="H210" s="90" t="n"/>
      <c r="I210" s="92" t="n"/>
      <c r="J210" s="92" t="n"/>
      <c r="K210" s="92" t="n"/>
      <c r="L210" s="92" t="n"/>
      <c r="M210" s="92" t="n"/>
    </row>
    <row r="211" ht="16.5" customHeight="1">
      <c r="A211" s="124" t="n"/>
      <c r="B211" s="101" t="n"/>
      <c r="C211" s="130" t="inlineStr">
        <is>
          <t>Total statutory property catastrophe premium</t>
        </is>
      </c>
      <c r="D211" s="131" t="n"/>
      <c r="E211" s="121" t="n"/>
      <c r="F211" s="132" t="n"/>
      <c r="G211" s="123" t="n"/>
      <c r="H211" s="90" t="n"/>
      <c r="I211" s="92" t="n"/>
      <c r="J211" s="92" t="n"/>
      <c r="K211" s="92" t="n"/>
      <c r="L211" s="92" t="n"/>
      <c r="M211" s="92" t="n"/>
    </row>
    <row r="212" ht="16.5" customHeight="1">
      <c r="A212" s="124" t="n"/>
      <c r="B212" s="101" t="n"/>
      <c r="C212" s="130" t="inlineStr">
        <is>
          <t>Total all other statutory premium</t>
        </is>
      </c>
      <c r="D212" s="131" t="n"/>
      <c r="E212" s="140" t="n"/>
      <c r="F212" s="141" t="n"/>
      <c r="G212" s="123" t="n"/>
      <c r="H212" s="90" t="n"/>
      <c r="I212" s="92" t="n"/>
      <c r="J212" s="92" t="n"/>
      <c r="K212" s="92" t="n"/>
      <c r="L212" s="92" t="n"/>
      <c r="M212" s="92" t="n"/>
    </row>
    <row r="213" ht="16.5" customHeight="1">
      <c r="A213" s="124" t="n"/>
      <c r="B213" s="101" t="n"/>
      <c r="C213" s="130" t="inlineStr">
        <is>
          <t>Total statutory property catastrophe limits</t>
        </is>
      </c>
      <c r="D213" s="131" t="n"/>
      <c r="E213" s="133" t="n"/>
      <c r="F213" s="134" t="n"/>
      <c r="G213" s="123" t="n"/>
      <c r="H213" s="90" t="n"/>
      <c r="I213" s="92" t="n"/>
      <c r="J213" s="92" t="n"/>
      <c r="K213" s="92" t="n"/>
      <c r="L213" s="92" t="n"/>
      <c r="M213" s="92" t="n"/>
    </row>
    <row r="214" ht="17.25" customHeight="1">
      <c r="A214" s="124" t="n"/>
      <c r="B214" s="101" t="n"/>
      <c r="C214" s="135" t="inlineStr">
        <is>
          <t>Total all other statutory limits</t>
        </is>
      </c>
      <c r="D214" s="136" t="n"/>
      <c r="E214" s="137">
        <f>SUMIFS(BSCRInput[sum_pml],BSCRInput[bscr_entity],"HIG",BSCRInput[region],"is_nahu",BSCRInput[peril_id],2)/1000000</f>
        <v>1627.784513771111</v>
      </c>
      <c r="F214" s="138">
        <f>SUMIFS(BSCRInput[sum_net],BSCRInput[bscr_entity],"HIG",BSCRInput[region],"is_nahu",BSCRInput[peril_id],2)/1000000</f>
        <v>1248.2019918819647</v>
      </c>
      <c r="G214" s="123" t="n"/>
      <c r="H214" s="90" t="n"/>
      <c r="I214" s="92" t="n"/>
      <c r="J214" s="92" t="n"/>
      <c r="K214" s="92" t="n"/>
      <c r="L214" s="92" t="n"/>
      <c r="M214" s="92" t="n"/>
    </row>
    <row r="215" ht="6.75" customHeight="1">
      <c r="A215" s="95" t="n"/>
      <c r="B215" s="101" t="n"/>
      <c r="C215" s="90" t="n"/>
      <c r="D215" s="123" t="n"/>
      <c r="E215" s="123" t="n"/>
      <c r="F215" s="123" t="n"/>
      <c r="G215" s="123" t="n"/>
      <c r="H215" s="90" t="n"/>
      <c r="I215" s="92" t="n"/>
      <c r="J215" s="92" t="n"/>
      <c r="K215" s="92" t="n"/>
      <c r="L215" s="92" t="n"/>
      <c r="M215" s="92" t="n"/>
    </row>
    <row r="216" ht="16.5" customHeight="1">
      <c r="A216" s="95" t="n"/>
      <c r="B216" s="94" t="inlineStr">
        <is>
          <t>b)</t>
        </is>
      </c>
      <c r="C216" s="99" t="inlineStr">
        <is>
          <t>EP CURVE NORTH AMERICAN EARTHQUAKE</t>
        </is>
      </c>
      <c r="D216" s="90" t="n"/>
      <c r="E216" s="90" t="n"/>
      <c r="F216" s="139" t="n"/>
      <c r="G216" s="90" t="n"/>
      <c r="H216" s="90" t="n"/>
      <c r="I216" s="100" t="n"/>
      <c r="J216" s="92" t="n"/>
      <c r="K216" s="92" t="n"/>
      <c r="L216" s="92" t="n"/>
      <c r="M216" s="92" t="n"/>
    </row>
    <row r="217" ht="6.75" customHeight="1">
      <c r="A217" s="95" t="n"/>
      <c r="B217" s="94" t="n"/>
      <c r="C217" s="99" t="n"/>
      <c r="D217" s="90" t="n"/>
      <c r="E217" s="90" t="n"/>
      <c r="F217" s="90" t="n"/>
      <c r="G217" s="90" t="n"/>
      <c r="H217" s="90" t="n"/>
      <c r="I217" s="92" t="n"/>
      <c r="J217" s="92" t="n"/>
      <c r="K217" s="92" t="n"/>
      <c r="L217" s="92" t="n"/>
      <c r="M217" s="92" t="n"/>
    </row>
    <row r="218" ht="16.5" customHeight="1">
      <c r="A218" s="95" t="n"/>
      <c r="B218" s="101" t="n"/>
      <c r="C218" s="90" t="inlineStr">
        <is>
          <t>Which model(s) is used for  EP Curve North American earthquake</t>
        </is>
      </c>
      <c r="D218" s="90" t="n"/>
      <c r="E218" s="90" t="n"/>
      <c r="F218" s="102" t="n"/>
      <c r="G218" s="90" t="n"/>
      <c r="H218" s="90" t="n"/>
      <c r="I218" s="92" t="n"/>
      <c r="J218" s="103" t="n"/>
      <c r="K218" s="92" t="n"/>
      <c r="L218" s="92" t="n"/>
      <c r="M218" s="92" t="n"/>
    </row>
    <row r="219" ht="16.5" customHeight="1">
      <c r="A219" s="95" t="n"/>
      <c r="B219" s="101" t="n"/>
      <c r="C219" s="90" t="inlineStr">
        <is>
          <t>Indicate the model version</t>
        </is>
      </c>
      <c r="D219" s="90" t="n"/>
      <c r="E219" s="90" t="n"/>
      <c r="F219" s="104" t="n"/>
      <c r="G219" s="90" t="n"/>
      <c r="H219" s="90" t="n"/>
      <c r="I219" s="92" t="n"/>
      <c r="J219" s="103" t="n"/>
      <c r="K219" s="92" t="n"/>
      <c r="L219" s="92" t="n"/>
      <c r="M219" s="92" t="n"/>
    </row>
    <row r="220" ht="6.75" customHeight="1">
      <c r="A220" s="95" t="n"/>
      <c r="B220" s="101" t="n"/>
      <c r="C220" s="90" t="n"/>
      <c r="D220" s="90" t="n"/>
      <c r="E220" s="90" t="n"/>
      <c r="F220" s="90" t="n"/>
      <c r="G220" s="90" t="n"/>
      <c r="H220" s="90" t="n"/>
      <c r="I220" s="92" t="n"/>
      <c r="J220" s="92" t="n"/>
      <c r="K220" s="92" t="n"/>
      <c r="L220" s="92" t="n"/>
      <c r="M220" s="92" t="n"/>
    </row>
    <row r="221" ht="17.25" customHeight="1">
      <c r="A221" s="95" t="n"/>
      <c r="B221" s="101" t="n"/>
      <c r="C221" s="107" t="inlineStr">
        <is>
          <t>Exceedance probability information:</t>
        </is>
      </c>
      <c r="D221" s="107" t="n"/>
      <c r="E221" s="90" t="n"/>
      <c r="F221" s="90" t="n"/>
      <c r="G221" s="90" t="n"/>
      <c r="H221" s="90" t="n"/>
      <c r="I221" s="92" t="n"/>
      <c r="J221" s="92" t="n"/>
      <c r="K221" s="92" t="n"/>
      <c r="L221" s="92" t="n"/>
      <c r="M221" s="92" t="n"/>
    </row>
    <row r="222" ht="16.5" customHeight="1">
      <c r="A222" s="95" t="n"/>
      <c r="B222" s="101" t="n"/>
      <c r="C222" s="108" t="n"/>
      <c r="D222" s="109" t="inlineStr">
        <is>
          <t xml:space="preserve"> Gross loss</t>
        </is>
      </c>
      <c r="E222" s="110" t="n"/>
      <c r="F222" s="111" t="inlineStr">
        <is>
          <t xml:space="preserve"> Net loss</t>
        </is>
      </c>
      <c r="G222" s="112" t="n"/>
      <c r="H222" s="90" t="n"/>
      <c r="I222" s="92" t="n"/>
      <c r="J222" s="92" t="n"/>
      <c r="K222" s="92" t="n"/>
      <c r="L222" s="92" t="n"/>
      <c r="M222" s="92" t="n"/>
    </row>
    <row r="223" ht="33" customHeight="1">
      <c r="A223" s="95" t="n"/>
      <c r="B223" s="101" t="n"/>
      <c r="C223" s="113" t="inlineStr">
        <is>
          <t>Loss Return period (years)</t>
        </is>
      </c>
      <c r="D223" s="114" t="inlineStr">
        <is>
          <t>Gross per occurrence loss TVaR</t>
        </is>
      </c>
      <c r="E223" s="115" t="inlineStr">
        <is>
          <t xml:space="preserve">Gross aggregate 
TVaR </t>
        </is>
      </c>
      <c r="F223" s="115" t="inlineStr">
        <is>
          <t>Net per occurrence loss TVaR</t>
        </is>
      </c>
      <c r="G223" s="116" t="inlineStr">
        <is>
          <t>Net aggregate
TVaR</t>
        </is>
      </c>
      <c r="H223" s="90" t="n"/>
      <c r="I223" s="92" t="n"/>
      <c r="J223" s="92" t="n"/>
      <c r="K223" s="92" t="n"/>
      <c r="L223" s="92" t="n"/>
      <c r="M223" s="92" t="n"/>
    </row>
    <row r="224" ht="16.5" customHeight="1">
      <c r="A224" s="95" t="n"/>
      <c r="B224" s="101" t="n"/>
      <c r="C224" s="117" t="n"/>
      <c r="D224" s="118" t="inlineStr">
        <is>
          <t xml:space="preserve"> ($M)</t>
        </is>
      </c>
      <c r="E224" s="118" t="inlineStr">
        <is>
          <t>($M)</t>
        </is>
      </c>
      <c r="F224" s="118" t="inlineStr">
        <is>
          <t>($M)</t>
        </is>
      </c>
      <c r="G224" s="119" t="inlineStr">
        <is>
          <t xml:space="preserve"> ($M)</t>
        </is>
      </c>
      <c r="H224" s="90" t="n"/>
      <c r="I224" s="92" t="n"/>
      <c r="J224" s="92" t="n"/>
      <c r="K224" s="92" t="n"/>
      <c r="L224" s="92" t="n"/>
      <c r="M224" s="92" t="n"/>
    </row>
    <row r="225" ht="16.5" customHeight="1">
      <c r="A225" s="95" t="n"/>
      <c r="B225" s="101" t="n"/>
      <c r="C225" s="120" t="n">
        <v>50</v>
      </c>
      <c r="D225" s="121" t="n"/>
      <c r="E225" s="121" t="n"/>
      <c r="F225" s="121" t="n"/>
      <c r="G225" s="121" t="n"/>
      <c r="H225" s="90" t="n"/>
      <c r="I225" s="92" t="n"/>
      <c r="J225" s="92" t="n"/>
      <c r="K225" s="92" t="n"/>
      <c r="L225" s="92" t="n"/>
      <c r="M225" s="92" t="n"/>
    </row>
    <row r="226" ht="16.5" customHeight="1">
      <c r="A226" s="95" t="n"/>
      <c r="B226" s="101" t="n"/>
      <c r="C226" s="120" t="n">
        <v>100</v>
      </c>
      <c r="D226" s="121" t="n"/>
      <c r="E226" s="121" t="n"/>
      <c r="F226" s="121" t="n"/>
      <c r="G226" s="121" t="n"/>
      <c r="H226" s="90" t="n"/>
      <c r="I226" s="92" t="n"/>
      <c r="J226" s="92" t="n"/>
      <c r="K226" s="92" t="n"/>
      <c r="L226" s="92" t="n"/>
      <c r="M226" s="92" t="n"/>
    </row>
    <row r="227" ht="16.5" customHeight="1">
      <c r="A227" s="95" t="n"/>
      <c r="B227" s="101" t="n"/>
      <c r="C227" s="120" t="n">
        <v>250</v>
      </c>
      <c r="D227" s="121" t="n"/>
      <c r="E227" s="121" t="n"/>
      <c r="F227" s="121" t="n"/>
      <c r="G227" s="121" t="n"/>
      <c r="H227" s="90" t="n"/>
      <c r="I227" s="92" t="n"/>
      <c r="J227" s="92" t="n"/>
      <c r="K227" s="92" t="n"/>
      <c r="L227" s="92" t="n"/>
      <c r="M227" s="92" t="n"/>
    </row>
    <row r="228" ht="16.5" customHeight="1">
      <c r="A228" s="95" t="n"/>
      <c r="B228" s="101" t="n"/>
      <c r="C228" s="120" t="n">
        <v>500</v>
      </c>
      <c r="D228" s="121" t="n"/>
      <c r="E228" s="121" t="n"/>
      <c r="F228" s="121" t="n"/>
      <c r="G228" s="121" t="n"/>
      <c r="H228" s="90" t="n"/>
      <c r="I228" s="92" t="n"/>
      <c r="J228" s="92" t="n"/>
      <c r="K228" s="92" t="n"/>
      <c r="L228" s="92" t="n"/>
      <c r="M228" s="92" t="n"/>
    </row>
    <row r="229" ht="17.25" customHeight="1">
      <c r="A229" s="95" t="n"/>
      <c r="B229" s="101" t="n"/>
      <c r="C229" s="122" t="n">
        <v>1000</v>
      </c>
      <c r="D229" s="121" t="n"/>
      <c r="E229" s="121" t="n"/>
      <c r="F229" s="121" t="n"/>
      <c r="G229" s="121" t="n"/>
      <c r="H229" s="90" t="n"/>
      <c r="I229" s="92" t="n"/>
      <c r="J229" s="92" t="n"/>
      <c r="K229" s="92" t="n"/>
      <c r="L229" s="92" t="n"/>
      <c r="M229" s="92" t="n"/>
    </row>
    <row r="230" ht="6.75" customHeight="1">
      <c r="A230" s="95" t="n"/>
      <c r="B230" s="101" t="n"/>
      <c r="C230" s="90" t="n"/>
      <c r="D230" s="123" t="n"/>
      <c r="E230" s="123" t="n"/>
      <c r="F230" s="123" t="n"/>
      <c r="G230" s="123" t="n"/>
      <c r="H230" s="90" t="n"/>
      <c r="I230" s="92" t="n"/>
      <c r="J230" s="92" t="n"/>
      <c r="K230" s="92" t="n"/>
      <c r="L230" s="92" t="n"/>
      <c r="M230" s="92" t="n"/>
    </row>
    <row r="231" ht="27.2" customHeight="1">
      <c r="A231" s="124" t="n"/>
      <c r="B231" s="101" t="n"/>
      <c r="C231" s="125" t="inlineStr">
        <is>
          <t>Exposure to North American Earthquake</t>
        </is>
      </c>
      <c r="D231" s="110" t="n"/>
      <c r="E231" s="126" t="inlineStr">
        <is>
          <t>Gross</t>
        </is>
      </c>
      <c r="F231" s="127" t="inlineStr">
        <is>
          <t>Net</t>
        </is>
      </c>
      <c r="G231" s="123" t="n"/>
      <c r="H231" s="90" t="n"/>
      <c r="I231" s="92" t="n"/>
      <c r="J231" s="92" t="n"/>
      <c r="K231" s="92" t="n"/>
      <c r="L231" s="92" t="n"/>
      <c r="M231" s="92" t="n"/>
    </row>
    <row r="232" ht="16.5" customHeight="1">
      <c r="A232" s="124" t="n"/>
      <c r="B232" s="101" t="n"/>
      <c r="C232" s="128" t="n"/>
      <c r="D232" s="129" t="n"/>
      <c r="E232" s="118" t="inlineStr">
        <is>
          <t xml:space="preserve"> ($M)</t>
        </is>
      </c>
      <c r="F232" s="119" t="inlineStr">
        <is>
          <t xml:space="preserve"> ($M)</t>
        </is>
      </c>
      <c r="G232" s="123" t="n"/>
      <c r="H232" s="90" t="n"/>
      <c r="I232" s="92" t="n"/>
      <c r="J232" s="92" t="n"/>
      <c r="K232" s="92" t="n"/>
      <c r="L232" s="92" t="n"/>
      <c r="M232" s="92" t="n"/>
    </row>
    <row r="233" ht="16.5" customHeight="1">
      <c r="A233" s="124" t="n"/>
      <c r="B233" s="101" t="n"/>
      <c r="C233" s="130" t="inlineStr">
        <is>
          <t>Total statutory property catastrophe premium</t>
        </is>
      </c>
      <c r="D233" s="131" t="n"/>
      <c r="E233" s="121" t="n"/>
      <c r="F233" s="132" t="n"/>
      <c r="G233" s="123" t="n"/>
      <c r="H233" s="90" t="n"/>
      <c r="I233" s="92" t="n"/>
      <c r="J233" s="92" t="n"/>
      <c r="K233" s="92" t="n"/>
      <c r="L233" s="92" t="n"/>
      <c r="M233" s="92" t="n"/>
    </row>
    <row r="234" ht="16.5" customHeight="1">
      <c r="A234" s="124" t="n"/>
      <c r="B234" s="101" t="n"/>
      <c r="C234" s="130" t="inlineStr">
        <is>
          <t>Total all other statutory premium</t>
        </is>
      </c>
      <c r="D234" s="131" t="n"/>
      <c r="E234" s="140" t="n"/>
      <c r="F234" s="141" t="n"/>
      <c r="G234" s="123" t="n"/>
      <c r="H234" s="90" t="n"/>
      <c r="I234" s="92" t="n"/>
      <c r="J234" s="92" t="n"/>
      <c r="K234" s="92" t="n"/>
      <c r="L234" s="92" t="n"/>
      <c r="M234" s="92" t="n"/>
    </row>
    <row r="235" ht="16.5" customHeight="1">
      <c r="A235" s="124" t="n"/>
      <c r="B235" s="101" t="n"/>
      <c r="C235" s="130" t="inlineStr">
        <is>
          <t>Total statutory property catastrophe limits</t>
        </is>
      </c>
      <c r="D235" s="131" t="n"/>
      <c r="E235" s="133" t="n"/>
      <c r="F235" s="134" t="n"/>
      <c r="G235" s="123" t="n"/>
      <c r="H235" s="90" t="n"/>
      <c r="I235" s="92" t="n"/>
      <c r="J235" s="92" t="n"/>
      <c r="K235" s="92" t="n"/>
      <c r="L235" s="92" t="n"/>
      <c r="M235" s="92" t="n"/>
    </row>
    <row r="236" ht="17.25" customHeight="1">
      <c r="A236" s="124" t="n"/>
      <c r="B236" s="101" t="n"/>
      <c r="C236" s="135" t="inlineStr">
        <is>
          <t>Total all other statutory limits</t>
        </is>
      </c>
      <c r="D236" s="136" t="n"/>
      <c r="E236" s="137">
        <f>SUMIFS(BSCRInput[sum_pml],BSCRInput[bscr_entity],"HIG",BSCRInput[region],"is_na_eq",BSCRInput[peril_id],1)/1000000</f>
        <v>110.8416481673669</v>
      </c>
      <c r="F236" s="138">
        <f>SUMIFS(BSCRInput[sum_net],BSCRInput[bscr_entity],"HIG",BSCRInput[region],"is_na_eq",BSCRInput[peril_id],1)/1000000</f>
        <v>100.55146684694991</v>
      </c>
      <c r="G236" s="123" t="n"/>
      <c r="H236" s="90" t="n"/>
      <c r="I236" s="92" t="n"/>
      <c r="J236" s="92" t="n"/>
      <c r="K236" s="92" t="n"/>
      <c r="L236" s="92" t="n"/>
      <c r="M236" s="92" t="n"/>
    </row>
    <row r="237" ht="6.75" customHeight="1">
      <c r="A237" s="95" t="n"/>
      <c r="B237" s="101" t="n"/>
      <c r="C237" s="90" t="n"/>
      <c r="D237" s="90" t="n"/>
      <c r="E237" s="90" t="n"/>
      <c r="F237" s="90" t="n"/>
      <c r="G237" s="90" t="n"/>
      <c r="H237" s="90" t="n"/>
      <c r="I237" s="92" t="n"/>
      <c r="J237" s="92" t="n"/>
      <c r="K237" s="92" t="n"/>
      <c r="L237" s="92" t="n"/>
      <c r="M237" s="92" t="n"/>
    </row>
    <row r="238" ht="16.5" customHeight="1">
      <c r="A238" s="95" t="n"/>
      <c r="B238" s="94" t="inlineStr">
        <is>
          <t>c)</t>
        </is>
      </c>
      <c r="C238" s="99" t="inlineStr">
        <is>
          <t>EP CURVE EUROPEAN WINDSTORM</t>
        </is>
      </c>
      <c r="D238" s="90" t="n"/>
      <c r="E238" s="90" t="n"/>
      <c r="F238" s="139" t="n"/>
      <c r="G238" s="90" t="n"/>
      <c r="H238" s="90" t="n"/>
      <c r="I238" s="100" t="n"/>
      <c r="J238" s="92" t="n"/>
      <c r="K238" s="92" t="n"/>
      <c r="L238" s="92" t="n"/>
      <c r="M238" s="92" t="n"/>
    </row>
    <row r="239" ht="6.75" customHeight="1">
      <c r="A239" s="95" t="n"/>
      <c r="B239" s="101" t="n"/>
      <c r="C239" s="90" t="n"/>
      <c r="D239" s="90" t="n"/>
      <c r="E239" s="90" t="n"/>
      <c r="F239" s="90" t="n"/>
      <c r="G239" s="90" t="n"/>
      <c r="H239" s="90" t="n"/>
      <c r="I239" s="92" t="n"/>
      <c r="J239" s="92" t="n"/>
      <c r="K239" s="92" t="n"/>
      <c r="L239" s="92" t="n"/>
      <c r="M239" s="92" t="n"/>
    </row>
    <row r="240" ht="16.5" customHeight="1">
      <c r="A240" s="95" t="n"/>
      <c r="B240" s="101" t="n"/>
      <c r="C240" s="90" t="inlineStr">
        <is>
          <t>Which model(s) is used for  EP Curve European windstorm</t>
        </is>
      </c>
      <c r="D240" s="90" t="n"/>
      <c r="E240" s="90" t="n"/>
      <c r="F240" s="102" t="n"/>
      <c r="G240" s="90" t="n"/>
      <c r="H240" s="90" t="n"/>
      <c r="I240" s="92" t="n"/>
      <c r="J240" s="103" t="n"/>
      <c r="K240" s="92" t="n"/>
      <c r="L240" s="92" t="n"/>
      <c r="M240" s="92" t="n"/>
    </row>
    <row r="241" ht="16.5" customHeight="1">
      <c r="A241" s="95" t="n"/>
      <c r="B241" s="101" t="n"/>
      <c r="C241" s="90" t="inlineStr">
        <is>
          <t>Indicate the model version</t>
        </is>
      </c>
      <c r="D241" s="90" t="n"/>
      <c r="E241" s="90" t="n"/>
      <c r="F241" s="104" t="n"/>
      <c r="G241" s="90" t="n"/>
      <c r="H241" s="90" t="n"/>
      <c r="I241" s="92" t="n"/>
      <c r="J241" s="103" t="n"/>
      <c r="K241" s="92" t="n"/>
      <c r="L241" s="92" t="n"/>
      <c r="M241" s="92" t="n"/>
    </row>
    <row r="242" ht="6.75" customHeight="1">
      <c r="A242" s="95" t="n"/>
      <c r="B242" s="101" t="n"/>
      <c r="C242" s="90" t="n"/>
      <c r="D242" s="90" t="n"/>
      <c r="E242" s="90" t="n"/>
      <c r="F242" s="90" t="n"/>
      <c r="G242" s="90" t="n"/>
      <c r="H242" s="90" t="n"/>
      <c r="I242" s="92" t="n"/>
      <c r="J242" s="92" t="n"/>
      <c r="K242" s="92" t="n"/>
      <c r="L242" s="92" t="n"/>
      <c r="M242" s="92" t="n"/>
    </row>
    <row r="243" ht="17.25" customHeight="1">
      <c r="A243" s="95" t="n"/>
      <c r="B243" s="101" t="n"/>
      <c r="C243" s="107" t="inlineStr">
        <is>
          <t>Exceedance probability information:</t>
        </is>
      </c>
      <c r="D243" s="107" t="n"/>
      <c r="E243" s="90" t="n"/>
      <c r="F243" s="90" t="n"/>
      <c r="G243" s="90" t="n"/>
      <c r="H243" s="90" t="n"/>
      <c r="I243" s="92" t="n"/>
      <c r="J243" s="92" t="n"/>
      <c r="K243" s="92" t="n"/>
      <c r="L243" s="92" t="n"/>
      <c r="M243" s="92" t="n"/>
    </row>
    <row r="244" ht="16.5" customHeight="1">
      <c r="A244" s="95" t="n"/>
      <c r="B244" s="101" t="n"/>
      <c r="C244" s="108" t="n"/>
      <c r="D244" s="109" t="inlineStr">
        <is>
          <t xml:space="preserve"> Gross loss</t>
        </is>
      </c>
      <c r="E244" s="110" t="n"/>
      <c r="F244" s="111" t="inlineStr">
        <is>
          <t xml:space="preserve"> Net loss</t>
        </is>
      </c>
      <c r="G244" s="112" t="n"/>
      <c r="H244" s="90" t="n"/>
      <c r="I244" s="92" t="n"/>
      <c r="J244" s="92" t="n"/>
      <c r="K244" s="92" t="n"/>
      <c r="L244" s="92" t="n"/>
      <c r="M244" s="92" t="n"/>
    </row>
    <row r="245" ht="33" customHeight="1">
      <c r="A245" s="95" t="n"/>
      <c r="B245" s="101" t="n"/>
      <c r="C245" s="113" t="inlineStr">
        <is>
          <t>Loss Return period (years)</t>
        </is>
      </c>
      <c r="D245" s="114" t="inlineStr">
        <is>
          <t>Gross per occurrence loss TVaR</t>
        </is>
      </c>
      <c r="E245" s="115" t="inlineStr">
        <is>
          <t xml:space="preserve">Gross aggregate 
TVaR </t>
        </is>
      </c>
      <c r="F245" s="115" t="inlineStr">
        <is>
          <t>Net per occurrence loss TVaR</t>
        </is>
      </c>
      <c r="G245" s="116" t="inlineStr">
        <is>
          <t>Net aggregate
TVaR</t>
        </is>
      </c>
      <c r="H245" s="90" t="n"/>
      <c r="I245" s="92" t="n"/>
      <c r="J245" s="92" t="n"/>
      <c r="K245" s="92" t="n"/>
      <c r="L245" s="92" t="n"/>
      <c r="M245" s="92" t="n"/>
    </row>
    <row r="246" ht="16.5" customHeight="1">
      <c r="A246" s="95" t="n"/>
      <c r="B246" s="101" t="n"/>
      <c r="C246" s="117" t="n"/>
      <c r="D246" s="118" t="inlineStr">
        <is>
          <t xml:space="preserve"> ($M)</t>
        </is>
      </c>
      <c r="E246" s="118" t="inlineStr">
        <is>
          <t>($M)</t>
        </is>
      </c>
      <c r="F246" s="118" t="inlineStr">
        <is>
          <t>($M)</t>
        </is>
      </c>
      <c r="G246" s="119" t="inlineStr">
        <is>
          <t xml:space="preserve"> ($M)</t>
        </is>
      </c>
      <c r="H246" s="90" t="n"/>
      <c r="I246" s="92" t="n"/>
      <c r="J246" s="92" t="n"/>
      <c r="K246" s="92" t="n"/>
      <c r="L246" s="92" t="n"/>
      <c r="M246" s="92" t="n"/>
    </row>
    <row r="247" ht="16.5" customHeight="1">
      <c r="A247" s="95" t="n"/>
      <c r="B247" s="101" t="n"/>
      <c r="C247" s="120" t="n">
        <v>50</v>
      </c>
      <c r="D247" s="121" t="n"/>
      <c r="E247" s="121" t="n"/>
      <c r="F247" s="121" t="n"/>
      <c r="G247" s="121" t="n"/>
      <c r="H247" s="90" t="n"/>
      <c r="I247" s="92" t="n"/>
      <c r="J247" s="92" t="n"/>
      <c r="K247" s="92" t="n"/>
      <c r="L247" s="92" t="n"/>
      <c r="M247" s="92" t="n"/>
    </row>
    <row r="248" ht="16.5" customHeight="1">
      <c r="A248" s="95" t="n"/>
      <c r="B248" s="101" t="n"/>
      <c r="C248" s="120" t="n">
        <v>100</v>
      </c>
      <c r="D248" s="121" t="n"/>
      <c r="E248" s="121" t="n"/>
      <c r="F248" s="121" t="n"/>
      <c r="G248" s="121" t="n"/>
      <c r="H248" s="90" t="n"/>
      <c r="I248" s="92" t="n"/>
      <c r="J248" s="92" t="n"/>
      <c r="K248" s="92" t="n"/>
      <c r="L248" s="92" t="n"/>
      <c r="M248" s="92" t="n"/>
    </row>
    <row r="249" ht="16.5" customHeight="1">
      <c r="A249" s="95" t="n"/>
      <c r="B249" s="101" t="n"/>
      <c r="C249" s="120" t="n">
        <v>250</v>
      </c>
      <c r="D249" s="121" t="n"/>
      <c r="E249" s="121" t="n"/>
      <c r="F249" s="121" t="n"/>
      <c r="G249" s="121" t="n"/>
      <c r="H249" s="90" t="n"/>
      <c r="I249" s="92" t="n"/>
      <c r="J249" s="92" t="n"/>
      <c r="K249" s="92" t="n"/>
      <c r="L249" s="92" t="n"/>
      <c r="M249" s="92" t="n"/>
    </row>
    <row r="250" ht="16.5" customHeight="1">
      <c r="A250" s="95" t="n"/>
      <c r="B250" s="101" t="n"/>
      <c r="C250" s="120" t="n">
        <v>500</v>
      </c>
      <c r="D250" s="121" t="n"/>
      <c r="E250" s="121" t="n"/>
      <c r="F250" s="121" t="n"/>
      <c r="G250" s="121" t="n"/>
      <c r="H250" s="90" t="n"/>
      <c r="I250" s="92" t="n"/>
      <c r="J250" s="92" t="n"/>
      <c r="K250" s="92" t="n"/>
      <c r="L250" s="92" t="n"/>
      <c r="M250" s="92" t="n"/>
    </row>
    <row r="251" ht="17.25" customHeight="1">
      <c r="A251" s="95" t="n"/>
      <c r="B251" s="101" t="n"/>
      <c r="C251" s="122" t="n">
        <v>1000</v>
      </c>
      <c r="D251" s="121" t="n"/>
      <c r="E251" s="121" t="n"/>
      <c r="F251" s="121" t="n"/>
      <c r="G251" s="121" t="n"/>
      <c r="H251" s="90" t="n"/>
      <c r="I251" s="92" t="n"/>
      <c r="J251" s="92" t="n"/>
      <c r="K251" s="92" t="n"/>
      <c r="L251" s="92" t="n"/>
      <c r="M251" s="92" t="n"/>
    </row>
    <row r="252" ht="6.75" customHeight="1">
      <c r="A252" s="95" t="n"/>
      <c r="B252" s="101" t="n"/>
      <c r="C252" s="90" t="n"/>
      <c r="D252" s="123" t="n"/>
      <c r="E252" s="123" t="n"/>
      <c r="F252" s="123" t="n"/>
      <c r="G252" s="123" t="n"/>
      <c r="H252" s="90" t="n"/>
      <c r="I252" s="92" t="n"/>
      <c r="J252" s="92" t="n"/>
      <c r="K252" s="92" t="n"/>
      <c r="L252" s="92" t="n"/>
      <c r="M252" s="92" t="n"/>
    </row>
    <row r="253" ht="27.2" customHeight="1">
      <c r="A253" s="124" t="n"/>
      <c r="B253" s="101" t="n"/>
      <c r="C253" s="125" t="inlineStr">
        <is>
          <t>Exposure to European Windstorm</t>
        </is>
      </c>
      <c r="D253" s="110" t="n"/>
      <c r="E253" s="126" t="inlineStr">
        <is>
          <t>Gross</t>
        </is>
      </c>
      <c r="F253" s="127" t="inlineStr">
        <is>
          <t>Net</t>
        </is>
      </c>
      <c r="G253" s="123" t="n"/>
      <c r="H253" s="90" t="n"/>
      <c r="I253" s="92" t="n"/>
      <c r="J253" s="92" t="n"/>
      <c r="K253" s="92" t="n"/>
      <c r="L253" s="92" t="n"/>
      <c r="M253" s="92" t="n"/>
    </row>
    <row r="254" ht="16.5" customHeight="1">
      <c r="A254" s="124" t="n"/>
      <c r="B254" s="101" t="n"/>
      <c r="C254" s="128" t="n"/>
      <c r="D254" s="129" t="n"/>
      <c r="E254" s="118" t="inlineStr">
        <is>
          <t xml:space="preserve"> ($M)</t>
        </is>
      </c>
      <c r="F254" s="119" t="inlineStr">
        <is>
          <t xml:space="preserve"> ($M)</t>
        </is>
      </c>
      <c r="G254" s="123" t="n"/>
      <c r="H254" s="90" t="n"/>
      <c r="I254" s="92" t="n"/>
      <c r="J254" s="92" t="n"/>
      <c r="K254" s="92" t="n"/>
      <c r="L254" s="92" t="n"/>
      <c r="M254" s="92" t="n"/>
    </row>
    <row r="255" ht="16.5" customHeight="1">
      <c r="A255" s="124" t="n"/>
      <c r="B255" s="101" t="n"/>
      <c r="C255" s="130" t="inlineStr">
        <is>
          <t>Total statutory property catastrophe premium</t>
        </is>
      </c>
      <c r="D255" s="131" t="n"/>
      <c r="E255" s="121" t="n"/>
      <c r="F255" s="132" t="n"/>
      <c r="G255" s="123" t="n"/>
      <c r="H255" s="90" t="n"/>
      <c r="I255" s="92" t="n"/>
      <c r="J255" s="92" t="n"/>
      <c r="K255" s="92" t="n"/>
      <c r="L255" s="92" t="n"/>
      <c r="M255" s="92" t="n"/>
    </row>
    <row r="256" ht="16.5" customHeight="1">
      <c r="A256" s="124" t="n"/>
      <c r="B256" s="101" t="n"/>
      <c r="C256" s="130" t="inlineStr">
        <is>
          <t>Total all other statutory premium</t>
        </is>
      </c>
      <c r="D256" s="131" t="n"/>
      <c r="E256" s="140" t="n"/>
      <c r="F256" s="141" t="n"/>
      <c r="G256" s="123" t="n"/>
      <c r="H256" s="90" t="n"/>
      <c r="I256" s="92" t="n"/>
      <c r="J256" s="92" t="n"/>
      <c r="K256" s="92" t="n"/>
      <c r="L256" s="92" t="n"/>
      <c r="M256" s="92" t="n"/>
    </row>
    <row r="257" ht="16.5" customHeight="1">
      <c r="A257" s="124" t="n"/>
      <c r="B257" s="101" t="n"/>
      <c r="C257" s="130" t="inlineStr">
        <is>
          <t>Total statutory property catastrophe limits</t>
        </is>
      </c>
      <c r="D257" s="131" t="n"/>
      <c r="E257" s="133" t="n"/>
      <c r="F257" s="134" t="n"/>
      <c r="G257" s="123" t="n"/>
      <c r="H257" s="90" t="n"/>
      <c r="I257" s="92" t="n"/>
      <c r="J257" s="92" t="n"/>
      <c r="K257" s="92" t="n"/>
      <c r="L257" s="92" t="n"/>
      <c r="M257" s="92" t="n"/>
    </row>
    <row r="258" ht="17.25" customHeight="1">
      <c r="A258" s="124" t="n"/>
      <c r="B258" s="101" t="n"/>
      <c r="C258" s="135" t="inlineStr">
        <is>
          <t>Total all other statutory limits</t>
        </is>
      </c>
      <c r="D258" s="136" t="n"/>
      <c r="E258" s="137">
        <f>SUMIFS(BSCRInput[sum_pml],BSCRInput[bscr_entity],"HIG",BSCRInput[region],"is_eu",BSCRInput[peril_id],2)/1000000</f>
        <v>3862.019225651662</v>
      </c>
      <c r="F258" s="138">
        <f>SUMIFS(BSCRInput[sum_net],BSCRInput[bscr_entity],"HIG",BSCRInput[region],"is_eu",BSCRInput[peril_id],2)/1000000</f>
        <v>2962.1692970360073</v>
      </c>
      <c r="G258" s="123" t="n"/>
      <c r="H258" s="90" t="n"/>
      <c r="I258" s="92" t="n"/>
      <c r="J258" s="92" t="n"/>
      <c r="K258" s="92" t="n"/>
      <c r="L258" s="92" t="n"/>
      <c r="M258" s="92" t="n"/>
    </row>
    <row r="259" ht="6.75" customHeight="1">
      <c r="A259" s="95" t="n"/>
      <c r="B259" s="101" t="n"/>
      <c r="C259" s="90" t="n"/>
      <c r="D259" s="90" t="n"/>
      <c r="E259" s="90" t="n"/>
      <c r="F259" s="90" t="n"/>
      <c r="G259" s="90" t="n"/>
      <c r="H259" s="90" t="n"/>
      <c r="I259" s="92" t="n"/>
      <c r="J259" s="92" t="n"/>
      <c r="K259" s="92" t="n"/>
      <c r="L259" s="92" t="n"/>
      <c r="M259" s="92" t="n"/>
    </row>
    <row r="260" ht="16.5" customHeight="1">
      <c r="A260" s="95" t="n"/>
      <c r="B260" s="94" t="inlineStr">
        <is>
          <t>d)</t>
        </is>
      </c>
      <c r="C260" s="99" t="inlineStr">
        <is>
          <t>EP CURVE JAPANESE EARTH QUAKE</t>
        </is>
      </c>
      <c r="D260" s="90" t="n"/>
      <c r="E260" s="90" t="n"/>
      <c r="F260" s="139" t="n"/>
      <c r="G260" s="90" t="n"/>
      <c r="H260" s="90" t="n"/>
      <c r="I260" s="100" t="n"/>
      <c r="J260" s="92" t="n"/>
      <c r="K260" s="92" t="n"/>
      <c r="L260" s="92" t="n"/>
      <c r="M260" s="92" t="n"/>
    </row>
    <row r="261" ht="6.75" customHeight="1">
      <c r="A261" s="95" t="n"/>
      <c r="B261" s="101" t="n"/>
      <c r="C261" s="90" t="n"/>
      <c r="D261" s="90" t="n"/>
      <c r="E261" s="90" t="n"/>
      <c r="F261" s="90" t="n"/>
      <c r="G261" s="90" t="n"/>
      <c r="H261" s="90" t="n"/>
      <c r="I261" s="92" t="n"/>
      <c r="J261" s="92" t="n"/>
      <c r="K261" s="92" t="n"/>
      <c r="L261" s="92" t="n"/>
      <c r="M261" s="92" t="n"/>
    </row>
    <row r="262" ht="16.5" customHeight="1">
      <c r="A262" s="95" t="n"/>
      <c r="B262" s="101" t="n"/>
      <c r="C262" s="90" t="inlineStr">
        <is>
          <t>Which model(s) is used for  EP Curve Japanese earthquake</t>
        </is>
      </c>
      <c r="D262" s="90" t="n"/>
      <c r="E262" s="90" t="n"/>
      <c r="F262" s="102" t="n"/>
      <c r="G262" s="90" t="n"/>
      <c r="H262" s="90" t="n"/>
      <c r="I262" s="92" t="n"/>
      <c r="J262" s="103" t="n"/>
      <c r="K262" s="92" t="n"/>
      <c r="L262" s="92" t="n"/>
      <c r="M262" s="92" t="n"/>
    </row>
    <row r="263" ht="16.5" customHeight="1">
      <c r="A263" s="95" t="n"/>
      <c r="B263" s="101" t="n"/>
      <c r="C263" s="95" t="inlineStr">
        <is>
          <t>Indicate the model version</t>
        </is>
      </c>
      <c r="D263" s="90" t="n"/>
      <c r="E263" s="90" t="n"/>
      <c r="F263" s="104" t="n"/>
      <c r="G263" s="90" t="n"/>
      <c r="H263" s="90" t="n"/>
      <c r="I263" s="92" t="n"/>
      <c r="J263" s="103" t="n"/>
      <c r="K263" s="92" t="n"/>
      <c r="L263" s="92" t="n"/>
      <c r="M263" s="92" t="n"/>
    </row>
    <row r="264" ht="6.75" customHeight="1">
      <c r="A264" s="95" t="n"/>
      <c r="B264" s="101" t="n"/>
      <c r="C264" s="90" t="n"/>
      <c r="D264" s="90" t="n"/>
      <c r="E264" s="90" t="n"/>
      <c r="F264" s="90" t="n"/>
      <c r="G264" s="90" t="n"/>
      <c r="H264" s="90" t="n"/>
      <c r="I264" s="92" t="n"/>
      <c r="J264" s="92" t="n"/>
      <c r="K264" s="92" t="n"/>
      <c r="L264" s="92" t="n"/>
      <c r="M264" s="92" t="n"/>
    </row>
    <row r="265" ht="17.25" customHeight="1">
      <c r="A265" s="95" t="n"/>
      <c r="B265" s="101" t="n"/>
      <c r="C265" s="107" t="inlineStr">
        <is>
          <t>Exceedance probability information:</t>
        </is>
      </c>
      <c r="D265" s="107" t="n"/>
      <c r="E265" s="90" t="n"/>
      <c r="F265" s="90" t="n"/>
      <c r="G265" s="90" t="n"/>
      <c r="H265" s="90" t="n"/>
      <c r="I265" s="92" t="n"/>
      <c r="J265" s="92" t="n"/>
      <c r="K265" s="92" t="n"/>
      <c r="L265" s="92" t="n"/>
      <c r="M265" s="92" t="n"/>
    </row>
    <row r="266" ht="16.5" customHeight="1">
      <c r="A266" s="95" t="n"/>
      <c r="B266" s="101" t="n"/>
      <c r="C266" s="108" t="n"/>
      <c r="D266" s="109" t="inlineStr">
        <is>
          <t xml:space="preserve"> Gross loss</t>
        </is>
      </c>
      <c r="E266" s="110" t="n"/>
      <c r="F266" s="111" t="inlineStr">
        <is>
          <t xml:space="preserve"> Net loss</t>
        </is>
      </c>
      <c r="G266" s="112" t="n"/>
      <c r="H266" s="90" t="n"/>
      <c r="I266" s="92" t="n"/>
      <c r="J266" s="92" t="n"/>
      <c r="K266" s="92" t="n"/>
      <c r="L266" s="92" t="n"/>
      <c r="M266" s="92" t="n"/>
    </row>
    <row r="267" ht="33" customHeight="1">
      <c r="A267" s="95" t="n"/>
      <c r="B267" s="101" t="n"/>
      <c r="C267" s="113" t="inlineStr">
        <is>
          <t>Loss Return period (years)</t>
        </is>
      </c>
      <c r="D267" s="114" t="inlineStr">
        <is>
          <t>Gross per occurrence loss TVaR</t>
        </is>
      </c>
      <c r="E267" s="115" t="inlineStr">
        <is>
          <t xml:space="preserve">Gross aggregate 
TVaR </t>
        </is>
      </c>
      <c r="F267" s="115" t="inlineStr">
        <is>
          <t>Net per occurrence loss TVaR</t>
        </is>
      </c>
      <c r="G267" s="116" t="inlineStr">
        <is>
          <t>Net aggregate
TVaR</t>
        </is>
      </c>
      <c r="H267" s="90" t="n"/>
      <c r="I267" s="92" t="n"/>
      <c r="J267" s="92" t="n"/>
      <c r="K267" s="92" t="n"/>
      <c r="L267" s="92" t="n"/>
      <c r="M267" s="92" t="n"/>
    </row>
    <row r="268" ht="16.5" customHeight="1">
      <c r="A268" s="95" t="n"/>
      <c r="B268" s="101" t="n"/>
      <c r="C268" s="117" t="n"/>
      <c r="D268" s="118" t="inlineStr">
        <is>
          <t xml:space="preserve"> ($M)</t>
        </is>
      </c>
      <c r="E268" s="118" t="inlineStr">
        <is>
          <t>($M)</t>
        </is>
      </c>
      <c r="F268" s="118" t="inlineStr">
        <is>
          <t>($M)</t>
        </is>
      </c>
      <c r="G268" s="119" t="inlineStr">
        <is>
          <t xml:space="preserve"> ($M)</t>
        </is>
      </c>
      <c r="H268" s="90" t="n"/>
      <c r="I268" s="92" t="n"/>
      <c r="J268" s="92" t="n"/>
      <c r="K268" s="92" t="n"/>
      <c r="L268" s="92" t="n"/>
      <c r="M268" s="92" t="n"/>
    </row>
    <row r="269" ht="16.5" customHeight="1">
      <c r="A269" s="95" t="n"/>
      <c r="B269" s="101" t="n"/>
      <c r="C269" s="120" t="n">
        <v>50</v>
      </c>
      <c r="D269" s="121" t="n"/>
      <c r="E269" s="121" t="n"/>
      <c r="F269" s="121" t="n"/>
      <c r="G269" s="121" t="n"/>
      <c r="H269" s="90" t="n"/>
      <c r="I269" s="92" t="n"/>
      <c r="J269" s="92" t="n"/>
      <c r="K269" s="92" t="n"/>
      <c r="L269" s="92" t="n"/>
      <c r="M269" s="92" t="n"/>
    </row>
    <row r="270" ht="16.5" customHeight="1">
      <c r="A270" s="95" t="n"/>
      <c r="B270" s="101" t="n"/>
      <c r="C270" s="120" t="n">
        <v>100</v>
      </c>
      <c r="D270" s="121" t="n"/>
      <c r="E270" s="121" t="n"/>
      <c r="F270" s="121" t="n"/>
      <c r="G270" s="121" t="n"/>
      <c r="H270" s="90" t="n"/>
      <c r="I270" s="92" t="n"/>
      <c r="J270" s="92" t="n"/>
      <c r="K270" s="92" t="n"/>
      <c r="L270" s="92" t="n"/>
      <c r="M270" s="92" t="n"/>
    </row>
    <row r="271" ht="16.5" customHeight="1">
      <c r="A271" s="95" t="n"/>
      <c r="B271" s="101" t="n"/>
      <c r="C271" s="120" t="n">
        <v>250</v>
      </c>
      <c r="D271" s="121" t="n"/>
      <c r="E271" s="121" t="n"/>
      <c r="F271" s="121" t="n"/>
      <c r="G271" s="121" t="n"/>
      <c r="H271" s="90" t="n"/>
      <c r="I271" s="92" t="n"/>
      <c r="J271" s="92" t="n"/>
      <c r="K271" s="92" t="n"/>
      <c r="L271" s="92" t="n"/>
      <c r="M271" s="92" t="n"/>
    </row>
    <row r="272" ht="16.5" customHeight="1">
      <c r="A272" s="95" t="n"/>
      <c r="B272" s="101" t="n"/>
      <c r="C272" s="120" t="n">
        <v>500</v>
      </c>
      <c r="D272" s="121" t="n"/>
      <c r="E272" s="121" t="n"/>
      <c r="F272" s="121" t="n"/>
      <c r="G272" s="121" t="n"/>
      <c r="H272" s="90" t="n"/>
      <c r="I272" s="92" t="n"/>
      <c r="J272" s="92" t="n"/>
      <c r="K272" s="92" t="n"/>
      <c r="L272" s="92" t="n"/>
      <c r="M272" s="92" t="n"/>
    </row>
    <row r="273" ht="17.25" customHeight="1">
      <c r="A273" s="95" t="n"/>
      <c r="B273" s="101" t="n"/>
      <c r="C273" s="122" t="n">
        <v>1000</v>
      </c>
      <c r="D273" s="121" t="n"/>
      <c r="E273" s="121" t="n"/>
      <c r="F273" s="121" t="n"/>
      <c r="G273" s="121" t="n"/>
      <c r="H273" s="90" t="n"/>
      <c r="I273" s="92" t="n"/>
      <c r="J273" s="92" t="n"/>
      <c r="K273" s="92" t="n"/>
      <c r="L273" s="92" t="n"/>
      <c r="M273" s="92" t="n"/>
    </row>
    <row r="274" ht="6.75" customHeight="1">
      <c r="A274" s="95" t="n"/>
      <c r="B274" s="101" t="n"/>
      <c r="C274" s="90" t="n"/>
      <c r="D274" s="123" t="n"/>
      <c r="E274" s="123" t="n"/>
      <c r="F274" s="123" t="n"/>
      <c r="G274" s="123" t="n"/>
      <c r="H274" s="90" t="n"/>
      <c r="I274" s="92" t="n"/>
      <c r="J274" s="92" t="n"/>
      <c r="K274" s="92" t="n"/>
      <c r="L274" s="92" t="n"/>
      <c r="M274" s="92" t="n"/>
    </row>
    <row r="275" ht="27.2" customHeight="1">
      <c r="A275" s="124" t="n"/>
      <c r="B275" s="101" t="n"/>
      <c r="C275" s="125" t="inlineStr">
        <is>
          <t>Exposure to Japanese Earthquake</t>
        </is>
      </c>
      <c r="D275" s="110" t="n"/>
      <c r="E275" s="126" t="inlineStr">
        <is>
          <t>Gross</t>
        </is>
      </c>
      <c r="F275" s="127" t="inlineStr">
        <is>
          <t>Net</t>
        </is>
      </c>
      <c r="G275" s="123" t="n"/>
      <c r="H275" s="90" t="n"/>
      <c r="I275" s="92" t="n"/>
      <c r="J275" s="92" t="n"/>
      <c r="K275" s="92" t="n"/>
      <c r="L275" s="92" t="n"/>
      <c r="M275" s="92" t="n"/>
    </row>
    <row r="276" ht="16.5" customHeight="1">
      <c r="A276" s="124" t="n"/>
      <c r="B276" s="101" t="n"/>
      <c r="C276" s="128" t="n"/>
      <c r="D276" s="129" t="n"/>
      <c r="E276" s="118" t="inlineStr">
        <is>
          <t xml:space="preserve"> ($M)</t>
        </is>
      </c>
      <c r="F276" s="119" t="inlineStr">
        <is>
          <t xml:space="preserve"> ($M)</t>
        </is>
      </c>
      <c r="G276" s="123" t="n"/>
      <c r="H276" s="90" t="n"/>
      <c r="I276" s="92" t="n"/>
      <c r="J276" s="92" t="n"/>
      <c r="K276" s="92" t="n"/>
      <c r="L276" s="92" t="n"/>
      <c r="M276" s="92" t="n"/>
    </row>
    <row r="277" ht="16.5" customHeight="1">
      <c r="A277" s="124" t="n"/>
      <c r="B277" s="101" t="n"/>
      <c r="C277" s="130" t="inlineStr">
        <is>
          <t>Total statutory property catastrophe premium</t>
        </is>
      </c>
      <c r="D277" s="131" t="n"/>
      <c r="E277" s="121" t="n"/>
      <c r="F277" s="132" t="n"/>
      <c r="G277" s="123" t="n"/>
      <c r="H277" s="90" t="n"/>
      <c r="I277" s="92" t="n"/>
      <c r="J277" s="92" t="n"/>
      <c r="K277" s="92" t="n"/>
      <c r="L277" s="92" t="n"/>
      <c r="M277" s="92" t="n"/>
    </row>
    <row r="278" ht="16.5" customHeight="1">
      <c r="A278" s="124" t="n"/>
      <c r="B278" s="101" t="n"/>
      <c r="C278" s="130" t="inlineStr">
        <is>
          <t>Total all other statutory premium</t>
        </is>
      </c>
      <c r="D278" s="131" t="n"/>
      <c r="E278" s="140" t="n"/>
      <c r="F278" s="141" t="n"/>
      <c r="G278" s="123" t="n"/>
      <c r="H278" s="90" t="n"/>
      <c r="I278" s="92" t="n"/>
      <c r="J278" s="92" t="n"/>
      <c r="K278" s="92" t="n"/>
      <c r="L278" s="92" t="n"/>
      <c r="M278" s="92" t="n"/>
    </row>
    <row r="279" ht="16.5" customHeight="1">
      <c r="A279" s="124" t="n"/>
      <c r="B279" s="101" t="n"/>
      <c r="C279" s="130" t="inlineStr">
        <is>
          <t>Total statutory property catastrophe limits</t>
        </is>
      </c>
      <c r="D279" s="131" t="n"/>
      <c r="E279" s="133" t="n"/>
      <c r="F279" s="134" t="n"/>
      <c r="G279" s="123" t="n"/>
      <c r="H279" s="90" t="n"/>
      <c r="I279" s="92" t="n"/>
      <c r="J279" s="92" t="n"/>
      <c r="K279" s="92" t="n"/>
      <c r="L279" s="92" t="n"/>
      <c r="M279" s="92" t="n"/>
    </row>
    <row r="280" ht="17.25" customHeight="1">
      <c r="A280" s="124" t="n"/>
      <c r="B280" s="101" t="n"/>
      <c r="C280" s="135" t="inlineStr">
        <is>
          <t>Total all other statutory limits</t>
        </is>
      </c>
      <c r="D280" s="136" t="n"/>
      <c r="E280" s="137">
        <f>SUMIFS(BSCRInput[sum_pml],BSCRInput[bscr_entity],"HIG",BSCRInput[region],"is_jp_eq",BSCRInput[peril_id],1)/1000000</f>
        <v>247.75931301614065</v>
      </c>
      <c r="F280" s="138">
        <f>SUMIFS(BSCRInput[sum_net],BSCRInput[bscr_entity],"HIG",BSCRInput[region],"is_jp_eq",BSCRInput[peril_id],1)/1000000</f>
        <v>144.49731873975256</v>
      </c>
      <c r="G280" s="123" t="n"/>
      <c r="H280" s="90" t="n"/>
      <c r="I280" s="92" t="n"/>
      <c r="J280" s="92" t="n"/>
      <c r="K280" s="92" t="n"/>
      <c r="L280" s="92" t="n"/>
      <c r="M280" s="92" t="n"/>
    </row>
    <row r="281" ht="6.75" customHeight="1">
      <c r="A281" s="95" t="n"/>
      <c r="B281" s="101" t="n"/>
      <c r="C281" s="90" t="n"/>
      <c r="D281" s="90" t="n"/>
      <c r="E281" s="90" t="n"/>
      <c r="F281" s="90" t="n"/>
      <c r="G281" s="90" t="n"/>
      <c r="H281" s="90" t="n"/>
      <c r="I281" s="92" t="n"/>
      <c r="J281" s="92" t="n"/>
      <c r="K281" s="92" t="n"/>
      <c r="L281" s="92" t="n"/>
      <c r="M281" s="92" t="n"/>
    </row>
    <row r="282" ht="16.5" customHeight="1">
      <c r="A282" s="95" t="n"/>
      <c r="B282" s="94" t="inlineStr">
        <is>
          <t>e)</t>
        </is>
      </c>
      <c r="C282" s="99" t="inlineStr">
        <is>
          <t>EP CURVE JAPANESE TYPHOON</t>
        </is>
      </c>
      <c r="D282" s="90" t="n"/>
      <c r="E282" s="90" t="n"/>
      <c r="F282" s="139" t="n"/>
      <c r="G282" s="90" t="n"/>
      <c r="H282" s="90" t="n"/>
      <c r="I282" s="100" t="n"/>
      <c r="J282" s="92" t="n"/>
      <c r="K282" s="92" t="n"/>
      <c r="L282" s="92" t="n"/>
      <c r="M282" s="92" t="n"/>
    </row>
    <row r="283" ht="6.75" customHeight="1">
      <c r="A283" s="95" t="n"/>
      <c r="B283" s="101" t="n"/>
      <c r="C283" s="90" t="n"/>
      <c r="D283" s="90" t="n"/>
      <c r="E283" s="90" t="n"/>
      <c r="F283" s="90" t="n"/>
      <c r="G283" s="90" t="n"/>
      <c r="H283" s="90" t="n"/>
      <c r="I283" s="92" t="n"/>
      <c r="J283" s="92" t="n"/>
      <c r="K283" s="92" t="n"/>
      <c r="L283" s="92" t="n"/>
      <c r="M283" s="92" t="n"/>
    </row>
    <row r="284" ht="16.5" customHeight="1">
      <c r="A284" s="95" t="n"/>
      <c r="B284" s="101" t="n"/>
      <c r="C284" s="90" t="inlineStr">
        <is>
          <t xml:space="preserve">Which model(s) is used for  EP Curve Japanese typhoon </t>
        </is>
      </c>
      <c r="D284" s="90" t="n"/>
      <c r="E284" s="90" t="n"/>
      <c r="F284" s="102" t="n"/>
      <c r="G284" s="90" t="n"/>
      <c r="H284" s="90" t="n"/>
      <c r="I284" s="92" t="n"/>
      <c r="J284" s="103" t="n"/>
      <c r="K284" s="92" t="n"/>
      <c r="L284" s="92" t="n"/>
      <c r="M284" s="92" t="n"/>
    </row>
    <row r="285" ht="16.5" customHeight="1">
      <c r="A285" s="95" t="n"/>
      <c r="B285" s="101" t="n"/>
      <c r="C285" s="95" t="inlineStr">
        <is>
          <t>Indicate the model version</t>
        </is>
      </c>
      <c r="D285" s="90" t="n"/>
      <c r="E285" s="90" t="n"/>
      <c r="F285" s="104" t="n"/>
      <c r="G285" s="90" t="n"/>
      <c r="H285" s="90" t="n"/>
      <c r="I285" s="92" t="n"/>
      <c r="J285" s="103" t="n"/>
      <c r="K285" s="92" t="n"/>
      <c r="L285" s="92" t="n"/>
      <c r="M285" s="92" t="n"/>
    </row>
    <row r="286" ht="6.75" customHeight="1">
      <c r="A286" s="95" t="n"/>
      <c r="B286" s="101" t="n"/>
      <c r="C286" s="90" t="n"/>
      <c r="D286" s="90" t="n"/>
      <c r="E286" s="90" t="n"/>
      <c r="F286" s="90" t="n"/>
      <c r="G286" s="90" t="n"/>
      <c r="H286" s="90" t="n"/>
      <c r="I286" s="92" t="n"/>
      <c r="J286" s="92" t="n"/>
      <c r="K286" s="92" t="n"/>
      <c r="L286" s="92" t="n"/>
      <c r="M286" s="92" t="n"/>
    </row>
    <row r="287" ht="17.25" customHeight="1">
      <c r="A287" s="95" t="n"/>
      <c r="B287" s="101" t="n"/>
      <c r="C287" s="107" t="inlineStr">
        <is>
          <t>Exceedance probability information:</t>
        </is>
      </c>
      <c r="D287" s="107" t="n"/>
      <c r="E287" s="90" t="n"/>
      <c r="F287" s="90" t="n"/>
      <c r="G287" s="90" t="n"/>
      <c r="H287" s="90" t="n"/>
      <c r="I287" s="92" t="n"/>
      <c r="J287" s="92" t="n"/>
      <c r="K287" s="92" t="n"/>
      <c r="L287" s="92" t="n"/>
      <c r="M287" s="92" t="n"/>
    </row>
    <row r="288" ht="17.25" customHeight="1">
      <c r="A288" s="95" t="n"/>
      <c r="B288" s="101" t="n"/>
      <c r="C288" s="108" t="n"/>
      <c r="D288" s="142" t="inlineStr">
        <is>
          <t xml:space="preserve"> Gross loss</t>
        </is>
      </c>
      <c r="E288" s="143" t="n"/>
      <c r="F288" s="111" t="inlineStr">
        <is>
          <t xml:space="preserve"> Net loss</t>
        </is>
      </c>
      <c r="G288" s="112" t="n"/>
      <c r="H288" s="90" t="n"/>
      <c r="I288" s="92" t="n"/>
      <c r="J288" s="92" t="n"/>
      <c r="K288" s="92" t="n"/>
      <c r="L288" s="92" t="n"/>
      <c r="M288" s="92" t="n"/>
    </row>
    <row r="289" ht="33" customHeight="1">
      <c r="A289" s="95" t="n"/>
      <c r="B289" s="101" t="n"/>
      <c r="C289" s="144" t="inlineStr">
        <is>
          <t>Loss Return period (years)</t>
        </is>
      </c>
      <c r="D289" s="114" t="inlineStr">
        <is>
          <t>Gross per occurrence loss TVaR</t>
        </is>
      </c>
      <c r="E289" s="115" t="inlineStr">
        <is>
          <t xml:space="preserve">Gross aggregate 
TVaR </t>
        </is>
      </c>
      <c r="F289" s="145" t="inlineStr">
        <is>
          <t>Net per occurrence loss TVaR</t>
        </is>
      </c>
      <c r="G289" s="116" t="inlineStr">
        <is>
          <t>Net aggregate
TVaR</t>
        </is>
      </c>
      <c r="H289" s="90" t="n"/>
      <c r="I289" s="92" t="n"/>
      <c r="J289" s="92" t="n"/>
      <c r="K289" s="92" t="n"/>
      <c r="L289" s="92" t="n"/>
      <c r="M289" s="92" t="n"/>
    </row>
    <row r="290" ht="16.5" customHeight="1">
      <c r="A290" s="95" t="n"/>
      <c r="B290" s="101" t="n"/>
      <c r="C290" s="117" t="n"/>
      <c r="D290" s="118" t="inlineStr">
        <is>
          <t xml:space="preserve"> ($M)</t>
        </is>
      </c>
      <c r="E290" s="118" t="inlineStr">
        <is>
          <t>($M)</t>
        </is>
      </c>
      <c r="F290" s="118" t="inlineStr">
        <is>
          <t>($M)</t>
        </is>
      </c>
      <c r="G290" s="119" t="inlineStr">
        <is>
          <t xml:space="preserve"> ($M)</t>
        </is>
      </c>
      <c r="H290" s="90" t="n"/>
      <c r="I290" s="92" t="n"/>
      <c r="J290" s="92" t="n"/>
      <c r="K290" s="92" t="n"/>
      <c r="L290" s="92" t="n"/>
      <c r="M290" s="92" t="n"/>
    </row>
    <row r="291" ht="16.5" customHeight="1">
      <c r="A291" s="95" t="n"/>
      <c r="B291" s="101" t="n"/>
      <c r="C291" s="120" t="n">
        <v>50</v>
      </c>
      <c r="D291" s="121" t="n"/>
      <c r="E291" s="121" t="n"/>
      <c r="F291" s="121" t="n"/>
      <c r="G291" s="121" t="n"/>
      <c r="H291" s="90" t="n"/>
      <c r="I291" s="92" t="n"/>
      <c r="J291" s="92" t="n"/>
      <c r="K291" s="92" t="n"/>
      <c r="L291" s="92" t="n"/>
      <c r="M291" s="92" t="n"/>
    </row>
    <row r="292" ht="16.5" customHeight="1">
      <c r="A292" s="95" t="n"/>
      <c r="B292" s="101" t="n"/>
      <c r="C292" s="120" t="n">
        <v>100</v>
      </c>
      <c r="D292" s="121" t="n"/>
      <c r="E292" s="121" t="n"/>
      <c r="F292" s="121" t="n"/>
      <c r="G292" s="121" t="n"/>
      <c r="H292" s="90" t="n"/>
      <c r="I292" s="92" t="n"/>
      <c r="J292" s="92" t="n"/>
      <c r="K292" s="92" t="n"/>
      <c r="L292" s="92" t="n"/>
      <c r="M292" s="92" t="n"/>
    </row>
    <row r="293" ht="16.5" customHeight="1">
      <c r="A293" s="95" t="n"/>
      <c r="B293" s="101" t="n"/>
      <c r="C293" s="120" t="n">
        <v>250</v>
      </c>
      <c r="D293" s="121" t="n"/>
      <c r="E293" s="121" t="n"/>
      <c r="F293" s="121" t="n"/>
      <c r="G293" s="121" t="n"/>
      <c r="H293" s="90" t="n"/>
      <c r="I293" s="92" t="n"/>
      <c r="J293" s="92" t="n"/>
      <c r="K293" s="92" t="n"/>
      <c r="L293" s="92" t="n"/>
      <c r="M293" s="92" t="n"/>
    </row>
    <row r="294" ht="16.5" customHeight="1">
      <c r="A294" s="95" t="n"/>
      <c r="B294" s="101" t="n"/>
      <c r="C294" s="120" t="n">
        <v>500</v>
      </c>
      <c r="D294" s="121" t="n"/>
      <c r="E294" s="121" t="n"/>
      <c r="F294" s="121" t="n"/>
      <c r="G294" s="121" t="n"/>
      <c r="H294" s="90" t="n"/>
      <c r="I294" s="92" t="n"/>
      <c r="J294" s="92" t="n"/>
      <c r="K294" s="92" t="n"/>
      <c r="L294" s="92" t="n"/>
      <c r="M294" s="92" t="n"/>
    </row>
    <row r="295" ht="17.25" customHeight="1">
      <c r="A295" s="95" t="n"/>
      <c r="B295" s="101" t="n"/>
      <c r="C295" s="122" t="n">
        <v>1000</v>
      </c>
      <c r="D295" s="121" t="n"/>
      <c r="E295" s="121" t="n"/>
      <c r="F295" s="121" t="n"/>
      <c r="G295" s="121" t="n"/>
      <c r="H295" s="90" t="n"/>
      <c r="I295" s="92" t="n"/>
      <c r="J295" s="92" t="n"/>
      <c r="K295" s="92" t="n"/>
      <c r="L295" s="92" t="n"/>
      <c r="M295" s="92" t="n"/>
    </row>
    <row r="296" ht="6.75" customHeight="1">
      <c r="A296" s="95" t="n"/>
      <c r="B296" s="90" t="n"/>
      <c r="C296" s="90" t="n"/>
      <c r="D296" s="123" t="n"/>
      <c r="E296" s="123" t="n"/>
      <c r="F296" s="123" t="n"/>
      <c r="G296" s="123" t="n"/>
      <c r="H296" s="90" t="n"/>
      <c r="I296" s="92" t="n"/>
      <c r="J296" s="92" t="n"/>
      <c r="K296" s="92" t="n"/>
      <c r="L296" s="92" t="n"/>
      <c r="M296" s="92" t="n"/>
    </row>
    <row r="297" ht="27.2" customHeight="1">
      <c r="A297" s="124" t="n"/>
      <c r="B297" s="90" t="n"/>
      <c r="C297" s="125" t="inlineStr">
        <is>
          <t>Exposure to Japanese Typhoon</t>
        </is>
      </c>
      <c r="D297" s="110" t="n"/>
      <c r="E297" s="126" t="inlineStr">
        <is>
          <t>Gross</t>
        </is>
      </c>
      <c r="F297" s="127" t="inlineStr">
        <is>
          <t>Net</t>
        </is>
      </c>
      <c r="G297" s="123" t="n"/>
      <c r="H297" s="90" t="n"/>
      <c r="I297" s="92" t="n"/>
      <c r="J297" s="92" t="n"/>
      <c r="K297" s="92" t="n"/>
      <c r="L297" s="92" t="n"/>
      <c r="M297" s="92" t="n"/>
    </row>
    <row r="298" ht="16.5" customHeight="1">
      <c r="A298" s="124" t="n"/>
      <c r="B298" s="90" t="n"/>
      <c r="C298" s="128" t="n"/>
      <c r="D298" s="129" t="n"/>
      <c r="E298" s="118" t="inlineStr">
        <is>
          <t xml:space="preserve"> ($M)</t>
        </is>
      </c>
      <c r="F298" s="119" t="inlineStr">
        <is>
          <t xml:space="preserve"> ($M)</t>
        </is>
      </c>
      <c r="G298" s="123" t="n"/>
      <c r="H298" s="90" t="n"/>
      <c r="I298" s="92" t="n"/>
      <c r="J298" s="92" t="n"/>
      <c r="K298" s="92" t="n"/>
      <c r="L298" s="92" t="n"/>
      <c r="M298" s="92" t="n"/>
    </row>
    <row r="299" ht="16.5" customHeight="1">
      <c r="A299" s="124" t="n"/>
      <c r="B299" s="90" t="n"/>
      <c r="C299" s="130" t="inlineStr">
        <is>
          <t>Total statutory property catastrophe premium</t>
        </is>
      </c>
      <c r="D299" s="131" t="n"/>
      <c r="E299" s="121" t="n"/>
      <c r="F299" s="132" t="n"/>
      <c r="G299" s="123" t="n"/>
      <c r="H299" s="90" t="n"/>
      <c r="I299" s="92" t="n"/>
      <c r="J299" s="92" t="n"/>
      <c r="K299" s="92" t="n"/>
      <c r="L299" s="92" t="n"/>
      <c r="M299" s="92" t="n"/>
    </row>
    <row r="300" ht="16.5" customHeight="1">
      <c r="A300" s="124" t="n"/>
      <c r="B300" s="90" t="n"/>
      <c r="C300" s="130" t="inlineStr">
        <is>
          <t>Total all other statutory premium</t>
        </is>
      </c>
      <c r="D300" s="131" t="n"/>
      <c r="E300" s="140" t="n"/>
      <c r="F300" s="141" t="n"/>
      <c r="G300" s="123" t="n"/>
      <c r="H300" s="90" t="n"/>
      <c r="I300" s="92" t="n"/>
      <c r="J300" s="92" t="n"/>
      <c r="K300" s="92" t="n"/>
      <c r="L300" s="92" t="n"/>
      <c r="M300" s="92" t="n"/>
    </row>
    <row r="301" ht="16.5" customHeight="1">
      <c r="A301" s="124" t="n"/>
      <c r="B301" s="90" t="n"/>
      <c r="C301" s="130" t="inlineStr">
        <is>
          <t>Total statutory property catastrophe limits</t>
        </is>
      </c>
      <c r="D301" s="131" t="n"/>
      <c r="E301" s="133" t="n"/>
      <c r="F301" s="134" t="n"/>
      <c r="G301" s="123" t="n"/>
      <c r="H301" s="90" t="n"/>
      <c r="I301" s="92" t="n"/>
      <c r="J301" s="92" t="n"/>
      <c r="K301" s="92" t="n"/>
      <c r="L301" s="92" t="n"/>
      <c r="M301" s="92" t="n"/>
    </row>
    <row r="302" ht="17.25" customHeight="1">
      <c r="A302" s="124" t="n"/>
      <c r="B302" s="90" t="n"/>
      <c r="C302" s="135" t="inlineStr">
        <is>
          <t>Total all other statutory limits</t>
        </is>
      </c>
      <c r="D302" s="136" t="n"/>
      <c r="E302" s="137">
        <f>SUMIFS(BSCRInput[sum_pml],BSCRInput[bscr_entity],"HIG",BSCRInput[region],"is_jp",BSCRInput[peril_id],2)/1000000</f>
        <v>247.75931301614065</v>
      </c>
      <c r="F302" s="138">
        <f>SUMIFS(BSCRInput[sum_net],BSCRInput[bscr_entity],"HIG",BSCRInput[region],"is_jp",BSCRInput[peril_id],2)/1000000</f>
        <v>144.49731873975253</v>
      </c>
      <c r="G302" s="123" t="n"/>
      <c r="H302" s="90" t="n"/>
      <c r="I302" s="92" t="n"/>
      <c r="J302" s="92" t="n"/>
      <c r="K302" s="92" t="n"/>
      <c r="L302" s="92" t="n"/>
      <c r="M302" s="92" t="n"/>
    </row>
    <row r="303" ht="6.75" customHeight="1">
      <c r="A303" s="146" t="n"/>
      <c r="B303" s="14" t="n"/>
      <c r="C303" s="14" t="n"/>
      <c r="D303" s="14" t="n"/>
      <c r="E303" s="14" t="n"/>
      <c r="F303" s="14" t="n"/>
      <c r="G303" s="14" t="n"/>
      <c r="H303" s="14" t="n"/>
      <c r="I303" s="92" t="n"/>
      <c r="J303" s="92" t="n"/>
      <c r="K303" s="92" t="n"/>
      <c r="L303" s="92" t="n"/>
      <c r="M303" s="92" t="n"/>
    </row>
    <row r="304"/>
    <row r="305"/>
    <row r="306"/>
    <row r="307"/>
    <row r="308"/>
    <row r="309" ht="72.75" customHeight="1">
      <c r="A309" s="63" t="n"/>
      <c r="B309" s="147" t="inlineStr">
        <is>
          <t>CATASTROPHE RISK RETURN: DATA  ANALYSIS (TABLE 15E)</t>
        </is>
      </c>
      <c r="C309" s="64" t="n"/>
      <c r="D309" s="64" t="n"/>
      <c r="E309" s="64" t="n"/>
      <c r="F309" s="64" t="n"/>
      <c r="G309" s="64" t="n"/>
      <c r="H309" s="64" t="n"/>
      <c r="I309" s="64" t="n"/>
      <c r="J309" s="64" t="inlineStr">
        <is>
          <t>Back to instructions</t>
        </is>
      </c>
      <c r="K309" s="64" t="n"/>
      <c r="L309" s="64" t="n"/>
      <c r="M309" s="8" t="n"/>
    </row>
    <row r="310" ht="16.5" customHeight="1">
      <c r="A310" s="88" t="n"/>
      <c r="B310" s="148" t="inlineStr">
        <is>
          <t>HIG</t>
        </is>
      </c>
      <c r="C310" s="149" t="n"/>
      <c r="D310" s="90" t="n"/>
      <c r="E310" s="90" t="n"/>
      <c r="F310" s="90" t="n"/>
      <c r="G310" s="90" t="n"/>
      <c r="H310" s="90" t="n"/>
      <c r="I310" s="90" t="n"/>
      <c r="J310" s="90" t="n"/>
      <c r="K310" s="90" t="n"/>
      <c r="L310" s="90" t="n"/>
      <c r="M310" s="90" t="n"/>
    </row>
    <row r="311" ht="16.5" customHeight="1">
      <c r="A311" s="88" t="n"/>
      <c r="B311" s="150">
        <f>DATE(2026,1,1)</f>
        <v>46023.0</v>
      </c>
      <c r="E311" s="90" t="n"/>
      <c r="F311" s="90" t="n"/>
      <c r="G311" s="90" t="n"/>
      <c r="H311" s="90" t="n"/>
      <c r="I311" s="90" t="n"/>
      <c r="J311" s="90" t="n"/>
      <c r="K311" s="90" t="n"/>
      <c r="L311" s="151" t="n"/>
      <c r="M311" s="94" t="inlineStr">
        <is>
          <t>Schedule X(f)</t>
        </is>
      </c>
    </row>
    <row r="312" ht="9.199999999999999" customHeight="1">
      <c r="A312" s="152" t="n"/>
      <c r="B312" s="153" t="n"/>
      <c r="C312" s="154" t="n"/>
      <c r="D312" s="154" t="n"/>
      <c r="E312" s="154" t="n"/>
      <c r="F312" s="154" t="n"/>
      <c r="G312" s="154" t="n"/>
      <c r="H312" s="154" t="n"/>
      <c r="I312" s="154" t="n"/>
      <c r="J312" s="154" t="n"/>
      <c r="K312" s="154" t="n"/>
      <c r="L312" s="154" t="n"/>
      <c r="M312" s="154" t="n"/>
    </row>
    <row r="313" ht="15.75" customHeight="1">
      <c r="A313" s="152" t="n"/>
      <c r="B313" s="155" t="n">
        <v>1</v>
      </c>
      <c r="C313" s="155" t="inlineStr">
        <is>
          <t>For all contracts written by the insurance group, provide splits of those that are:</t>
        </is>
      </c>
      <c r="D313" s="154" t="n"/>
      <c r="E313" s="154" t="n"/>
      <c r="F313" s="154" t="n"/>
      <c r="G313" s="154" t="n"/>
      <c r="H313" s="154" t="n"/>
      <c r="I313" s="154" t="n"/>
      <c r="J313" s="154" t="n"/>
      <c r="K313" s="154" t="n"/>
      <c r="L313" s="154" t="n"/>
      <c r="M313" s="154" t="n"/>
    </row>
    <row r="314" ht="9.199999999999999" customHeight="1">
      <c r="A314" s="152" t="n"/>
      <c r="B314" s="155" t="n"/>
      <c r="C314" s="154" t="n"/>
      <c r="D314" s="154" t="n"/>
      <c r="E314" s="154" t="n"/>
      <c r="F314" s="154" t="n"/>
      <c r="G314" s="154" t="n"/>
      <c r="H314" s="154" t="n"/>
      <c r="I314" s="154" t="n"/>
      <c r="J314" s="154" t="n"/>
      <c r="K314" s="154" t="n"/>
      <c r="L314" s="154" t="n"/>
      <c r="M314" s="154" t="n"/>
    </row>
    <row r="315" ht="26.85" customHeight="1">
      <c r="A315" s="152" t="n"/>
      <c r="B315" s="155" t="n"/>
      <c r="C315" s="154" t="n"/>
      <c r="D315" s="154" t="n"/>
      <c r="E315" s="156" t="inlineStr">
        <is>
          <t>U.S. specific contracts - all exposures</t>
        </is>
      </c>
      <c r="F315" s="157" t="n"/>
      <c r="G315" s="22" t="n"/>
      <c r="H315" s="156" t="inlineStr">
        <is>
          <t>All other contracts - all exposures</t>
        </is>
      </c>
      <c r="I315" s="157" t="n"/>
      <c r="J315" s="22" t="n"/>
      <c r="K315" s="156" t="inlineStr">
        <is>
          <t>Total</t>
        </is>
      </c>
      <c r="L315" s="157" t="n"/>
      <c r="M315" s="22" t="n"/>
    </row>
    <row r="316" ht="31.5" customHeight="1">
      <c r="A316" s="152" t="n"/>
      <c r="B316" s="155" t="n"/>
      <c r="C316" s="154" t="n"/>
      <c r="D316" s="154" t="n"/>
      <c r="E316" s="158" t="inlineStr">
        <is>
          <t>Contract count</t>
        </is>
      </c>
      <c r="F316" s="158" t="inlineStr">
        <is>
          <t xml:space="preserve">Gross limit provided </t>
        </is>
      </c>
      <c r="G316" s="158" t="inlineStr">
        <is>
          <t>Net limit provided</t>
        </is>
      </c>
      <c r="H316" s="158" t="inlineStr">
        <is>
          <t>Contract count</t>
        </is>
      </c>
      <c r="I316" s="158" t="inlineStr">
        <is>
          <t xml:space="preserve">Gross limit provided </t>
        </is>
      </c>
      <c r="J316" s="158" t="inlineStr">
        <is>
          <t>Net limit provided</t>
        </is>
      </c>
      <c r="K316" s="158" t="inlineStr">
        <is>
          <t>Contract count</t>
        </is>
      </c>
      <c r="L316" s="158" t="inlineStr">
        <is>
          <t xml:space="preserve">Gross limit provided </t>
        </is>
      </c>
      <c r="M316" s="158" t="inlineStr">
        <is>
          <t>Net limit provided</t>
        </is>
      </c>
    </row>
    <row r="317" ht="15.75" customHeight="1">
      <c r="A317" s="152" t="n"/>
      <c r="B317" s="155" t="n"/>
      <c r="C317" s="154" t="n"/>
      <c r="D317" s="154" t="n"/>
      <c r="E317" s="159" t="n"/>
      <c r="F317" s="158" t="inlineStr">
        <is>
          <t>($M)</t>
        </is>
      </c>
      <c r="G317" s="158" t="inlineStr">
        <is>
          <t>($M)</t>
        </is>
      </c>
      <c r="H317" s="159" t="n"/>
      <c r="I317" s="158" t="inlineStr">
        <is>
          <t>($M)</t>
        </is>
      </c>
      <c r="J317" s="158" t="inlineStr">
        <is>
          <t>($M)</t>
        </is>
      </c>
      <c r="K317" s="159" t="n"/>
      <c r="L317" s="158" t="inlineStr">
        <is>
          <t>($M)</t>
        </is>
      </c>
      <c r="M317" s="158" t="inlineStr">
        <is>
          <t>($M)</t>
        </is>
      </c>
    </row>
    <row r="318" ht="15.75" customHeight="1">
      <c r="A318" s="152" t="n"/>
      <c r="B318" s="155" t="n"/>
      <c r="C318" s="154" t="n"/>
      <c r="D318" s="160" t="inlineStr">
        <is>
          <t>modellable</t>
        </is>
      </c>
      <c r="E318" s="161">
        <f>SUMIFS(BSCRInput[count_policies],BSCRInput[bscr_entity],"HIG",BSCRInput[region],"ALL",BSCRInput[peril_id],1,BSCRInput[is_geocoded],1,BSCRInput[cntrycode],"US")</f>
        <v>221.0</v>
      </c>
      <c r="F318" s="162">
        <f>SUMIFS(BSCRInput[sum_pml],BSCRInput[bscr_entity],"HIG",BSCRInput[region],"ALL",BSCRInput[peril_id],1,BSCRInput[is_geocoded],1,BSCRInput[cntrycode],"US")/1000000</f>
        <v>1215.8385588789579</v>
      </c>
      <c r="G318" s="162">
        <f>SUMIFS(BSCRInput[sum_net],BSCRInput[bscr_entity],"HIG",BSCRInput[region],"ALL",BSCRInput[peril_id],1,BSCRInput[is_geocoded],1,BSCRInput[cntrycode],"US")/1000000</f>
        <v>892.4930489270042</v>
      </c>
      <c r="H318" s="161">
        <f>(SUMIFS(BSCRInput[count_policies],BSCRInput[bscr_entity],"HIG",BSCRInput[region],"ALL",BSCRInput[peril_id],1,BSCRInput[is_geocoded],1)-SUMIFS(BSCRInput[count_policies],BSCRInput[bscr_entity],"HIG",BSCRInput[region],"ALL",BSCRInput[peril_id],1,BSCRInput[is_geocoded],1,BSCRInput[cntrycode],"US"))</f>
        <v>1688.0</v>
      </c>
      <c r="I318" s="162">
        <f>(SUMIFS(BSCRInput[sum_pml],BSCRInput[bscr_entity],"HIG",BSCRInput[region],"ALL",BSCRInput[peril_id],1,BSCRInput[is_geocoded],1)-SUMIFS(BSCRInput[sum_pml],BSCRInput[bscr_entity],"HIG",BSCRInput[region],"ALL",BSCRInput[peril_id],1,BSCRInput[is_geocoded],1,BSCRInput[cntrycode],"US"))/1000000</f>
        <v>8548.874988996182</v>
      </c>
      <c r="J318" s="162">
        <f>(SUMIFS(BSCRInput[sum_net],BSCRInput[bscr_entity],"HIG",BSCRInput[region],"ALL",BSCRInput[peril_id],1,BSCRInput[is_geocoded],1)-SUMIFS(BSCRInput[sum_net],BSCRInput[bscr_entity],"HIG",BSCRInput[region],"ALL",BSCRInput[peril_id],1,BSCRInput[is_geocoded],1,BSCRInput[cntrycode],"US"))/1000000</f>
        <v>6892.086442883235</v>
      </c>
      <c r="K318" s="163">
        <f>SUMIFS(BSCRInput[count_policies],BSCRInput[bscr_entity],"HIG",BSCRInput[region],"ALL",BSCRInput[peril_id],1,BSCRInput[is_geocoded],1)</f>
        <v>1909.0</v>
      </c>
      <c r="L318" s="164">
        <f>SUMIFS(BSCRInput[sum_pml],BSCRInput[bscr_entity],"HIG",BSCRInput[region],"ALL",BSCRInput[peril_id],1,BSCRInput[is_geocoded],1)/1000000</f>
        <v>9764.713547875139</v>
      </c>
      <c r="M318" s="164">
        <f>SUMIFS(BSCRInput[sum_net],BSCRInput[bscr_entity],"HIG",BSCRInput[region],"ALL",BSCRInput[peril_id],1,BSCRInput[is_geocoded],1)/1000000</f>
        <v>7784.579491810239</v>
      </c>
    </row>
    <row r="319" ht="15.75" customHeight="1">
      <c r="A319" s="152" t="n"/>
      <c r="B319" s="155" t="n"/>
      <c r="C319" s="154" t="n"/>
      <c r="D319" s="160" t="inlineStr">
        <is>
          <t>Not modellable</t>
        </is>
      </c>
      <c r="E319" s="161">
        <f>SUMIFS(BSCRInput[count_policies],BSCRInput[bscr_entity],"HIG",BSCRInput[region],"ALL",BSCRInput[peril_id],1,BSCRInput[is_geocoded],0,BSCRInput[cntrycode],"US")</f>
        <v>7.0</v>
      </c>
      <c r="F319" s="162">
        <f>SUMIFS(BSCRInput[sum_pml],BSCRInput[bscr_entity],"HIG",BSCRInput[region],"ALL",BSCRInput[peril_id],1,BSCRInput[is_geocoded],0,BSCRInput[cntrycode],"US")/1000000</f>
        <v>8.090936363678377</v>
      </c>
      <c r="G319" s="162">
        <f>SUMIFS(BSCRInput[sum_net],BSCRInput[bscr_entity],"HIG",BSCRInput[region],"ALL",BSCRInput[peril_id],1,BSCRInput[is_geocoded],0,BSCRInput[cntrycode],"US")/1000000</f>
        <v>7.479319331113445</v>
      </c>
      <c r="H319" s="161">
        <f>(SUMIFS(BSCRInput[count_policies],BSCRInput[bscr_entity],"HIG",BSCRInput[region],"ALL",BSCRInput[peril_id],1,BSCRInput[is_geocoded],0)-SUMIFS(BSCRInput[count_policies],BSCRInput[bscr_entity],"HIG",BSCRInput[region],"ALL",BSCRInput[peril_id],1,BSCRInput[is_geocoded],0,BSCRInput[cntrycode],"US"))</f>
        <v>22.0</v>
      </c>
      <c r="I319" s="162">
        <f>(SUMIFS(BSCRInput[sum_pml],BSCRInput[bscr_entity],"HIG",BSCRInput[region],"ALL",BSCRInput[peril_id],1,BSCRInput[is_geocoded],0)-SUMIFS(BSCRInput[sum_pml],BSCRInput[bscr_entity],"HIG",BSCRInput[region],"ALL",BSCRInput[peril_id],1,BSCRInput[is_geocoded],0,BSCRInput[cntrycode],"US"))/1000000</f>
        <v>151.05838476013184</v>
      </c>
      <c r="J319" s="162">
        <f>(SUMIFS(BSCRInput[sum_net],BSCRInput[bscr_entity],"HIG",BSCRInput[region],"ALL",BSCRInput[peril_id],1,BSCRInput[is_geocoded],0)-SUMIFS(BSCRInput[sum_net],BSCRInput[bscr_entity],"HIG",BSCRInput[region],"ALL",BSCRInput[peril_id],1,BSCRInput[is_geocoded],0,BSCRInput[cntrycode],"US"))/1000000</f>
        <v>84.7698031592725</v>
      </c>
      <c r="K319" s="163">
        <f>SUMIFS(BSCRInput[count_policies],BSCRInput[bscr_entity],"HIG",BSCRInput[region],"ALL",BSCRInput[peril_id],1,BSCRInput[is_geocoded],0)</f>
        <v>29.0</v>
      </c>
      <c r="L319" s="164">
        <f>SUMIFS(BSCRInput[sum_pml],BSCRInput[bscr_entity],"HIG",BSCRInput[region],"ALL",BSCRInput[peril_id],1,BSCRInput[is_geocoded],0)/1000000</f>
        <v>159.1493211238102</v>
      </c>
      <c r="M319" s="164">
        <f>SUMIFS(BSCRInput[sum_net],BSCRInput[bscr_entity],"HIG",BSCRInput[region],"ALL",BSCRInput[peril_id],1,BSCRInput[is_geocoded],0)/1000000</f>
        <v>92.24912249038593</v>
      </c>
    </row>
    <row r="320" ht="15.75" customHeight="1">
      <c r="A320" s="152" t="n"/>
      <c r="B320" s="155" t="n"/>
      <c r="C320" s="154" t="n"/>
      <c r="D320" s="160" t="inlineStr">
        <is>
          <t>Total</t>
        </is>
      </c>
      <c r="E320" s="165">
        <f>SUMIFS(BSCRInput[count_policies],BSCRInput[bscr_entity],"HIG",BSCRInput[region],"ALL",BSCRInput[peril_id],1,BSCRInput[cntrycode],"US")</f>
        <v>228.0</v>
      </c>
      <c r="F320" s="166">
        <f>SUMIFS(BSCRInput[sum_pml],BSCRInput[bscr_entity],"HIG",BSCRInput[region],"ALL",BSCRInput[peril_id],1,BSCRInput[cntrycode],"US")/1000000</f>
        <v>1223.9294952426364</v>
      </c>
      <c r="G320" s="166">
        <f>SUMIFS(BSCRInput[sum_net],BSCRInput[bscr_entity],"HIG",BSCRInput[region],"ALL",BSCRInput[peril_id],1,BSCRInput[cntrycode],"US")/1000000</f>
        <v>899.9723682581176</v>
      </c>
      <c r="H320" s="165">
        <f>(SUMIFS(BSCRInput[count_policies],BSCRInput[bscr_entity],"HIG",BSCRInput[region],"ALL",BSCRInput[peril_id],1)-SUMIFS(BSCRInput[count_policies],BSCRInput[bscr_entity],"HIG",BSCRInput[region],"ALL",BSCRInput[peril_id],1,BSCRInput[cntrycode],"US"))</f>
        <v>1710.0</v>
      </c>
      <c r="I320" s="166">
        <f>(SUMIFS(BSCRInput[sum_pml],BSCRInput[bscr_entity],"HIG",BSCRInput[region],"ALL",BSCRInput[peril_id],1)-SUMIFS(BSCRInput[sum_pml],BSCRInput[bscr_entity],"HIG",BSCRInput[region],"ALL",BSCRInput[peril_id],1,BSCRInput[cntrycode],"US"))/1000000</f>
        <v>8699.933373756314</v>
      </c>
      <c r="J320" s="166">
        <f>(SUMIFS(BSCRInput[sum_net],BSCRInput[bscr_entity],"HIG",BSCRInput[region],"ALL",BSCRInput[peril_id],1)-SUMIFS(BSCRInput[sum_net],BSCRInput[bscr_entity],"HIG",BSCRInput[region],"ALL",BSCRInput[peril_id],1,BSCRInput[cntrycode],"US"))/1000000</f>
        <v>6976.856246042508</v>
      </c>
      <c r="K320" s="165">
        <f>SUMIFS(BSCRInput[count_policies],BSCRInput[bscr_entity],"HIG",BSCRInput[region],"ALL",BSCRInput[peril_id],1)</f>
        <v>1938.0</v>
      </c>
      <c r="L320" s="166">
        <f>SUMIFS(BSCRInput[sum_pml],BSCRInput[bscr_entity],"HIG",BSCRInput[region],"ALL",BSCRInput[peril_id],1)/1000000</f>
        <v>9923.86286899895</v>
      </c>
      <c r="M320" s="166">
        <f>SUMIFS(BSCRInput[sum_net],BSCRInput[bscr_entity],"HIG",BSCRInput[region],"ALL",BSCRInput[peril_id],1)/1000000</f>
        <v>7876.828614300626</v>
      </c>
    </row>
    <row r="321" ht="9.199999999999999" customHeight="1">
      <c r="A321" s="152" t="n"/>
      <c r="B321" s="155" t="n"/>
      <c r="C321" s="154" t="n"/>
      <c r="D321" s="154" t="n"/>
      <c r="E321" s="154" t="n"/>
      <c r="F321" s="154" t="n"/>
      <c r="G321" s="154" t="n"/>
      <c r="H321" s="154" t="n"/>
      <c r="I321" s="154" t="n"/>
      <c r="J321" s="154" t="n"/>
      <c r="K321" s="154" t="n"/>
      <c r="L321" s="154" t="n"/>
      <c r="M321" s="154" t="n"/>
    </row>
    <row r="322" ht="15.75" customHeight="1">
      <c r="A322" s="152" t="n"/>
      <c r="B322" s="155" t="n">
        <v>2</v>
      </c>
      <c r="C322" s="155" t="inlineStr">
        <is>
          <t>For those contracts that are written by the insurance group that may be modelled, provide splits of those that are:</t>
        </is>
      </c>
      <c r="D322" s="154" t="n"/>
      <c r="E322" s="154" t="n"/>
      <c r="F322" s="154" t="n"/>
      <c r="G322" s="154" t="n"/>
      <c r="H322" s="154" t="n"/>
      <c r="I322" s="154" t="n"/>
      <c r="J322" s="154" t="n"/>
      <c r="K322" s="154" t="n"/>
      <c r="L322" s="167" t="n"/>
      <c r="M322" s="167" t="n"/>
    </row>
    <row r="323" ht="9.199999999999999" customHeight="1">
      <c r="A323" s="152" t="n"/>
      <c r="B323" s="155" t="n"/>
      <c r="C323" s="154" t="n"/>
      <c r="D323" s="154" t="n"/>
      <c r="E323" s="154" t="n"/>
      <c r="F323" s="154" t="n"/>
      <c r="G323" s="154" t="n"/>
      <c r="H323" s="154" t="n"/>
      <c r="I323" s="154" t="n"/>
      <c r="J323" s="154" t="n"/>
      <c r="K323" s="154" t="n"/>
      <c r="L323" s="154" t="n"/>
      <c r="M323" s="154" t="n"/>
    </row>
    <row r="324" ht="27.2" customHeight="1">
      <c r="A324" s="152" t="n"/>
      <c r="B324" s="155" t="n"/>
      <c r="C324" s="154" t="n"/>
      <c r="D324" s="154" t="n"/>
      <c r="E324" s="156" t="str">
        <f>+E315</f>
        <v>U.S. specific contracts - all exposures</v>
      </c>
      <c r="F324" s="157" t="n"/>
      <c r="G324" s="22" t="n"/>
      <c r="H324" s="156" t="str">
        <f>+H315</f>
        <v>All other contracts - all exposures</v>
      </c>
      <c r="I324" s="157" t="n"/>
      <c r="J324" s="22" t="n"/>
      <c r="K324" s="156" t="inlineStr">
        <is>
          <t>Total</t>
        </is>
      </c>
      <c r="L324" s="157" t="n"/>
      <c r="M324" s="22" t="n"/>
    </row>
    <row r="325" ht="31.5" customHeight="1">
      <c r="A325" s="152" t="n"/>
      <c r="B325" s="155" t="n"/>
      <c r="C325" s="154" t="n"/>
      <c r="D325" s="154" t="n"/>
      <c r="E325" s="158" t="inlineStr">
        <is>
          <t>Contract count</t>
        </is>
      </c>
      <c r="F325" s="158" t="inlineStr">
        <is>
          <t xml:space="preserve">Gross limit provided </t>
        </is>
      </c>
      <c r="G325" s="158" t="inlineStr">
        <is>
          <t>Net limit provided</t>
        </is>
      </c>
      <c r="H325" s="158" t="inlineStr">
        <is>
          <t>Contract count</t>
        </is>
      </c>
      <c r="I325" s="158" t="inlineStr">
        <is>
          <t xml:space="preserve">Gross limit provided </t>
        </is>
      </c>
      <c r="J325" s="158" t="inlineStr">
        <is>
          <t>Net limit provided</t>
        </is>
      </c>
      <c r="K325" s="158" t="inlineStr">
        <is>
          <t>Contract count</t>
        </is>
      </c>
      <c r="L325" s="158" t="inlineStr">
        <is>
          <t xml:space="preserve">Gross limit provided </t>
        </is>
      </c>
      <c r="M325" s="158" t="inlineStr">
        <is>
          <t>Net limit provided</t>
        </is>
      </c>
    </row>
    <row r="326" ht="15.75" customHeight="1">
      <c r="A326" s="152" t="n"/>
      <c r="B326" s="155" t="n"/>
      <c r="C326" s="154" t="n"/>
      <c r="D326" s="154" t="n"/>
      <c r="E326" s="159" t="n"/>
      <c r="F326" s="158" t="inlineStr">
        <is>
          <t>($M)</t>
        </is>
      </c>
      <c r="G326" s="158" t="inlineStr">
        <is>
          <t>($M)</t>
        </is>
      </c>
      <c r="H326" s="159" t="n"/>
      <c r="I326" s="158" t="inlineStr">
        <is>
          <t>($M)</t>
        </is>
      </c>
      <c r="J326" s="158" t="inlineStr">
        <is>
          <t>($M)</t>
        </is>
      </c>
      <c r="K326" s="159" t="n"/>
      <c r="L326" s="158" t="inlineStr">
        <is>
          <t>($M)</t>
        </is>
      </c>
      <c r="M326" s="158" t="inlineStr">
        <is>
          <t>($M)</t>
        </is>
      </c>
    </row>
    <row r="327" ht="15.75" customHeight="1">
      <c r="A327" s="152" t="n"/>
      <c r="B327" s="155" t="n"/>
      <c r="C327" s="154" t="n"/>
      <c r="D327" s="160" t="inlineStr">
        <is>
          <t>modelled</t>
        </is>
      </c>
      <c r="E327" s="161">
        <f>SUMIFS(BSCRInput[count_policies],BSCRInput[bscr_entity],"HIG",BSCRInput[region],"ALL",BSCRInput[peril_id],1,BSCRInput[is_geocoded],1,BSCRInput[cntrycode],"US")</f>
        <v>221.0</v>
      </c>
      <c r="F327" s="162">
        <f>SUMIFS(BSCRInput[sum_pml],BSCRInput[bscr_entity],"HIG",BSCRInput[region],"ALL",BSCRInput[peril_id],1,BSCRInput[is_geocoded],1,BSCRInput[cntrycode],"US")/1000000</f>
        <v>1215.8385588789579</v>
      </c>
      <c r="G327" s="162">
        <f>SUMIFS(BSCRInput[sum_net],BSCRInput[bscr_entity],"HIG",BSCRInput[region],"ALL",BSCRInput[peril_id],1,BSCRInput[is_geocoded],1,BSCRInput[cntrycode],"US")/1000000</f>
        <v>892.4930489270042</v>
      </c>
      <c r="H327" s="161">
        <f>(SUMIFS(BSCRInput[count_policies],BSCRInput[bscr_entity],"HIG",BSCRInput[region],"ALL",BSCRInput[peril_id],1,BSCRInput[is_geocoded],1)-SUMIFS(BSCRInput[count_policies],BSCRInput[bscr_entity],"HIG",BSCRInput[region],"ALL",BSCRInput[peril_id],1,BSCRInput[is_geocoded],1,BSCRInput[cntrycode],"US"))</f>
        <v>1688.0</v>
      </c>
      <c r="I327" s="162">
        <f>(SUMIFS(BSCRInput[sum_pml],BSCRInput[bscr_entity],"HIG",BSCRInput[region],"ALL",BSCRInput[peril_id],1,BSCRInput[is_geocoded],1)-SUMIFS(BSCRInput[sum_pml],BSCRInput[bscr_entity],"HIG",BSCRInput[region],"ALL",BSCRInput[peril_id],1,BSCRInput[is_geocoded],1,BSCRInput[cntrycode],"US"))/1000000</f>
        <v>8548.874988996182</v>
      </c>
      <c r="J327" s="162">
        <f>(SUMIFS(BSCRInput[sum_net],BSCRInput[bscr_entity],"HIG",BSCRInput[region],"ALL",BSCRInput[peril_id],1,BSCRInput[is_geocoded],1)-SUMIFS(BSCRInput[sum_net],BSCRInput[bscr_entity],"HIG",BSCRInput[region],"ALL",BSCRInput[peril_id],1,BSCRInput[is_geocoded],1,BSCRInput[cntrycode],"US"))/1000000</f>
        <v>6892.086442883235</v>
      </c>
      <c r="K327" s="163">
        <f>SUMIFS(BSCRInput[count_policies],BSCRInput[bscr_entity],"HIG",BSCRInput[region],"ALL",BSCRInput[peril_id],1,BSCRInput[is_geocoded],1)</f>
        <v>1909.0</v>
      </c>
      <c r="L327" s="164">
        <f>SUMIFS(BSCRInput[sum_pml],BSCRInput[bscr_entity],"HIG",BSCRInput[region],"ALL",BSCRInput[peril_id],1,BSCRInput[is_geocoded],1)/1000000</f>
        <v>9764.713547875139</v>
      </c>
      <c r="M327" s="164">
        <f>SUMIFS(BSCRInput[sum_net],BSCRInput[bscr_entity],"HIG",BSCRInput[region],"ALL",BSCRInput[peril_id],1,BSCRInput[is_geocoded],1)/1000000</f>
        <v>7784.579491810239</v>
      </c>
    </row>
    <row r="328" ht="15.75" customHeight="1">
      <c r="A328" s="152" t="n"/>
      <c r="B328" s="155" t="n"/>
      <c r="C328" s="154" t="n"/>
      <c r="D328" s="160" t="inlineStr">
        <is>
          <t>Not modelled</t>
        </is>
      </c>
      <c r="E328" s="161">
        <f>SUMIFS(BSCRInput[count_policies],BSCRInput[bscr_entity],"HIG",BSCRInput[region],"ALL",BSCRInput[peril_id],1,BSCRInput[is_geocoded],0,BSCRInput[cntrycode],"US")</f>
        <v>7.0</v>
      </c>
      <c r="F328" s="162">
        <f>SUMIFS(BSCRInput[sum_pml],BSCRInput[bscr_entity],"HIG",BSCRInput[region],"ALL",BSCRInput[peril_id],1,BSCRInput[is_geocoded],0,BSCRInput[cntrycode],"US")/1000000</f>
        <v>8.090936363678377</v>
      </c>
      <c r="G328" s="162">
        <f>SUMIFS(BSCRInput[sum_net],BSCRInput[bscr_entity],"HIG",BSCRInput[region],"ALL",BSCRInput[peril_id],1,BSCRInput[is_geocoded],0,BSCRInput[cntrycode],"US")/1000000</f>
        <v>7.479319331113445</v>
      </c>
      <c r="H328" s="161">
        <f>(SUMIFS(BSCRInput[count_policies],BSCRInput[bscr_entity],"HIG",BSCRInput[region],"ALL",BSCRInput[peril_id],1,BSCRInput[is_geocoded],0)-SUMIFS(BSCRInput[count_policies],BSCRInput[bscr_entity],"HIG",BSCRInput[region],"ALL",BSCRInput[peril_id],1,BSCRInput[is_geocoded],0,BSCRInput[cntrycode],"US"))</f>
        <v>22.0</v>
      </c>
      <c r="I328" s="162">
        <f>(SUMIFS(BSCRInput[sum_pml],BSCRInput[bscr_entity],"HIG",BSCRInput[region],"ALL",BSCRInput[peril_id],1,BSCRInput[is_geocoded],0)-SUMIFS(BSCRInput[sum_pml],BSCRInput[bscr_entity],"HIG",BSCRInput[region],"ALL",BSCRInput[peril_id],1,BSCRInput[is_geocoded],0,BSCRInput[cntrycode],"US"))/1000000</f>
        <v>151.05838476013184</v>
      </c>
      <c r="J328" s="162">
        <f>(SUMIFS(BSCRInput[sum_net],BSCRInput[bscr_entity],"HIG",BSCRInput[region],"ALL",BSCRInput[peril_id],1,BSCRInput[is_geocoded],0)-SUMIFS(BSCRInput[sum_net],BSCRInput[bscr_entity],"HIG",BSCRInput[region],"ALL",BSCRInput[peril_id],1,BSCRInput[is_geocoded],0,BSCRInput[cntrycode],"US"))/1000000</f>
        <v>84.7698031592725</v>
      </c>
      <c r="K328" s="163">
        <f>SUMIFS(BSCRInput[count_policies],BSCRInput[bscr_entity],"HIG",BSCRInput[region],"ALL",BSCRInput[peril_id],1,BSCRInput[is_geocoded],0)</f>
        <v>29.0</v>
      </c>
      <c r="L328" s="164">
        <f>SUMIFS(BSCRInput[sum_pml],BSCRInput[bscr_entity],"HIG",BSCRInput[region],"ALL",BSCRInput[peril_id],1,BSCRInput[is_geocoded],0)/1000000</f>
        <v>159.1493211238102</v>
      </c>
      <c r="M328" s="164">
        <f>SUMIFS(BSCRInput[sum_net],BSCRInput[bscr_entity],"HIG",BSCRInput[region],"ALL",BSCRInput[peril_id],1,BSCRInput[is_geocoded],0)/1000000</f>
        <v>92.24912249038593</v>
      </c>
    </row>
    <row r="329" ht="15.75" customHeight="1">
      <c r="A329" s="152" t="n"/>
      <c r="B329" s="155" t="n"/>
      <c r="C329" s="154" t="n"/>
      <c r="D329" s="160" t="inlineStr">
        <is>
          <t>Total</t>
        </is>
      </c>
      <c r="E329" s="165">
        <f>SUMIFS(BSCRInput[count_policies],BSCRInput[bscr_entity],"HIG",BSCRInput[region],"ALL",BSCRInput[peril_id],1,BSCRInput[cntrycode],"US")</f>
        <v>228.0</v>
      </c>
      <c r="F329" s="166">
        <f>SUMIFS(BSCRInput[sum_pml],BSCRInput[bscr_entity],"HIG",BSCRInput[region],"ALL",BSCRInput[peril_id],1,BSCRInput[cntrycode],"US")/1000000</f>
        <v>1223.9294952426364</v>
      </c>
      <c r="G329" s="166">
        <f>SUMIFS(BSCRInput[sum_net],BSCRInput[bscr_entity],"HIG",BSCRInput[region],"ALL",BSCRInput[peril_id],1,BSCRInput[cntrycode],"US")/1000000</f>
        <v>899.9723682581176</v>
      </c>
      <c r="H329" s="165">
        <f>(SUMIFS(BSCRInput[count_policies],BSCRInput[bscr_entity],"HIG",BSCRInput[region],"ALL",BSCRInput[peril_id],1)-SUMIFS(BSCRInput[count_policies],BSCRInput[bscr_entity],"HIG",BSCRInput[region],"ALL",BSCRInput[peril_id],1,BSCRInput[cntrycode],"US"))</f>
        <v>1710.0</v>
      </c>
      <c r="I329" s="166">
        <f>(SUMIFS(BSCRInput[sum_pml],BSCRInput[bscr_entity],"HIG",BSCRInput[region],"ALL",BSCRInput[peril_id],1)-SUMIFS(BSCRInput[sum_pml],BSCRInput[bscr_entity],"HIG",BSCRInput[region],"ALL",BSCRInput[peril_id],1,BSCRInput[cntrycode],"US"))/1000000</f>
        <v>8699.933373756314</v>
      </c>
      <c r="J329" s="166">
        <f>(SUMIFS(BSCRInput[sum_net],BSCRInput[bscr_entity],"HIG",BSCRInput[region],"ALL",BSCRInput[peril_id],1)-SUMIFS(BSCRInput[sum_net],BSCRInput[bscr_entity],"HIG",BSCRInput[region],"ALL",BSCRInput[peril_id],1,BSCRInput[cntrycode],"US"))/1000000</f>
        <v>6976.856246042508</v>
      </c>
      <c r="K329" s="165">
        <f>SUMIFS(BSCRInput[count_policies],BSCRInput[bscr_entity],"HIG",BSCRInput[region],"ALL",BSCRInput[peril_id],1)</f>
        <v>1938.0</v>
      </c>
      <c r="L329" s="166">
        <f>SUMIFS(BSCRInput[sum_pml],BSCRInput[bscr_entity],"HIG",BSCRInput[region],"ALL",BSCRInput[peril_id],1)/1000000</f>
        <v>9923.86286899895</v>
      </c>
      <c r="M329" s="166">
        <f>SUMIFS(BSCRInput[sum_net],BSCRInput[bscr_entity],"HIG",BSCRInput[region],"ALL",BSCRInput[peril_id],1)/1000000</f>
        <v>7876.828614300626</v>
      </c>
    </row>
    <row r="330" ht="9.199999999999999" customHeight="1">
      <c r="A330" s="152" t="n"/>
      <c r="B330" s="155" t="n"/>
      <c r="C330" s="154" t="n"/>
      <c r="D330" s="160" t="n"/>
      <c r="E330" s="154" t="n"/>
      <c r="F330" s="154" t="n"/>
      <c r="G330" s="154" t="n"/>
      <c r="H330" s="154" t="n"/>
      <c r="I330" s="154" t="n"/>
      <c r="J330" s="154" t="n"/>
      <c r="K330" s="154" t="n"/>
      <c r="L330" s="154" t="n"/>
      <c r="M330" s="154" t="n"/>
    </row>
    <row r="331" ht="15.75" customHeight="1">
      <c r="A331" s="152" t="n"/>
      <c r="B331" s="155" t="n">
        <v>3</v>
      </c>
      <c r="C331" s="155" t="inlineStr">
        <is>
          <t>For those contracts that are written by the insurance group that are modelled, provide splits of those that are:</t>
        </is>
      </c>
      <c r="D331" s="160" t="n"/>
      <c r="E331" s="154" t="n"/>
      <c r="F331" s="154" t="n"/>
      <c r="G331" s="154" t="n"/>
      <c r="H331" s="154" t="n"/>
      <c r="I331" s="154" t="n"/>
      <c r="J331" s="154" t="n"/>
      <c r="K331" s="154" t="n"/>
      <c r="L331" s="154" t="n"/>
      <c r="M331" s="154" t="n"/>
    </row>
    <row r="332" ht="9.199999999999999" customHeight="1">
      <c r="A332" s="152" t="n"/>
      <c r="B332" s="155" t="n"/>
      <c r="C332" s="154" t="n"/>
      <c r="D332" s="160" t="n"/>
      <c r="E332" s="154" t="n"/>
      <c r="F332" s="154" t="n"/>
      <c r="G332" s="154" t="n"/>
      <c r="H332" s="154" t="n"/>
      <c r="I332" s="154" t="n"/>
      <c r="J332" s="154" t="n"/>
      <c r="K332" s="154" t="n"/>
      <c r="L332" s="154" t="n"/>
      <c r="M332" s="154" t="n"/>
    </row>
    <row r="333" ht="27.2" customHeight="1">
      <c r="A333" s="152" t="n"/>
      <c r="B333" s="155" t="n"/>
      <c r="C333" s="154" t="n"/>
      <c r="D333" s="160" t="n"/>
      <c r="E333" s="156" t="str">
        <f>+E315</f>
        <v>U.S. specific contracts - all exposures</v>
      </c>
      <c r="F333" s="157" t="n"/>
      <c r="G333" s="22" t="n"/>
      <c r="H333" s="156" t="str">
        <f>+H315</f>
        <v>All other contracts - all exposures</v>
      </c>
      <c r="I333" s="157" t="n"/>
      <c r="J333" s="22" t="n"/>
      <c r="K333" s="156" t="inlineStr">
        <is>
          <t>Total</t>
        </is>
      </c>
      <c r="L333" s="157" t="n"/>
      <c r="M333" s="22" t="n"/>
    </row>
    <row r="334" ht="31.5" customHeight="1">
      <c r="A334" s="152" t="n"/>
      <c r="B334" s="155" t="n"/>
      <c r="C334" s="154" t="n"/>
      <c r="D334" s="154" t="n"/>
      <c r="E334" s="158" t="inlineStr">
        <is>
          <t>Contract count</t>
        </is>
      </c>
      <c r="F334" s="158" t="inlineStr">
        <is>
          <t xml:space="preserve">Gross limit provided </t>
        </is>
      </c>
      <c r="G334" s="158" t="inlineStr">
        <is>
          <t>Net limit provided</t>
        </is>
      </c>
      <c r="H334" s="158" t="inlineStr">
        <is>
          <t>Contract count</t>
        </is>
      </c>
      <c r="I334" s="158" t="inlineStr">
        <is>
          <t xml:space="preserve">Gross limit provided </t>
        </is>
      </c>
      <c r="J334" s="158" t="inlineStr">
        <is>
          <t>Net limit provided</t>
        </is>
      </c>
      <c r="K334" s="158" t="inlineStr">
        <is>
          <t>Contract count</t>
        </is>
      </c>
      <c r="L334" s="158" t="inlineStr">
        <is>
          <t xml:space="preserve">Gross limit provided </t>
        </is>
      </c>
      <c r="M334" s="158" t="inlineStr">
        <is>
          <t>Net limit provided</t>
        </is>
      </c>
    </row>
    <row r="335" ht="15.75" customHeight="1">
      <c r="A335" s="152" t="n"/>
      <c r="B335" s="155" t="n"/>
      <c r="C335" s="154" t="n"/>
      <c r="D335" s="154" t="n"/>
      <c r="E335" s="159" t="n"/>
      <c r="F335" s="158" t="inlineStr">
        <is>
          <t>($M)</t>
        </is>
      </c>
      <c r="G335" s="158" t="inlineStr">
        <is>
          <t>($M)</t>
        </is>
      </c>
      <c r="H335" s="159" t="n"/>
      <c r="I335" s="158" t="inlineStr">
        <is>
          <t>($M)</t>
        </is>
      </c>
      <c r="J335" s="158" t="inlineStr">
        <is>
          <t>($M)</t>
        </is>
      </c>
      <c r="K335" s="159" t="n"/>
      <c r="L335" s="158" t="inlineStr">
        <is>
          <t>($M)</t>
        </is>
      </c>
      <c r="M335" s="158" t="inlineStr">
        <is>
          <t>($M)</t>
        </is>
      </c>
    </row>
    <row r="336" ht="15.75" customHeight="1">
      <c r="A336" s="152" t="n"/>
      <c r="B336" s="155" t="n"/>
      <c r="C336" s="154" t="n"/>
      <c r="D336" s="160" t="inlineStr">
        <is>
          <t>Detailed exposure data</t>
        </is>
      </c>
      <c r="E336" s="161">
        <f>SUMIFS(BSCRInput[count_policies],BSCRInput[bscr_entity],"HIG",BSCRInput[region],"ALL",BSCRInput[peril_id],1,BSCRInput[is_geocoded],1,BSCRInput[cntrycode],"US")</f>
        <v>221.0</v>
      </c>
      <c r="F336" s="162">
        <f>SUMIFS(BSCRInput[sum_pml],BSCRInput[bscr_entity],"HIG",BSCRInput[region],"ALL",BSCRInput[peril_id],1,BSCRInput[is_geocoded],1,BSCRInput[cntrycode],"US")/1000000</f>
        <v>1215.8385588789579</v>
      </c>
      <c r="G336" s="162">
        <f>SUMIFS(BSCRInput[sum_net],BSCRInput[bscr_entity],"HIG",BSCRInput[region],"ALL",BSCRInput[peril_id],1,BSCRInput[is_geocoded],1,BSCRInput[cntrycode],"US")/1000000</f>
        <v>892.4930489270042</v>
      </c>
      <c r="H336" s="161">
        <f>(SUMIFS(BSCRInput[count_policies],BSCRInput[bscr_entity],"HIG",BSCRInput[region],"ALL",BSCRInput[peril_id],1,BSCRInput[is_geocoded],1)-SUMIFS(BSCRInput[count_policies],BSCRInput[bscr_entity],"HIG",BSCRInput[region],"ALL",BSCRInput[peril_id],1,BSCRInput[is_geocoded],1,BSCRInput[cntrycode],"US"))</f>
        <v>1688.0</v>
      </c>
      <c r="I336" s="162">
        <f>(SUMIFS(BSCRInput[sum_pml],BSCRInput[bscr_entity],"HIG",BSCRInput[region],"ALL",BSCRInput[peril_id],1,BSCRInput[is_geocoded],1)-SUMIFS(BSCRInput[sum_pml],BSCRInput[bscr_entity],"HIG",BSCRInput[region],"ALL",BSCRInput[peril_id],1,BSCRInput[is_geocoded],1,BSCRInput[cntrycode],"US"))/1000000</f>
        <v>8548.874988996182</v>
      </c>
      <c r="J336" s="162">
        <f>(SUMIFS(BSCRInput[sum_net],BSCRInput[bscr_entity],"HIG",BSCRInput[region],"ALL",BSCRInput[peril_id],1,BSCRInput[is_geocoded],1)-SUMIFS(BSCRInput[sum_net],BSCRInput[bscr_entity],"HIG",BSCRInput[region],"ALL",BSCRInput[peril_id],1,BSCRInput[is_geocoded],1,BSCRInput[cntrycode],"US"))/1000000</f>
        <v>6892.086442883235</v>
      </c>
      <c r="K336" s="163">
        <f>SUMIFS(BSCRInput[count_policies],BSCRInput[bscr_entity],"HIG",BSCRInput[region],"ALL",BSCRInput[peril_id],1,BSCRInput[is_geocoded],1)</f>
        <v>1909.0</v>
      </c>
      <c r="L336" s="164">
        <f>SUMIFS(BSCRInput[sum_pml],BSCRInput[bscr_entity],"HIG",BSCRInput[region],"ALL",BSCRInput[peril_id],1,BSCRInput[is_geocoded],1)/1000000</f>
        <v>9764.713547875139</v>
      </c>
      <c r="M336" s="164">
        <f>SUMIFS(BSCRInput[sum_net],BSCRInput[bscr_entity],"HIG",BSCRInput[region],"ALL",BSCRInput[peril_id],1,BSCRInput[is_geocoded],1)/1000000</f>
        <v>7784.579491810239</v>
      </c>
    </row>
    <row r="337" ht="15.75" customHeight="1">
      <c r="A337" s="152" t="n"/>
      <c r="B337" s="155" t="n"/>
      <c r="C337" s="154" t="n"/>
      <c r="D337" s="160" t="inlineStr">
        <is>
          <t>Aggregate exposure data</t>
        </is>
      </c>
      <c r="E337" s="161">
        <f>0</f>
        <v>0.0</v>
      </c>
      <c r="F337" s="162">
        <f>0</f>
        <v>0.0</v>
      </c>
      <c r="G337" s="162">
        <f>0</f>
        <v>0.0</v>
      </c>
      <c r="H337" s="161">
        <f>0</f>
        <v>0.0</v>
      </c>
      <c r="I337" s="162">
        <f>0</f>
        <v>0.0</v>
      </c>
      <c r="J337" s="162">
        <f>0</f>
        <v>0.0</v>
      </c>
      <c r="K337" s="163">
        <f>0</f>
        <v>0.0</v>
      </c>
      <c r="L337" s="164">
        <f>0</f>
        <v>0.0</v>
      </c>
      <c r="M337" s="164">
        <f>0</f>
        <v>0.0</v>
      </c>
    </row>
    <row r="338" ht="42.75" customHeight="1">
      <c r="A338" s="152" t="n"/>
      <c r="B338" s="155" t="n"/>
      <c r="C338" s="168" t="n"/>
      <c r="D338" s="43" t="n"/>
      <c r="E338" s="161">
        <f>0</f>
        <v>0.0</v>
      </c>
      <c r="F338" s="162">
        <f>0</f>
        <v>0.0</v>
      </c>
      <c r="G338" s="162">
        <f>0</f>
        <v>0.0</v>
      </c>
      <c r="H338" s="161">
        <f>0</f>
        <v>0.0</v>
      </c>
      <c r="I338" s="162">
        <f>0</f>
        <v>0.0</v>
      </c>
      <c r="J338" s="162">
        <f>0</f>
        <v>0.0</v>
      </c>
      <c r="K338" s="163">
        <f>0</f>
        <v>0.0</v>
      </c>
      <c r="L338" s="164">
        <f>0</f>
        <v>0.0</v>
      </c>
      <c r="M338" s="164">
        <f>0</f>
        <v>0.0</v>
      </c>
    </row>
    <row r="339" ht="27.2" customHeight="1">
      <c r="A339" s="152" t="n"/>
      <c r="B339" s="155" t="n"/>
      <c r="C339" s="168" t="n"/>
      <c r="D339" s="43" t="n"/>
      <c r="E339" s="161">
        <f>0</f>
        <v>0.0</v>
      </c>
      <c r="F339" s="162">
        <f>0</f>
        <v>0.0</v>
      </c>
      <c r="G339" s="162">
        <f>0</f>
        <v>0.0</v>
      </c>
      <c r="H339" s="161">
        <f>0</f>
        <v>0.0</v>
      </c>
      <c r="I339" s="162">
        <f>0</f>
        <v>0.0</v>
      </c>
      <c r="J339" s="162">
        <f>0</f>
        <v>0.0</v>
      </c>
      <c r="K339" s="163">
        <f>0</f>
        <v>0.0</v>
      </c>
      <c r="L339" s="164">
        <f>0</f>
        <v>0.0</v>
      </c>
      <c r="M339" s="164">
        <f>0</f>
        <v>0.0</v>
      </c>
    </row>
    <row r="340" ht="15.75" customHeight="1">
      <c r="A340" s="152" t="n"/>
      <c r="B340" s="155" t="n"/>
      <c r="C340" s="154" t="n"/>
      <c r="D340" s="160" t="inlineStr">
        <is>
          <t>Other</t>
        </is>
      </c>
      <c r="E340" s="161">
        <f>0</f>
        <v>0.0</v>
      </c>
      <c r="F340" s="162">
        <f>0</f>
        <v>0.0</v>
      </c>
      <c r="G340" s="162">
        <f>0</f>
        <v>0.0</v>
      </c>
      <c r="H340" s="161">
        <f>0</f>
        <v>0.0</v>
      </c>
      <c r="I340" s="162">
        <f>0</f>
        <v>0.0</v>
      </c>
      <c r="J340" s="162">
        <f>0</f>
        <v>0.0</v>
      </c>
      <c r="K340" s="163">
        <f>0</f>
        <v>0.0</v>
      </c>
      <c r="L340" s="164">
        <f>0</f>
        <v>0.0</v>
      </c>
      <c r="M340" s="164">
        <f>0</f>
        <v>0.0</v>
      </c>
    </row>
    <row r="341" ht="15.75" customHeight="1">
      <c r="A341" s="152" t="n"/>
      <c r="B341" s="155" t="n"/>
      <c r="C341" s="154" t="n"/>
      <c r="D341" s="160" t="inlineStr">
        <is>
          <t>Total</t>
        </is>
      </c>
      <c r="E341" s="165">
        <f>SUMIFS(BSCRInput[count_policies],BSCRInput[bscr_entity],"HIG",BSCRInput[region],"ALL",BSCRInput[peril_id],1,BSCRInput[is_geocoded],1,BSCRInput[cntrycode],"US")</f>
        <v>221.0</v>
      </c>
      <c r="F341" s="169">
        <f>SUMIFS(BSCRInput[sum_pml],BSCRInput[bscr_entity],"HIG",BSCRInput[region],"ALL",BSCRInput[peril_id],1,BSCRInput[is_geocoded],1,BSCRInput[cntrycode],"US")/1000000</f>
        <v>1215.8385588789579</v>
      </c>
      <c r="G341" s="169">
        <f>SUMIFS(BSCRInput[sum_net],BSCRInput[bscr_entity],"HIG",BSCRInput[region],"ALL",BSCRInput[peril_id],1,BSCRInput[is_geocoded],1,BSCRInput[cntrycode],"US")/1000000</f>
        <v>892.4930489270042</v>
      </c>
      <c r="H341" s="170">
        <f>(SUMIFS(BSCRInput[count_policies],BSCRInput[bscr_entity],"HIG",BSCRInput[region],"ALL",BSCRInput[peril_id],1,BSCRInput[is_geocoded],1)-SUMIFS(BSCRInput[count_policies],BSCRInput[bscr_entity],"HIG",BSCRInput[region],"ALL",BSCRInput[peril_id],1,BSCRInput[is_geocoded],1,BSCRInput[cntrycode],"US"))</f>
        <v>1688.0</v>
      </c>
      <c r="I341" s="169">
        <f>(SUMIFS(BSCRInput[sum_pml],BSCRInput[bscr_entity],"HIG",BSCRInput[region],"ALL",BSCRInput[peril_id],1,BSCRInput[is_geocoded],1)-SUMIFS(BSCRInput[sum_pml],BSCRInput[bscr_entity],"HIG",BSCRInput[region],"ALL",BSCRInput[peril_id],1,BSCRInput[is_geocoded],1,BSCRInput[cntrycode],"US"))/1000000</f>
        <v>8548.874988996182</v>
      </c>
      <c r="J341" s="166">
        <f>(SUMIFS(BSCRInput[sum_net],BSCRInput[bscr_entity],"HIG",BSCRInput[region],"ALL",BSCRInput[peril_id],1,BSCRInput[is_geocoded],1)-SUMIFS(BSCRInput[sum_net],BSCRInput[bscr_entity],"HIG",BSCRInput[region],"ALL",BSCRInput[peril_id],1,BSCRInput[is_geocoded],1,BSCRInput[cntrycode],"US"))/1000000</f>
        <v>6892.086442883235</v>
      </c>
      <c r="K341" s="165">
        <f>SUMIFS(BSCRInput[count_policies],BSCRInput[bscr_entity],"HIG",BSCRInput[region],"ALL",BSCRInput[peril_id],1,BSCRInput[is_geocoded],1)</f>
        <v>1909.0</v>
      </c>
      <c r="L341" s="166">
        <f>SUMIFS(BSCRInput[sum_pml],BSCRInput[bscr_entity],"HIG",BSCRInput[region],"ALL",BSCRInput[peril_id],1,BSCRInput[is_geocoded],1)/1000000</f>
        <v>9764.713547875139</v>
      </c>
      <c r="M341" s="166">
        <f>SUMIFS(BSCRInput[sum_net],BSCRInput[bscr_entity],"HIG",BSCRInput[region],"ALL",BSCRInput[peril_id],1,BSCRInput[is_geocoded],1)/1000000</f>
        <v>7784.579491810239</v>
      </c>
    </row>
    <row r="342" ht="9.199999999999999" customHeight="1">
      <c r="A342" s="152" t="n"/>
      <c r="B342" s="155" t="n"/>
      <c r="C342" s="154" t="n"/>
      <c r="D342" s="160" t="n"/>
      <c r="E342" s="167" t="n"/>
      <c r="F342" s="167" t="n"/>
      <c r="G342" s="167" t="n"/>
      <c r="H342" s="154" t="n"/>
      <c r="I342" s="154" t="n"/>
      <c r="J342" s="154" t="n"/>
      <c r="K342" s="154" t="n"/>
      <c r="L342" s="154" t="n"/>
      <c r="M342" s="154" t="n"/>
    </row>
    <row r="343" ht="15.75" customHeight="1">
      <c r="A343" s="152" t="n"/>
      <c r="B343" s="155" t="n"/>
      <c r="C343" s="154" t="inlineStr">
        <is>
          <t>If other is selected, describe the methodology as appropriate:</t>
        </is>
      </c>
      <c r="D343" s="154" t="n"/>
      <c r="E343" s="167" t="n"/>
      <c r="F343" s="167" t="n"/>
      <c r="G343" s="167" t="n"/>
      <c r="H343" s="154" t="n"/>
      <c r="I343" s="154" t="n"/>
      <c r="J343" s="154" t="n"/>
      <c r="K343" s="154" t="n"/>
      <c r="L343" s="154" t="n"/>
      <c r="M343" s="154" t="n"/>
    </row>
    <row r="344" ht="15.75" customHeight="1">
      <c r="A344" s="152" t="n"/>
      <c r="B344" s="155" t="n"/>
      <c r="C344" s="171" t="n"/>
      <c r="D344" s="45" t="n"/>
      <c r="E344" s="45" t="n"/>
      <c r="F344" s="45" t="n"/>
      <c r="G344" s="45" t="n"/>
      <c r="H344" s="45" t="n"/>
      <c r="I344" s="45" t="n"/>
      <c r="J344" s="45" t="n"/>
      <c r="K344" s="45" t="n"/>
      <c r="L344" s="45" t="n"/>
      <c r="M344" s="46" t="n"/>
    </row>
    <row r="345" ht="9.199999999999999" customHeight="1">
      <c r="A345" s="152" t="n"/>
      <c r="B345" s="155" t="n"/>
      <c r="C345" s="154" t="n"/>
      <c r="D345" s="154" t="n"/>
      <c r="E345" s="154" t="n"/>
      <c r="F345" s="154" t="n"/>
      <c r="G345" s="154" t="n"/>
      <c r="H345" s="154" t="n"/>
      <c r="I345" s="154" t="n"/>
      <c r="J345" s="154" t="n"/>
      <c r="K345" s="154" t="n"/>
      <c r="L345" s="154" t="n"/>
      <c r="M345" s="154" t="n"/>
    </row>
    <row r="346" ht="15.75" customHeight="1">
      <c r="A346" s="152" t="n"/>
      <c r="B346" s="155" t="n">
        <v>4</v>
      </c>
      <c r="C346" s="155" t="inlineStr">
        <is>
          <t xml:space="preserve">For those contracts that are written by the insurance group that may be modelled (but are not modelled), provide splits of those that are: </t>
        </is>
      </c>
      <c r="D346" s="154" t="n"/>
      <c r="E346" s="154" t="n"/>
      <c r="F346" s="154" t="n"/>
      <c r="G346" s="154" t="n"/>
      <c r="H346" s="154" t="n"/>
      <c r="I346" s="154" t="n"/>
      <c r="J346" s="154" t="n"/>
      <c r="K346" s="154" t="n"/>
      <c r="L346" s="154" t="n"/>
      <c r="M346" s="154" t="n"/>
    </row>
    <row r="347" ht="9.199999999999999" customHeight="1">
      <c r="A347" s="152" t="n"/>
      <c r="B347" s="155" t="n"/>
      <c r="C347" s="154" t="n"/>
      <c r="D347" s="154" t="n"/>
      <c r="E347" s="154" t="n"/>
      <c r="F347" s="154" t="n"/>
      <c r="G347" s="154" t="n"/>
      <c r="H347" s="154" t="n"/>
      <c r="I347" s="154" t="n"/>
      <c r="J347" s="154" t="n"/>
      <c r="K347" s="154" t="n"/>
      <c r="L347" s="154" t="n"/>
      <c r="M347" s="154" t="n"/>
    </row>
    <row r="348" ht="25.5" customHeight="1">
      <c r="A348" s="152" t="n"/>
      <c r="B348" s="155" t="n"/>
      <c r="C348" s="154" t="n"/>
      <c r="D348" s="154" t="n"/>
      <c r="E348" s="156" t="str">
        <f>+E315</f>
        <v>U.S. specific contracts - all exposures</v>
      </c>
      <c r="F348" s="157" t="n"/>
      <c r="G348" s="22" t="n"/>
      <c r="H348" s="156" t="str">
        <f>+H315</f>
        <v>All other contracts - all exposures</v>
      </c>
      <c r="I348" s="157" t="n"/>
      <c r="J348" s="22" t="n"/>
      <c r="K348" s="156" t="inlineStr">
        <is>
          <t>Total</t>
        </is>
      </c>
      <c r="L348" s="157" t="n"/>
      <c r="M348" s="22" t="n"/>
    </row>
    <row r="349" ht="31.5" customHeight="1">
      <c r="A349" s="152" t="n"/>
      <c r="B349" s="155" t="n"/>
      <c r="C349" s="154" t="n"/>
      <c r="D349" s="154" t="n"/>
      <c r="E349" s="158" t="inlineStr">
        <is>
          <t>Contract count</t>
        </is>
      </c>
      <c r="F349" s="158" t="inlineStr">
        <is>
          <t xml:space="preserve">Gross limit provided </t>
        </is>
      </c>
      <c r="G349" s="158" t="inlineStr">
        <is>
          <t>Net limit provided</t>
        </is>
      </c>
      <c r="H349" s="158" t="inlineStr">
        <is>
          <t>Contract count</t>
        </is>
      </c>
      <c r="I349" s="158" t="inlineStr">
        <is>
          <t xml:space="preserve">Gross limit provided </t>
        </is>
      </c>
      <c r="J349" s="158" t="inlineStr">
        <is>
          <t>Net limit provided</t>
        </is>
      </c>
      <c r="K349" s="158" t="inlineStr">
        <is>
          <t>Contract count</t>
        </is>
      </c>
      <c r="L349" s="158" t="inlineStr">
        <is>
          <t xml:space="preserve">Gross limit provided </t>
        </is>
      </c>
      <c r="M349" s="158" t="inlineStr">
        <is>
          <t>Net limit provided</t>
        </is>
      </c>
    </row>
    <row r="350" ht="15.75" customHeight="1">
      <c r="A350" s="152" t="n"/>
      <c r="B350" s="155" t="n"/>
      <c r="C350" s="154" t="n"/>
      <c r="D350" s="154" t="n"/>
      <c r="E350" s="159" t="n"/>
      <c r="F350" s="158" t="inlineStr">
        <is>
          <t>($M)</t>
        </is>
      </c>
      <c r="G350" s="158" t="inlineStr">
        <is>
          <t>($M)</t>
        </is>
      </c>
      <c r="H350" s="159" t="n"/>
      <c r="I350" s="158" t="inlineStr">
        <is>
          <t>($M)</t>
        </is>
      </c>
      <c r="J350" s="158" t="inlineStr">
        <is>
          <t>($M)</t>
        </is>
      </c>
      <c r="K350" s="159" t="n"/>
      <c r="L350" s="158" t="inlineStr">
        <is>
          <t>($M)</t>
        </is>
      </c>
      <c r="M350" s="158" t="inlineStr">
        <is>
          <t>($M)</t>
        </is>
      </c>
    </row>
    <row r="351" ht="15.75" customHeight="1">
      <c r="A351" s="152" t="n"/>
      <c r="B351" s="155" t="n"/>
      <c r="C351" s="154" t="n"/>
      <c r="D351" s="160" t="inlineStr">
        <is>
          <t>Data deficient</t>
        </is>
      </c>
      <c r="E351" s="161">
        <f>SUMIFS(BSCRInput[count_policies],BSCRInput[bscr_entity],"HIG",BSCRInput[region],"ALL",BSCRInput[peril_id],1,BSCRInput[is_geocoded],0,BSCRInput[cntrycode],"US")</f>
        <v>7.0</v>
      </c>
      <c r="F351" s="162">
        <f>SUMIFS(BSCRInput[sum_pml],BSCRInput[bscr_entity],"HIG",BSCRInput[region],"ALL",BSCRInput[peril_id],1,BSCRInput[is_geocoded],0,BSCRInput[cntrycode],"US")/1000000</f>
        <v>8.090936363678377</v>
      </c>
      <c r="G351" s="162">
        <f>SUMIFS(BSCRInput[sum_net],BSCRInput[bscr_entity],"HIG",BSCRInput[region],"ALL",BSCRInput[peril_id],1,BSCRInput[is_geocoded],0,BSCRInput[cntrycode],"US")/1000000</f>
        <v>7.479319331113445</v>
      </c>
      <c r="H351" s="161">
        <f>(SUMIFS(BSCRInput[count_policies],BSCRInput[bscr_entity],"HIG",BSCRInput[region],"ALL",BSCRInput[peril_id],1,BSCRInput[is_geocoded],0)-SUMIFS(BSCRInput[count_policies],BSCRInput[bscr_entity],"HIG",BSCRInput[region],"ALL",BSCRInput[peril_id],1,BSCRInput[is_geocoded],0,BSCRInput[cntrycode],"US"))</f>
        <v>22.0</v>
      </c>
      <c r="I351" s="162">
        <f>(SUMIFS(BSCRInput[sum_pml],BSCRInput[bscr_entity],"HIG",BSCRInput[region],"ALL",BSCRInput[peril_id],1,BSCRInput[is_geocoded],0)-SUMIFS(BSCRInput[sum_pml],BSCRInput[bscr_entity],"HIG",BSCRInput[region],"ALL",BSCRInput[peril_id],1,BSCRInput[is_geocoded],0,BSCRInput[cntrycode],"US"))/1000000</f>
        <v>151.05838476013184</v>
      </c>
      <c r="J351" s="162">
        <f>(SUMIFS(BSCRInput[sum_net],BSCRInput[bscr_entity],"HIG",BSCRInput[region],"ALL",BSCRInput[peril_id],1,BSCRInput[is_geocoded],0)-SUMIFS(BSCRInput[sum_net],BSCRInput[bscr_entity],"HIG",BSCRInput[region],"ALL",BSCRInput[peril_id],1,BSCRInput[is_geocoded],0,BSCRInput[cntrycode],"US"))/1000000</f>
        <v>84.7698031592725</v>
      </c>
      <c r="K351" s="163">
        <f>SUMIFS(BSCRInput[count_policies],BSCRInput[bscr_entity],"HIG",BSCRInput[region],"ALL",BSCRInput[peril_id],1,BSCRInput[is_geocoded],0)</f>
        <v>29.0</v>
      </c>
      <c r="L351" s="164">
        <f>SUMIFS(BSCRInput[sum_pml],BSCRInput[bscr_entity],"HIG",BSCRInput[region],"ALL",BSCRInput[peril_id],1,BSCRInput[is_geocoded],0)/1000000</f>
        <v>159.1493211238102</v>
      </c>
      <c r="M351" s="164">
        <f>SUMIFS(BSCRInput[sum_net],BSCRInput[bscr_entity],"HIG",BSCRInput[region],"ALL",BSCRInput[peril_id],1,BSCRInput[is_geocoded],0)/1000000</f>
        <v>92.24912249038593</v>
      </c>
    </row>
    <row r="352" ht="15.75" customHeight="1">
      <c r="A352" s="152" t="n"/>
      <c r="B352" s="155" t="n"/>
      <c r="C352" s="154" t="n"/>
      <c r="D352" s="160" t="inlineStr">
        <is>
          <t>Model deficient</t>
        </is>
      </c>
      <c r="E352" s="161">
        <f>0</f>
        <v>0.0</v>
      </c>
      <c r="F352" s="162">
        <f>0</f>
        <v>0.0</v>
      </c>
      <c r="G352" s="162">
        <f>0</f>
        <v>0.0</v>
      </c>
      <c r="H352" s="161">
        <f>0</f>
        <v>0.0</v>
      </c>
      <c r="I352" s="162">
        <f>0</f>
        <v>0.0</v>
      </c>
      <c r="J352" s="162">
        <f>0</f>
        <v>0.0</v>
      </c>
      <c r="K352" s="163">
        <f>0</f>
        <v>0.0</v>
      </c>
      <c r="L352" s="164">
        <f>0</f>
        <v>0.0</v>
      </c>
      <c r="M352" s="164">
        <f>0</f>
        <v>0.0</v>
      </c>
    </row>
    <row r="353" ht="15.75" customHeight="1">
      <c r="A353" s="152" t="n"/>
      <c r="B353" s="155" t="n"/>
      <c r="C353" s="154" t="n"/>
      <c r="D353" s="160" t="inlineStr">
        <is>
          <t>Other</t>
        </is>
      </c>
      <c r="E353" s="161">
        <f>0</f>
        <v>0.0</v>
      </c>
      <c r="F353" s="162">
        <f>0</f>
        <v>0.0</v>
      </c>
      <c r="G353" s="162">
        <f>0</f>
        <v>0.0</v>
      </c>
      <c r="H353" s="161">
        <f>0</f>
        <v>0.0</v>
      </c>
      <c r="I353" s="162">
        <f>0</f>
        <v>0.0</v>
      </c>
      <c r="J353" s="162">
        <f>0</f>
        <v>0.0</v>
      </c>
      <c r="K353" s="163">
        <f>0</f>
        <v>0.0</v>
      </c>
      <c r="L353" s="164">
        <f>0</f>
        <v>0.0</v>
      </c>
      <c r="M353" s="164">
        <f>0</f>
        <v>0.0</v>
      </c>
    </row>
    <row r="354" ht="16.5" customHeight="1">
      <c r="A354" s="152" t="n"/>
      <c r="B354" s="155" t="n"/>
      <c r="C354" s="154" t="n"/>
      <c r="D354" s="160" t="inlineStr">
        <is>
          <t>Total</t>
        </is>
      </c>
      <c r="E354" s="165">
        <f>SUMIFS(BSCRInput[count_policies],BSCRInput[bscr_entity],"HIG",BSCRInput[region],"ALL",BSCRInput[peril_id],1,BSCRInput[is_geocoded],0,BSCRInput[cntrycode],"US")</f>
        <v>7.0</v>
      </c>
      <c r="F354" s="166">
        <f>SUMIFS(BSCRInput[sum_pml],BSCRInput[bscr_entity],"HIG",BSCRInput[region],"ALL",BSCRInput[peril_id],1,BSCRInput[is_geocoded],0,BSCRInput[cntrycode],"US")/1000000</f>
        <v>8.090936363678377</v>
      </c>
      <c r="G354" s="166">
        <f>SUMIFS(BSCRInput[sum_net],BSCRInput[bscr_entity],"HIG",BSCRInput[region],"ALL",BSCRInput[peril_id],1,BSCRInput[is_geocoded],0,BSCRInput[cntrycode],"US")/1000000</f>
        <v>7.479319331113445</v>
      </c>
      <c r="H354" s="165">
        <f>(SUMIFS(BSCRInput[count_policies],BSCRInput[bscr_entity],"HIG",BSCRInput[region],"ALL",BSCRInput[peril_id],1,BSCRInput[is_geocoded],0)-SUMIFS(BSCRInput[count_policies],BSCRInput[bscr_entity],"HIG",BSCRInput[region],"ALL",BSCRInput[peril_id],1,BSCRInput[is_geocoded],0,BSCRInput[cntrycode],"US"))</f>
        <v>22.0</v>
      </c>
      <c r="I354" s="166">
        <f>(SUMIFS(BSCRInput[sum_pml],BSCRInput[bscr_entity],"HIG",BSCRInput[region],"ALL",BSCRInput[peril_id],1,BSCRInput[is_geocoded],0)-SUMIFS(BSCRInput[sum_pml],BSCRInput[bscr_entity],"HIG",BSCRInput[region],"ALL",BSCRInput[peril_id],1,BSCRInput[is_geocoded],0,BSCRInput[cntrycode],"US"))/1000000</f>
        <v>151.05838476013184</v>
      </c>
      <c r="J354" s="166">
        <f>(SUMIFS(BSCRInput[sum_net],BSCRInput[bscr_entity],"HIG",BSCRInput[region],"ALL",BSCRInput[peril_id],1,BSCRInput[is_geocoded],0)-SUMIFS(BSCRInput[sum_net],BSCRInput[bscr_entity],"HIG",BSCRInput[region],"ALL",BSCRInput[peril_id],1,BSCRInput[is_geocoded],0,BSCRInput[cntrycode],"US"))/1000000</f>
        <v>84.7698031592725</v>
      </c>
      <c r="K354" s="165">
        <f>SUMIFS(BSCRInput[count_policies],BSCRInput[bscr_entity],"HIG",BSCRInput[region],"ALL",BSCRInput[peril_id],1,BSCRInput[is_geocoded],0)</f>
        <v>29.0</v>
      </c>
      <c r="L354" s="166">
        <f>SUMIFS(BSCRInput[sum_pml],BSCRInput[bscr_entity],"HIG",BSCRInput[region],"ALL",BSCRInput[peril_id],1,BSCRInput[is_geocoded],0)/1000000</f>
        <v>159.1493211238102</v>
      </c>
      <c r="M354" s="166">
        <f>SUMIFS(BSCRInput[sum_net],BSCRInput[bscr_entity],"HIG",BSCRInput[region],"ALL",BSCRInput[peril_id],1,BSCRInput[is_geocoded],0)/1000000</f>
        <v>92.24912249038593</v>
      </c>
    </row>
    <row r="355" ht="9.199999999999999" customHeight="1">
      <c r="A355" s="152" t="n"/>
      <c r="B355" s="155" t="n"/>
      <c r="C355" s="154" t="n"/>
      <c r="D355" s="154" t="n"/>
      <c r="E355" s="154" t="n"/>
      <c r="F355" s="154" t="n"/>
      <c r="G355" s="154" t="n"/>
      <c r="H355" s="154" t="n"/>
      <c r="I355" s="154" t="n"/>
      <c r="J355" s="154" t="n"/>
      <c r="K355" s="154" t="n"/>
      <c r="L355" s="154" t="n"/>
      <c r="M355" s="154" t="n"/>
    </row>
    <row r="356" ht="15.75" customHeight="1">
      <c r="A356" s="152" t="n"/>
      <c r="B356" s="155" t="n"/>
      <c r="C356" s="154" t="inlineStr">
        <is>
          <t>If other is selected, describe the reasons for not modelling the contract(s):</t>
        </is>
      </c>
      <c r="D356" s="154" t="n"/>
      <c r="E356" s="167" t="n"/>
      <c r="F356" s="167" t="n"/>
      <c r="G356" s="167" t="n"/>
      <c r="H356" s="154" t="n"/>
      <c r="I356" s="154" t="n"/>
      <c r="J356" s="154" t="n"/>
      <c r="K356" s="154" t="n"/>
      <c r="L356" s="154" t="n"/>
      <c r="M356" s="154" t="n"/>
    </row>
    <row r="357" ht="15.75" customHeight="1">
      <c r="A357" s="152" t="n"/>
      <c r="B357" s="155" t="n"/>
      <c r="C357" s="171" t="n"/>
      <c r="D357" s="45" t="n"/>
      <c r="E357" s="45" t="n"/>
      <c r="F357" s="45" t="n"/>
      <c r="G357" s="45" t="n"/>
      <c r="H357" s="45" t="n"/>
      <c r="I357" s="45" t="n"/>
      <c r="J357" s="45" t="n"/>
      <c r="K357" s="45" t="n"/>
      <c r="L357" s="45" t="n"/>
      <c r="M357" s="46" t="n"/>
    </row>
    <row r="358" ht="9.199999999999999" customHeight="1">
      <c r="A358" s="152" t="n"/>
      <c r="B358" s="155" t="n"/>
      <c r="C358" s="154" t="n"/>
      <c r="D358" s="154" t="n"/>
      <c r="E358" s="154" t="n"/>
      <c r="F358" s="154" t="n"/>
      <c r="G358" s="154" t="n"/>
      <c r="H358" s="154" t="n"/>
      <c r="I358" s="154" t="n"/>
      <c r="J358" s="154" t="n"/>
      <c r="K358" s="154" t="n"/>
      <c r="L358" s="154" t="n"/>
      <c r="M358" s="154" t="n"/>
    </row>
    <row r="359" ht="30" customHeight="1">
      <c r="A359" s="152" t="n"/>
      <c r="B359" s="172" t="n">
        <v>5</v>
      </c>
      <c r="C359" s="173" t="inlineStr">
        <is>
          <t>For contracts that are written by the insurance group that may be modelled (but are not modelled), describe what the members of the insurance group do from an accumulation perspective.</t>
        </is>
      </c>
    </row>
    <row r="360" ht="9.199999999999999" customHeight="1">
      <c r="A360" s="152" t="n"/>
      <c r="B360" s="155" t="n"/>
      <c r="C360" s="154" t="n"/>
      <c r="D360" s="154" t="n"/>
      <c r="E360" s="154" t="n"/>
      <c r="F360" s="154" t="n"/>
      <c r="G360" s="154" t="n"/>
      <c r="H360" s="154" t="n"/>
      <c r="I360" s="154" t="n"/>
      <c r="J360" s="154" t="n"/>
      <c r="K360" s="154" t="n"/>
      <c r="L360" s="154" t="n"/>
      <c r="M360" s="154" t="n"/>
    </row>
    <row r="361" ht="18" customHeight="1">
      <c r="A361" s="152" t="n"/>
      <c r="B361" s="155" t="n"/>
      <c r="C361" s="171" t="n"/>
      <c r="D361" s="45" t="n"/>
      <c r="E361" s="45" t="n"/>
      <c r="F361" s="45" t="n"/>
      <c r="G361" s="45" t="n"/>
      <c r="H361" s="45" t="n"/>
      <c r="I361" s="45" t="n"/>
      <c r="J361" s="45" t="n"/>
      <c r="K361" s="45" t="n"/>
      <c r="L361" s="45" t="n"/>
      <c r="M361" s="46" t="n"/>
    </row>
    <row r="362" ht="9.199999999999999" customHeight="1">
      <c r="A362" s="152" t="n"/>
      <c r="B362" s="155" t="n"/>
      <c r="C362" s="154" t="n"/>
      <c r="D362" s="154" t="n"/>
      <c r="E362" s="154" t="n"/>
      <c r="F362" s="154" t="n"/>
      <c r="G362" s="154" t="n"/>
      <c r="H362" s="154" t="n"/>
      <c r="I362" s="154" t="n"/>
      <c r="J362" s="154" t="n"/>
      <c r="K362" s="154" t="n"/>
      <c r="L362" s="154" t="n"/>
      <c r="M362" s="154" t="n"/>
    </row>
    <row r="363" ht="15.75" customHeight="1">
      <c r="A363" s="152" t="n"/>
      <c r="B363" s="155" t="n">
        <v>6</v>
      </c>
      <c r="C363" s="155" t="inlineStr">
        <is>
          <t>For contracts that are written by the insurance group that are unable to be modelled, provide splits of those that are:</t>
        </is>
      </c>
      <c r="D363" s="154" t="n"/>
      <c r="E363" s="154" t="n"/>
      <c r="F363" s="154" t="n"/>
      <c r="G363" s="154" t="n"/>
      <c r="H363" s="154" t="n"/>
      <c r="I363" s="154" t="n"/>
      <c r="J363" s="154" t="n"/>
      <c r="K363" s="154" t="n"/>
      <c r="L363" s="154" t="n"/>
      <c r="M363" s="154" t="n"/>
    </row>
    <row r="364" ht="9.199999999999999" customHeight="1">
      <c r="A364" s="152" t="n"/>
      <c r="B364" s="155" t="n"/>
      <c r="C364" s="154" t="n"/>
      <c r="D364" s="154" t="n"/>
      <c r="E364" s="154" t="n"/>
      <c r="F364" s="154" t="n"/>
      <c r="G364" s="154" t="n"/>
      <c r="H364" s="154" t="n"/>
      <c r="I364" s="154" t="n"/>
      <c r="J364" s="154" t="n"/>
      <c r="K364" s="154" t="n"/>
      <c r="L364" s="154" t="n"/>
      <c r="M364" s="154" t="n"/>
    </row>
    <row r="365" ht="21.75" customHeight="1">
      <c r="A365" s="152" t="n"/>
      <c r="B365" s="155" t="n"/>
      <c r="C365" s="154" t="n"/>
      <c r="D365" s="154" t="n"/>
      <c r="E365" s="156" t="str">
        <f>+E315</f>
        <v>U.S. specific contracts - all exposures</v>
      </c>
      <c r="F365" s="157" t="n"/>
      <c r="G365" s="22" t="n"/>
      <c r="H365" s="156" t="str">
        <f>+H315</f>
        <v>All other contracts - all exposures</v>
      </c>
      <c r="I365" s="157" t="n"/>
      <c r="J365" s="22" t="n"/>
      <c r="K365" s="156" t="inlineStr">
        <is>
          <t>Total</t>
        </is>
      </c>
      <c r="L365" s="157" t="n"/>
      <c r="M365" s="22" t="n"/>
    </row>
    <row r="366" ht="31.5" customHeight="1">
      <c r="A366" s="152" t="n"/>
      <c r="B366" s="155" t="n"/>
      <c r="C366" s="154" t="n"/>
      <c r="D366" s="154" t="n"/>
      <c r="E366" s="158" t="inlineStr">
        <is>
          <t>Contract count</t>
        </is>
      </c>
      <c r="F366" s="158" t="inlineStr">
        <is>
          <t xml:space="preserve">Gross limit provided </t>
        </is>
      </c>
      <c r="G366" s="158" t="inlineStr">
        <is>
          <t>Net limit provided</t>
        </is>
      </c>
      <c r="H366" s="158" t="inlineStr">
        <is>
          <t>Contract count</t>
        </is>
      </c>
      <c r="I366" s="158" t="inlineStr">
        <is>
          <t xml:space="preserve">Gross limit provided </t>
        </is>
      </c>
      <c r="J366" s="158" t="inlineStr">
        <is>
          <t>Net limit provided</t>
        </is>
      </c>
      <c r="K366" s="158" t="inlineStr">
        <is>
          <t>Contract count</t>
        </is>
      </c>
      <c r="L366" s="158" t="inlineStr">
        <is>
          <t xml:space="preserve">Gross limit provided </t>
        </is>
      </c>
      <c r="M366" s="158" t="inlineStr">
        <is>
          <t>Net limit provided</t>
        </is>
      </c>
    </row>
    <row r="367" ht="17.25" customHeight="1">
      <c r="A367" s="152" t="n"/>
      <c r="B367" s="155" t="n"/>
      <c r="C367" s="154" t="n"/>
      <c r="D367" s="154" t="n"/>
      <c r="E367" s="159" t="n"/>
      <c r="F367" s="158" t="inlineStr">
        <is>
          <t>($M)</t>
        </is>
      </c>
      <c r="G367" s="158" t="inlineStr">
        <is>
          <t>($M)</t>
        </is>
      </c>
      <c r="H367" s="159" t="n"/>
      <c r="I367" s="158" t="inlineStr">
        <is>
          <t>($M)</t>
        </is>
      </c>
      <c r="J367" s="158" t="inlineStr">
        <is>
          <t>($M)</t>
        </is>
      </c>
      <c r="K367" s="159" t="n"/>
      <c r="L367" s="158" t="inlineStr">
        <is>
          <t>($M)</t>
        </is>
      </c>
      <c r="M367" s="158" t="inlineStr">
        <is>
          <t>($M)</t>
        </is>
      </c>
    </row>
    <row r="368" ht="15.75" customHeight="1">
      <c r="A368" s="152" t="n"/>
      <c r="B368" s="155" t="n"/>
      <c r="C368" s="154" t="n"/>
      <c r="D368" s="160" t="inlineStr">
        <is>
          <t>Data deficient</t>
        </is>
      </c>
      <c r="E368" s="161">
        <f>SUMIFS(BSCRInput[count_policies],BSCRInput[bscr_entity],"HIG",BSCRInput[region],"ALL",BSCRInput[peril_id],1,BSCRInput[is_geocoded],0,BSCRInput[cntrycode],"US")</f>
        <v>7.0</v>
      </c>
      <c r="F368" s="162">
        <f>SUMIFS(BSCRInput[sum_pml],BSCRInput[bscr_entity],"HIG",BSCRInput[region],"ALL",BSCRInput[peril_id],1,BSCRInput[is_geocoded],0,BSCRInput[cntrycode],"US")/1000000</f>
        <v>8.090936363678377</v>
      </c>
      <c r="G368" s="162">
        <f>SUMIFS(BSCRInput[sum_net],BSCRInput[bscr_entity],"HIG",BSCRInput[region],"ALL",BSCRInput[peril_id],1,BSCRInput[is_geocoded],0,BSCRInput[cntrycode],"US")/1000000</f>
        <v>7.479319331113445</v>
      </c>
      <c r="H368" s="161">
        <f>(SUMIFS(BSCRInput[count_policies],BSCRInput[bscr_entity],"HIG",BSCRInput[region],"ALL",BSCRInput[peril_id],1,BSCRInput[is_geocoded],0)-SUMIFS(BSCRInput[count_policies],BSCRInput[bscr_entity],"HIG",BSCRInput[region],"ALL",BSCRInput[peril_id],1,BSCRInput[is_geocoded],0,BSCRInput[cntrycode],"US"))</f>
        <v>22.0</v>
      </c>
      <c r="I368" s="162">
        <f>(SUMIFS(BSCRInput[sum_pml],BSCRInput[bscr_entity],"HIG",BSCRInput[region],"ALL",BSCRInput[peril_id],1,BSCRInput[is_geocoded],0)-SUMIFS(BSCRInput[sum_pml],BSCRInput[bscr_entity],"HIG",BSCRInput[region],"ALL",BSCRInput[peril_id],1,BSCRInput[is_geocoded],0,BSCRInput[cntrycode],"US"))/1000000</f>
        <v>151.05838476013184</v>
      </c>
      <c r="J368" s="162">
        <f>(SUMIFS(BSCRInput[sum_net],BSCRInput[bscr_entity],"HIG",BSCRInput[region],"ALL",BSCRInput[peril_id],1,BSCRInput[is_geocoded],0)-SUMIFS(BSCRInput[sum_net],BSCRInput[bscr_entity],"HIG",BSCRInput[region],"ALL",BSCRInput[peril_id],1,BSCRInput[is_geocoded],0,BSCRInput[cntrycode],"US"))/1000000</f>
        <v>84.7698031592725</v>
      </c>
      <c r="K368" s="174">
        <f>SUMIFS(BSCRInput[count_policies],BSCRInput[bscr_entity],"HIG",BSCRInput[region],"ALL",BSCRInput[peril_id],1,BSCRInput[is_geocoded],0)</f>
        <v>29.0</v>
      </c>
      <c r="L368" s="175">
        <f>SUMIFS(BSCRInput[sum_pml],BSCRInput[bscr_entity],"HIG",BSCRInput[region],"ALL",BSCRInput[peril_id],1,BSCRInput[is_geocoded],0)/1000000</f>
        <v>159.1493211238102</v>
      </c>
      <c r="M368" s="176">
        <f>SUMIFS(BSCRInput[sum_net],BSCRInput[bscr_entity],"HIG",BSCRInput[region],"ALL",BSCRInput[peril_id],1,BSCRInput[is_geocoded],0)/1000000</f>
        <v>92.24912249038593</v>
      </c>
    </row>
    <row r="369" ht="15.75" customHeight="1">
      <c r="A369" s="152" t="n"/>
      <c r="B369" s="155" t="n"/>
      <c r="C369" s="154" t="n"/>
      <c r="D369" s="160" t="inlineStr">
        <is>
          <t>No catastrophe model exists</t>
        </is>
      </c>
      <c r="E369" s="161">
        <f>0</f>
        <v>0.0</v>
      </c>
      <c r="F369" s="162">
        <f>0</f>
        <v>0.0</v>
      </c>
      <c r="G369" s="162">
        <f>0</f>
        <v>0.0</v>
      </c>
      <c r="H369" s="161">
        <f>0</f>
        <v>0.0</v>
      </c>
      <c r="I369" s="162">
        <f>0</f>
        <v>0.0</v>
      </c>
      <c r="J369" s="162">
        <f>0</f>
        <v>0.0</v>
      </c>
      <c r="K369" s="177">
        <f>0</f>
        <v>0.0</v>
      </c>
      <c r="L369" s="164">
        <f>0</f>
        <v>0.0</v>
      </c>
      <c r="M369" s="178">
        <f>0</f>
        <v>0.0</v>
      </c>
    </row>
    <row r="370" ht="15.75" customHeight="1">
      <c r="A370" s="152" t="n"/>
      <c r="B370" s="155" t="n"/>
      <c r="C370" s="154" t="n"/>
      <c r="D370" s="160" t="inlineStr">
        <is>
          <t>Model deficient</t>
        </is>
      </c>
      <c r="E370" s="161">
        <f>0</f>
        <v>0.0</v>
      </c>
      <c r="F370" s="162">
        <f>0</f>
        <v>0.0</v>
      </c>
      <c r="G370" s="162">
        <f>0</f>
        <v>0.0</v>
      </c>
      <c r="H370" s="161">
        <f>0</f>
        <v>0.0</v>
      </c>
      <c r="I370" s="162">
        <f>0</f>
        <v>0.0</v>
      </c>
      <c r="J370" s="162">
        <f>0</f>
        <v>0.0</v>
      </c>
      <c r="K370" s="177">
        <f>0</f>
        <v>0.0</v>
      </c>
      <c r="L370" s="164">
        <f>0</f>
        <v>0.0</v>
      </c>
      <c r="M370" s="178">
        <f>0</f>
        <v>0.0</v>
      </c>
    </row>
    <row r="371" ht="15.75" customHeight="1">
      <c r="A371" s="152" t="n"/>
      <c r="B371" s="155" t="n"/>
      <c r="C371" s="154" t="n"/>
      <c r="D371" s="160" t="inlineStr">
        <is>
          <t>Other</t>
        </is>
      </c>
      <c r="E371" s="161">
        <f>0</f>
        <v>0.0</v>
      </c>
      <c r="F371" s="162">
        <f>0</f>
        <v>0.0</v>
      </c>
      <c r="G371" s="162">
        <f>0</f>
        <v>0.0</v>
      </c>
      <c r="H371" s="161">
        <f>0</f>
        <v>0.0</v>
      </c>
      <c r="I371" s="162">
        <f>0</f>
        <v>0.0</v>
      </c>
      <c r="J371" s="162">
        <f>0</f>
        <v>0.0</v>
      </c>
      <c r="K371" s="177">
        <f>0</f>
        <v>0.0</v>
      </c>
      <c r="L371" s="164">
        <f>0</f>
        <v>0.0</v>
      </c>
      <c r="M371" s="178">
        <f>0</f>
        <v>0.0</v>
      </c>
    </row>
    <row r="372" ht="15.75" customHeight="1">
      <c r="A372" s="152" t="n"/>
      <c r="B372" s="155" t="n"/>
      <c r="C372" s="154" t="n"/>
      <c r="D372" s="160" t="inlineStr">
        <is>
          <t>Total</t>
        </is>
      </c>
      <c r="E372" s="165">
        <f>SUMIFS(BSCRInput[count_policies],BSCRInput[bscr_entity],"HIG",BSCRInput[region],"ALL",BSCRInput[peril_id],1,BSCRInput[is_geocoded],0,BSCRInput[cntrycode],"US")</f>
        <v>7.0</v>
      </c>
      <c r="F372" s="166">
        <f>SUMIFS(BSCRInput[sum_pml],BSCRInput[bscr_entity],"HIG",BSCRInput[region],"ALL",BSCRInput[peril_id],1,BSCRInput[is_geocoded],0,BSCRInput[cntrycode],"US")/1000000</f>
        <v>8.090936363678377</v>
      </c>
      <c r="G372" s="166">
        <f>SUMIFS(BSCRInput[sum_net],BSCRInput[bscr_entity],"HIG",BSCRInput[region],"ALL",BSCRInput[peril_id],1,BSCRInput[is_geocoded],0,BSCRInput[cntrycode],"US")/1000000</f>
        <v>7.479319331113445</v>
      </c>
      <c r="H372" s="165">
        <f>(SUMIFS(BSCRInput[count_policies],BSCRInput[bscr_entity],"HIG",BSCRInput[region],"ALL",BSCRInput[peril_id],1,BSCRInput[is_geocoded],0)-SUMIFS(BSCRInput[count_policies],BSCRInput[bscr_entity],"HIG",BSCRInput[region],"ALL",BSCRInput[peril_id],1,BSCRInput[is_geocoded],0,BSCRInput[cntrycode],"US"))</f>
        <v>22.0</v>
      </c>
      <c r="I372" s="166">
        <f>(SUMIFS(BSCRInput[sum_pml],BSCRInput[bscr_entity],"HIG",BSCRInput[region],"ALL",BSCRInput[peril_id],1,BSCRInput[is_geocoded],0)-SUMIFS(BSCRInput[sum_pml],BSCRInput[bscr_entity],"HIG",BSCRInput[region],"ALL",BSCRInput[peril_id],1,BSCRInput[is_geocoded],0,BSCRInput[cntrycode],"US"))/1000000</f>
        <v>151.05838476013184</v>
      </c>
      <c r="J372" s="166">
        <f>(SUMIFS(BSCRInput[sum_net],BSCRInput[bscr_entity],"HIG",BSCRInput[region],"ALL",BSCRInput[peril_id],1,BSCRInput[is_geocoded],0)-SUMIFS(BSCRInput[sum_net],BSCRInput[bscr_entity],"HIG",BSCRInput[region],"ALL",BSCRInput[peril_id],1,BSCRInput[is_geocoded],0,BSCRInput[cntrycode],"US"))/1000000</f>
        <v>84.7698031592725</v>
      </c>
      <c r="K372" s="165">
        <f>SUMIFS(BSCRInput[count_policies],BSCRInput[bscr_entity],"HIG",BSCRInput[region],"ALL",BSCRInput[peril_id],1,BSCRInput[is_geocoded],0)</f>
        <v>29.0</v>
      </c>
      <c r="L372" s="166">
        <f>SUMIFS(BSCRInput[sum_pml],BSCRInput[bscr_entity],"HIG",BSCRInput[region],"ALL",BSCRInput[peril_id],1,BSCRInput[is_geocoded],0)/1000000</f>
        <v>159.1493211238102</v>
      </c>
      <c r="M372" s="166">
        <f>SUMIFS(BSCRInput[sum_net],BSCRInput[bscr_entity],"HIG",BSCRInput[region],"ALL",BSCRInput[peril_id],1,BSCRInput[is_geocoded],0)/1000000</f>
        <v>92.24912249038593</v>
      </c>
    </row>
    <row r="373" ht="9.199999999999999" customHeight="1">
      <c r="A373" s="152" t="n"/>
      <c r="B373" s="155" t="n"/>
      <c r="C373" s="154" t="n"/>
      <c r="D373" s="154" t="n"/>
      <c r="E373" s="154" t="n"/>
      <c r="F373" s="154" t="n"/>
      <c r="G373" s="154" t="n"/>
      <c r="H373" s="154" t="n"/>
      <c r="I373" s="154" t="n"/>
      <c r="J373" s="154" t="n"/>
      <c r="K373" s="154" t="n"/>
      <c r="L373" s="154" t="n"/>
      <c r="M373" s="154" t="n"/>
    </row>
    <row r="374" ht="15.75" customHeight="1">
      <c r="A374" s="152" t="n"/>
      <c r="B374" s="155" t="n"/>
      <c r="C374" s="154" t="inlineStr">
        <is>
          <t>If other is selected, describe the reasons for not modelling the contract(s):</t>
        </is>
      </c>
      <c r="D374" s="154" t="n"/>
      <c r="E374" s="167" t="n"/>
      <c r="F374" s="167" t="n"/>
      <c r="G374" s="167" t="n"/>
      <c r="H374" s="154" t="n"/>
      <c r="I374" s="154" t="n"/>
      <c r="J374" s="154" t="n"/>
      <c r="K374" s="154" t="n"/>
      <c r="L374" s="154" t="n"/>
      <c r="M374" s="154" t="n"/>
    </row>
    <row r="375" ht="15.75" customHeight="1">
      <c r="A375" s="152" t="n"/>
      <c r="B375" s="155" t="n"/>
      <c r="C375" s="171" t="n"/>
      <c r="D375" s="179" t="n"/>
      <c r="E375" s="179" t="n"/>
      <c r="F375" s="179" t="n"/>
      <c r="G375" s="179" t="n"/>
      <c r="H375" s="179" t="n"/>
      <c r="I375" s="179" t="n"/>
      <c r="J375" s="179" t="n"/>
      <c r="K375" s="179" t="n"/>
      <c r="L375" s="179" t="n"/>
      <c r="M375" s="56" t="n"/>
    </row>
    <row r="376" ht="6.75" customHeight="1">
      <c r="A376" s="152" t="n"/>
      <c r="B376" s="155" t="n"/>
      <c r="C376" s="57" t="n"/>
      <c r="D376" s="180" t="n"/>
      <c r="E376" s="180" t="n"/>
      <c r="F376" s="180" t="n"/>
      <c r="G376" s="180" t="n"/>
      <c r="H376" s="180" t="n"/>
      <c r="I376" s="180" t="n"/>
      <c r="J376" s="180" t="n"/>
      <c r="K376" s="180" t="n"/>
      <c r="L376" s="180" t="n"/>
      <c r="M376" s="58" t="n"/>
    </row>
    <row r="377" ht="9.199999999999999" customHeight="1">
      <c r="A377" s="152" t="n"/>
      <c r="B377" s="155" t="n"/>
      <c r="C377" s="181" t="n"/>
      <c r="D377" s="181" t="n"/>
      <c r="E377" s="181" t="n"/>
      <c r="F377" s="181" t="n"/>
      <c r="G377" s="181" t="n"/>
      <c r="H377" s="181" t="n"/>
      <c r="I377" s="181" t="n"/>
      <c r="J377" s="181" t="n"/>
      <c r="K377" s="181" t="n"/>
      <c r="L377" s="181" t="n"/>
      <c r="M377" s="181" t="n"/>
    </row>
    <row r="378" ht="15.75" customHeight="1">
      <c r="A378" s="152" t="n"/>
      <c r="B378" s="155" t="n">
        <v>7</v>
      </c>
      <c r="C378" s="155" t="inlineStr">
        <is>
          <t>What percentage of total net premiums written represents contracts with no limits?</t>
        </is>
      </c>
      <c r="D378" s="154" t="n"/>
      <c r="E378" s="154" t="n"/>
      <c r="F378" s="154" t="n"/>
      <c r="G378" s="154" t="n"/>
      <c r="H378" s="154" t="n"/>
      <c r="I378" s="182" t="n"/>
      <c r="J378" s="154" t="n"/>
      <c r="K378" s="154" t="n"/>
      <c r="L378" s="154" t="n"/>
      <c r="M378" s="154" t="n"/>
    </row>
    <row r="379" ht="9.199999999999999" customHeight="1">
      <c r="A379" s="152" t="n"/>
      <c r="B379" s="155" t="n"/>
      <c r="C379" s="154" t="n"/>
      <c r="D379" s="154" t="n"/>
      <c r="E379" s="154" t="n"/>
      <c r="F379" s="154" t="n"/>
      <c r="G379" s="154" t="n"/>
      <c r="H379" s="154" t="n"/>
      <c r="I379" s="154" t="n"/>
      <c r="J379" s="154" t="n"/>
      <c r="K379" s="154" t="n"/>
      <c r="L379" s="154" t="n"/>
      <c r="M379" s="154" t="n"/>
    </row>
    <row r="380" ht="15.75" customHeight="1">
      <c r="A380" s="152" t="n"/>
      <c r="B380" s="155" t="n">
        <v>8</v>
      </c>
      <c r="C380" s="155" t="inlineStr">
        <is>
          <t>For contracts that are written by the insurance group that are not modellable, describe what the members of the insurance group do from an accumulation perspective.</t>
        </is>
      </c>
      <c r="D380" s="154" t="n"/>
      <c r="E380" s="154" t="n"/>
      <c r="F380" s="154" t="n"/>
      <c r="G380" s="154" t="n"/>
      <c r="H380" s="154" t="n"/>
      <c r="I380" s="154" t="n"/>
      <c r="J380" s="154" t="n"/>
      <c r="K380" s="154" t="n"/>
      <c r="L380" s="154" t="n"/>
      <c r="M380" s="154" t="n"/>
    </row>
    <row r="381" ht="9.199999999999999" customHeight="1">
      <c r="A381" s="152" t="n"/>
      <c r="B381" s="155" t="n"/>
      <c r="C381" s="154" t="n"/>
      <c r="D381" s="154" t="n"/>
      <c r="E381" s="154" t="n"/>
      <c r="F381" s="154" t="n"/>
      <c r="G381" s="154" t="n"/>
      <c r="H381" s="154" t="n"/>
      <c r="I381" s="154" t="n"/>
      <c r="J381" s="154" t="n"/>
      <c r="K381" s="154" t="n"/>
      <c r="L381" s="154" t="n"/>
      <c r="M381" s="154" t="n"/>
    </row>
    <row r="382" ht="15.6" customHeight="1">
      <c r="A382" s="152" t="n"/>
      <c r="B382" s="155" t="n"/>
      <c r="C382" s="183" t="n"/>
      <c r="D382" s="45" t="n"/>
      <c r="E382" s="45" t="n"/>
      <c r="F382" s="45" t="n"/>
      <c r="G382" s="45" t="n"/>
      <c r="H382" s="45" t="n"/>
      <c r="I382" s="45" t="n"/>
      <c r="J382" s="45" t="n"/>
      <c r="K382" s="45" t="n"/>
      <c r="L382" s="45" t="n"/>
      <c r="M382" s="46" t="n"/>
    </row>
    <row r="383" ht="9.199999999999999" customHeight="1">
      <c r="A383" s="152" t="n"/>
      <c r="B383" s="155" t="n"/>
      <c r="C383" s="154" t="n"/>
      <c r="D383" s="154" t="n"/>
      <c r="E383" s="154" t="n"/>
      <c r="F383" s="154" t="n"/>
      <c r="G383" s="154" t="n"/>
      <c r="H383" s="154" t="n"/>
      <c r="I383" s="154" t="n"/>
      <c r="J383" s="154" t="n"/>
      <c r="K383" s="154" t="n"/>
      <c r="L383" s="154" t="n"/>
      <c r="M383" s="154" t="n"/>
    </row>
    <row r="384" ht="27.2" customHeight="1">
      <c r="A384" s="152" t="n"/>
      <c r="B384" s="184" t="n">
        <v>9</v>
      </c>
      <c r="C384" s="185" t="inlineStr">
        <is>
          <t>If there are contracts that are written by the insurance group that have no occurrence limits or where TIV has not been included in the exposure in the above exhibits, describe how this exposure is included in the above data.</t>
        </is>
      </c>
      <c r="M384" s="185" t="n"/>
    </row>
    <row r="385" ht="9.199999999999999" customHeight="1">
      <c r="A385" s="152" t="n"/>
      <c r="B385" s="155" t="n"/>
      <c r="C385" s="154" t="n"/>
      <c r="D385" s="154" t="n"/>
      <c r="E385" s="154" t="n"/>
      <c r="F385" s="154" t="n"/>
      <c r="G385" s="154" t="n"/>
      <c r="H385" s="154" t="n"/>
      <c r="I385" s="154" t="n"/>
      <c r="J385" s="154" t="n"/>
      <c r="K385" s="154" t="n"/>
      <c r="L385" s="154" t="n"/>
      <c r="M385" s="154" t="n"/>
    </row>
    <row r="386" ht="13.5" customHeight="1">
      <c r="A386" s="152" t="n"/>
      <c r="B386" s="155" t="n"/>
      <c r="C386" s="171" t="n"/>
      <c r="D386" s="45" t="n"/>
      <c r="E386" s="45" t="n"/>
      <c r="F386" s="45" t="n"/>
      <c r="G386" s="45" t="n"/>
      <c r="H386" s="45" t="n"/>
      <c r="I386" s="45" t="n"/>
      <c r="J386" s="45" t="n"/>
      <c r="K386" s="45" t="n"/>
      <c r="L386" s="45" t="n"/>
      <c r="M386" s="46" t="n"/>
    </row>
    <row r="387" ht="9.199999999999999" customHeight="1">
      <c r="A387" s="186" t="n"/>
      <c r="B387" s="187" t="n"/>
      <c r="C387" s="188" t="n"/>
      <c r="D387" s="188" t="n"/>
      <c r="E387" s="188" t="n"/>
      <c r="F387" s="188" t="n"/>
      <c r="G387" s="188" t="n"/>
      <c r="H387" s="188" t="n"/>
      <c r="I387" s="188" t="n"/>
      <c r="J387" s="188" t="n"/>
      <c r="K387" s="188" t="n"/>
      <c r="L387" s="188" t="n"/>
      <c r="M387" s="188" t="n"/>
    </row>
    <row r="388">
      <c r="A388" s="10" t="n"/>
      <c r="B388" s="189" t="n"/>
      <c r="C388" s="10" t="n"/>
      <c r="D388" s="10" t="n"/>
      <c r="E388" s="10" t="n"/>
      <c r="F388" s="10" t="n"/>
      <c r="G388" s="10" t="n"/>
      <c r="H388" s="10" t="n"/>
      <c r="I388" s="10" t="n"/>
      <c r="J388" s="10" t="n"/>
      <c r="K388" s="10" t="n"/>
      <c r="L388" s="10" t="n"/>
      <c r="M388" s="10" t="n"/>
    </row>
  </sheetData>
  <sheetProtection selectLockedCells="0" selectUnlockedCells="0" sheet="1" objects="0" insertRows="1" insertHyperlinks="1" autoFilter="1" scenarios="0" formatColumns="1" deleteColumns="1" insertColumns="1" pivotTables="1" deleteRows="1" formatCells="1" formatRows="1" sort="1"/>
  <mergeCells count="204">
    <mergeCell ref="E161:G161"/>
    <mergeCell ref="C210:D210"/>
    <mergeCell ref="I72:K72"/>
    <mergeCell ref="I159:K159"/>
    <mergeCell ref="C234:D234"/>
    <mergeCell ref="I56:K56"/>
    <mergeCell ref="I161:K161"/>
    <mergeCell ref="E79:F79"/>
    <mergeCell ref="E171:F171"/>
    <mergeCell ref="C302:D302"/>
    <mergeCell ref="C212:D212"/>
    <mergeCell ref="E315:G315"/>
    <mergeCell ref="I79:K79"/>
    <mergeCell ref="E57:G57"/>
    <mergeCell ref="C277:D277"/>
    <mergeCell ref="I82:K82"/>
    <mergeCell ref="C276:D276"/>
    <mergeCell ref="E365:G365"/>
    <mergeCell ref="C214:D214"/>
    <mergeCell ref="I63:K63"/>
    <mergeCell ref="E105:F105"/>
    <mergeCell ref="C192:G192"/>
    <mergeCell ref="I137:K137"/>
    <mergeCell ref="I50:K50"/>
    <mergeCell ref="C375:M376"/>
    <mergeCell ref="I59:K59"/>
    <mergeCell ref="E58:G58"/>
    <mergeCell ref="C278:D278"/>
    <mergeCell ref="I139:K139"/>
    <mergeCell ref="I174:K174"/>
    <mergeCell ref="C361:M361"/>
    <mergeCell ref="C253:D253"/>
    <mergeCell ref="I49:K49"/>
    <mergeCell ref="E42:G42"/>
    <mergeCell ref="E151:G151"/>
    <mergeCell ref="I45:K45"/>
    <mergeCell ref="E141:G141"/>
    <mergeCell ref="H315:J315"/>
    <mergeCell ref="E135:G135"/>
    <mergeCell ref="E44:G44"/>
    <mergeCell ref="E138:G138"/>
    <mergeCell ref="G180:H181"/>
    <mergeCell ref="I47:K47"/>
    <mergeCell ref="C254:D254"/>
    <mergeCell ref="E143:G143"/>
    <mergeCell ref="I141:K141"/>
    <mergeCell ref="I150:K150"/>
    <mergeCell ref="E60:G60"/>
    <mergeCell ref="C235:D235"/>
    <mergeCell ref="E69:G69"/>
    <mergeCell ref="E149:G149"/>
    <mergeCell ref="I143:K143"/>
    <mergeCell ref="E59:G59"/>
    <mergeCell ref="I152:K152"/>
    <mergeCell ref="E46:G46"/>
    <mergeCell ref="C280:D280"/>
    <mergeCell ref="I167:K167"/>
    <mergeCell ref="I142:K142"/>
    <mergeCell ref="E70:G70"/>
    <mergeCell ref="E162:G162"/>
    <mergeCell ref="C211:D211"/>
    <mergeCell ref="I64:K64"/>
    <mergeCell ref="E144:G144"/>
    <mergeCell ref="I78:K78"/>
    <mergeCell ref="C382:M382"/>
    <mergeCell ref="I169:K169"/>
    <mergeCell ref="I51:K51"/>
    <mergeCell ref="E159:G159"/>
    <mergeCell ref="E134:G134"/>
    <mergeCell ref="E348:G348"/>
    <mergeCell ref="E47:G47"/>
    <mergeCell ref="E56:G56"/>
    <mergeCell ref="E145:G145"/>
    <mergeCell ref="E139:G139"/>
    <mergeCell ref="I81:K81"/>
    <mergeCell ref="E43:G43"/>
    <mergeCell ref="H333:J333"/>
    <mergeCell ref="E71:G71"/>
    <mergeCell ref="I164:K164"/>
    <mergeCell ref="E172:F172"/>
    <mergeCell ref="F288:G288"/>
    <mergeCell ref="I145:K145"/>
    <mergeCell ref="H348:J348"/>
    <mergeCell ref="I163:K163"/>
    <mergeCell ref="E140:G140"/>
    <mergeCell ref="K333:M333"/>
    <mergeCell ref="E324:G324"/>
    <mergeCell ref="I76:K76"/>
    <mergeCell ref="E333:G333"/>
    <mergeCell ref="B188:F188"/>
    <mergeCell ref="E63:G63"/>
    <mergeCell ref="I156:K156"/>
    <mergeCell ref="F266:G266"/>
    <mergeCell ref="E137:G137"/>
    <mergeCell ref="C279:D279"/>
    <mergeCell ref="C357:M357"/>
    <mergeCell ref="H365:J365"/>
    <mergeCell ref="I75:K75"/>
    <mergeCell ref="I53:K53"/>
    <mergeCell ref="C344:M344"/>
    <mergeCell ref="I130:K130"/>
    <mergeCell ref="I68:K68"/>
    <mergeCell ref="C386:M386"/>
    <mergeCell ref="C256:D256"/>
    <mergeCell ref="I52:K52"/>
    <mergeCell ref="I67:K67"/>
    <mergeCell ref="E45:G45"/>
    <mergeCell ref="I39:K39"/>
    <mergeCell ref="I132:K132"/>
    <mergeCell ref="I48:K48"/>
    <mergeCell ref="E13:F13"/>
    <mergeCell ref="A3:M4"/>
    <mergeCell ref="G13:H13"/>
    <mergeCell ref="C255:D255"/>
    <mergeCell ref="E136:G136"/>
    <mergeCell ref="I38:K38"/>
    <mergeCell ref="D244:E244"/>
    <mergeCell ref="F244:G244"/>
    <mergeCell ref="A1:M1"/>
    <mergeCell ref="C257:D257"/>
    <mergeCell ref="C297:D297"/>
    <mergeCell ref="E80:F80"/>
    <mergeCell ref="K348:M348"/>
    <mergeCell ref="I40:K40"/>
    <mergeCell ref="H324:J324"/>
    <mergeCell ref="I168:K168"/>
    <mergeCell ref="C299:D299"/>
    <mergeCell ref="I80:K80"/>
    <mergeCell ref="C209:D209"/>
    <mergeCell ref="I160:K160"/>
    <mergeCell ref="E142:G142"/>
    <mergeCell ref="B311:D311"/>
    <mergeCell ref="I136:K136"/>
    <mergeCell ref="I70:K70"/>
    <mergeCell ref="F222:G222"/>
    <mergeCell ref="K365:M365"/>
    <mergeCell ref="I144:K144"/>
    <mergeCell ref="I57:K57"/>
    <mergeCell ref="E64:G64"/>
    <mergeCell ref="C258:D258"/>
    <mergeCell ref="K315:M315"/>
    <mergeCell ref="C298:D298"/>
    <mergeCell ref="K324:M324"/>
    <mergeCell ref="E51:G51"/>
    <mergeCell ref="E156:G156"/>
    <mergeCell ref="C338:D338"/>
    <mergeCell ref="I41:K41"/>
    <mergeCell ref="I134:K134"/>
    <mergeCell ref="G105:H105"/>
    <mergeCell ref="D222:E222"/>
    <mergeCell ref="E155:G155"/>
    <mergeCell ref="C275:D275"/>
    <mergeCell ref="B190:C190"/>
    <mergeCell ref="I71:K71"/>
    <mergeCell ref="I162:K162"/>
    <mergeCell ref="I131:K131"/>
    <mergeCell ref="I43:K43"/>
    <mergeCell ref="I58:K58"/>
    <mergeCell ref="I171:K171"/>
    <mergeCell ref="E148:G148"/>
    <mergeCell ref="C231:D231"/>
    <mergeCell ref="I155:K155"/>
    <mergeCell ref="D266:E266"/>
    <mergeCell ref="I42:K42"/>
    <mergeCell ref="E49:G49"/>
    <mergeCell ref="I173:K173"/>
    <mergeCell ref="D288:E288"/>
    <mergeCell ref="G88:H89"/>
    <mergeCell ref="I170:K170"/>
    <mergeCell ref="E163:G163"/>
    <mergeCell ref="I148:K148"/>
    <mergeCell ref="C301:D301"/>
    <mergeCell ref="C236:D236"/>
    <mergeCell ref="I44:K44"/>
    <mergeCell ref="I138:K138"/>
    <mergeCell ref="D200:E200"/>
    <mergeCell ref="C232:D232"/>
    <mergeCell ref="I172:K172"/>
    <mergeCell ref="F200:G200"/>
    <mergeCell ref="C300:D300"/>
    <mergeCell ref="C213:D213"/>
    <mergeCell ref="I60:K60"/>
    <mergeCell ref="E53:G53"/>
    <mergeCell ref="B10:C10"/>
    <mergeCell ref="I69:K69"/>
    <mergeCell ref="I140:K140"/>
    <mergeCell ref="E50:G50"/>
    <mergeCell ref="C384:L384"/>
    <mergeCell ref="I149:K149"/>
    <mergeCell ref="E68:G68"/>
    <mergeCell ref="I77:K77"/>
    <mergeCell ref="E160:G160"/>
    <mergeCell ref="I46:K46"/>
    <mergeCell ref="I133:K133"/>
    <mergeCell ref="C233:D233"/>
    <mergeCell ref="C359:M359"/>
    <mergeCell ref="E52:G52"/>
    <mergeCell ref="E67:G67"/>
    <mergeCell ref="I151:K151"/>
    <mergeCell ref="E150:G150"/>
    <mergeCell ref="E48:G48"/>
    <mergeCell ref="C339:D339"/>
    <mergeCell ref="I135:K135"/>
    <mergeCell ref="E152:G152"/>
  </mergeCells>
  <hyperlinks>
    <hyperlink xmlns:r="http://schemas.openxmlformats.org/officeDocument/2006/relationships" ref="B6" r:id="rId1"/>
    <hyperlink xmlns:r="http://schemas.openxmlformats.org/officeDocument/2006/relationships" ref="E6" r:id="rId2"/>
    <hyperlink xmlns:r="http://schemas.openxmlformats.org/officeDocument/2006/relationships" ref="H6" r:id="rId3"/>
    <hyperlink xmlns:r="http://schemas.openxmlformats.org/officeDocument/2006/relationships" ref="K6" r:id="rId4"/>
    <hyperlink xmlns:r="http://schemas.openxmlformats.org/officeDocument/2006/relationships" ref="J8" r:id="rId5"/>
    <hyperlink xmlns:r="http://schemas.openxmlformats.org/officeDocument/2006/relationships" ref="J98" r:id="rId6"/>
    <hyperlink xmlns:r="http://schemas.openxmlformats.org/officeDocument/2006/relationships" ref="G188" r:id="rId7"/>
    <hyperlink xmlns:r="http://schemas.openxmlformats.org/officeDocument/2006/relationships" ref="J309" r:id="rId8"/>
  </hyperlinks>
  <pageMargins left="0.75" right="0.75" top="1" bottom="1" header="0.5" footer="0.5"/>
  <pageSetup orientation="landscape" paperSize="8" fitToHeight="0" fitToWidth="1"/>
  <rowBreaks count="4" manualBreakCount="4">
    <brk id="92" min="0" max="16383" man="1"/>
    <brk id="182" min="0" max="16383" man="1"/>
    <brk id="303" min="0" max="16383" man="1"/>
    <brk id="388" min="0" max="16383" man="1"/>
  </rowBreaks>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M388"/>
  <sheetViews>
    <sheetView showGridLines="0" zoomScale="65" workbookViewId="0">
      <pane xSplit="4" ySplit="7" topLeftCell="E8"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3" customWidth="1" min="3" max="3"/>
    <col width="36" customWidth="1" min="4" max="4"/>
    <col width="16" customWidth="1" min="5" max="5"/>
    <col width="16" customWidth="1" min="6" max="6"/>
    <col width="16" customWidth="1" min="7" max="7"/>
    <col width="16" customWidth="1" min="8" max="8"/>
    <col width="35" customWidth="1" min="9" max="9"/>
    <col width="16" customWidth="1" min="10" max="10"/>
    <col width="16" customWidth="1" min="11" max="11"/>
    <col width="16" customWidth="1" min="12" max="12"/>
    <col width="16" customWidth="1" min="13" max="13"/>
  </cols>
  <sheetData>
    <row r="1" ht="32" customHeight="1">
      <c r="A1" s="1" t="inlineStr">
        <is>
          <t>HSA — BSCR working schedules</t>
        </is>
      </c>
    </row>
    <row r="2">
      <c r="A2" t="inlineStr">
        <is>
          <t>Entity</t>
        </is>
      </c>
      <c r="B2" t="inlineStr">
        <is>
          <t>HSA</t>
        </is>
      </c>
      <c r="D2" t="inlineStr">
        <is>
          <t>Input basis</t>
        </is>
      </c>
      <c r="E2" t="inlineStr">
        <is>
          <t>Current SQL</t>
        </is>
      </c>
      <c r="G2" t="inlineStr">
        <is>
          <t>Coverage</t>
        </is>
      </c>
      <c r="H2" t="str">
        <f>IF(COUNTIFS(BSCRInput[bscr_entity],"HSA",BSCRInput[region],"ALL",BSCRInput[peril_id],1)=0,"NO INPUT FOR ENTITY","INPUT PRESENT")</f>
        <v>INPUT PRESENT</v>
      </c>
    </row>
    <row r="3">
      <c r="A3" s="5" t="inlineStr">
        <is>
          <t>Green = automatic. Blue = manual, not supplied by SQL. Counts/geocoding use the agreed historical proxy; premiums and EP losses are NOT automatically complete.</t>
        </is>
      </c>
    </row>
    <row r="4"/>
    <row r="5"/>
    <row r="6">
      <c r="B6" t="inlineStr">
        <is>
          <t>Schedule X(a)</t>
        </is>
      </c>
      <c r="E6" t="inlineStr">
        <is>
          <t>Schedule X(b)</t>
        </is>
      </c>
      <c r="H6" t="inlineStr">
        <is>
          <t>Schedule X(c)</t>
        </is>
      </c>
      <c r="K6" t="inlineStr">
        <is>
          <t>Schedule X(f)</t>
        </is>
      </c>
    </row>
    <row r="7"/>
    <row r="8" ht="75" customHeight="1">
      <c r="A8" s="6" t="n"/>
      <c r="B8" s="7" t="inlineStr">
        <is>
          <t>CATASTROPHE RISK RETURN: EP CURVE TOTAL (TABLE 15)</t>
        </is>
      </c>
      <c r="C8" s="7" t="n"/>
      <c r="D8" s="7" t="n"/>
      <c r="E8" s="7" t="n"/>
      <c r="F8" s="7" t="n"/>
      <c r="G8" s="7" t="n"/>
      <c r="H8" s="7" t="n"/>
      <c r="I8" s="7" t="n"/>
      <c r="J8" s="8" t="inlineStr">
        <is>
          <t>Back to instructions</t>
        </is>
      </c>
      <c r="K8" s="9" t="n"/>
      <c r="L8" s="10" t="n"/>
      <c r="M8" s="11" t="n"/>
    </row>
    <row r="9" ht="13.5" customHeight="1">
      <c r="A9" s="12" t="n"/>
      <c r="B9" s="13" t="inlineStr">
        <is>
          <t>HSA</t>
        </is>
      </c>
      <c r="C9" s="14" t="n"/>
      <c r="D9" s="14" t="n"/>
      <c r="E9" s="14" t="n"/>
      <c r="F9" s="14" t="n"/>
      <c r="G9" s="14" t="n"/>
      <c r="H9" s="14" t="n"/>
      <c r="I9" s="14" t="n"/>
      <c r="J9" s="14" t="n"/>
      <c r="K9" s="15" t="n"/>
      <c r="L9" s="10" t="n"/>
      <c r="M9" s="11" t="n"/>
    </row>
    <row r="10" ht="13.5" customHeight="1">
      <c r="A10" s="12" t="n"/>
      <c r="B10" s="16">
        <f>DATE(2026,1,1)</f>
        <v>46023.0</v>
      </c>
      <c r="D10" s="14" t="n"/>
      <c r="E10" s="14" t="n"/>
      <c r="F10" s="14" t="n"/>
      <c r="G10" s="14" t="n"/>
      <c r="H10" s="14" t="n"/>
      <c r="I10" s="14" t="n"/>
      <c r="J10" s="17" t="inlineStr">
        <is>
          <t>Schedule X(a)</t>
        </is>
      </c>
      <c r="K10" s="15" t="n"/>
      <c r="L10" s="10" t="n"/>
      <c r="M10" s="11" t="n"/>
    </row>
    <row r="11" ht="6.75" customHeight="1">
      <c r="A11" s="12" t="n"/>
      <c r="B11" s="14" t="n"/>
      <c r="C11" s="14" t="n"/>
      <c r="D11" s="14" t="n"/>
      <c r="E11" s="14" t="n"/>
      <c r="F11" s="14" t="n"/>
      <c r="G11" s="14" t="n"/>
      <c r="H11" s="14" t="n"/>
      <c r="I11" s="14" t="n"/>
      <c r="J11" s="14" t="n"/>
      <c r="K11" s="15" t="n"/>
      <c r="L11" s="10" t="n"/>
      <c r="M11" s="11" t="n"/>
    </row>
    <row r="12">
      <c r="A12" s="18" t="n"/>
      <c r="B12" s="19" t="inlineStr">
        <is>
          <t>1. Exceedance probability information:</t>
        </is>
      </c>
      <c r="C12" s="14" t="n"/>
      <c r="D12" s="14" t="n"/>
      <c r="E12" s="14" t="n"/>
      <c r="F12" s="14" t="n"/>
      <c r="G12" s="14" t="n"/>
      <c r="H12" s="14" t="n"/>
      <c r="I12" s="14" t="n"/>
      <c r="J12" s="14" t="n"/>
      <c r="K12" s="15" t="n"/>
      <c r="L12" s="10" t="n"/>
      <c r="M12" s="11" t="n"/>
    </row>
    <row r="13">
      <c r="A13" s="18" t="n"/>
      <c r="B13" s="14" t="n"/>
      <c r="C13" s="14" t="n"/>
      <c r="D13" s="20" t="n"/>
      <c r="E13" s="21" t="inlineStr">
        <is>
          <t xml:space="preserve"> Gross loss</t>
        </is>
      </c>
      <c r="F13" s="22" t="n"/>
      <c r="G13" s="21" t="inlineStr">
        <is>
          <t xml:space="preserve"> Net loss</t>
        </is>
      </c>
      <c r="H13" s="22" t="n"/>
      <c r="I13" s="14" t="n"/>
      <c r="J13" s="14" t="n"/>
      <c r="K13" s="15" t="n"/>
      <c r="L13" s="10" t="n"/>
      <c r="M13" s="11" t="n"/>
    </row>
    <row r="14" ht="55.35" customHeight="1">
      <c r="A14" s="18" t="n"/>
      <c r="B14" s="14" t="n"/>
      <c r="C14" s="14" t="n"/>
      <c r="D14" s="23" t="inlineStr">
        <is>
          <t>Loss Return period (years)</t>
        </is>
      </c>
      <c r="E14" s="24" t="inlineStr">
        <is>
          <t>Gross per occurrence loss TVaR</t>
        </is>
      </c>
      <c r="F14" s="24" t="inlineStr">
        <is>
          <t>Gross aggregate TVaR</t>
        </is>
      </c>
      <c r="G14" s="24" t="inlineStr">
        <is>
          <t>Net per occurrence loss TVaR</t>
        </is>
      </c>
      <c r="H14" s="24" t="inlineStr">
        <is>
          <t xml:space="preserve">Net aggregate TVaR </t>
        </is>
      </c>
      <c r="I14" s="14" t="n"/>
      <c r="J14" s="14" t="n"/>
      <c r="K14" s="15" t="n"/>
      <c r="L14" s="25" t="n"/>
      <c r="M14" s="11" t="n"/>
    </row>
    <row r="15">
      <c r="A15" s="18" t="n"/>
      <c r="B15" s="14" t="n"/>
      <c r="C15" s="14" t="n"/>
      <c r="D15" s="26" t="n"/>
      <c r="E15" s="21" t="inlineStr">
        <is>
          <t xml:space="preserve"> (US$M)</t>
        </is>
      </c>
      <c r="F15" s="21" t="inlineStr">
        <is>
          <t xml:space="preserve"> (US$M)</t>
        </is>
      </c>
      <c r="G15" s="21" t="inlineStr">
        <is>
          <t xml:space="preserve"> (US$M)</t>
        </is>
      </c>
      <c r="H15" s="21" t="inlineStr">
        <is>
          <t xml:space="preserve"> (US$M)</t>
        </is>
      </c>
      <c r="I15" s="14" t="n"/>
      <c r="J15" s="14" t="n"/>
      <c r="K15" s="15" t="n"/>
      <c r="L15" s="25" t="n"/>
      <c r="M15" s="11" t="n"/>
    </row>
    <row r="16">
      <c r="A16" s="18" t="n"/>
      <c r="B16" s="14" t="n"/>
      <c r="C16" s="14" t="n"/>
      <c r="D16" s="27" t="n">
        <v>50</v>
      </c>
      <c r="E16" s="28" t="n"/>
      <c r="F16" s="28" t="n"/>
      <c r="G16" s="28" t="n"/>
      <c r="H16" s="28" t="n"/>
      <c r="I16" s="14" t="n"/>
      <c r="J16" s="14" t="n"/>
      <c r="K16" s="15" t="n"/>
      <c r="L16" s="10" t="n"/>
      <c r="M16" s="11" t="n"/>
    </row>
    <row r="17">
      <c r="A17" s="18" t="n"/>
      <c r="B17" s="14" t="n"/>
      <c r="C17" s="14" t="n"/>
      <c r="D17" s="27" t="n">
        <v>100</v>
      </c>
      <c r="E17" s="29" t="n"/>
      <c r="F17" s="29" t="n"/>
      <c r="G17" s="29" t="n"/>
      <c r="H17" s="29" t="n"/>
      <c r="I17" s="14" t="n"/>
      <c r="J17" s="14" t="n"/>
      <c r="K17" s="15" t="n"/>
      <c r="L17" s="10" t="n"/>
      <c r="M17" s="11" t="n"/>
    </row>
    <row r="18">
      <c r="A18" s="18" t="n"/>
      <c r="B18" s="14" t="n"/>
      <c r="C18" s="14" t="n"/>
      <c r="D18" s="27" t="n">
        <v>250</v>
      </c>
      <c r="E18" s="29" t="n"/>
      <c r="F18" s="29" t="n"/>
      <c r="G18" s="29" t="n"/>
      <c r="H18" s="29" t="n"/>
      <c r="I18" s="14" t="n"/>
      <c r="J18" s="14" t="n"/>
      <c r="K18" s="15" t="n"/>
      <c r="L18" s="10" t="n"/>
      <c r="M18" s="11" t="n"/>
    </row>
    <row r="19">
      <c r="A19" s="18" t="n"/>
      <c r="B19" s="14" t="n"/>
      <c r="C19" s="14" t="n"/>
      <c r="D19" s="27" t="n">
        <v>500</v>
      </c>
      <c r="E19" s="29" t="n"/>
      <c r="F19" s="29" t="n"/>
      <c r="G19" s="29" t="n"/>
      <c r="H19" s="29" t="n"/>
      <c r="I19" s="14" t="n"/>
      <c r="J19" s="14" t="n"/>
      <c r="K19" s="15" t="n"/>
      <c r="L19" s="10" t="n"/>
      <c r="M19" s="11" t="n"/>
    </row>
    <row r="20">
      <c r="A20" s="18" t="n"/>
      <c r="B20" s="14" t="n"/>
      <c r="C20" s="14" t="n"/>
      <c r="D20" s="30" t="n">
        <v>1000</v>
      </c>
      <c r="E20" s="31" t="n"/>
      <c r="F20" s="31" t="n"/>
      <c r="G20" s="31" t="n"/>
      <c r="H20" s="31" t="n"/>
      <c r="I20" s="14" t="n"/>
      <c r="J20" s="14" t="n"/>
      <c r="K20" s="15" t="n"/>
      <c r="L20" s="10" t="n"/>
      <c r="M20" s="11" t="n"/>
    </row>
    <row r="21" ht="6.75" customHeight="1">
      <c r="A21" s="18" t="n"/>
      <c r="B21" s="14" t="n"/>
      <c r="C21" s="14" t="n"/>
      <c r="D21" s="14" t="n"/>
      <c r="E21" s="32" t="n"/>
      <c r="F21" s="32" t="n"/>
      <c r="G21" s="32" t="n"/>
      <c r="H21" s="32" t="n"/>
      <c r="I21" s="14" t="n"/>
      <c r="J21" s="14" t="n"/>
      <c r="K21" s="15" t="n"/>
      <c r="L21" s="10" t="n"/>
      <c r="M21" s="11" t="n"/>
    </row>
    <row r="22" ht="12.95" customHeight="1">
      <c r="A22" s="18" t="n"/>
      <c r="B22" s="14" t="n"/>
      <c r="C22" s="14" t="n"/>
      <c r="D22" s="14" t="n"/>
      <c r="E22" s="21" t="inlineStr">
        <is>
          <t xml:space="preserve"> Gross Loss (US$M)</t>
        </is>
      </c>
      <c r="F22" s="14" t="n"/>
      <c r="G22" s="14" t="n"/>
      <c r="H22" s="14" t="n"/>
      <c r="I22" s="14" t="n"/>
      <c r="J22" s="21" t="inlineStr">
        <is>
          <t xml:space="preserve"> Net Loss (US$M)</t>
        </is>
      </c>
      <c r="K22" s="15" t="n"/>
      <c r="L22" s="10" t="n"/>
      <c r="M22" s="11" t="n"/>
    </row>
    <row r="23">
      <c r="A23" s="18" t="n"/>
      <c r="B23" s="14" t="n"/>
      <c r="C23" s="14" t="n"/>
      <c r="D23" s="33" t="inlineStr">
        <is>
          <t>Annual average aggregate gross loss</t>
        </is>
      </c>
      <c r="E23" s="34" t="n"/>
      <c r="F23" s="14" t="n"/>
      <c r="G23" s="14" t="n"/>
      <c r="H23" s="14" t="n"/>
      <c r="I23" s="33" t="inlineStr">
        <is>
          <t>Annual average aggregate net loss (net of reinstatements terms)</t>
        </is>
      </c>
      <c r="J23" s="34" t="n"/>
      <c r="K23" s="15" t="n"/>
      <c r="L23" s="10" t="n"/>
      <c r="M23" s="11" t="n"/>
    </row>
    <row r="24">
      <c r="A24" s="18" t="n"/>
      <c r="B24" s="14" t="n"/>
      <c r="C24" s="14" t="n"/>
      <c r="D24" s="33" t="n"/>
      <c r="E24" s="14" t="n"/>
      <c r="F24" s="14" t="n"/>
      <c r="G24" s="14" t="n"/>
      <c r="H24" s="14" t="n"/>
      <c r="I24" s="33" t="inlineStr">
        <is>
          <t>Reinstatement terms included in Annual average aggregated net loss</t>
        </is>
      </c>
      <c r="J24" s="34" t="n"/>
      <c r="K24" s="15" t="n"/>
      <c r="L24" s="10" t="n"/>
      <c r="M24" s="11" t="n"/>
    </row>
    <row r="25">
      <c r="A25" s="18" t="n"/>
      <c r="B25" s="14" t="n"/>
      <c r="C25" s="14" t="n"/>
      <c r="D25" s="33" t="inlineStr">
        <is>
          <t>Standard deviation of annual aggregate gross loss</t>
        </is>
      </c>
      <c r="E25" s="34" t="n"/>
      <c r="F25" s="14" t="n"/>
      <c r="G25" s="14" t="n"/>
      <c r="H25" s="14" t="n"/>
      <c r="I25" s="33" t="inlineStr">
        <is>
          <t>Standard deviation of annual aggregate net loss (net of reinstatements terms)</t>
        </is>
      </c>
      <c r="J25" s="34" t="n"/>
      <c r="K25" s="15" t="n"/>
      <c r="L25" s="10" t="n"/>
      <c r="M25" s="11" t="n"/>
    </row>
    <row r="26">
      <c r="A26" s="18" t="n"/>
      <c r="B26" s="14" t="n"/>
      <c r="C26" s="14" t="n"/>
      <c r="D26" s="33" t="n"/>
      <c r="E26" s="32" t="n"/>
      <c r="F26" s="14" t="n"/>
      <c r="G26" s="14" t="n"/>
      <c r="H26" s="14" t="n"/>
      <c r="I26" s="33" t="n"/>
      <c r="J26" s="35" t="n"/>
      <c r="K26" s="15" t="n"/>
      <c r="L26" s="10" t="n"/>
      <c r="M26" s="11" t="n"/>
    </row>
    <row r="27">
      <c r="A27" s="18" t="n"/>
      <c r="B27" s="14" t="n"/>
      <c r="C27" s="14" t="n"/>
      <c r="D27" s="33" t="inlineStr">
        <is>
          <t xml:space="preserve">Total gross statutory property catastrophe premium modelled </t>
        </is>
      </c>
      <c r="E27" s="34" t="n"/>
      <c r="F27" s="14" t="n"/>
      <c r="G27" s="14" t="n"/>
      <c r="H27" s="14" t="n"/>
      <c r="I27" s="33" t="inlineStr">
        <is>
          <t>Total net statutory property catastrophe premium modelled</t>
        </is>
      </c>
      <c r="J27" s="34" t="n"/>
      <c r="K27" s="15" t="n"/>
      <c r="L27" s="10" t="n"/>
      <c r="M27" s="11" t="n"/>
    </row>
    <row r="28">
      <c r="A28" s="18" t="n"/>
      <c r="B28" s="14" t="n"/>
      <c r="C28" s="14" t="n"/>
      <c r="D28" s="33" t="inlineStr">
        <is>
          <t>Total gross all other catastrophe premium modelled</t>
        </is>
      </c>
      <c r="E28" s="34" t="n"/>
      <c r="F28" s="14" t="n"/>
      <c r="G28" s="14" t="n"/>
      <c r="H28" s="14" t="n"/>
      <c r="I28" s="33" t="inlineStr">
        <is>
          <t>Total net all other catastrophe premium modelled</t>
        </is>
      </c>
      <c r="J28" s="34" t="n"/>
      <c r="K28" s="15" t="n"/>
      <c r="L28" s="10" t="n"/>
      <c r="M28" s="11" t="n"/>
    </row>
    <row r="29" ht="6.75" customHeight="1">
      <c r="A29" s="18" t="n"/>
      <c r="B29" s="14" t="n"/>
      <c r="C29" s="14" t="n"/>
      <c r="D29" s="14" t="n"/>
      <c r="E29" s="32" t="n"/>
      <c r="F29" s="14" t="n"/>
      <c r="G29" s="14" t="n"/>
      <c r="H29" s="14" t="n"/>
      <c r="I29" s="14" t="n"/>
      <c r="J29" s="71" t="n"/>
      <c r="K29" s="15" t="n"/>
      <c r="L29" s="10" t="n"/>
      <c r="M29" s="11" t="n"/>
    </row>
    <row r="30">
      <c r="A30" s="18" t="n"/>
      <c r="B30" s="14" t="n"/>
      <c r="C30" s="14" t="n"/>
      <c r="D30" s="33" t="inlineStr">
        <is>
          <t>Total gross statutory property catastrophe limits exposed - modelled</t>
        </is>
      </c>
      <c r="E30" s="34" t="n"/>
      <c r="F30" s="14" t="n"/>
      <c r="G30" s="14" t="n"/>
      <c r="H30" s="14" t="n"/>
      <c r="I30" s="33" t="inlineStr">
        <is>
          <t>Total net statutory property catastrophe limits exposed – modelled</t>
        </is>
      </c>
      <c r="J30" s="34" t="n"/>
      <c r="K30" s="15" t="n"/>
      <c r="L30" s="10" t="n"/>
      <c r="M30" s="11" t="n"/>
    </row>
    <row r="31">
      <c r="A31" s="18" t="n"/>
      <c r="B31" s="14" t="n"/>
      <c r="C31" s="14" t="n"/>
      <c r="D31" s="33" t="inlineStr">
        <is>
          <t>Total gross statutory property catastrophe limits exposed - not modelled</t>
        </is>
      </c>
      <c r="E31" s="34" t="n"/>
      <c r="F31" s="14" t="n"/>
      <c r="G31" s="14" t="n"/>
      <c r="H31" s="14" t="n"/>
      <c r="I31" s="33" t="inlineStr">
        <is>
          <t>Total net statutory property catastrophe limits exposed– not modelled</t>
        </is>
      </c>
      <c r="J31" s="34" t="n"/>
      <c r="K31" s="15" t="n"/>
      <c r="L31" s="10" t="n"/>
      <c r="M31" s="11" t="n"/>
    </row>
    <row r="32">
      <c r="A32" s="18" t="n"/>
      <c r="B32" s="14" t="n"/>
      <c r="C32" s="14" t="n"/>
      <c r="D32" s="33" t="inlineStr">
        <is>
          <t>Total gross all other lines limits exposed - modelled</t>
        </is>
      </c>
      <c r="E32" s="37">
        <f>SUMIFS(BSCRInput[sum_pml],BSCRInput[bscr_entity],"HSA",BSCRInput[region],"ALL",BSCRInput[peril_id],1,BSCRInput[is_geocoded],1)/1000000</f>
        <v>104205.72190310915</v>
      </c>
      <c r="F32" s="14" t="n"/>
      <c r="G32" s="14" t="n"/>
      <c r="H32" s="14" t="n"/>
      <c r="I32" s="33" t="inlineStr">
        <is>
          <t>Total net all other lines limits exposed – modelled</t>
        </is>
      </c>
      <c r="J32" s="37">
        <f>SUMIFS(BSCRInput[sum_net],BSCRInput[bscr_entity],"HSA",BSCRInput[region],"ALL",BSCRInput[peril_id],1,BSCRInput[is_geocoded],1)/1000000</f>
        <v>101915.31306626549</v>
      </c>
      <c r="K32" s="15" t="n"/>
      <c r="L32" s="10" t="n"/>
      <c r="M32" s="11" t="n"/>
    </row>
    <row r="33">
      <c r="A33" s="18" t="n"/>
      <c r="B33" s="14" t="n"/>
      <c r="C33" s="14" t="n"/>
      <c r="D33" s="33" t="inlineStr">
        <is>
          <t>Total gross all other lines limits exposed  - not modelled</t>
        </is>
      </c>
      <c r="E33" s="37">
        <f>SUMIFS(BSCRInput[sum_pml],BSCRInput[bscr_entity],"HSA",BSCRInput[region],"ALL",BSCRInput[peril_id],1,BSCRInput[is_geocoded],0)/1000000</f>
        <v>154.7942636550143</v>
      </c>
      <c r="F33" s="14" t="n"/>
      <c r="G33" s="14" t="n"/>
      <c r="H33" s="14" t="n"/>
      <c r="I33" s="33" t="inlineStr">
        <is>
          <t>Total net all other lines limits exposed - not modelled</t>
        </is>
      </c>
      <c r="J33" s="37">
        <f>SUMIFS(BSCRInput[sum_net],BSCRInput[bscr_entity],"HSA",BSCRInput[region],"ALL",BSCRInput[peril_id],1,BSCRInput[is_geocoded],0)/1000000</f>
        <v>154.7942636550143</v>
      </c>
      <c r="K33" s="15" t="n"/>
      <c r="L33" s="10" t="n"/>
      <c r="M33" s="11" t="n"/>
    </row>
    <row r="34">
      <c r="A34" s="18" t="n"/>
      <c r="B34" s="14" t="n"/>
      <c r="C34" s="14" t="n"/>
      <c r="D34" s="33" t="inlineStr">
        <is>
          <t>Total gross premium without an occurrence or aggregate limit:</t>
        </is>
      </c>
      <c r="E34" s="34" t="n"/>
      <c r="F34" s="14" t="n"/>
      <c r="G34" s="14" t="n"/>
      <c r="H34" s="14" t="n"/>
      <c r="I34" s="33" t="inlineStr">
        <is>
          <t>Total net premium without an occurrence or aggregate limit</t>
        </is>
      </c>
      <c r="J34" s="34" t="n"/>
      <c r="K34" s="15" t="n"/>
      <c r="L34" s="10" t="n"/>
      <c r="M34" s="11" t="n"/>
    </row>
    <row r="35">
      <c r="A35" s="18" t="n"/>
      <c r="B35" s="14" t="n"/>
      <c r="C35" s="14" t="n"/>
      <c r="D35" s="33" t="inlineStr">
        <is>
          <t>Total gross premium with non determinable Total Insured Value (“TIV”):</t>
        </is>
      </c>
      <c r="E35" s="34" t="n"/>
      <c r="F35" s="14" t="n"/>
      <c r="G35" s="14" t="n"/>
      <c r="H35" s="14" t="n"/>
      <c r="I35" s="33" t="inlineStr">
        <is>
          <t>Total net premium with non-determinable TIV:</t>
        </is>
      </c>
      <c r="J35" s="34" t="n"/>
      <c r="K35" s="15" t="n"/>
      <c r="L35" s="10" t="n"/>
      <c r="M35" s="11" t="n"/>
    </row>
    <row r="36" ht="6.75" customHeight="1">
      <c r="A36" s="18" t="n"/>
      <c r="B36" s="14" t="n"/>
      <c r="C36" s="14" t="n"/>
      <c r="D36" s="14" t="n"/>
      <c r="E36" s="32" t="n"/>
      <c r="F36" s="14" t="n"/>
      <c r="G36" s="14" t="n"/>
      <c r="H36" s="14" t="n"/>
      <c r="I36" s="14" t="n"/>
      <c r="J36" s="14" t="n"/>
      <c r="K36" s="15" t="n"/>
      <c r="L36" s="10" t="n"/>
      <c r="M36" s="11" t="n"/>
    </row>
    <row r="37">
      <c r="A37" s="18" t="n"/>
      <c r="B37" s="19" t="inlineStr">
        <is>
          <t>2. Significant sources of catastrophe risk and associated loss included in the EP Curves</t>
        </is>
      </c>
      <c r="C37" s="14" t="n"/>
      <c r="D37" s="14" t="n"/>
      <c r="E37" s="32" t="n"/>
      <c r="F37" s="14" t="n"/>
      <c r="G37" s="14" t="n"/>
      <c r="H37" s="14" t="n"/>
      <c r="I37" s="14" t="n"/>
      <c r="J37" s="14" t="n"/>
      <c r="K37" s="15" t="n"/>
      <c r="L37" s="10" t="n"/>
      <c r="M37" s="11" t="n"/>
    </row>
    <row r="38">
      <c r="A38" s="18" t="n"/>
      <c r="B38" s="14" t="n"/>
      <c r="C38" s="14" t="n"/>
      <c r="D38" s="33" t="inlineStr">
        <is>
          <t>Allocated loss adjustment expense</t>
        </is>
      </c>
      <c r="E38" s="38" t="n"/>
      <c r="F38" s="39" t="n"/>
      <c r="G38" s="39" t="n"/>
      <c r="H38" s="40" t="str">
        <f>IF(E38="No","If no, why not:","")</f>
        <v/>
      </c>
      <c r="I38" s="41" t="n"/>
      <c r="J38" s="42" t="n"/>
      <c r="K38" s="43" t="n"/>
      <c r="L38" s="10" t="n"/>
      <c r="M38" s="11" t="n"/>
    </row>
    <row r="39">
      <c r="A39" s="18" t="n"/>
      <c r="B39" s="14" t="n"/>
      <c r="C39" s="14" t="n"/>
      <c r="D39" s="33" t="inlineStr">
        <is>
          <t>Property - buildings</t>
        </is>
      </c>
      <c r="E39" s="38" t="n"/>
      <c r="F39" s="39" t="n"/>
      <c r="G39" s="39" t="n"/>
      <c r="H39" s="40" t="str">
        <f>IF(E39="No","If no, why not:","")</f>
        <v/>
      </c>
      <c r="I39" s="41" t="n"/>
      <c r="J39" s="42" t="n"/>
      <c r="K39" s="43" t="n"/>
      <c r="L39" s="10" t="n"/>
      <c r="M39" s="11" t="n"/>
    </row>
    <row r="40">
      <c r="A40" s="18" t="n"/>
      <c r="B40" s="14" t="n"/>
      <c r="C40" s="14" t="n"/>
      <c r="D40" s="33" t="inlineStr">
        <is>
          <t>Property - contents</t>
        </is>
      </c>
      <c r="E40" s="38" t="n"/>
      <c r="F40" s="39" t="n"/>
      <c r="G40" s="39" t="n"/>
      <c r="H40" s="40" t="str">
        <f>IF(E40="No","If no, why not:","")</f>
        <v/>
      </c>
      <c r="I40" s="41" t="n"/>
      <c r="J40" s="42" t="n"/>
      <c r="K40" s="43" t="n"/>
      <c r="L40" s="10" t="n"/>
      <c r="M40" s="11" t="n"/>
    </row>
    <row r="41">
      <c r="A41" s="18" t="n"/>
      <c r="B41" s="14" t="n"/>
      <c r="C41" s="14" t="n"/>
      <c r="D41" s="33" t="inlineStr">
        <is>
          <t>Additional living expenses</t>
        </is>
      </c>
      <c r="E41" s="44" t="n"/>
      <c r="F41" s="39" t="n"/>
      <c r="G41" s="39" t="n"/>
      <c r="H41" s="40" t="str">
        <f>IF(E41="No","If no, why not:","")</f>
        <v/>
      </c>
      <c r="I41" s="41" t="n"/>
      <c r="J41" s="42" t="n"/>
      <c r="K41" s="43" t="n"/>
      <c r="L41" s="10" t="n"/>
      <c r="M41" s="11" t="n"/>
    </row>
    <row r="42">
      <c r="A42" s="18" t="n"/>
      <c r="B42" s="14" t="n"/>
      <c r="C42" s="14" t="n"/>
      <c r="D42" s="33" t="inlineStr">
        <is>
          <t>Business interruption</t>
        </is>
      </c>
      <c r="E42" s="38" t="n"/>
      <c r="F42" s="45" t="n"/>
      <c r="G42" s="46" t="n"/>
      <c r="H42" s="40" t="str">
        <f>IF(E42="No","If no, why not:","")</f>
        <v/>
      </c>
      <c r="I42" s="41" t="n"/>
      <c r="J42" s="42" t="n"/>
      <c r="K42" s="43" t="n"/>
      <c r="L42" s="10" t="n"/>
      <c r="M42" s="11" t="n"/>
    </row>
    <row r="43">
      <c r="A43" s="18" t="n"/>
      <c r="B43" s="14" t="n"/>
      <c r="C43" s="14" t="n"/>
      <c r="D43" s="33" t="inlineStr">
        <is>
          <t>Auto physical damage</t>
        </is>
      </c>
      <c r="E43" s="38" t="n"/>
      <c r="F43" s="45" t="n"/>
      <c r="G43" s="46" t="n"/>
      <c r="H43" s="40" t="str">
        <f>IF(E43="No","If no, why not:","")</f>
        <v/>
      </c>
      <c r="I43" s="41" t="n"/>
      <c r="J43" s="42" t="n"/>
      <c r="K43" s="43" t="n"/>
      <c r="L43" s="10" t="n"/>
      <c r="M43" s="11" t="n"/>
    </row>
    <row r="44">
      <c r="A44" s="18" t="n"/>
      <c r="B44" s="14" t="n"/>
      <c r="C44" s="14" t="n"/>
      <c r="D44" s="33" t="inlineStr">
        <is>
          <t>Worker's compensation</t>
        </is>
      </c>
      <c r="E44" s="38" t="n"/>
      <c r="F44" s="45" t="n"/>
      <c r="G44" s="46" t="n"/>
      <c r="H44" s="40" t="str">
        <f>IF(E44="No","If no, why not:","")</f>
        <v/>
      </c>
      <c r="I44" s="41" t="n"/>
      <c r="J44" s="42" t="n"/>
      <c r="K44" s="43" t="n"/>
      <c r="L44" s="10" t="n"/>
      <c r="M44" s="11" t="n"/>
    </row>
    <row r="45">
      <c r="A45" s="18" t="n"/>
      <c r="B45" s="14" t="n"/>
      <c r="C45" s="14" t="n"/>
      <c r="D45" s="33" t="inlineStr">
        <is>
          <t>Personal accident</t>
        </is>
      </c>
      <c r="E45" s="38" t="n"/>
      <c r="F45" s="45" t="n"/>
      <c r="G45" s="46" t="n"/>
      <c r="H45" s="40" t="str">
        <f>IF(E45="No","If no, why not:","")</f>
        <v/>
      </c>
      <c r="I45" s="41" t="n"/>
      <c r="J45" s="42" t="n"/>
      <c r="K45" s="43" t="n"/>
      <c r="L45" s="10" t="n"/>
      <c r="M45" s="11" t="n"/>
    </row>
    <row r="46">
      <c r="A46" s="18" t="n"/>
      <c r="B46" s="14" t="n"/>
      <c r="C46" s="14" t="n"/>
      <c r="D46" s="33" t="inlineStr">
        <is>
          <t>Life insurance</t>
        </is>
      </c>
      <c r="E46" s="38" t="n"/>
      <c r="F46" s="45" t="n"/>
      <c r="G46" s="46" t="n"/>
      <c r="H46" s="40" t="str">
        <f>IF(E46="No","If no, why not:","")</f>
        <v/>
      </c>
      <c r="I46" s="41" t="n"/>
      <c r="J46" s="42" t="n"/>
      <c r="K46" s="43" t="n"/>
      <c r="L46" s="10" t="n"/>
      <c r="M46" s="11" t="n"/>
    </row>
    <row r="47">
      <c r="A47" s="18" t="n"/>
      <c r="B47" s="14" t="n"/>
      <c r="C47" s="14" t="n"/>
      <c r="D47" s="33" t="inlineStr">
        <is>
          <t>Onshore energy</t>
        </is>
      </c>
      <c r="E47" s="38" t="n"/>
      <c r="F47" s="45" t="n"/>
      <c r="G47" s="46" t="n"/>
      <c r="H47" s="40" t="str">
        <f>IF(E47="No","If no, why not:","")</f>
        <v/>
      </c>
      <c r="I47" s="41" t="n"/>
      <c r="J47" s="42" t="n"/>
      <c r="K47" s="43" t="n"/>
      <c r="L47" s="10" t="n"/>
      <c r="M47" s="11" t="n"/>
    </row>
    <row r="48">
      <c r="A48" s="18" t="n"/>
      <c r="B48" s="14" t="n"/>
      <c r="C48" s="14" t="n"/>
      <c r="D48" s="33" t="inlineStr">
        <is>
          <t>Offshore energy</t>
        </is>
      </c>
      <c r="E48" s="38" t="n"/>
      <c r="F48" s="45" t="n"/>
      <c r="G48" s="46" t="n"/>
      <c r="H48" s="40" t="str">
        <f>IF(E48="No","If no, why not:","")</f>
        <v/>
      </c>
      <c r="I48" s="41" t="n"/>
      <c r="J48" s="42" t="n"/>
      <c r="K48" s="43" t="n"/>
      <c r="L48" s="10" t="n"/>
      <c r="M48" s="11" t="n"/>
    </row>
    <row r="49">
      <c r="A49" s="18" t="n"/>
      <c r="B49" s="14" t="n"/>
      <c r="C49" s="14" t="n"/>
      <c r="D49" s="33" t="inlineStr">
        <is>
          <t>Ocean marine</t>
        </is>
      </c>
      <c r="E49" s="38" t="n"/>
      <c r="F49" s="45" t="n"/>
      <c r="G49" s="46" t="n"/>
      <c r="H49" s="40" t="str">
        <f>IF(E49="No","If no, why not:","")</f>
        <v/>
      </c>
      <c r="I49" s="41" t="n"/>
      <c r="J49" s="42" t="n"/>
      <c r="K49" s="43" t="n"/>
      <c r="L49" s="10" t="n"/>
      <c r="M49" s="11" t="n"/>
    </row>
    <row r="50">
      <c r="A50" s="18" t="n"/>
      <c r="B50" s="14" t="n"/>
      <c r="C50" s="14" t="n"/>
      <c r="D50" s="33" t="inlineStr">
        <is>
          <t>Inland marine</t>
        </is>
      </c>
      <c r="E50" s="38" t="n"/>
      <c r="F50" s="45" t="n"/>
      <c r="G50" s="46" t="n"/>
      <c r="H50" s="40" t="str">
        <f>IF(E50="No","If no, why not:","")</f>
        <v/>
      </c>
      <c r="I50" s="41" t="n"/>
      <c r="J50" s="42" t="n"/>
      <c r="K50" s="43" t="n"/>
      <c r="L50" s="10" t="n"/>
      <c r="M50" s="11" t="n"/>
    </row>
    <row r="51">
      <c r="A51" s="18" t="n"/>
      <c r="B51" s="14" t="n"/>
      <c r="C51" s="14" t="n"/>
      <c r="D51" s="33" t="inlineStr">
        <is>
          <t>Flood</t>
        </is>
      </c>
      <c r="E51" s="38" t="n"/>
      <c r="F51" s="45" t="n"/>
      <c r="G51" s="46" t="n"/>
      <c r="H51" s="40" t="str">
        <f>IF(E51="No","If no, why not:","")</f>
        <v/>
      </c>
      <c r="I51" s="41" t="n"/>
      <c r="J51" s="42" t="n"/>
      <c r="K51" s="43" t="n"/>
      <c r="L51" s="10" t="n"/>
      <c r="M51" s="11" t="n"/>
    </row>
    <row r="52">
      <c r="A52" s="18" t="n"/>
      <c r="B52" s="14" t="n"/>
      <c r="C52" s="14" t="n"/>
      <c r="D52" s="33" t="inlineStr">
        <is>
          <t>Crop</t>
        </is>
      </c>
      <c r="E52" s="38" t="n"/>
      <c r="F52" s="45" t="n"/>
      <c r="G52" s="46" t="n"/>
      <c r="H52" s="40" t="str">
        <f>IF(E52="No","If no, why not:","")</f>
        <v/>
      </c>
      <c r="I52" s="41" t="n"/>
      <c r="J52" s="42" t="n"/>
      <c r="K52" s="43" t="n"/>
      <c r="L52" s="10" t="n"/>
      <c r="M52" s="11" t="n"/>
    </row>
    <row r="53">
      <c r="A53" s="18" t="n"/>
      <c r="B53" s="14" t="n"/>
      <c r="C53" s="14" t="n"/>
      <c r="D53" s="33" t="inlineStr">
        <is>
          <t>Other primary insurance</t>
        </is>
      </c>
      <c r="E53" s="38" t="n"/>
      <c r="F53" s="45" t="n"/>
      <c r="G53" s="46" t="n"/>
      <c r="H53" s="40" t="str">
        <f>IF(E53="No","If no, why not:","")</f>
        <v/>
      </c>
      <c r="I53" s="41" t="n"/>
      <c r="J53" s="42" t="n"/>
      <c r="K53" s="43" t="n"/>
      <c r="L53" s="10" t="n"/>
      <c r="M53" s="11" t="n"/>
    </row>
    <row r="54" ht="6.75" customHeight="1">
      <c r="A54" s="18" t="n"/>
      <c r="B54" s="14" t="n"/>
      <c r="C54" s="14" t="n"/>
      <c r="D54" s="14" t="n"/>
      <c r="E54" s="47" t="n"/>
      <c r="F54" s="40" t="n"/>
      <c r="G54" s="40" t="n"/>
      <c r="H54" s="40" t="n"/>
      <c r="I54" s="48" t="n"/>
      <c r="J54" s="48" t="n"/>
      <c r="K54" s="49" t="n"/>
      <c r="L54" s="10" t="n"/>
      <c r="M54" s="11" t="n"/>
    </row>
    <row r="55">
      <c r="A55" s="18" t="n"/>
      <c r="B55" s="19" t="inlineStr">
        <is>
          <t>3. Assumed reinsurance information:</t>
        </is>
      </c>
      <c r="C55" s="14" t="n"/>
      <c r="D55" s="14" t="n"/>
      <c r="E55" s="47" t="n"/>
      <c r="F55" s="40" t="n"/>
      <c r="G55" s="40" t="n"/>
      <c r="H55" s="40" t="n"/>
      <c r="I55" s="48" t="n"/>
      <c r="J55" s="48" t="n"/>
      <c r="K55" s="49" t="n"/>
      <c r="L55" s="10" t="n"/>
      <c r="M55" s="11" t="n"/>
    </row>
    <row r="56">
      <c r="A56" s="18" t="n"/>
      <c r="B56" s="14" t="n"/>
      <c r="C56" s="14" t="n"/>
      <c r="D56" s="33" t="inlineStr">
        <is>
          <t>Proportional - quota share</t>
        </is>
      </c>
      <c r="E56" s="38" t="n"/>
      <c r="F56" s="45" t="n"/>
      <c r="G56" s="46" t="n"/>
      <c r="H56" s="40" t="str">
        <f>IF(E56="No","If no, why not:","")</f>
        <v/>
      </c>
      <c r="I56" s="41" t="n"/>
      <c r="J56" s="42" t="n"/>
      <c r="K56" s="43" t="n"/>
      <c r="L56" s="10" t="n"/>
      <c r="M56" s="11" t="n"/>
    </row>
    <row r="57">
      <c r="A57" s="18" t="n"/>
      <c r="B57" s="14" t="n"/>
      <c r="C57" s="14" t="n"/>
      <c r="D57" s="33" t="inlineStr">
        <is>
          <t>Proportional - surplus share</t>
        </is>
      </c>
      <c r="E57" s="38" t="n"/>
      <c r="F57" s="45" t="n"/>
      <c r="G57" s="46" t="n"/>
      <c r="H57" s="40" t="str">
        <f>IF(E57="No","If no, why not:","")</f>
        <v/>
      </c>
      <c r="I57" s="41" t="n"/>
      <c r="J57" s="42" t="n"/>
      <c r="K57" s="43" t="n"/>
      <c r="L57" s="10" t="n"/>
      <c r="M57" s="11" t="n"/>
    </row>
    <row r="58">
      <c r="A58" s="18" t="n"/>
      <c r="B58" s="14" t="n"/>
      <c r="C58" s="14" t="n"/>
      <c r="D58" s="33" t="inlineStr">
        <is>
          <t>Non-proportional - catastrophe</t>
        </is>
      </c>
      <c r="E58" s="38" t="n"/>
      <c r="F58" s="45" t="n"/>
      <c r="G58" s="46" t="n"/>
      <c r="H58" s="40" t="str">
        <f>IF(E58="No","If no, why not:","")</f>
        <v/>
      </c>
      <c r="I58" s="41" t="n"/>
      <c r="J58" s="42" t="n"/>
      <c r="K58" s="43" t="n"/>
      <c r="L58" s="10" t="n"/>
      <c r="M58" s="11" t="n"/>
    </row>
    <row r="59">
      <c r="A59" s="18" t="n"/>
      <c r="B59" s="14" t="n"/>
      <c r="C59" s="14" t="n"/>
      <c r="D59" s="33" t="inlineStr">
        <is>
          <t>Non-proportional - per risk</t>
        </is>
      </c>
      <c r="E59" s="38" t="n"/>
      <c r="F59" s="45" t="n"/>
      <c r="G59" s="46" t="n"/>
      <c r="H59" s="40" t="str">
        <f>IF(E59="No","If no, why not:","")</f>
        <v/>
      </c>
      <c r="I59" s="41" t="n"/>
      <c r="J59" s="42" t="n"/>
      <c r="K59" s="43" t="n"/>
      <c r="L59" s="10" t="n"/>
      <c r="M59" s="11" t="n"/>
    </row>
    <row r="60">
      <c r="A60" s="18" t="n"/>
      <c r="B60" s="14" t="n"/>
      <c r="C60" s="14" t="n"/>
      <c r="D60" s="33" t="inlineStr">
        <is>
          <t>Other reinsurance assumed</t>
        </is>
      </c>
      <c r="E60" s="38" t="n"/>
      <c r="F60" s="45" t="n"/>
      <c r="G60" s="46" t="n"/>
      <c r="H60" s="40" t="str">
        <f>IF(E60="No","If no, why not:","")</f>
        <v/>
      </c>
      <c r="I60" s="41" t="n"/>
      <c r="J60" s="42" t="n"/>
      <c r="K60" s="43" t="n"/>
      <c r="L60" s="10" t="n"/>
      <c r="M60" s="11" t="n"/>
    </row>
    <row r="61" ht="6.75" customHeight="1">
      <c r="A61" s="18" t="n"/>
      <c r="B61" s="14" t="n"/>
      <c r="C61" s="14" t="n"/>
      <c r="D61" s="33" t="n"/>
      <c r="E61" s="40" t="n"/>
      <c r="F61" s="40" t="n"/>
      <c r="G61" s="40" t="n"/>
      <c r="H61" s="40" t="n"/>
      <c r="I61" s="50" t="n"/>
      <c r="J61" s="50" t="n"/>
      <c r="K61" s="41" t="n"/>
      <c r="L61" s="10" t="n"/>
      <c r="M61" s="11" t="n"/>
    </row>
    <row r="62">
      <c r="A62" s="18" t="n"/>
      <c r="B62" s="19" t="inlineStr">
        <is>
          <t>4. Pools and assessments information:</t>
        </is>
      </c>
      <c r="C62" s="14" t="n"/>
      <c r="D62" s="33" t="n"/>
      <c r="E62" s="47" t="n"/>
      <c r="F62" s="40" t="n"/>
      <c r="G62" s="40" t="n"/>
      <c r="H62" s="40" t="n"/>
      <c r="I62" s="48" t="n"/>
      <c r="J62" s="48" t="n"/>
      <c r="K62" s="49" t="n"/>
      <c r="L62" s="10" t="n"/>
      <c r="M62" s="11" t="n"/>
    </row>
    <row r="63">
      <c r="A63" s="18" t="n"/>
      <c r="B63" s="51" t="n"/>
      <c r="C63" s="14" t="n"/>
      <c r="D63" s="33" t="inlineStr">
        <is>
          <t>Voluntary pools and/or assessments</t>
        </is>
      </c>
      <c r="E63" s="38" t="n"/>
      <c r="F63" s="45" t="n"/>
      <c r="G63" s="46" t="n"/>
      <c r="H63" s="40" t="str">
        <f>IF(E63="No","If no, why not:","")</f>
        <v/>
      </c>
      <c r="I63" s="41" t="n"/>
      <c r="J63" s="42" t="n"/>
      <c r="K63" s="43" t="n"/>
      <c r="L63" s="10" t="n"/>
      <c r="M63" s="11" t="n"/>
    </row>
    <row r="64">
      <c r="A64" s="18" t="n"/>
      <c r="B64" s="51" t="n"/>
      <c r="C64" s="14" t="n"/>
      <c r="D64" s="33" t="inlineStr">
        <is>
          <t>Involuntary pools and/or assessments</t>
        </is>
      </c>
      <c r="E64" s="38" t="n"/>
      <c r="F64" s="45" t="n"/>
      <c r="G64" s="46" t="n"/>
      <c r="H64" s="40" t="str">
        <f>IF(E64="No","If no, why not:","")</f>
        <v/>
      </c>
      <c r="I64" s="41" t="n"/>
      <c r="J64" s="42" t="n"/>
      <c r="K64" s="43" t="n"/>
      <c r="L64" s="10" t="n"/>
      <c r="M64" s="11" t="n"/>
    </row>
    <row r="65" ht="6.75" customHeight="1">
      <c r="A65" s="18" t="n"/>
      <c r="B65" s="14" t="n"/>
      <c r="C65" s="14" t="n"/>
      <c r="D65" s="33" t="n"/>
      <c r="E65" s="40" t="n"/>
      <c r="F65" s="40" t="n"/>
      <c r="G65" s="40" t="n"/>
      <c r="H65" s="40" t="n"/>
      <c r="I65" s="48" t="n"/>
      <c r="J65" s="48" t="n"/>
      <c r="K65" s="49" t="n"/>
      <c r="L65" s="10" t="n"/>
      <c r="M65" s="11" t="n"/>
    </row>
    <row r="66">
      <c r="A66" s="18" t="n"/>
      <c r="B66" s="19" t="inlineStr">
        <is>
          <t>5. Supplemental perils and model options:</t>
        </is>
      </c>
      <c r="C66" s="14" t="n"/>
      <c r="D66" s="33" t="n"/>
      <c r="E66" s="47" t="n"/>
      <c r="F66" s="40" t="n"/>
      <c r="G66" s="40" t="n"/>
      <c r="H66" s="40" t="n"/>
      <c r="I66" s="48" t="n"/>
      <c r="J66" s="48" t="n"/>
      <c r="K66" s="49" t="n"/>
      <c r="L66" s="10" t="n"/>
      <c r="M66" s="11" t="n"/>
    </row>
    <row r="67">
      <c r="A67" s="18" t="n"/>
      <c r="B67" s="14" t="n"/>
      <c r="C67" s="14" t="n"/>
      <c r="D67" s="33" t="inlineStr">
        <is>
          <t>Fire following</t>
        </is>
      </c>
      <c r="E67" s="38" t="n"/>
      <c r="F67" s="45" t="n"/>
      <c r="G67" s="46" t="n"/>
      <c r="H67" s="40" t="str">
        <f>IF(E67="No","If no, why not:","")</f>
        <v/>
      </c>
      <c r="I67" s="41" t="n"/>
      <c r="J67" s="42" t="n"/>
      <c r="K67" s="43" t="n"/>
      <c r="L67" s="10" t="n"/>
      <c r="M67" s="11" t="n"/>
    </row>
    <row r="68">
      <c r="A68" s="18" t="n"/>
      <c r="B68" s="14" t="n"/>
      <c r="C68" s="14" t="n"/>
      <c r="D68" s="33" t="inlineStr">
        <is>
          <t>Sprinkler leakage</t>
        </is>
      </c>
      <c r="E68" s="38" t="n"/>
      <c r="F68" s="45" t="n"/>
      <c r="G68" s="46" t="n"/>
      <c r="H68" s="40" t="str">
        <f>IF(E68="No","If no, why not:","")</f>
        <v/>
      </c>
      <c r="I68" s="41" t="n"/>
      <c r="J68" s="42" t="n"/>
      <c r="K68" s="43" t="n"/>
      <c r="L68" s="10" t="n"/>
      <c r="M68" s="11" t="n"/>
    </row>
    <row r="69">
      <c r="A69" s="18" t="n"/>
      <c r="B69" s="14" t="n"/>
      <c r="C69" s="14" t="n"/>
      <c r="D69" s="33" t="inlineStr">
        <is>
          <t>Storm surge</t>
        </is>
      </c>
      <c r="E69" s="38" t="n"/>
      <c r="F69" s="45" t="n"/>
      <c r="G69" s="46" t="n"/>
      <c r="H69" s="40" t="str">
        <f>IF(E69="No","If no, why not:","")</f>
        <v/>
      </c>
      <c r="I69" s="41" t="n"/>
      <c r="J69" s="42" t="n"/>
      <c r="K69" s="43" t="n"/>
      <c r="L69" s="10" t="n"/>
      <c r="M69" s="11" t="n"/>
    </row>
    <row r="70">
      <c r="A70" s="18" t="n"/>
      <c r="B70" s="14" t="n"/>
      <c r="C70" s="14" t="n"/>
      <c r="D70" s="33" t="inlineStr">
        <is>
          <t>Demand surge</t>
        </is>
      </c>
      <c r="E70" s="38" t="n"/>
      <c r="F70" s="45" t="n"/>
      <c r="G70" s="46" t="n"/>
      <c r="H70" s="40" t="str">
        <f>IF(E70="No","If no, why not:","")</f>
        <v/>
      </c>
      <c r="I70" s="41" t="n"/>
      <c r="J70" s="42" t="n"/>
      <c r="K70" s="43" t="n"/>
      <c r="L70" s="10" t="n"/>
      <c r="M70" s="11" t="n"/>
    </row>
    <row r="71">
      <c r="A71" s="18" t="n"/>
      <c r="B71" s="14" t="n"/>
      <c r="C71" s="14" t="n"/>
      <c r="D71" s="33" t="inlineStr">
        <is>
          <t>Secondary uncertainty</t>
        </is>
      </c>
      <c r="E71" s="38" t="n"/>
      <c r="F71" s="45" t="n"/>
      <c r="G71" s="46" t="n"/>
      <c r="H71" s="40" t="str">
        <f>IF(E71="No","If no, why not:","")</f>
        <v/>
      </c>
      <c r="I71" s="41" t="n"/>
      <c r="J71" s="42" t="n"/>
      <c r="K71" s="43" t="n"/>
      <c r="L71" s="10" t="n"/>
      <c r="M71" s="11" t="n"/>
    </row>
    <row r="72">
      <c r="A72" s="18" t="n"/>
      <c r="B72" s="14" t="n"/>
      <c r="C72" s="14" t="n"/>
      <c r="D72" s="33" t="inlineStr">
        <is>
          <t>Atlantic multi-decadal oscillation selection</t>
        </is>
      </c>
      <c r="E72" s="38" t="n"/>
      <c r="F72" s="39" t="n"/>
      <c r="G72" s="39" t="n"/>
      <c r="H72" s="40" t="str">
        <f>IF(E72="Long-term frequency","If long-term frequency, why:","")</f>
        <v/>
      </c>
      <c r="I72" s="41" t="n"/>
      <c r="J72" s="42" t="n"/>
      <c r="K72" s="43" t="n"/>
      <c r="L72" s="10" t="n"/>
      <c r="M72" s="11" t="n"/>
    </row>
    <row r="73" ht="6.75" customHeight="1">
      <c r="A73" s="18" t="n"/>
      <c r="B73" s="14" t="n"/>
      <c r="C73" s="14" t="n"/>
      <c r="D73" s="33" t="n"/>
      <c r="E73" s="40" t="n"/>
      <c r="F73" s="40" t="n"/>
      <c r="G73" s="40" t="n"/>
      <c r="H73" s="40" t="n"/>
      <c r="I73" s="48" t="n"/>
      <c r="J73" s="48" t="n"/>
      <c r="K73" s="49" t="n"/>
      <c r="L73" s="10" t="n"/>
      <c r="M73" s="11" t="n"/>
    </row>
    <row r="74">
      <c r="A74" s="18" t="n"/>
      <c r="B74" s="19" t="inlineStr">
        <is>
          <t>6. Other adjustments information:</t>
        </is>
      </c>
      <c r="C74" s="14" t="n"/>
      <c r="D74" s="33" t="n"/>
      <c r="E74" s="47" t="n"/>
      <c r="F74" s="40" t="n"/>
      <c r="G74" s="40" t="n"/>
      <c r="H74" s="40" t="n"/>
      <c r="I74" s="48" t="n"/>
      <c r="J74" s="48" t="n"/>
      <c r="K74" s="49" t="n"/>
      <c r="L74" s="10" t="n"/>
      <c r="M74" s="11" t="n"/>
    </row>
    <row r="75">
      <c r="A75" s="18" t="n"/>
      <c r="B75" s="14" t="n"/>
      <c r="C75" s="14" t="n"/>
      <c r="D75" s="33" t="inlineStr">
        <is>
          <t>Adjustments for exposure data quality</t>
        </is>
      </c>
      <c r="E75" s="38" t="n"/>
      <c r="F75" s="39" t="n"/>
      <c r="G75" s="40" t="n"/>
      <c r="H75" s="40" t="str">
        <f>IF(E75="No","If no, why not:","")</f>
        <v/>
      </c>
      <c r="I75" s="41" t="n"/>
      <c r="J75" s="42" t="n"/>
      <c r="K75" s="43" t="n"/>
      <c r="L75" s="10" t="n"/>
      <c r="M75" s="11" t="n"/>
    </row>
    <row r="76">
      <c r="A76" s="18" t="n"/>
      <c r="B76" s="14" t="n"/>
      <c r="C76" s="14" t="n"/>
      <c r="D76" s="33" t="inlineStr">
        <is>
          <t>Adjustments for insurance to value</t>
        </is>
      </c>
      <c r="E76" s="38" t="n"/>
      <c r="F76" s="39" t="n"/>
      <c r="G76" s="40" t="n"/>
      <c r="H76" s="40" t="str">
        <f>IF(E76="No","If no, why not:","")</f>
        <v/>
      </c>
      <c r="I76" s="41" t="n"/>
      <c r="J76" s="42" t="n"/>
      <c r="K76" s="43" t="n"/>
      <c r="L76" s="10" t="n"/>
      <c r="M76" s="11" t="n"/>
    </row>
    <row r="77">
      <c r="A77" s="18" t="n"/>
      <c r="B77" s="14" t="n"/>
      <c r="C77" s="14" t="n"/>
      <c r="D77" s="33" t="inlineStr">
        <is>
          <t>Adjustments for exposure growth</t>
        </is>
      </c>
      <c r="E77" s="44" t="n"/>
      <c r="F77" s="39" t="n"/>
      <c r="G77" s="40" t="n"/>
      <c r="H77" s="40" t="str">
        <f>IF(E77="No","If no, why not:","")</f>
        <v/>
      </c>
      <c r="I77" s="41" t="n"/>
      <c r="J77" s="42" t="n"/>
      <c r="K77" s="43" t="n"/>
      <c r="L77" s="10" t="n"/>
      <c r="M77" s="11" t="n"/>
    </row>
    <row r="78">
      <c r="A78" s="18" t="n"/>
      <c r="B78" s="14" t="n"/>
      <c r="C78" s="14" t="n"/>
      <c r="D78" s="33" t="inlineStr">
        <is>
          <t>Supplemental losses for non-modelled line of business</t>
        </is>
      </c>
      <c r="E78" s="44" t="n"/>
      <c r="F78" s="39" t="n"/>
      <c r="G78" s="40" t="n"/>
      <c r="H78" s="40" t="str">
        <f>IF(E78="No","If no, why not:","")</f>
        <v/>
      </c>
      <c r="I78" s="41" t="n"/>
      <c r="J78" s="42" t="n"/>
      <c r="K78" s="43" t="n"/>
      <c r="L78" s="10" t="n"/>
      <c r="M78" s="11" t="n"/>
    </row>
    <row r="79">
      <c r="A79" s="18" t="n"/>
      <c r="B79" s="14" t="n"/>
      <c r="C79" s="14" t="n"/>
      <c r="D79" s="33" t="inlineStr">
        <is>
          <t>Adjustments for model deficiencies – severity</t>
        </is>
      </c>
      <c r="E79" s="38" t="n"/>
      <c r="F79" s="46" t="n"/>
      <c r="G79" s="40" t="n"/>
      <c r="H79" s="40" t="str">
        <f>IF(E79="No","If no, why not:","")</f>
        <v/>
      </c>
      <c r="I79" s="41" t="n"/>
      <c r="J79" s="42" t="n"/>
      <c r="K79" s="43" t="n"/>
      <c r="L79" s="10" t="n"/>
      <c r="M79" s="11" t="n"/>
    </row>
    <row r="80">
      <c r="A80" s="18" t="n"/>
      <c r="B80" s="14" t="n"/>
      <c r="C80" s="14" t="n"/>
      <c r="D80" s="33" t="inlineStr">
        <is>
          <t>Adjustments for model deficiencies - frequency</t>
        </is>
      </c>
      <c r="E80" s="38" t="n"/>
      <c r="F80" s="46" t="n"/>
      <c r="G80" s="40" t="n"/>
      <c r="H80" s="40" t="str">
        <f>IF(E80="No","If no, why not:","")</f>
        <v/>
      </c>
      <c r="I80" s="41" t="n"/>
      <c r="J80" s="42" t="n"/>
      <c r="K80" s="43" t="n"/>
      <c r="L80" s="10" t="n"/>
      <c r="M80" s="11" t="n"/>
    </row>
    <row r="81">
      <c r="A81" s="18" t="n"/>
      <c r="B81" s="14" t="n"/>
      <c r="C81" s="14" t="n"/>
      <c r="D81" s="33" t="inlineStr">
        <is>
          <t>Additional demand surge loadings</t>
        </is>
      </c>
      <c r="E81" s="38" t="n"/>
      <c r="F81" s="39" t="n"/>
      <c r="G81" s="40" t="n"/>
      <c r="H81" s="40" t="str">
        <f>IF(E81="No","If no, why not:","")</f>
        <v/>
      </c>
      <c r="I81" s="41" t="n"/>
      <c r="J81" s="42" t="n"/>
      <c r="K81" s="43" t="n"/>
      <c r="L81" s="10" t="n"/>
      <c r="M81" s="11" t="n"/>
    </row>
    <row r="82">
      <c r="A82" s="18" t="n"/>
      <c r="B82" s="14" t="n"/>
      <c r="C82" s="14" t="n"/>
      <c r="D82" s="33" t="inlineStr">
        <is>
          <t>Other factors for prudence</t>
        </is>
      </c>
      <c r="E82" s="38" t="n"/>
      <c r="F82" s="39" t="n"/>
      <c r="G82" s="40" t="n"/>
      <c r="H82" s="40" t="str">
        <f>IF(E82="No","If no, why not:","")</f>
        <v/>
      </c>
      <c r="I82" s="41" t="n"/>
      <c r="J82" s="42" t="n"/>
      <c r="K82" s="43" t="n"/>
      <c r="L82" s="10" t="n"/>
      <c r="M82" s="11" t="n"/>
    </row>
    <row r="83" ht="6.75" customHeight="1">
      <c r="A83" s="18" t="n"/>
      <c r="B83" s="14" t="n"/>
      <c r="C83" s="14" t="n"/>
      <c r="D83" s="14" t="n"/>
      <c r="E83" s="52" t="n"/>
      <c r="F83" s="14" t="n"/>
      <c r="G83" s="53" t="n"/>
      <c r="H83" s="53" t="n"/>
      <c r="I83" s="48" t="n"/>
      <c r="J83" s="48" t="n"/>
      <c r="K83" s="49" t="n"/>
      <c r="L83" s="10" t="n"/>
      <c r="M83" s="11" t="n"/>
    </row>
    <row r="84">
      <c r="A84" s="18" t="n"/>
      <c r="B84" s="14" t="n"/>
      <c r="C84" s="14" t="n"/>
      <c r="D84" s="14" t="n"/>
      <c r="E84" s="14" t="n"/>
      <c r="F84" s="33" t="inlineStr">
        <is>
          <t>Average loading factor applied to ground up loss for all adjustments applied:</t>
        </is>
      </c>
      <c r="G84" s="54" t="n"/>
      <c r="H84" s="39" t="n"/>
      <c r="I84" s="48" t="n"/>
      <c r="J84" s="48" t="n"/>
      <c r="K84" s="49" t="n"/>
      <c r="L84" s="10" t="n"/>
      <c r="M84" s="11" t="n"/>
    </row>
    <row r="85">
      <c r="A85" s="18" t="n"/>
      <c r="B85" s="14" t="n"/>
      <c r="C85" s="14" t="n"/>
      <c r="D85" s="14" t="n"/>
      <c r="E85" s="14" t="n"/>
      <c r="F85" s="33" t="inlineStr">
        <is>
          <t>Is this average loading factor determined analytically or estimated?</t>
        </is>
      </c>
      <c r="G85" s="38" t="n"/>
      <c r="H85" s="39" t="n"/>
      <c r="I85" s="48" t="n"/>
      <c r="J85" s="48" t="n"/>
      <c r="K85" s="49" t="n"/>
      <c r="L85" s="10" t="n"/>
      <c r="M85" s="11" t="n"/>
    </row>
    <row r="86" ht="6.75" customHeight="1">
      <c r="A86" s="18" t="n"/>
      <c r="B86" s="14" t="n"/>
      <c r="C86" s="14" t="n"/>
      <c r="D86" s="14" t="n"/>
      <c r="E86" s="14" t="n"/>
      <c r="F86" s="14" t="n"/>
      <c r="G86" s="39" t="n"/>
      <c r="H86" s="39" t="n"/>
      <c r="I86" s="48" t="n"/>
      <c r="J86" s="48" t="n"/>
      <c r="K86" s="49" t="n"/>
      <c r="L86" s="10" t="n"/>
      <c r="M86" s="11" t="n"/>
    </row>
    <row r="87">
      <c r="A87" s="18" t="n"/>
      <c r="B87" s="14" t="n"/>
      <c r="C87" s="14" t="n"/>
      <c r="D87" s="14" t="n"/>
      <c r="E87" s="14" t="n"/>
      <c r="F87" s="33" t="inlineStr">
        <is>
          <t>Which vendor catastrophe models ("cat model") do you include in this modelling?</t>
        </is>
      </c>
      <c r="G87" s="44" t="n"/>
      <c r="H87" s="39" t="n"/>
      <c r="I87" s="48" t="n"/>
      <c r="J87" s="48" t="n"/>
      <c r="K87" s="49" t="n"/>
      <c r="L87" s="10" t="n"/>
      <c r="M87" s="11" t="n"/>
    </row>
    <row r="88">
      <c r="A88" s="18" t="n"/>
      <c r="B88" s="14" t="n"/>
      <c r="C88" s="14" t="n"/>
      <c r="D88" s="14" t="n"/>
      <c r="E88" s="14" t="n"/>
      <c r="F88" s="33" t="inlineStr">
        <is>
          <t>Which version of the model or version of the region-peril models are used for each vendor catastrophe model as appropriate?</t>
        </is>
      </c>
      <c r="G88" s="55" t="n"/>
      <c r="H88" s="56" t="n"/>
      <c r="I88" s="14" t="n"/>
      <c r="J88" s="14" t="n"/>
      <c r="K88" s="15" t="n"/>
      <c r="L88" s="10" t="n"/>
      <c r="M88" s="11" t="n"/>
    </row>
    <row r="89">
      <c r="A89" s="18" t="n"/>
      <c r="B89" s="14" t="n"/>
      <c r="C89" s="14" t="n"/>
      <c r="D89" s="14" t="n"/>
      <c r="E89" s="14" t="n"/>
      <c r="F89" s="14" t="n"/>
      <c r="G89" s="57" t="n"/>
      <c r="H89" s="58" t="n"/>
      <c r="I89" s="14" t="n"/>
      <c r="J89" s="14" t="n"/>
      <c r="K89" s="15" t="n"/>
      <c r="L89" s="10" t="n"/>
      <c r="M89" s="11" t="n"/>
    </row>
    <row r="90" ht="6.75" customHeight="1">
      <c r="A90" s="59" t="n"/>
      <c r="B90" s="60" t="n"/>
      <c r="C90" s="60" t="n"/>
      <c r="D90" s="60" t="n"/>
      <c r="E90" s="60" t="n"/>
      <c r="F90" s="60" t="n"/>
      <c r="G90" s="61" t="n"/>
      <c r="H90" s="61" t="n"/>
      <c r="I90" s="60" t="n"/>
      <c r="J90" s="60" t="n"/>
      <c r="K90" s="62" t="n"/>
      <c r="L90" s="10" t="n"/>
      <c r="M90" s="11" t="n"/>
    </row>
    <row r="91">
      <c r="A91" s="10" t="n"/>
      <c r="B91" s="10" t="n"/>
      <c r="C91" s="10" t="n"/>
      <c r="D91" s="10" t="n"/>
      <c r="E91" s="10" t="n"/>
      <c r="F91" s="10" t="n"/>
      <c r="G91" s="10" t="n"/>
      <c r="H91" s="10" t="n"/>
      <c r="I91" s="10" t="n"/>
      <c r="J91" s="10" t="n"/>
      <c r="K91" s="10" t="n"/>
      <c r="L91" s="10" t="n"/>
      <c r="M91" s="11" t="n"/>
    </row>
    <row r="92">
      <c r="A92" s="10" t="n"/>
      <c r="B92" s="10" t="n"/>
      <c r="C92" s="10" t="n"/>
      <c r="D92" s="10" t="n"/>
      <c r="E92" s="10" t="n"/>
      <c r="F92" s="10" t="n"/>
      <c r="G92" s="10" t="n"/>
      <c r="H92" s="10" t="n"/>
      <c r="I92" s="10" t="n"/>
      <c r="J92" s="10" t="n"/>
      <c r="K92" s="10" t="n"/>
      <c r="L92" s="10" t="n"/>
      <c r="M92" s="10" t="n"/>
    </row>
    <row r="93"/>
    <row r="94"/>
    <row r="95"/>
    <row r="96"/>
    <row r="97"/>
    <row r="98" ht="75" customHeight="1">
      <c r="A98" s="63" t="n"/>
      <c r="B98" s="7" t="inlineStr">
        <is>
          <t>CATASTROPHE RISK RETURN: EP CURVE INSURANCE (TABLE 15A)</t>
        </is>
      </c>
      <c r="C98" s="64" t="n"/>
      <c r="D98" s="64" t="n"/>
      <c r="E98" s="64" t="n"/>
      <c r="F98" s="64" t="n"/>
      <c r="G98" s="64" t="n"/>
      <c r="H98" s="64" t="n"/>
      <c r="I98" s="64" t="n"/>
      <c r="J98" s="8" t="inlineStr">
        <is>
          <t>Back to instructions</t>
        </is>
      </c>
      <c r="K98" s="65" t="n"/>
      <c r="L98" s="10" t="n"/>
      <c r="M98" s="11" t="n"/>
    </row>
    <row r="99" ht="13.5" customHeight="1">
      <c r="A99" s="18" t="n"/>
      <c r="B99" s="13" t="inlineStr">
        <is>
          <t>HSA</t>
        </is>
      </c>
      <c r="C99" s="14" t="n"/>
      <c r="D99" s="14" t="n"/>
      <c r="E99" s="14" t="n"/>
      <c r="F99" s="14" t="n"/>
      <c r="G99" s="14" t="n"/>
      <c r="H99" s="14" t="n"/>
      <c r="I99" s="14" t="n"/>
      <c r="J99" s="14" t="n"/>
      <c r="K99" s="15" t="n"/>
      <c r="L99" s="10" t="n"/>
      <c r="M99" s="11" t="n"/>
    </row>
    <row r="100" ht="13.5" customHeight="1">
      <c r="A100" s="18" t="n"/>
      <c r="B100" s="16">
        <f>DATE(2026,1,1)</f>
        <v>46023.0</v>
      </c>
      <c r="C100" s="14" t="n"/>
      <c r="D100" s="14" t="n"/>
      <c r="E100" s="14" t="n"/>
      <c r="F100" s="14" t="n"/>
      <c r="G100" s="14" t="n"/>
      <c r="H100" s="14" t="n"/>
      <c r="I100" s="14" t="n"/>
      <c r="J100" s="17" t="inlineStr">
        <is>
          <t xml:space="preserve">Schedule X(b) </t>
        </is>
      </c>
      <c r="K100" s="15" t="n"/>
      <c r="L100" s="10" t="n"/>
      <c r="M100" s="11" t="n"/>
    </row>
    <row r="101" ht="6.75" customHeight="1">
      <c r="A101" s="18" t="n"/>
      <c r="B101" s="66" t="n"/>
      <c r="C101" s="14" t="n"/>
      <c r="D101" s="14" t="n"/>
      <c r="E101" s="14" t="n"/>
      <c r="F101" s="14" t="n"/>
      <c r="G101" s="14" t="n"/>
      <c r="H101" s="14" t="n"/>
      <c r="I101" s="14" t="n"/>
      <c r="J101" s="14" t="n"/>
      <c r="K101" s="15" t="n"/>
      <c r="L101" s="10" t="n"/>
      <c r="M101" s="11" t="n"/>
    </row>
    <row r="102">
      <c r="A102" s="18" t="n"/>
      <c r="B102" s="67" t="inlineStr">
        <is>
          <t>Note:The EP curve for insurance will be required only when the percentage of net insurance premiums written is greater than 10% of total net premiums written.</t>
        </is>
      </c>
      <c r="C102" s="67" t="n"/>
      <c r="D102" s="67" t="n"/>
      <c r="E102" s="67" t="n"/>
      <c r="F102" s="67" t="n"/>
      <c r="G102" s="67" t="n"/>
      <c r="H102" s="14" t="n"/>
      <c r="I102" s="14" t="n"/>
      <c r="J102" s="14" t="n"/>
      <c r="K102" s="15" t="n"/>
      <c r="L102" s="10" t="n"/>
      <c r="M102" s="11" t="n"/>
    </row>
    <row r="103" ht="6.75" customHeight="1">
      <c r="A103" s="18" t="n"/>
      <c r="B103" s="67" t="n"/>
      <c r="C103" s="67" t="n"/>
      <c r="D103" s="67" t="n"/>
      <c r="E103" s="67" t="n"/>
      <c r="F103" s="67" t="n"/>
      <c r="G103" s="67" t="n"/>
      <c r="H103" s="14" t="n"/>
      <c r="I103" s="14" t="n"/>
      <c r="J103" s="14" t="n"/>
      <c r="K103" s="15" t="n"/>
      <c r="L103" s="10" t="n"/>
      <c r="M103" s="11" t="n"/>
    </row>
    <row r="104">
      <c r="A104" s="18" t="n"/>
      <c r="B104" s="14" t="n"/>
      <c r="C104" s="19" t="inlineStr">
        <is>
          <t>1. Exceedance probability information:</t>
        </is>
      </c>
      <c r="D104" s="14" t="n"/>
      <c r="E104" s="14" t="n"/>
      <c r="F104" s="14" t="n"/>
      <c r="G104" s="14" t="n"/>
      <c r="H104" s="14" t="n"/>
      <c r="I104" s="14" t="n"/>
      <c r="J104" s="14" t="n"/>
      <c r="K104" s="15" t="n"/>
      <c r="L104" s="10" t="n"/>
      <c r="M104" s="11" t="n"/>
    </row>
    <row r="105">
      <c r="A105" s="18" t="n"/>
      <c r="B105" s="14" t="n"/>
      <c r="C105" s="14" t="n"/>
      <c r="D105" s="20" t="n"/>
      <c r="E105" s="21" t="inlineStr">
        <is>
          <t>Gross Loss</t>
        </is>
      </c>
      <c r="F105" s="22" t="n"/>
      <c r="G105" s="21" t="inlineStr">
        <is>
          <t>Net Loss</t>
        </is>
      </c>
      <c r="H105" s="22" t="n"/>
      <c r="I105" s="14" t="n"/>
      <c r="J105" s="14" t="n"/>
      <c r="K105" s="15" t="n"/>
      <c r="L105" s="10" t="n"/>
      <c r="M105" s="11" t="n"/>
    </row>
    <row r="106" ht="42" customHeight="1">
      <c r="A106" s="18" t="n"/>
      <c r="B106" s="14" t="n"/>
      <c r="C106" s="14" t="n"/>
      <c r="D106" s="23" t="inlineStr">
        <is>
          <t>Loss Return period (years)</t>
        </is>
      </c>
      <c r="E106" s="24" t="inlineStr">
        <is>
          <t>Gross per occurrence loss TVaR</t>
        </is>
      </c>
      <c r="F106" s="24" t="inlineStr">
        <is>
          <t>Gross aggregate TVaR</t>
        </is>
      </c>
      <c r="G106" s="68" t="inlineStr">
        <is>
          <t>Net per occurrence loss TVaR</t>
        </is>
      </c>
      <c r="H106" s="69" t="inlineStr">
        <is>
          <t xml:space="preserve">Net aggregate TVaR </t>
        </is>
      </c>
      <c r="I106" s="14" t="n"/>
      <c r="J106" s="14" t="n"/>
      <c r="K106" s="15" t="n"/>
      <c r="L106" s="25" t="n"/>
      <c r="M106" s="11" t="n"/>
    </row>
    <row r="107">
      <c r="A107" s="18" t="n"/>
      <c r="B107" s="14" t="n"/>
      <c r="C107" s="14" t="n"/>
      <c r="D107" s="26" t="n"/>
      <c r="E107" s="70" t="inlineStr">
        <is>
          <t xml:space="preserve"> ($M)</t>
        </is>
      </c>
      <c r="F107" s="70" t="inlineStr">
        <is>
          <t xml:space="preserve"> ($M)</t>
        </is>
      </c>
      <c r="G107" s="70" t="inlineStr">
        <is>
          <t xml:space="preserve"> ($M)</t>
        </is>
      </c>
      <c r="H107" s="70" t="inlineStr">
        <is>
          <t xml:space="preserve"> ($M)</t>
        </is>
      </c>
      <c r="I107" s="14" t="n"/>
      <c r="J107" s="14" t="n"/>
      <c r="K107" s="15" t="n"/>
      <c r="L107" s="25" t="n"/>
      <c r="M107" s="25" t="n"/>
    </row>
    <row r="108">
      <c r="A108" s="18" t="n"/>
      <c r="B108" s="14" t="n"/>
      <c r="C108" s="14" t="n"/>
      <c r="D108" s="27" t="n">
        <v>50</v>
      </c>
      <c r="E108" s="28" t="n"/>
      <c r="F108" s="28" t="n"/>
      <c r="G108" s="28" t="n"/>
      <c r="H108" s="28" t="n"/>
      <c r="I108" s="14" t="n"/>
      <c r="J108" s="14" t="n"/>
      <c r="K108" s="15" t="n"/>
      <c r="L108" s="10" t="n"/>
      <c r="M108" s="11" t="n"/>
    </row>
    <row r="109">
      <c r="A109" s="18" t="n"/>
      <c r="B109" s="14" t="n"/>
      <c r="C109" s="14" t="n"/>
      <c r="D109" s="27" t="n">
        <v>100</v>
      </c>
      <c r="E109" s="28" t="n"/>
      <c r="F109" s="28" t="n"/>
      <c r="G109" s="28" t="n"/>
      <c r="H109" s="28" t="n"/>
      <c r="I109" s="14" t="n"/>
      <c r="J109" s="14" t="n"/>
      <c r="K109" s="15" t="n"/>
      <c r="L109" s="10" t="n"/>
      <c r="M109" s="11" t="n"/>
    </row>
    <row r="110">
      <c r="A110" s="18" t="n"/>
      <c r="B110" s="14" t="n"/>
      <c r="C110" s="14" t="n"/>
      <c r="D110" s="27" t="n">
        <v>250</v>
      </c>
      <c r="E110" s="28" t="n"/>
      <c r="F110" s="28" t="n"/>
      <c r="G110" s="28" t="n"/>
      <c r="H110" s="28" t="n"/>
      <c r="I110" s="14" t="n"/>
      <c r="J110" s="14" t="n"/>
      <c r="K110" s="15" t="n"/>
      <c r="L110" s="10" t="n"/>
      <c r="M110" s="11" t="n"/>
    </row>
    <row r="111">
      <c r="A111" s="18" t="n"/>
      <c r="B111" s="14" t="n"/>
      <c r="C111" s="14" t="n"/>
      <c r="D111" s="27" t="n">
        <v>500</v>
      </c>
      <c r="E111" s="28" t="n"/>
      <c r="F111" s="28" t="n"/>
      <c r="G111" s="28" t="n"/>
      <c r="H111" s="28" t="n"/>
      <c r="I111" s="14" t="n"/>
      <c r="J111" s="14" t="n"/>
      <c r="K111" s="15" t="n"/>
      <c r="L111" s="10" t="n"/>
      <c r="M111" s="11" t="n"/>
    </row>
    <row r="112">
      <c r="A112" s="18" t="n"/>
      <c r="B112" s="14" t="n"/>
      <c r="C112" s="14" t="n"/>
      <c r="D112" s="30" t="n">
        <v>1000</v>
      </c>
      <c r="E112" s="28" t="n"/>
      <c r="F112" s="28" t="n"/>
      <c r="G112" s="28" t="n"/>
      <c r="H112" s="28" t="n"/>
      <c r="I112" s="14" t="n"/>
      <c r="J112" s="14" t="n"/>
      <c r="K112" s="15" t="n"/>
      <c r="L112" s="10" t="n"/>
      <c r="M112" s="11" t="n"/>
    </row>
    <row r="113" ht="6.75" customHeight="1">
      <c r="A113" s="18" t="n"/>
      <c r="B113" s="14" t="n"/>
      <c r="C113" s="14" t="n"/>
      <c r="D113" s="14" t="n"/>
      <c r="E113" s="14" t="n"/>
      <c r="F113" s="14" t="n"/>
      <c r="G113" s="14" t="n"/>
      <c r="H113" s="14" t="n"/>
      <c r="I113" s="14" t="n"/>
      <c r="J113" s="14" t="n"/>
      <c r="K113" s="15" t="n"/>
      <c r="L113" s="10" t="n"/>
      <c r="M113" s="11" t="n"/>
    </row>
    <row r="114">
      <c r="A114" s="18" t="n"/>
      <c r="B114" s="14" t="n"/>
      <c r="C114" s="14" t="n"/>
      <c r="D114" s="14" t="n"/>
      <c r="E114" s="70" t="inlineStr">
        <is>
          <t>Gross Loss ($M)</t>
        </is>
      </c>
      <c r="F114" s="14" t="n"/>
      <c r="G114" s="14" t="n"/>
      <c r="H114" s="14" t="n"/>
      <c r="I114" s="14" t="n"/>
      <c r="J114" s="70" t="inlineStr">
        <is>
          <t>Net Loss ($M)</t>
        </is>
      </c>
      <c r="K114" s="15" t="n"/>
      <c r="L114" s="10" t="n"/>
      <c r="M114" s="11" t="n"/>
    </row>
    <row r="115">
      <c r="A115" s="18" t="n"/>
      <c r="B115" s="14" t="n"/>
      <c r="C115" s="14" t="n"/>
      <c r="D115" s="33" t="inlineStr">
        <is>
          <t xml:space="preserve">Annual average aggregate gross loss </t>
        </is>
      </c>
      <c r="E115" s="28" t="n"/>
      <c r="F115" s="14" t="n"/>
      <c r="G115" s="14" t="n"/>
      <c r="H115" s="14" t="n"/>
      <c r="I115" s="33" t="inlineStr">
        <is>
          <t>Annual average aggregate net loss (net of reinstatements terms)</t>
        </is>
      </c>
      <c r="J115" s="28" t="n"/>
      <c r="K115" s="15" t="n"/>
      <c r="L115" s="10" t="n"/>
      <c r="M115" s="11" t="n"/>
    </row>
    <row r="116">
      <c r="A116" s="18" t="n"/>
      <c r="B116" s="14" t="n"/>
      <c r="C116" s="14" t="n"/>
      <c r="D116" s="33" t="n"/>
      <c r="E116" s="14" t="n"/>
      <c r="F116" s="14" t="n"/>
      <c r="G116" s="14" t="n"/>
      <c r="H116" s="14" t="n"/>
      <c r="I116" s="33" t="inlineStr">
        <is>
          <t>Reinstatement terms included in Annual average aggregated net loss</t>
        </is>
      </c>
      <c r="J116" s="28" t="n"/>
      <c r="K116" s="15" t="n"/>
      <c r="L116" s="10" t="n"/>
      <c r="M116" s="11" t="n"/>
    </row>
    <row r="117">
      <c r="A117" s="18" t="n"/>
      <c r="B117" s="14" t="n"/>
      <c r="C117" s="14" t="n"/>
      <c r="D117" s="33" t="inlineStr">
        <is>
          <t xml:space="preserve">Standard deviation of annual aggregate gross loss </t>
        </is>
      </c>
      <c r="E117" s="28" t="n"/>
      <c r="F117" s="14" t="n"/>
      <c r="G117" s="14" t="n"/>
      <c r="H117" s="14" t="n"/>
      <c r="I117" s="33" t="inlineStr">
        <is>
          <t>Standard deviation of annual aggregate net loss (net of reinstatements terms)</t>
        </is>
      </c>
      <c r="J117" s="28" t="n"/>
      <c r="K117" s="15" t="n"/>
      <c r="L117" s="10" t="n"/>
      <c r="M117" s="11" t="n"/>
    </row>
    <row r="118" ht="6.75" customHeight="1">
      <c r="A118" s="18" t="n"/>
      <c r="B118" s="14" t="n"/>
      <c r="C118" s="14" t="n"/>
      <c r="D118" s="33" t="n"/>
      <c r="E118" s="71" t="n"/>
      <c r="F118" s="14" t="n"/>
      <c r="G118" s="14" t="n"/>
      <c r="H118" s="14" t="n"/>
      <c r="I118" s="33" t="n"/>
      <c r="J118" s="35" t="n"/>
      <c r="K118" s="15" t="n"/>
      <c r="L118" s="10" t="n"/>
      <c r="M118" s="11" t="n"/>
    </row>
    <row r="119">
      <c r="A119" s="18" t="n"/>
      <c r="B119" s="14" t="n"/>
      <c r="C119" s="14" t="n"/>
      <c r="D119" s="33" t="inlineStr">
        <is>
          <t xml:space="preserve">Total gross statutory property catastrophe premium modelled </t>
        </is>
      </c>
      <c r="E119" s="34" t="n"/>
      <c r="F119" s="14" t="n"/>
      <c r="G119" s="14" t="n"/>
      <c r="H119" s="14" t="n"/>
      <c r="I119" s="33" t="inlineStr">
        <is>
          <t>Total net statutory property catastrophe premium modelled</t>
        </is>
      </c>
      <c r="J119" s="34" t="n"/>
      <c r="K119" s="15" t="n"/>
      <c r="L119" s="10" t="n"/>
      <c r="M119" s="11" t="n"/>
    </row>
    <row r="120">
      <c r="A120" s="18" t="n"/>
      <c r="B120" s="14" t="n"/>
      <c r="C120" s="14" t="n"/>
      <c r="D120" s="33" t="inlineStr">
        <is>
          <t xml:space="preserve">Total gross all other catastrophe premium modelled </t>
        </is>
      </c>
      <c r="E120" s="34" t="n"/>
      <c r="F120" s="14" t="n"/>
      <c r="G120" s="14" t="n"/>
      <c r="H120" s="14" t="n"/>
      <c r="I120" s="33" t="inlineStr">
        <is>
          <t>Total net all other catastrophe premium modelled</t>
        </is>
      </c>
      <c r="J120" s="34" t="n"/>
      <c r="K120" s="15" t="n"/>
      <c r="L120" s="10" t="n"/>
      <c r="M120" s="11" t="n"/>
    </row>
    <row r="121" ht="6.75" customHeight="1">
      <c r="A121" s="18" t="n"/>
      <c r="B121" s="14" t="n"/>
      <c r="C121" s="14" t="n"/>
      <c r="D121" s="14" t="n"/>
      <c r="E121" s="71" t="n"/>
      <c r="F121" s="14" t="n"/>
      <c r="G121" s="14" t="n"/>
      <c r="H121" s="14" t="n"/>
      <c r="I121" s="14" t="n"/>
      <c r="J121" s="71" t="n"/>
      <c r="K121" s="15" t="n"/>
      <c r="L121" s="10" t="n"/>
      <c r="M121" s="11" t="n"/>
    </row>
    <row r="122">
      <c r="A122" s="18" t="n"/>
      <c r="B122" s="14" t="n"/>
      <c r="C122" s="14" t="n"/>
      <c r="D122" s="33" t="inlineStr">
        <is>
          <t>Total gross statutory property catastrophe limits exposed - modelled</t>
        </is>
      </c>
      <c r="E122" s="34" t="n"/>
      <c r="F122" s="14" t="n"/>
      <c r="G122" s="14" t="n"/>
      <c r="H122" s="14" t="n"/>
      <c r="I122" s="33" t="inlineStr">
        <is>
          <t>Total net statutory property catastrophe limits exposed – modelled</t>
        </is>
      </c>
      <c r="J122" s="34" t="n"/>
      <c r="K122" s="15" t="n"/>
      <c r="L122" s="10" t="n"/>
      <c r="M122" s="11" t="n"/>
    </row>
    <row r="123">
      <c r="A123" s="18" t="n"/>
      <c r="B123" s="14" t="n"/>
      <c r="C123" s="14" t="n"/>
      <c r="D123" s="33" t="inlineStr">
        <is>
          <t>Total gross statutory property catastrophe limits exposed - not modelled</t>
        </is>
      </c>
      <c r="E123" s="34" t="n"/>
      <c r="F123" s="14" t="n"/>
      <c r="G123" s="14" t="n"/>
      <c r="H123" s="14" t="n"/>
      <c r="I123" s="33" t="inlineStr">
        <is>
          <t>Total net statutory property catastrophe limits exposed– not modelled</t>
        </is>
      </c>
      <c r="J123" s="34" t="n"/>
      <c r="K123" s="15" t="n"/>
      <c r="L123" s="10" t="n"/>
      <c r="M123" s="11" t="n"/>
    </row>
    <row r="124">
      <c r="A124" s="18" t="n"/>
      <c r="B124" s="14" t="n"/>
      <c r="C124" s="14" t="n"/>
      <c r="D124" s="33" t="inlineStr">
        <is>
          <t>Total gross all other lines limits exposed- modelled</t>
        </is>
      </c>
      <c r="E124" s="37">
        <f>SUMIFS(BSCRInput[sum_pml],BSCRInput[bscr_entity],"HSA",BSCRInput[region],"ALL",BSCRInput[peril_id],1,BSCRInput[is_geocoded],1)/1000000</f>
        <v>104205.72190310915</v>
      </c>
      <c r="F124" s="14" t="n"/>
      <c r="G124" s="14" t="n"/>
      <c r="H124" s="14" t="n"/>
      <c r="I124" s="33" t="inlineStr">
        <is>
          <t>Total net all other lines limits exposed – modelled</t>
        </is>
      </c>
      <c r="J124" s="37">
        <f>SUMIFS(BSCRInput[sum_net],BSCRInput[bscr_entity],"HSA",BSCRInput[region],"ALL",BSCRInput[peril_id],1,BSCRInput[is_geocoded],1)/1000000</f>
        <v>101915.31306626549</v>
      </c>
      <c r="K124" s="15" t="n"/>
      <c r="L124" s="10" t="n"/>
      <c r="M124" s="11" t="n"/>
    </row>
    <row r="125">
      <c r="A125" s="18" t="n"/>
      <c r="B125" s="14" t="n"/>
      <c r="C125" s="14" t="n"/>
      <c r="D125" s="33" t="inlineStr">
        <is>
          <t>Total gross all other lines limits exposed - not modelled</t>
        </is>
      </c>
      <c r="E125" s="37">
        <f>SUMIFS(BSCRInput[sum_pml],BSCRInput[bscr_entity],"HSA",BSCRInput[region],"ALL",BSCRInput[peril_id],1,BSCRInput[is_geocoded],0)/1000000</f>
        <v>154.7942636550143</v>
      </c>
      <c r="F125" s="14" t="n"/>
      <c r="G125" s="14" t="n"/>
      <c r="H125" s="14" t="n"/>
      <c r="I125" s="33" t="inlineStr">
        <is>
          <t>Total net all other lines limits exposed - not modelled</t>
        </is>
      </c>
      <c r="J125" s="37">
        <f>SUMIFS(BSCRInput[sum_net],BSCRInput[bscr_entity],"HSA",BSCRInput[region],"ALL",BSCRInput[peril_id],1,BSCRInput[is_geocoded],0)/1000000</f>
        <v>154.7942636550143</v>
      </c>
      <c r="K125" s="15" t="n"/>
      <c r="L125" s="10" t="n"/>
      <c r="M125" s="11" t="n"/>
    </row>
    <row r="126">
      <c r="A126" s="18" t="n"/>
      <c r="B126" s="14" t="n"/>
      <c r="C126" s="14" t="n"/>
      <c r="D126" s="33" t="inlineStr">
        <is>
          <t>Total gross premium without an occurrence or aggregate limit</t>
        </is>
      </c>
      <c r="E126" s="34" t="n"/>
      <c r="F126" s="14" t="n"/>
      <c r="G126" s="14" t="n"/>
      <c r="H126" s="14" t="n"/>
      <c r="I126" s="33" t="inlineStr">
        <is>
          <t>Total net premium without an occurrence or aggregate limit</t>
        </is>
      </c>
      <c r="J126" s="34" t="n"/>
      <c r="K126" s="15" t="n"/>
      <c r="L126" s="10" t="n"/>
      <c r="M126" s="11" t="n"/>
    </row>
    <row r="127">
      <c r="A127" s="18" t="n"/>
      <c r="B127" s="14" t="n"/>
      <c r="C127" s="14" t="n"/>
      <c r="D127" s="33" t="inlineStr">
        <is>
          <t>Total gross premium with non determinable Total Insured Value (“TIV”)</t>
        </is>
      </c>
      <c r="E127" s="34" t="n"/>
      <c r="F127" s="14" t="n"/>
      <c r="G127" s="14" t="n"/>
      <c r="H127" s="14" t="n"/>
      <c r="I127" s="33" t="inlineStr">
        <is>
          <t>Total net premium with non-determinable TIV:</t>
        </is>
      </c>
      <c r="J127" s="34" t="n"/>
      <c r="K127" s="15" t="n"/>
      <c r="L127" s="10" t="n"/>
      <c r="M127" s="11" t="n"/>
    </row>
    <row r="128" ht="6.75" customHeight="1">
      <c r="A128" s="18" t="n"/>
      <c r="B128" s="14" t="n"/>
      <c r="C128" s="14" t="n"/>
      <c r="D128" s="14" t="n"/>
      <c r="E128" s="14" t="n"/>
      <c r="F128" s="14" t="n"/>
      <c r="G128" s="14" t="n"/>
      <c r="H128" s="14" t="n"/>
      <c r="I128" s="14" t="n"/>
      <c r="J128" s="71" t="n"/>
      <c r="K128" s="15" t="n"/>
      <c r="L128" s="10" t="n"/>
      <c r="M128" s="11" t="n"/>
    </row>
    <row r="129">
      <c r="A129" s="18" t="n"/>
      <c r="B129" s="14" t="n"/>
      <c r="C129" s="19" t="inlineStr">
        <is>
          <t>2. Significant sources of catastrophe risk and associated loss included in the EP Curves:</t>
        </is>
      </c>
      <c r="D129" s="14" t="n"/>
      <c r="E129" s="14" t="n"/>
      <c r="F129" s="14" t="n"/>
      <c r="G129" s="14" t="n"/>
      <c r="H129" s="14" t="n"/>
      <c r="I129" s="48" t="n"/>
      <c r="J129" s="72" t="n"/>
      <c r="K129" s="49" t="n"/>
      <c r="L129" s="10" t="n"/>
      <c r="M129" s="11" t="n"/>
    </row>
    <row r="130">
      <c r="A130" s="18" t="n"/>
      <c r="B130" s="14" t="n"/>
      <c r="C130" s="14" t="n"/>
      <c r="D130" s="33" t="inlineStr">
        <is>
          <t>Allocated loss adjustment expense</t>
        </is>
      </c>
      <c r="E130" s="38" t="n"/>
      <c r="F130" s="39" t="n"/>
      <c r="G130" s="39" t="n"/>
      <c r="H130" s="73" t="str">
        <f>IF(E130="No","If no, why not:","")</f>
        <v/>
      </c>
      <c r="I130" s="41" t="n"/>
      <c r="J130" s="42" t="n"/>
      <c r="K130" s="43" t="n"/>
      <c r="L130" s="10" t="n"/>
      <c r="M130" s="11" t="n"/>
    </row>
    <row r="131">
      <c r="A131" s="18" t="n"/>
      <c r="B131" s="14" t="n"/>
      <c r="C131" s="14" t="n"/>
      <c r="D131" s="33" t="inlineStr">
        <is>
          <t>Property - buildings</t>
        </is>
      </c>
      <c r="E131" s="38" t="n"/>
      <c r="F131" s="39" t="n"/>
      <c r="G131" s="39" t="n"/>
      <c r="H131" s="73" t="str">
        <f>IF(E131="No","If no, why not:","")</f>
        <v/>
      </c>
      <c r="I131" s="41" t="n"/>
      <c r="J131" s="42" t="n"/>
      <c r="K131" s="43" t="n"/>
      <c r="L131" s="10" t="n"/>
      <c r="M131" s="11" t="n"/>
    </row>
    <row r="132">
      <c r="A132" s="18" t="n"/>
      <c r="B132" s="14" t="n"/>
      <c r="C132" s="14" t="n"/>
      <c r="D132" s="33" t="inlineStr">
        <is>
          <t>Property - contents</t>
        </is>
      </c>
      <c r="E132" s="38" t="n"/>
      <c r="F132" s="39" t="n"/>
      <c r="G132" s="39" t="n"/>
      <c r="H132" s="73" t="str">
        <f>IF(E132="No","If no, why not:","")</f>
        <v/>
      </c>
      <c r="I132" s="41" t="n"/>
      <c r="J132" s="42" t="n"/>
      <c r="K132" s="43" t="n"/>
      <c r="L132" s="10" t="n"/>
      <c r="M132" s="11" t="n"/>
    </row>
    <row r="133">
      <c r="A133" s="18" t="n"/>
      <c r="B133" s="14" t="n"/>
      <c r="C133" s="14" t="n"/>
      <c r="D133" s="33" t="inlineStr">
        <is>
          <t>Additional living expenses</t>
        </is>
      </c>
      <c r="E133" s="44" t="n"/>
      <c r="F133" s="39" t="n"/>
      <c r="G133" s="39" t="n"/>
      <c r="H133" s="73" t="str">
        <f>IF(E133="No","If no, why not:","")</f>
        <v/>
      </c>
      <c r="I133" s="41" t="n"/>
      <c r="J133" s="42" t="n"/>
      <c r="K133" s="43" t="n"/>
      <c r="L133" s="10" t="n"/>
      <c r="M133" s="11" t="n"/>
    </row>
    <row r="134">
      <c r="A134" s="18" t="n"/>
      <c r="B134" s="14" t="n"/>
      <c r="C134" s="14" t="n"/>
      <c r="D134" s="33" t="inlineStr">
        <is>
          <t>Business interruption</t>
        </is>
      </c>
      <c r="E134" s="38" t="n"/>
      <c r="F134" s="45" t="n"/>
      <c r="G134" s="46" t="n"/>
      <c r="H134" s="73" t="str">
        <f>IF(E134="No","If no, why not:","")</f>
        <v/>
      </c>
      <c r="I134" s="41" t="n"/>
      <c r="J134" s="42" t="n"/>
      <c r="K134" s="43" t="n"/>
      <c r="L134" s="10" t="n"/>
      <c r="M134" s="11" t="n"/>
    </row>
    <row r="135">
      <c r="A135" s="18" t="n"/>
      <c r="B135" s="14" t="n"/>
      <c r="C135" s="14" t="n"/>
      <c r="D135" s="33" t="inlineStr">
        <is>
          <t>Auto physical damage</t>
        </is>
      </c>
      <c r="E135" s="38" t="n"/>
      <c r="F135" s="45" t="n"/>
      <c r="G135" s="46" t="n"/>
      <c r="H135" s="73" t="str">
        <f>IF(E135="No","If no, why not:","")</f>
        <v/>
      </c>
      <c r="I135" s="41" t="n"/>
      <c r="J135" s="42" t="n"/>
      <c r="K135" s="43" t="n"/>
      <c r="L135" s="10" t="n"/>
      <c r="M135" s="11" t="n"/>
    </row>
    <row r="136">
      <c r="A136" s="18" t="n"/>
      <c r="B136" s="14" t="n"/>
      <c r="C136" s="14" t="n"/>
      <c r="D136" s="33" t="inlineStr">
        <is>
          <t>Worker's compensation</t>
        </is>
      </c>
      <c r="E136" s="38" t="n"/>
      <c r="F136" s="45" t="n"/>
      <c r="G136" s="46" t="n"/>
      <c r="H136" s="73" t="str">
        <f>IF(E136="No","If no, why not:","")</f>
        <v/>
      </c>
      <c r="I136" s="41" t="n"/>
      <c r="J136" s="42" t="n"/>
      <c r="K136" s="43" t="n"/>
      <c r="L136" s="10" t="n"/>
      <c r="M136" s="11" t="n"/>
    </row>
    <row r="137">
      <c r="A137" s="18" t="n"/>
      <c r="B137" s="14" t="n"/>
      <c r="C137" s="14" t="n"/>
      <c r="D137" s="33" t="inlineStr">
        <is>
          <t>Personal accident</t>
        </is>
      </c>
      <c r="E137" s="38" t="n"/>
      <c r="F137" s="45" t="n"/>
      <c r="G137" s="46" t="n"/>
      <c r="H137" s="73" t="str">
        <f>IF(E137="No","If no, why not:","")</f>
        <v/>
      </c>
      <c r="I137" s="41" t="n"/>
      <c r="J137" s="42" t="n"/>
      <c r="K137" s="43" t="n"/>
      <c r="L137" s="10" t="n"/>
      <c r="M137" s="11" t="n"/>
    </row>
    <row r="138">
      <c r="A138" s="18" t="n"/>
      <c r="B138" s="14" t="n"/>
      <c r="C138" s="14" t="n"/>
      <c r="D138" s="33" t="inlineStr">
        <is>
          <t>Life insurance</t>
        </is>
      </c>
      <c r="E138" s="38" t="n"/>
      <c r="F138" s="45" t="n"/>
      <c r="G138" s="46" t="n"/>
      <c r="H138" s="73" t="str">
        <f>IF(E138="No","If no, why not:","")</f>
        <v/>
      </c>
      <c r="I138" s="41" t="n"/>
      <c r="J138" s="42" t="n"/>
      <c r="K138" s="43" t="n"/>
      <c r="L138" s="10" t="n"/>
      <c r="M138" s="11" t="n"/>
    </row>
    <row r="139">
      <c r="A139" s="18" t="n"/>
      <c r="B139" s="14" t="n"/>
      <c r="C139" s="14" t="n"/>
      <c r="D139" s="33" t="inlineStr">
        <is>
          <t>Onshore Energy</t>
        </is>
      </c>
      <c r="E139" s="38" t="n"/>
      <c r="F139" s="45" t="n"/>
      <c r="G139" s="46" t="n"/>
      <c r="H139" s="73" t="str">
        <f>IF(E139="No","If no, why not:","")</f>
        <v/>
      </c>
      <c r="I139" s="41" t="n"/>
      <c r="J139" s="42" t="n"/>
      <c r="K139" s="43" t="n"/>
      <c r="L139" s="10" t="n"/>
      <c r="M139" s="11" t="n"/>
    </row>
    <row r="140">
      <c r="A140" s="18" t="n"/>
      <c r="B140" s="14" t="n"/>
      <c r="C140" s="14" t="n"/>
      <c r="D140" s="33" t="inlineStr">
        <is>
          <t>Offshore Energy</t>
        </is>
      </c>
      <c r="E140" s="38" t="n"/>
      <c r="F140" s="45" t="n"/>
      <c r="G140" s="46" t="n"/>
      <c r="H140" s="73" t="str">
        <f>IF(E140="No","If no, why not:","")</f>
        <v/>
      </c>
      <c r="I140" s="41" t="n"/>
      <c r="J140" s="42" t="n"/>
      <c r="K140" s="43" t="n"/>
      <c r="L140" s="10" t="n"/>
      <c r="M140" s="11" t="n"/>
    </row>
    <row r="141">
      <c r="A141" s="18" t="n"/>
      <c r="B141" s="14" t="n"/>
      <c r="C141" s="14" t="n"/>
      <c r="D141" s="33" t="inlineStr">
        <is>
          <t>Ocean marine</t>
        </is>
      </c>
      <c r="E141" s="38" t="n"/>
      <c r="F141" s="45" t="n"/>
      <c r="G141" s="46" t="n"/>
      <c r="H141" s="73" t="str">
        <f>IF(E141="No","If no, why not:","")</f>
        <v/>
      </c>
      <c r="I141" s="41" t="n"/>
      <c r="J141" s="42" t="n"/>
      <c r="K141" s="43" t="n"/>
      <c r="L141" s="10" t="n"/>
      <c r="M141" s="11" t="n"/>
    </row>
    <row r="142">
      <c r="A142" s="18" t="n"/>
      <c r="B142" s="14" t="n"/>
      <c r="C142" s="14" t="n"/>
      <c r="D142" s="33" t="inlineStr">
        <is>
          <t>Inland marine</t>
        </is>
      </c>
      <c r="E142" s="38" t="n"/>
      <c r="F142" s="45" t="n"/>
      <c r="G142" s="46" t="n"/>
      <c r="H142" s="73" t="str">
        <f>IF(E142="No","If no, why not:","")</f>
        <v/>
      </c>
      <c r="I142" s="41" t="n"/>
      <c r="J142" s="42" t="n"/>
      <c r="K142" s="43" t="n"/>
      <c r="L142" s="10" t="n"/>
      <c r="M142" s="11" t="n"/>
    </row>
    <row r="143">
      <c r="A143" s="18" t="n"/>
      <c r="B143" s="14" t="n"/>
      <c r="C143" s="14" t="n"/>
      <c r="D143" s="33" t="inlineStr">
        <is>
          <t>Flood</t>
        </is>
      </c>
      <c r="E143" s="38" t="n"/>
      <c r="F143" s="45" t="n"/>
      <c r="G143" s="46" t="n"/>
      <c r="H143" s="73" t="str">
        <f>IF(E143="No","If no, why not:","")</f>
        <v/>
      </c>
      <c r="I143" s="41" t="n"/>
      <c r="J143" s="42" t="n"/>
      <c r="K143" s="43" t="n"/>
      <c r="L143" s="10" t="n"/>
      <c r="M143" s="11" t="n"/>
    </row>
    <row r="144">
      <c r="A144" s="18" t="n"/>
      <c r="B144" s="14" t="n"/>
      <c r="C144" s="14" t="n"/>
      <c r="D144" s="33" t="inlineStr">
        <is>
          <t>Crop</t>
        </is>
      </c>
      <c r="E144" s="38" t="n"/>
      <c r="F144" s="45" t="n"/>
      <c r="G144" s="46" t="n"/>
      <c r="H144" s="73" t="str">
        <f>IF(E144="No","If no, why not:","")</f>
        <v/>
      </c>
      <c r="I144" s="41" t="n"/>
      <c r="J144" s="42" t="n"/>
      <c r="K144" s="43" t="n"/>
      <c r="L144" s="10" t="n"/>
      <c r="M144" s="11" t="n"/>
    </row>
    <row r="145">
      <c r="A145" s="18" t="n"/>
      <c r="B145" s="14" t="n"/>
      <c r="C145" s="14" t="n"/>
      <c r="D145" s="33" t="inlineStr">
        <is>
          <t>Other primary insurance</t>
        </is>
      </c>
      <c r="E145" s="38" t="n"/>
      <c r="F145" s="45" t="n"/>
      <c r="G145" s="46" t="n"/>
      <c r="H145" s="73" t="str">
        <f>IF(E145="No","If no, why not:","")</f>
        <v/>
      </c>
      <c r="I145" s="41" t="n"/>
      <c r="J145" s="42" t="n"/>
      <c r="K145" s="43" t="n"/>
      <c r="L145" s="10" t="n"/>
      <c r="M145" s="11" t="n"/>
    </row>
    <row r="146" ht="6.75" customHeight="1">
      <c r="A146" s="18" t="n"/>
      <c r="B146" s="14" t="n"/>
      <c r="C146" s="14" t="n"/>
      <c r="D146" s="14" t="n"/>
      <c r="E146" s="39" t="n"/>
      <c r="F146" s="39" t="n"/>
      <c r="G146" s="39" t="n"/>
      <c r="H146" s="73" t="n"/>
      <c r="I146" s="74" t="n"/>
      <c r="J146" s="74" t="n"/>
      <c r="K146" s="75" t="n"/>
      <c r="L146" s="10" t="n"/>
      <c r="M146" s="11" t="n"/>
    </row>
    <row r="147">
      <c r="A147" s="18" t="n"/>
      <c r="B147" s="14" t="n"/>
      <c r="C147" s="19" t="inlineStr">
        <is>
          <t>3. Assumed reinsurance information:</t>
        </is>
      </c>
      <c r="D147" s="14" t="n"/>
      <c r="E147" s="39" t="n"/>
      <c r="F147" s="39" t="n"/>
      <c r="G147" s="39" t="n"/>
      <c r="H147" s="73" t="n"/>
      <c r="I147" s="74" t="n"/>
      <c r="J147" s="74" t="n"/>
      <c r="K147" s="75" t="n"/>
      <c r="L147" s="10" t="n"/>
      <c r="M147" s="11" t="n"/>
    </row>
    <row r="148">
      <c r="A148" s="18" t="n"/>
      <c r="B148" s="14" t="n"/>
      <c r="C148" s="14" t="n"/>
      <c r="D148" s="33" t="inlineStr">
        <is>
          <t>Proportional - quota share</t>
        </is>
      </c>
      <c r="E148" s="38" t="n"/>
      <c r="F148" s="45" t="n"/>
      <c r="G148" s="46" t="n"/>
      <c r="H148" s="73" t="str">
        <f>IF(E148="No","If no, why not:","")</f>
        <v/>
      </c>
      <c r="I148" s="41" t="n"/>
      <c r="J148" s="42" t="n"/>
      <c r="K148" s="43" t="n"/>
      <c r="L148" s="10" t="n"/>
      <c r="M148" s="11" t="n"/>
    </row>
    <row r="149">
      <c r="A149" s="18" t="n"/>
      <c r="B149" s="14" t="n"/>
      <c r="C149" s="14" t="n"/>
      <c r="D149" s="33" t="inlineStr">
        <is>
          <t>Proportional - surplus share</t>
        </is>
      </c>
      <c r="E149" s="38" t="n"/>
      <c r="F149" s="45" t="n"/>
      <c r="G149" s="46" t="n"/>
      <c r="H149" s="73" t="str">
        <f>IF(E149="No","If no, why not:","")</f>
        <v/>
      </c>
      <c r="I149" s="41" t="n"/>
      <c r="J149" s="42" t="n"/>
      <c r="K149" s="43" t="n"/>
      <c r="L149" s="10" t="n"/>
      <c r="M149" s="11" t="n"/>
    </row>
    <row r="150">
      <c r="A150" s="18" t="n"/>
      <c r="B150" s="14" t="n"/>
      <c r="C150" s="14" t="n"/>
      <c r="D150" s="33" t="inlineStr">
        <is>
          <t>Non-proportional - catastrophe</t>
        </is>
      </c>
      <c r="E150" s="38" t="n"/>
      <c r="F150" s="45" t="n"/>
      <c r="G150" s="46" t="n"/>
      <c r="H150" s="73" t="str">
        <f>IF(E150="No","If no, why not:","")</f>
        <v/>
      </c>
      <c r="I150" s="41" t="n"/>
      <c r="J150" s="42" t="n"/>
      <c r="K150" s="43" t="n"/>
      <c r="L150" s="10" t="n"/>
      <c r="M150" s="11" t="n"/>
    </row>
    <row r="151">
      <c r="A151" s="18" t="n"/>
      <c r="B151" s="14" t="n"/>
      <c r="C151" s="14" t="n"/>
      <c r="D151" s="33" t="inlineStr">
        <is>
          <t>Non-proportional - per risk</t>
        </is>
      </c>
      <c r="E151" s="38" t="n"/>
      <c r="F151" s="45" t="n"/>
      <c r="G151" s="46" t="n"/>
      <c r="H151" s="73" t="str">
        <f>IF(E151="No","If no, why not:","")</f>
        <v/>
      </c>
      <c r="I151" s="41" t="n"/>
      <c r="J151" s="42" t="n"/>
      <c r="K151" s="43" t="n"/>
      <c r="L151" s="10" t="n"/>
      <c r="M151" s="11" t="n"/>
    </row>
    <row r="152">
      <c r="A152" s="18" t="n"/>
      <c r="B152" s="14" t="n"/>
      <c r="C152" s="14" t="n"/>
      <c r="D152" s="33" t="inlineStr">
        <is>
          <t>Other reinsurance assumed</t>
        </is>
      </c>
      <c r="E152" s="38" t="n"/>
      <c r="F152" s="45" t="n"/>
      <c r="G152" s="46" t="n"/>
      <c r="H152" s="73" t="str">
        <f>IF(E152="No","If no, why not:","")</f>
        <v/>
      </c>
      <c r="I152" s="41" t="n"/>
      <c r="J152" s="42" t="n"/>
      <c r="K152" s="43" t="n"/>
      <c r="L152" s="10" t="n"/>
      <c r="M152" s="11" t="n"/>
    </row>
    <row r="153" ht="6.75" customHeight="1">
      <c r="A153" s="18" t="n"/>
      <c r="B153" s="14" t="n"/>
      <c r="C153" s="14" t="n"/>
      <c r="D153" s="33" t="n"/>
      <c r="E153" s="39" t="n"/>
      <c r="F153" s="39" t="n"/>
      <c r="G153" s="39" t="n"/>
      <c r="H153" s="73" t="n"/>
      <c r="I153" s="50" t="n"/>
      <c r="J153" s="50" t="n"/>
      <c r="K153" s="41" t="n"/>
      <c r="L153" s="10" t="n"/>
      <c r="M153" s="11" t="n"/>
    </row>
    <row r="154">
      <c r="A154" s="18" t="n"/>
      <c r="B154" s="14" t="n"/>
      <c r="C154" s="19" t="inlineStr">
        <is>
          <t>4. Pools and assessments information:</t>
        </is>
      </c>
      <c r="D154" s="33" t="n"/>
      <c r="E154" s="39" t="n"/>
      <c r="F154" s="39" t="n"/>
      <c r="G154" s="39" t="n"/>
      <c r="H154" s="73" t="n"/>
      <c r="I154" s="74" t="n"/>
      <c r="J154" s="74" t="n"/>
      <c r="K154" s="75" t="n"/>
      <c r="L154" s="10" t="n"/>
      <c r="M154" s="11" t="n"/>
    </row>
    <row r="155">
      <c r="A155" s="18" t="n"/>
      <c r="B155" s="14" t="n"/>
      <c r="C155" s="51" t="n"/>
      <c r="D155" s="33" t="inlineStr">
        <is>
          <t>Voluntary pools and/or assessments</t>
        </is>
      </c>
      <c r="E155" s="38" t="n"/>
      <c r="F155" s="45" t="n"/>
      <c r="G155" s="46" t="n"/>
      <c r="H155" s="73" t="str">
        <f>IF(E155="No","If no, why not:","")</f>
        <v/>
      </c>
      <c r="I155" s="41" t="n"/>
      <c r="J155" s="42" t="n"/>
      <c r="K155" s="43" t="n"/>
      <c r="L155" s="10" t="n"/>
      <c r="M155" s="11" t="n"/>
    </row>
    <row r="156">
      <c r="A156" s="18" t="n"/>
      <c r="B156" s="14" t="n"/>
      <c r="C156" s="51" t="n"/>
      <c r="D156" s="33" t="inlineStr">
        <is>
          <t>Involuntary pools and/or assessments</t>
        </is>
      </c>
      <c r="E156" s="38" t="n"/>
      <c r="F156" s="45" t="n"/>
      <c r="G156" s="46" t="n"/>
      <c r="H156" s="73" t="str">
        <f>IF(E156="No","If no, why not:","")</f>
        <v/>
      </c>
      <c r="I156" s="41" t="n"/>
      <c r="J156" s="42" t="n"/>
      <c r="K156" s="43" t="n"/>
      <c r="L156" s="10" t="n"/>
      <c r="M156" s="11" t="n"/>
    </row>
    <row r="157" ht="6.75" customHeight="1">
      <c r="A157" s="18" t="n"/>
      <c r="B157" s="14" t="n"/>
      <c r="C157" s="14" t="n"/>
      <c r="D157" s="33" t="n"/>
      <c r="E157" s="39" t="n"/>
      <c r="F157" s="39" t="n"/>
      <c r="G157" s="39" t="n"/>
      <c r="H157" s="73" t="n"/>
      <c r="I157" s="74" t="n"/>
      <c r="J157" s="74" t="n"/>
      <c r="K157" s="75" t="n"/>
      <c r="L157" s="10" t="n"/>
      <c r="M157" s="11" t="n"/>
    </row>
    <row r="158">
      <c r="A158" s="18" t="n"/>
      <c r="B158" s="14" t="n"/>
      <c r="C158" s="19" t="inlineStr">
        <is>
          <t>5. Supplemental perils and model options:</t>
        </is>
      </c>
      <c r="D158" s="33" t="n"/>
      <c r="E158" s="39" t="n"/>
      <c r="F158" s="39" t="n"/>
      <c r="G158" s="39" t="n"/>
      <c r="H158" s="73" t="n"/>
      <c r="I158" s="74" t="n"/>
      <c r="J158" s="74" t="n"/>
      <c r="K158" s="75" t="n"/>
      <c r="L158" s="10" t="n"/>
      <c r="M158" s="11" t="n"/>
    </row>
    <row r="159">
      <c r="A159" s="18" t="n"/>
      <c r="B159" s="14" t="n"/>
      <c r="C159" s="14" t="n"/>
      <c r="D159" s="33" t="inlineStr">
        <is>
          <t>Fire following</t>
        </is>
      </c>
      <c r="E159" s="38" t="n"/>
      <c r="F159" s="45" t="n"/>
      <c r="G159" s="46" t="n"/>
      <c r="H159" s="73" t="str">
        <f>IF(E159="No","If no, why not:","")</f>
        <v/>
      </c>
      <c r="I159" s="41" t="n"/>
      <c r="J159" s="42" t="n"/>
      <c r="K159" s="43" t="n"/>
      <c r="L159" s="10" t="n"/>
      <c r="M159" s="11" t="n"/>
    </row>
    <row r="160">
      <c r="A160" s="18" t="n"/>
      <c r="B160" s="14" t="n"/>
      <c r="C160" s="14" t="n"/>
      <c r="D160" s="33" t="inlineStr">
        <is>
          <t>Sprinkler leakage</t>
        </is>
      </c>
      <c r="E160" s="38" t="n"/>
      <c r="F160" s="45" t="n"/>
      <c r="G160" s="46" t="n"/>
      <c r="H160" s="73" t="str">
        <f>IF(E160="No","If no, why not:","")</f>
        <v/>
      </c>
      <c r="I160" s="41" t="n"/>
      <c r="J160" s="42" t="n"/>
      <c r="K160" s="43" t="n"/>
      <c r="L160" s="10" t="n"/>
      <c r="M160" s="11" t="n"/>
    </row>
    <row r="161">
      <c r="A161" s="18" t="n"/>
      <c r="B161" s="14" t="n"/>
      <c r="C161" s="14" t="n"/>
      <c r="D161" s="33" t="inlineStr">
        <is>
          <t>Storm surge</t>
        </is>
      </c>
      <c r="E161" s="38" t="n"/>
      <c r="F161" s="45" t="n"/>
      <c r="G161" s="46" t="n"/>
      <c r="H161" s="73" t="str">
        <f>IF(E161="No","If no, why not:","")</f>
        <v/>
      </c>
      <c r="I161" s="41" t="n"/>
      <c r="J161" s="42" t="n"/>
      <c r="K161" s="43" t="n"/>
      <c r="L161" s="10" t="n"/>
      <c r="M161" s="11" t="n"/>
    </row>
    <row r="162">
      <c r="A162" s="18" t="n"/>
      <c r="B162" s="14" t="n"/>
      <c r="C162" s="14" t="n"/>
      <c r="D162" s="33" t="inlineStr">
        <is>
          <t>Demand surge</t>
        </is>
      </c>
      <c r="E162" s="38" t="n"/>
      <c r="F162" s="45" t="n"/>
      <c r="G162" s="46" t="n"/>
      <c r="H162" s="73" t="str">
        <f>IF(E162="No","If no, why not:","")</f>
        <v/>
      </c>
      <c r="I162" s="41" t="n"/>
      <c r="J162" s="42" t="n"/>
      <c r="K162" s="43" t="n"/>
      <c r="L162" s="10" t="n"/>
      <c r="M162" s="11" t="n"/>
    </row>
    <row r="163">
      <c r="A163" s="18" t="n"/>
      <c r="B163" s="14" t="n"/>
      <c r="C163" s="14" t="n"/>
      <c r="D163" s="33" t="inlineStr">
        <is>
          <t>Secondary uncertainty</t>
        </is>
      </c>
      <c r="E163" s="38" t="n"/>
      <c r="F163" s="45" t="n"/>
      <c r="G163" s="46" t="n"/>
      <c r="H163" s="73" t="str">
        <f>IF(E163="No","If no, why not:","")</f>
        <v/>
      </c>
      <c r="I163" s="41" t="n"/>
      <c r="J163" s="42" t="n"/>
      <c r="K163" s="43" t="n"/>
      <c r="L163" s="10" t="n"/>
      <c r="M163" s="11" t="n"/>
    </row>
    <row r="164">
      <c r="A164" s="18" t="n"/>
      <c r="B164" s="14" t="n"/>
      <c r="C164" s="14" t="n"/>
      <c r="D164" s="33" t="inlineStr">
        <is>
          <t>Atlantic multi-decadal oscillation selection</t>
        </is>
      </c>
      <c r="E164" s="38" t="n"/>
      <c r="F164" s="39" t="n"/>
      <c r="G164" s="39" t="n"/>
      <c r="H164" s="73" t="str">
        <f>IF(E164="Long-term frequency","If long-term frequency, why:","")</f>
        <v/>
      </c>
      <c r="I164" s="41" t="n"/>
      <c r="J164" s="42" t="n"/>
      <c r="K164" s="43" t="n"/>
      <c r="L164" s="10" t="n"/>
      <c r="M164" s="11" t="n"/>
    </row>
    <row r="165" ht="6.75" customHeight="1">
      <c r="A165" s="18" t="n"/>
      <c r="B165" s="14" t="n"/>
      <c r="C165" s="14" t="n"/>
      <c r="D165" s="33" t="n"/>
      <c r="E165" s="39" t="n"/>
      <c r="F165" s="39" t="n"/>
      <c r="G165" s="39" t="n"/>
      <c r="H165" s="73" t="n"/>
      <c r="I165" s="74" t="n"/>
      <c r="J165" s="74" t="n"/>
      <c r="K165" s="75" t="n"/>
      <c r="L165" s="10" t="n"/>
      <c r="M165" s="11" t="n"/>
    </row>
    <row r="166">
      <c r="A166" s="18" t="n"/>
      <c r="B166" s="14" t="n"/>
      <c r="C166" s="19" t="inlineStr">
        <is>
          <t>6. Other adjustments information:</t>
        </is>
      </c>
      <c r="D166" s="33" t="n"/>
      <c r="E166" s="39" t="n"/>
      <c r="F166" s="39" t="n"/>
      <c r="G166" s="39" t="n"/>
      <c r="H166" s="73" t="n"/>
      <c r="I166" s="74" t="n"/>
      <c r="J166" s="74" t="n"/>
      <c r="K166" s="75" t="n"/>
      <c r="L166" s="10" t="n"/>
      <c r="M166" s="11" t="n"/>
    </row>
    <row r="167">
      <c r="A167" s="18" t="n"/>
      <c r="B167" s="14" t="n"/>
      <c r="C167" s="14" t="n"/>
      <c r="D167" s="33" t="inlineStr">
        <is>
          <t>Adjustments for exposure data quality</t>
        </is>
      </c>
      <c r="E167" s="38" t="n"/>
      <c r="F167" s="39" t="n"/>
      <c r="G167" s="39" t="n"/>
      <c r="H167" s="73" t="str">
        <f>IF(E167="No","If no, why not:","")</f>
        <v/>
      </c>
      <c r="I167" s="41" t="n"/>
      <c r="J167" s="42" t="n"/>
      <c r="K167" s="43" t="n"/>
      <c r="L167" s="10" t="n"/>
      <c r="M167" s="11" t="n"/>
    </row>
    <row r="168">
      <c r="A168" s="18" t="n"/>
      <c r="B168" s="14" t="n"/>
      <c r="C168" s="14" t="n"/>
      <c r="D168" s="33" t="inlineStr">
        <is>
          <t>Adjustments for insurance to value</t>
        </is>
      </c>
      <c r="E168" s="38" t="n"/>
      <c r="F168" s="39" t="n"/>
      <c r="G168" s="39" t="n"/>
      <c r="H168" s="73" t="str">
        <f>IF(E168="No","If no, why not:","")</f>
        <v/>
      </c>
      <c r="I168" s="41" t="n"/>
      <c r="J168" s="42" t="n"/>
      <c r="K168" s="43" t="n"/>
      <c r="L168" s="10" t="n"/>
      <c r="M168" s="11" t="n"/>
    </row>
    <row r="169">
      <c r="A169" s="18" t="n"/>
      <c r="B169" s="14" t="n"/>
      <c r="C169" s="14" t="n"/>
      <c r="D169" s="33" t="inlineStr">
        <is>
          <t>Adjustments for exposure growth</t>
        </is>
      </c>
      <c r="E169" s="44" t="n"/>
      <c r="F169" s="39" t="n"/>
      <c r="G169" s="39" t="n"/>
      <c r="H169" s="73" t="str">
        <f>IF(E169="No","If no, why not:","")</f>
        <v/>
      </c>
      <c r="I169" s="41" t="n"/>
      <c r="J169" s="42" t="n"/>
      <c r="K169" s="43" t="n"/>
      <c r="L169" s="10" t="n"/>
      <c r="M169" s="11" t="n"/>
    </row>
    <row r="170">
      <c r="A170" s="18" t="n"/>
      <c r="B170" s="14" t="n"/>
      <c r="C170" s="14" t="n"/>
      <c r="D170" s="33" t="inlineStr">
        <is>
          <t>Supplemental losses for non-modelled line of business</t>
        </is>
      </c>
      <c r="E170" s="44" t="n"/>
      <c r="F170" s="39" t="n"/>
      <c r="G170" s="39" t="n"/>
      <c r="H170" s="73" t="str">
        <f>IF(E170="No","If no, why not:","")</f>
        <v/>
      </c>
      <c r="I170" s="41" t="n"/>
      <c r="J170" s="42" t="n"/>
      <c r="K170" s="43" t="n"/>
      <c r="L170" s="10" t="n"/>
      <c r="M170" s="11" t="n"/>
    </row>
    <row r="171">
      <c r="A171" s="18" t="n"/>
      <c r="B171" s="14" t="n"/>
      <c r="C171" s="14" t="n"/>
      <c r="D171" s="33" t="inlineStr">
        <is>
          <t>Adjustments for model deficiencies – severity</t>
        </is>
      </c>
      <c r="E171" s="38" t="n"/>
      <c r="F171" s="46" t="n"/>
      <c r="G171" s="39" t="n"/>
      <c r="H171" s="73" t="str">
        <f>IF(E171="No","If no, why not:","")</f>
        <v/>
      </c>
      <c r="I171" s="41" t="n"/>
      <c r="J171" s="42" t="n"/>
      <c r="K171" s="43" t="n"/>
      <c r="L171" s="10" t="n"/>
      <c r="M171" s="11" t="n"/>
    </row>
    <row r="172">
      <c r="A172" s="18" t="n"/>
      <c r="B172" s="14" t="n"/>
      <c r="C172" s="14" t="n"/>
      <c r="D172" s="33" t="inlineStr">
        <is>
          <t>Adjustments for model deficiencies - frequency</t>
        </is>
      </c>
      <c r="E172" s="38" t="n"/>
      <c r="F172" s="46" t="n"/>
      <c r="G172" s="39" t="n"/>
      <c r="H172" s="73" t="str">
        <f>IF(E172="No","If no, why not:","")</f>
        <v/>
      </c>
      <c r="I172" s="41" t="n"/>
      <c r="J172" s="42" t="n"/>
      <c r="K172" s="43" t="n"/>
      <c r="L172" s="10" t="n"/>
      <c r="M172" s="11" t="n"/>
    </row>
    <row r="173">
      <c r="A173" s="18" t="n"/>
      <c r="B173" s="14" t="n"/>
      <c r="C173" s="14" t="n"/>
      <c r="D173" s="33" t="inlineStr">
        <is>
          <t>Additional demand surge loadings</t>
        </is>
      </c>
      <c r="E173" s="38" t="n"/>
      <c r="F173" s="39" t="n"/>
      <c r="G173" s="39" t="n"/>
      <c r="H173" s="73" t="str">
        <f>IF(E173="No","If no, why not:","")</f>
        <v/>
      </c>
      <c r="I173" s="41" t="n"/>
      <c r="J173" s="42" t="n"/>
      <c r="K173" s="43" t="n"/>
      <c r="L173" s="10" t="n"/>
      <c r="M173" s="11" t="n"/>
    </row>
    <row r="174">
      <c r="A174" s="18" t="n"/>
      <c r="B174" s="14" t="n"/>
      <c r="C174" s="14" t="n"/>
      <c r="D174" s="33" t="inlineStr">
        <is>
          <t>Other factors for prudence</t>
        </is>
      </c>
      <c r="E174" s="38" t="n"/>
      <c r="F174" s="39" t="n"/>
      <c r="G174" s="39" t="n"/>
      <c r="H174" s="73" t="str">
        <f>IF(E174="No","If no, why not:","")</f>
        <v/>
      </c>
      <c r="I174" s="41" t="n"/>
      <c r="J174" s="42" t="n"/>
      <c r="K174" s="43" t="n"/>
      <c r="L174" s="10" t="n"/>
      <c r="M174" s="11" t="n"/>
    </row>
    <row r="175" ht="6.75" customHeight="1">
      <c r="A175" s="18" t="n"/>
      <c r="B175" s="14" t="n"/>
      <c r="C175" s="14" t="n"/>
      <c r="D175" s="14" t="n"/>
      <c r="E175" s="73" t="n"/>
      <c r="F175" s="73" t="n"/>
      <c r="G175" s="76" t="n"/>
      <c r="H175" s="76" t="n"/>
      <c r="I175" s="48" t="n"/>
      <c r="J175" s="48" t="n"/>
      <c r="K175" s="49" t="n"/>
      <c r="L175" s="10" t="n"/>
      <c r="M175" s="11" t="n"/>
    </row>
    <row r="176">
      <c r="A176" s="18" t="n"/>
      <c r="B176" s="14" t="n"/>
      <c r="C176" s="14" t="n"/>
      <c r="D176" s="14" t="n"/>
      <c r="E176" s="73" t="n"/>
      <c r="F176" s="33" t="inlineStr">
        <is>
          <t>Average loading factor applied to ground up loss for all adjustments applied</t>
        </is>
      </c>
      <c r="G176" s="77" t="n"/>
      <c r="H176" s="76" t="n"/>
      <c r="I176" s="48" t="n"/>
      <c r="J176" s="48" t="n"/>
      <c r="K176" s="49" t="n"/>
      <c r="L176" s="10" t="n"/>
      <c r="M176" s="11" t="n"/>
    </row>
    <row r="177">
      <c r="A177" s="18" t="n"/>
      <c r="B177" s="14" t="n"/>
      <c r="C177" s="14" t="n"/>
      <c r="D177" s="14" t="n"/>
      <c r="E177" s="73" t="n"/>
      <c r="F177" s="33" t="inlineStr">
        <is>
          <t>Is this average loading factor determined analytically or estimated?</t>
        </is>
      </c>
      <c r="G177" s="78" t="n"/>
      <c r="H177" s="76" t="n"/>
      <c r="I177" s="48" t="n"/>
      <c r="J177" s="48" t="n"/>
      <c r="K177" s="49" t="n"/>
      <c r="L177" s="10" t="n"/>
      <c r="M177" s="11" t="n"/>
    </row>
    <row r="178" ht="6.75" customHeight="1">
      <c r="A178" s="18" t="n"/>
      <c r="B178" s="14" t="n"/>
      <c r="C178" s="14" t="n"/>
      <c r="D178" s="14" t="n"/>
      <c r="E178" s="73" t="n"/>
      <c r="F178" s="79" t="n"/>
      <c r="G178" s="76" t="n"/>
      <c r="H178" s="76" t="n"/>
      <c r="I178" s="48" t="n"/>
      <c r="J178" s="48" t="n"/>
      <c r="K178" s="49" t="n"/>
      <c r="L178" s="10" t="n"/>
      <c r="M178" s="11" t="n"/>
    </row>
    <row r="179">
      <c r="A179" s="18" t="n"/>
      <c r="B179" s="14" t="n"/>
      <c r="C179" s="14" t="n"/>
      <c r="D179" s="14" t="n"/>
      <c r="E179" s="73" t="n"/>
      <c r="F179" s="33" t="inlineStr">
        <is>
          <t>Which cat model do you include in this modelling?</t>
        </is>
      </c>
      <c r="G179" s="80" t="n"/>
      <c r="H179" s="76" t="n"/>
      <c r="I179" s="48" t="n"/>
      <c r="J179" s="48" t="n"/>
      <c r="K179" s="49" t="n"/>
      <c r="L179" s="10" t="n"/>
      <c r="M179" s="11" t="n"/>
    </row>
    <row r="180">
      <c r="A180" s="18" t="n"/>
      <c r="B180" s="14" t="n"/>
      <c r="C180" s="14" t="n"/>
      <c r="D180" s="14" t="n"/>
      <c r="E180" s="73" t="n"/>
      <c r="F180" s="33" t="inlineStr">
        <is>
          <t>Which version of the model or version of the region-peril models are used for each cat model as appropriate?</t>
        </is>
      </c>
      <c r="G180" s="81" t="n"/>
      <c r="H180" s="56" t="n"/>
      <c r="I180" s="14" t="n"/>
      <c r="J180" s="14" t="n"/>
      <c r="K180" s="15" t="n"/>
      <c r="L180" s="10" t="n"/>
      <c r="M180" s="11" t="n"/>
    </row>
    <row r="181">
      <c r="A181" s="18" t="n"/>
      <c r="B181" s="14" t="n"/>
      <c r="C181" s="14" t="n"/>
      <c r="D181" s="14" t="n"/>
      <c r="E181" s="73" t="n"/>
      <c r="F181" s="73" t="n"/>
      <c r="G181" s="57" t="n"/>
      <c r="H181" s="58" t="n"/>
      <c r="I181" s="14" t="n"/>
      <c r="J181" s="14" t="n"/>
      <c r="K181" s="15" t="n"/>
      <c r="L181" s="10" t="n"/>
      <c r="M181" s="11" t="n"/>
    </row>
    <row r="182" ht="6.75" customHeight="1">
      <c r="A182" s="59" t="n"/>
      <c r="B182" s="60" t="n"/>
      <c r="C182" s="60" t="n"/>
      <c r="D182" s="60" t="n"/>
      <c r="E182" s="60" t="n"/>
      <c r="F182" s="60" t="n"/>
      <c r="G182" s="82" t="n"/>
      <c r="H182" s="82" t="n"/>
      <c r="I182" s="60" t="n"/>
      <c r="J182" s="60" t="n"/>
      <c r="K182" s="62" t="n"/>
      <c r="L182" s="10" t="n"/>
      <c r="M182" s="11" t="n"/>
    </row>
    <row r="183"/>
    <row r="184"/>
    <row r="185"/>
    <row r="186"/>
    <row r="187"/>
    <row r="188" ht="75" customHeight="1">
      <c r="A188" s="83" t="n"/>
      <c r="B188" s="84" t="inlineStr">
        <is>
          <t>CATASTROPHE RISK RETURN: EXCEEDANCE PROBABILITY  (EP) CURVE  FOR REGIONS-PERILS (TABLE 15B)</t>
        </is>
      </c>
      <c r="C188" s="85" t="n"/>
      <c r="D188" s="85" t="n"/>
      <c r="E188" s="85" t="n"/>
      <c r="F188" s="85" t="n"/>
      <c r="G188" s="8" t="inlineStr">
        <is>
          <t>Back to instructions</t>
        </is>
      </c>
      <c r="H188" s="86" t="n"/>
      <c r="I188" s="87" t="n"/>
      <c r="J188" s="11" t="n"/>
      <c r="K188" s="11" t="n"/>
      <c r="L188" s="11" t="n"/>
      <c r="M188" s="11" t="n"/>
    </row>
    <row r="189" ht="13.5" customHeight="1">
      <c r="A189" s="88" t="n"/>
      <c r="B189" s="89" t="inlineStr">
        <is>
          <t>HSA</t>
        </is>
      </c>
      <c r="C189" s="90" t="n"/>
      <c r="D189" s="90" t="n"/>
      <c r="E189" s="90" t="n"/>
      <c r="F189" s="90" t="n"/>
      <c r="G189" s="90" t="n"/>
      <c r="H189" s="91" t="n"/>
      <c r="I189" s="92" t="n"/>
      <c r="J189" s="92" t="n"/>
      <c r="K189" s="92" t="n"/>
      <c r="L189" s="92" t="n"/>
      <c r="M189" s="92" t="n"/>
    </row>
    <row r="190" ht="13.5" customHeight="1">
      <c r="A190" s="88" t="n"/>
      <c r="B190" s="93">
        <f>DATE(2026,1,1)</f>
        <v>46023.0</v>
      </c>
      <c r="D190" s="90" t="n"/>
      <c r="E190" s="90" t="n"/>
      <c r="F190" s="90" t="n"/>
      <c r="G190" s="94" t="inlineStr">
        <is>
          <t>SCHEDULE X(c)</t>
        </is>
      </c>
      <c r="H190" s="91" t="n"/>
      <c r="I190" s="92" t="n"/>
      <c r="J190" s="92" t="n"/>
      <c r="K190" s="92" t="n"/>
      <c r="L190" s="92" t="n"/>
      <c r="M190" s="92" t="n"/>
    </row>
    <row r="191" ht="6.75" customHeight="1">
      <c r="A191" s="95" t="n"/>
      <c r="B191" s="90" t="n"/>
      <c r="C191" s="90" t="n"/>
      <c r="D191" s="90" t="n"/>
      <c r="E191" s="90" t="n"/>
      <c r="F191" s="90" t="n"/>
      <c r="G191" s="90" t="n"/>
      <c r="H191" s="90" t="n"/>
      <c r="I191" s="92" t="n"/>
      <c r="J191" s="92" t="n"/>
      <c r="K191" s="92" t="n"/>
      <c r="L191" s="92" t="n"/>
      <c r="M191" s="92" t="n"/>
    </row>
    <row r="192" ht="16.7" customHeight="1">
      <c r="A192" s="96" t="n"/>
      <c r="B192" s="90" t="n"/>
      <c r="C192" s="97" t="inlineStr">
        <is>
          <t>Provide Exceedance Probability information on the following perils in the templates provided below.</t>
        </is>
      </c>
      <c r="H192" s="98" t="n"/>
      <c r="I192" s="92" t="n"/>
      <c r="J192" s="92" t="n"/>
      <c r="K192" s="92" t="n"/>
      <c r="L192" s="92" t="n"/>
      <c r="M192" s="92" t="n"/>
    </row>
    <row r="193" ht="6.75" customHeight="1">
      <c r="A193" s="95" t="n"/>
      <c r="B193" s="90" t="n"/>
      <c r="C193" s="90" t="n"/>
      <c r="D193" s="90" t="n"/>
      <c r="E193" s="90" t="n"/>
      <c r="F193" s="90" t="n"/>
      <c r="G193" s="90" t="n"/>
      <c r="H193" s="90" t="n"/>
      <c r="I193" s="92" t="n"/>
      <c r="J193" s="92" t="n"/>
      <c r="K193" s="92" t="n"/>
      <c r="L193" s="92" t="n"/>
      <c r="M193" s="92" t="n"/>
    </row>
    <row r="194" ht="16.5" customHeight="1">
      <c r="A194" s="95" t="n"/>
      <c r="B194" s="94" t="inlineStr">
        <is>
          <t>a)</t>
        </is>
      </c>
      <c r="C194" s="99" t="inlineStr">
        <is>
          <t>EP CURVE ATLANTIC BASIN HURRICANE</t>
        </is>
      </c>
      <c r="D194" s="90" t="n"/>
      <c r="E194" s="90" t="n"/>
      <c r="F194" s="90" t="n"/>
      <c r="G194" s="90" t="n"/>
      <c r="H194" s="90" t="n"/>
      <c r="I194" s="100" t="n"/>
      <c r="J194" s="92" t="n"/>
      <c r="K194" s="92" t="n"/>
      <c r="L194" s="92" t="n"/>
      <c r="M194" s="92" t="n"/>
    </row>
    <row r="195" ht="6.75" customHeight="1">
      <c r="A195" s="95" t="n"/>
      <c r="B195" s="94" t="n"/>
      <c r="C195" s="99" t="n"/>
      <c r="D195" s="90" t="n"/>
      <c r="E195" s="90" t="n"/>
      <c r="F195" s="90" t="n"/>
      <c r="G195" s="90" t="n"/>
      <c r="H195" s="90" t="n"/>
      <c r="I195" s="92" t="n"/>
      <c r="J195" s="92" t="n"/>
      <c r="K195" s="92" t="n"/>
      <c r="L195" s="92" t="n"/>
      <c r="M195" s="92" t="n"/>
    </row>
    <row r="196" ht="16.5" customHeight="1">
      <c r="A196" s="95" t="n"/>
      <c r="B196" s="101" t="n"/>
      <c r="C196" s="90" t="inlineStr">
        <is>
          <t>Which model(s) is used for  EP Curve Atlantic basin hurricane</t>
        </is>
      </c>
      <c r="D196" s="90" t="n"/>
      <c r="E196" s="90" t="n"/>
      <c r="F196" s="102" t="n"/>
      <c r="G196" s="90" t="n"/>
      <c r="H196" s="90" t="n"/>
      <c r="I196" s="92" t="n"/>
      <c r="J196" s="103" t="n"/>
      <c r="K196" s="92" t="n"/>
      <c r="L196" s="92" t="n"/>
      <c r="M196" s="92" t="n"/>
    </row>
    <row r="197" ht="16.5" customHeight="1">
      <c r="A197" s="95" t="n"/>
      <c r="B197" s="101" t="n"/>
      <c r="C197" s="90" t="inlineStr">
        <is>
          <t>Indicate the model version</t>
        </is>
      </c>
      <c r="D197" s="90" t="n"/>
      <c r="E197" s="90" t="n"/>
      <c r="F197" s="104" t="n"/>
      <c r="G197" s="90" t="n"/>
      <c r="H197" s="90" t="n"/>
      <c r="I197" s="92" t="n"/>
      <c r="J197" s="103" t="n"/>
      <c r="K197" s="92" t="n"/>
      <c r="L197" s="92" t="n"/>
      <c r="M197" s="92" t="n"/>
    </row>
    <row r="198" ht="6.75" customHeight="1">
      <c r="A198" s="95" t="n"/>
      <c r="B198" s="101" t="n"/>
      <c r="C198" s="90" t="n"/>
      <c r="D198" s="90" t="n"/>
      <c r="E198" s="90" t="n"/>
      <c r="F198" s="90" t="n"/>
      <c r="G198" s="90" t="n"/>
      <c r="H198" s="90" t="n"/>
      <c r="I198" s="92" t="n"/>
      <c r="J198" s="92" t="n"/>
      <c r="K198" s="105" t="n"/>
      <c r="L198" s="105" t="n"/>
      <c r="M198" s="105" t="n"/>
    </row>
    <row r="199" ht="17.25" customHeight="1">
      <c r="A199" s="106" t="n"/>
      <c r="B199" s="101" t="n"/>
      <c r="C199" s="107" t="inlineStr">
        <is>
          <t>Exceedance probability information:</t>
        </is>
      </c>
      <c r="D199" s="107" t="n"/>
      <c r="E199" s="90" t="n"/>
      <c r="F199" s="90" t="n"/>
      <c r="G199" s="90" t="n"/>
      <c r="H199" s="90" t="n"/>
      <c r="I199" s="92" t="n"/>
      <c r="J199" s="92" t="n"/>
      <c r="K199" s="92" t="n"/>
      <c r="L199" s="92" t="n"/>
      <c r="M199" s="92" t="n"/>
    </row>
    <row r="200" ht="16.5" customHeight="1">
      <c r="A200" s="95" t="n"/>
      <c r="B200" s="101" t="n"/>
      <c r="C200" s="108" t="n"/>
      <c r="D200" s="109" t="inlineStr">
        <is>
          <t xml:space="preserve"> Gross loss</t>
        </is>
      </c>
      <c r="E200" s="110" t="n"/>
      <c r="F200" s="111" t="inlineStr">
        <is>
          <t xml:space="preserve"> Net loss</t>
        </is>
      </c>
      <c r="G200" s="112" t="n"/>
      <c r="H200" s="90" t="n"/>
      <c r="I200" s="92" t="n"/>
      <c r="J200" s="92" t="n"/>
      <c r="K200" s="92" t="n"/>
      <c r="L200" s="92" t="n"/>
      <c r="M200" s="92" t="n"/>
    </row>
    <row r="201" ht="33" customHeight="1">
      <c r="A201" s="95" t="n"/>
      <c r="B201" s="101" t="n"/>
      <c r="C201" s="113" t="inlineStr">
        <is>
          <t>Loss Return period (years)</t>
        </is>
      </c>
      <c r="D201" s="114" t="inlineStr">
        <is>
          <t>Gross per occurrence loss TVaR</t>
        </is>
      </c>
      <c r="E201" s="115" t="inlineStr">
        <is>
          <t xml:space="preserve">Gross aggregate 
TVaR </t>
        </is>
      </c>
      <c r="F201" s="115" t="inlineStr">
        <is>
          <t>Net per occurrence loss TVaR</t>
        </is>
      </c>
      <c r="G201" s="116" t="inlineStr">
        <is>
          <t>Net aggregate
TVaR</t>
        </is>
      </c>
      <c r="H201" s="90" t="n"/>
      <c r="I201" s="92" t="n"/>
      <c r="J201" s="92" t="n"/>
      <c r="K201" s="92" t="n"/>
      <c r="L201" s="92" t="n"/>
      <c r="M201" s="92" t="n"/>
    </row>
    <row r="202" ht="16.5" customHeight="1">
      <c r="A202" s="95" t="n"/>
      <c r="B202" s="101" t="n"/>
      <c r="C202" s="117" t="n"/>
      <c r="D202" s="118" t="inlineStr">
        <is>
          <t xml:space="preserve"> ($M)</t>
        </is>
      </c>
      <c r="E202" s="118" t="inlineStr">
        <is>
          <t>($M)</t>
        </is>
      </c>
      <c r="F202" s="118" t="inlineStr">
        <is>
          <t>($M)</t>
        </is>
      </c>
      <c r="G202" s="119" t="inlineStr">
        <is>
          <t xml:space="preserve"> ($M)</t>
        </is>
      </c>
      <c r="H202" s="90" t="n"/>
      <c r="I202" s="92" t="n"/>
      <c r="J202" s="92" t="n"/>
      <c r="K202" s="92" t="n"/>
      <c r="L202" s="92" t="n"/>
      <c r="M202" s="92" t="n"/>
    </row>
    <row r="203" ht="16.5" customHeight="1">
      <c r="A203" s="95" t="n"/>
      <c r="B203" s="101" t="n"/>
      <c r="C203" s="120" t="n">
        <v>50</v>
      </c>
      <c r="D203" s="121" t="n"/>
      <c r="E203" s="121" t="n"/>
      <c r="F203" s="121" t="n"/>
      <c r="G203" s="121" t="n"/>
      <c r="H203" s="90" t="n"/>
      <c r="I203" s="92" t="n"/>
      <c r="J203" s="92" t="n"/>
      <c r="K203" s="92" t="n"/>
      <c r="L203" s="92" t="n"/>
      <c r="M203" s="92" t="n"/>
    </row>
    <row r="204" ht="16.5" customHeight="1">
      <c r="A204" s="95" t="n"/>
      <c r="B204" s="101" t="n"/>
      <c r="C204" s="120" t="n">
        <v>100</v>
      </c>
      <c r="D204" s="121" t="n"/>
      <c r="E204" s="121" t="n"/>
      <c r="F204" s="121" t="n"/>
      <c r="G204" s="121" t="n"/>
      <c r="H204" s="90" t="n"/>
      <c r="I204" s="92" t="n"/>
      <c r="J204" s="92" t="n"/>
      <c r="K204" s="92" t="n"/>
      <c r="L204" s="92" t="n"/>
      <c r="M204" s="92" t="n"/>
    </row>
    <row r="205" ht="16.5" customHeight="1">
      <c r="A205" s="95" t="n"/>
      <c r="B205" s="101" t="n"/>
      <c r="C205" s="120" t="n">
        <v>250</v>
      </c>
      <c r="D205" s="121" t="n"/>
      <c r="E205" s="121" t="n"/>
      <c r="F205" s="121" t="n"/>
      <c r="G205" s="121" t="n"/>
      <c r="H205" s="90" t="n"/>
      <c r="I205" s="92" t="n"/>
      <c r="J205" s="92" t="n"/>
      <c r="K205" s="92" t="n"/>
      <c r="L205" s="92" t="n"/>
      <c r="M205" s="92" t="n"/>
    </row>
    <row r="206" ht="16.5" customHeight="1">
      <c r="A206" s="95" t="n"/>
      <c r="B206" s="101" t="n"/>
      <c r="C206" s="120" t="n">
        <v>500</v>
      </c>
      <c r="D206" s="121" t="n"/>
      <c r="E206" s="121" t="n"/>
      <c r="F206" s="121" t="n"/>
      <c r="G206" s="121" t="n"/>
      <c r="H206" s="90" t="n"/>
      <c r="I206" s="92" t="n"/>
      <c r="J206" s="92" t="n"/>
      <c r="K206" s="92" t="n"/>
      <c r="L206" s="92" t="n"/>
      <c r="M206" s="92" t="n"/>
    </row>
    <row r="207" ht="17.25" customHeight="1">
      <c r="A207" s="95" t="n"/>
      <c r="B207" s="101" t="n"/>
      <c r="C207" s="122" t="n">
        <v>1000</v>
      </c>
      <c r="D207" s="121" t="n"/>
      <c r="E207" s="121" t="n"/>
      <c r="F207" s="121" t="n"/>
      <c r="G207" s="121" t="n"/>
      <c r="H207" s="90" t="n"/>
      <c r="I207" s="92" t="n"/>
      <c r="J207" s="92" t="n"/>
      <c r="K207" s="92" t="n"/>
      <c r="L207" s="92" t="n"/>
      <c r="M207" s="92" t="n"/>
    </row>
    <row r="208" ht="6.75" customHeight="1">
      <c r="A208" s="95" t="n"/>
      <c r="B208" s="101" t="n"/>
      <c r="C208" s="90" t="n"/>
      <c r="D208" s="123" t="n"/>
      <c r="E208" s="123" t="n"/>
      <c r="F208" s="123" t="n"/>
      <c r="G208" s="123" t="n"/>
      <c r="H208" s="90" t="n"/>
      <c r="I208" s="92" t="n"/>
      <c r="J208" s="92" t="n"/>
      <c r="K208" s="92" t="n"/>
      <c r="L208" s="92" t="n"/>
      <c r="M208" s="92" t="n"/>
    </row>
    <row r="209" ht="27.2" customHeight="1">
      <c r="A209" s="124" t="n"/>
      <c r="B209" s="101" t="n"/>
      <c r="C209" s="125" t="inlineStr">
        <is>
          <t>Exposure to Atlantic Basin Hurricane</t>
        </is>
      </c>
      <c r="D209" s="110" t="n"/>
      <c r="E209" s="126" t="inlineStr">
        <is>
          <t>Gross</t>
        </is>
      </c>
      <c r="F209" s="127" t="inlineStr">
        <is>
          <t>Net</t>
        </is>
      </c>
      <c r="G209" s="123" t="n"/>
      <c r="H209" s="90" t="n"/>
      <c r="I209" s="92" t="n"/>
      <c r="J209" s="92" t="n"/>
      <c r="K209" s="92" t="n"/>
      <c r="L209" s="92" t="n"/>
      <c r="M209" s="92" t="n"/>
    </row>
    <row r="210" ht="16.5" customHeight="1">
      <c r="A210" s="124" t="n"/>
      <c r="B210" s="101" t="n"/>
      <c r="C210" s="128" t="n"/>
      <c r="D210" s="129" t="n"/>
      <c r="E210" s="118" t="inlineStr">
        <is>
          <t xml:space="preserve"> ($M)</t>
        </is>
      </c>
      <c r="F210" s="119" t="inlineStr">
        <is>
          <t xml:space="preserve"> ($M)</t>
        </is>
      </c>
      <c r="G210" s="123" t="n"/>
      <c r="H210" s="90" t="n"/>
      <c r="I210" s="92" t="n"/>
      <c r="J210" s="92" t="n"/>
      <c r="K210" s="92" t="n"/>
      <c r="L210" s="92" t="n"/>
      <c r="M210" s="92" t="n"/>
    </row>
    <row r="211" ht="16.5" customHeight="1">
      <c r="A211" s="124" t="n"/>
      <c r="B211" s="101" t="n"/>
      <c r="C211" s="130" t="inlineStr">
        <is>
          <t>Total statutory property catastrophe premium</t>
        </is>
      </c>
      <c r="D211" s="131" t="n"/>
      <c r="E211" s="121" t="n"/>
      <c r="F211" s="132" t="n"/>
      <c r="G211" s="123" t="n"/>
      <c r="H211" s="90" t="n"/>
      <c r="I211" s="92" t="n"/>
      <c r="J211" s="92" t="n"/>
      <c r="K211" s="92" t="n"/>
      <c r="L211" s="92" t="n"/>
      <c r="M211" s="92" t="n"/>
    </row>
    <row r="212" ht="16.5" customHeight="1">
      <c r="A212" s="124" t="n"/>
      <c r="B212" s="101" t="n"/>
      <c r="C212" s="130" t="inlineStr">
        <is>
          <t>Total all other statutory premium</t>
        </is>
      </c>
      <c r="D212" s="131" t="n"/>
      <c r="E212" s="140" t="n"/>
      <c r="F212" s="141" t="n"/>
      <c r="G212" s="123" t="n"/>
      <c r="H212" s="90" t="n"/>
      <c r="I212" s="92" t="n"/>
      <c r="J212" s="92" t="n"/>
      <c r="K212" s="92" t="n"/>
      <c r="L212" s="92" t="n"/>
      <c r="M212" s="92" t="n"/>
    </row>
    <row r="213" ht="16.5" customHeight="1">
      <c r="A213" s="124" t="n"/>
      <c r="B213" s="101" t="n"/>
      <c r="C213" s="130" t="inlineStr">
        <is>
          <t>Total statutory property catastrophe limits</t>
        </is>
      </c>
      <c r="D213" s="131" t="n"/>
      <c r="E213" s="133" t="n"/>
      <c r="F213" s="134" t="n"/>
      <c r="G213" s="123" t="n"/>
      <c r="H213" s="90" t="n"/>
      <c r="I213" s="92" t="n"/>
      <c r="J213" s="92" t="n"/>
      <c r="K213" s="92" t="n"/>
      <c r="L213" s="92" t="n"/>
      <c r="M213" s="92" t="n"/>
    </row>
    <row r="214" ht="17.25" customHeight="1">
      <c r="A214" s="124" t="n"/>
      <c r="B214" s="101" t="n"/>
      <c r="C214" s="135" t="inlineStr">
        <is>
          <t>Total all other statutory limits</t>
        </is>
      </c>
      <c r="D214" s="136" t="n"/>
      <c r="E214" s="137">
        <f>SUMIFS(BSCRInput[sum_pml],BSCRInput[bscr_entity],"HSA",BSCRInput[region],"is_nahu",BSCRInput[peril_id],2)/1000000</f>
        <v>144.75335204153575</v>
      </c>
      <c r="F214" s="193">
        <f>SUMIFS(BSCRInput[sum_net],BSCRInput[bscr_entity],"HSA",BSCRInput[region],"is_nahu",BSCRInput[peril_id],2)/1000000</f>
        <v>143.66396144153578</v>
      </c>
      <c r="G214" s="123" t="n"/>
      <c r="H214" s="90" t="n"/>
      <c r="I214" s="92" t="n"/>
      <c r="J214" s="92" t="n"/>
      <c r="K214" s="92" t="n"/>
      <c r="L214" s="92" t="n"/>
      <c r="M214" s="92" t="n"/>
    </row>
    <row r="215" ht="6.75" customHeight="1">
      <c r="A215" s="95" t="n"/>
      <c r="B215" s="101" t="n"/>
      <c r="C215" s="90" t="n"/>
      <c r="D215" s="123" t="n"/>
      <c r="E215" s="123" t="n"/>
      <c r="F215" s="123" t="n"/>
      <c r="G215" s="123" t="n"/>
      <c r="H215" s="90" t="n"/>
      <c r="I215" s="92" t="n"/>
      <c r="J215" s="92" t="n"/>
      <c r="K215" s="92" t="n"/>
      <c r="L215" s="92" t="n"/>
      <c r="M215" s="92" t="n"/>
    </row>
    <row r="216" ht="16.5" customHeight="1">
      <c r="A216" s="95" t="n"/>
      <c r="B216" s="94" t="inlineStr">
        <is>
          <t>b)</t>
        </is>
      </c>
      <c r="C216" s="99" t="inlineStr">
        <is>
          <t>EP CURVE NORTH AMERICAN EARTHQUAKE</t>
        </is>
      </c>
      <c r="D216" s="90" t="n"/>
      <c r="E216" s="90" t="n"/>
      <c r="F216" s="139" t="n"/>
      <c r="G216" s="90" t="n"/>
      <c r="H216" s="90" t="n"/>
      <c r="I216" s="100" t="n"/>
      <c r="J216" s="92" t="n"/>
      <c r="K216" s="92" t="n"/>
      <c r="L216" s="92" t="n"/>
      <c r="M216" s="92" t="n"/>
    </row>
    <row r="217" ht="6.75" customHeight="1">
      <c r="A217" s="95" t="n"/>
      <c r="B217" s="94" t="n"/>
      <c r="C217" s="99" t="n"/>
      <c r="D217" s="90" t="n"/>
      <c r="E217" s="90" t="n"/>
      <c r="F217" s="90" t="n"/>
      <c r="G217" s="90" t="n"/>
      <c r="H217" s="90" t="n"/>
      <c r="I217" s="92" t="n"/>
      <c r="J217" s="92" t="n"/>
      <c r="K217" s="92" t="n"/>
      <c r="L217" s="92" t="n"/>
      <c r="M217" s="92" t="n"/>
    </row>
    <row r="218" ht="16.5" customHeight="1">
      <c r="A218" s="95" t="n"/>
      <c r="B218" s="101" t="n"/>
      <c r="C218" s="90" t="inlineStr">
        <is>
          <t>Which model(s) is used for  EP Curve North American earthquake</t>
        </is>
      </c>
      <c r="D218" s="90" t="n"/>
      <c r="E218" s="90" t="n"/>
      <c r="F218" s="102" t="n"/>
      <c r="G218" s="90" t="n"/>
      <c r="H218" s="90" t="n"/>
      <c r="I218" s="92" t="n"/>
      <c r="J218" s="103" t="n"/>
      <c r="K218" s="92" t="n"/>
      <c r="L218" s="92" t="n"/>
      <c r="M218" s="92" t="n"/>
    </row>
    <row r="219" ht="16.5" customHeight="1">
      <c r="A219" s="95" t="n"/>
      <c r="B219" s="101" t="n"/>
      <c r="C219" s="90" t="inlineStr">
        <is>
          <t>Indicate the model version</t>
        </is>
      </c>
      <c r="D219" s="90" t="n"/>
      <c r="E219" s="90" t="n"/>
      <c r="F219" s="104" t="n"/>
      <c r="G219" s="90" t="n"/>
      <c r="H219" s="90" t="n"/>
      <c r="I219" s="92" t="n"/>
      <c r="J219" s="103" t="n"/>
      <c r="K219" s="92" t="n"/>
      <c r="L219" s="92" t="n"/>
      <c r="M219" s="92" t="n"/>
    </row>
    <row r="220" ht="6.75" customHeight="1">
      <c r="A220" s="95" t="n"/>
      <c r="B220" s="101" t="n"/>
      <c r="C220" s="90" t="n"/>
      <c r="D220" s="90" t="n"/>
      <c r="E220" s="90" t="n"/>
      <c r="F220" s="90" t="n"/>
      <c r="G220" s="90" t="n"/>
      <c r="H220" s="90" t="n"/>
      <c r="I220" s="92" t="n"/>
      <c r="J220" s="92" t="n"/>
      <c r="K220" s="92" t="n"/>
      <c r="L220" s="92" t="n"/>
      <c r="M220" s="92" t="n"/>
    </row>
    <row r="221" ht="17.25" customHeight="1">
      <c r="A221" s="95" t="n"/>
      <c r="B221" s="101" t="n"/>
      <c r="C221" s="107" t="inlineStr">
        <is>
          <t>Exceedance probability information:</t>
        </is>
      </c>
      <c r="D221" s="107" t="n"/>
      <c r="E221" s="90" t="n"/>
      <c r="F221" s="90" t="n"/>
      <c r="G221" s="90" t="n"/>
      <c r="H221" s="90" t="n"/>
      <c r="I221" s="92" t="n"/>
      <c r="J221" s="92" t="n"/>
      <c r="K221" s="92" t="n"/>
      <c r="L221" s="92" t="n"/>
      <c r="M221" s="92" t="n"/>
    </row>
    <row r="222" ht="16.5" customHeight="1">
      <c r="A222" s="95" t="n"/>
      <c r="B222" s="101" t="n"/>
      <c r="C222" s="108" t="n"/>
      <c r="D222" s="109" t="inlineStr">
        <is>
          <t xml:space="preserve"> Gross loss</t>
        </is>
      </c>
      <c r="E222" s="110" t="n"/>
      <c r="F222" s="111" t="inlineStr">
        <is>
          <t xml:space="preserve"> Net loss</t>
        </is>
      </c>
      <c r="G222" s="112" t="n"/>
      <c r="H222" s="90" t="n"/>
      <c r="I222" s="92" t="n"/>
      <c r="J222" s="92" t="n"/>
      <c r="K222" s="92" t="n"/>
      <c r="L222" s="92" t="n"/>
      <c r="M222" s="92" t="n"/>
    </row>
    <row r="223" ht="33" customHeight="1">
      <c r="A223" s="95" t="n"/>
      <c r="B223" s="101" t="n"/>
      <c r="C223" s="113" t="inlineStr">
        <is>
          <t>Loss Return period (years)</t>
        </is>
      </c>
      <c r="D223" s="114" t="inlineStr">
        <is>
          <t>Gross per occurrence loss TVaR</t>
        </is>
      </c>
      <c r="E223" s="115" t="inlineStr">
        <is>
          <t xml:space="preserve">Gross aggregate 
TVaR </t>
        </is>
      </c>
      <c r="F223" s="115" t="inlineStr">
        <is>
          <t>Net per occurrence loss TVaR</t>
        </is>
      </c>
      <c r="G223" s="116" t="inlineStr">
        <is>
          <t>Net aggregate
TVaR</t>
        </is>
      </c>
      <c r="H223" s="90" t="n"/>
      <c r="I223" s="92" t="n"/>
      <c r="J223" s="92" t="n"/>
      <c r="K223" s="92" t="n"/>
      <c r="L223" s="92" t="n"/>
      <c r="M223" s="92" t="n"/>
    </row>
    <row r="224" ht="16.5" customHeight="1">
      <c r="A224" s="95" t="n"/>
      <c r="B224" s="101" t="n"/>
      <c r="C224" s="117" t="n"/>
      <c r="D224" s="118" t="inlineStr">
        <is>
          <t xml:space="preserve"> ($M)</t>
        </is>
      </c>
      <c r="E224" s="118" t="inlineStr">
        <is>
          <t>($M)</t>
        </is>
      </c>
      <c r="F224" s="118" t="inlineStr">
        <is>
          <t>($M)</t>
        </is>
      </c>
      <c r="G224" s="119" t="inlineStr">
        <is>
          <t xml:space="preserve"> ($M)</t>
        </is>
      </c>
      <c r="H224" s="90" t="n"/>
      <c r="I224" s="92" t="n"/>
      <c r="J224" s="92" t="n"/>
      <c r="K224" s="92" t="n"/>
      <c r="L224" s="92" t="n"/>
      <c r="M224" s="92" t="n"/>
    </row>
    <row r="225" ht="16.5" customHeight="1">
      <c r="A225" s="95" t="n"/>
      <c r="B225" s="101" t="n"/>
      <c r="C225" s="120" t="n">
        <v>50</v>
      </c>
      <c r="D225" s="121" t="n"/>
      <c r="E225" s="121" t="n"/>
      <c r="F225" s="121" t="n"/>
      <c r="G225" s="121" t="n"/>
      <c r="H225" s="90" t="n"/>
      <c r="I225" s="92" t="n"/>
      <c r="J225" s="92" t="n"/>
      <c r="K225" s="92" t="n"/>
      <c r="L225" s="92" t="n"/>
      <c r="M225" s="92" t="n"/>
    </row>
    <row r="226" ht="16.5" customHeight="1">
      <c r="A226" s="95" t="n"/>
      <c r="B226" s="101" t="n"/>
      <c r="C226" s="120" t="n">
        <v>100</v>
      </c>
      <c r="D226" s="121" t="n"/>
      <c r="E226" s="121" t="n"/>
      <c r="F226" s="121" t="n"/>
      <c r="G226" s="121" t="n"/>
      <c r="H226" s="90" t="n"/>
      <c r="I226" s="92" t="n"/>
      <c r="J226" s="92" t="n"/>
      <c r="K226" s="92" t="n"/>
      <c r="L226" s="92" t="n"/>
      <c r="M226" s="92" t="n"/>
    </row>
    <row r="227" ht="16.5" customHeight="1">
      <c r="A227" s="95" t="n"/>
      <c r="B227" s="101" t="n"/>
      <c r="C227" s="120" t="n">
        <v>250</v>
      </c>
      <c r="D227" s="121" t="n"/>
      <c r="E227" s="121" t="n"/>
      <c r="F227" s="121" t="n"/>
      <c r="G227" s="121" t="n"/>
      <c r="H227" s="90" t="n"/>
      <c r="I227" s="92" t="n"/>
      <c r="J227" s="92" t="n"/>
      <c r="K227" s="92" t="n"/>
      <c r="L227" s="92" t="n"/>
      <c r="M227" s="92" t="n"/>
    </row>
    <row r="228" ht="16.5" customHeight="1">
      <c r="A228" s="95" t="n"/>
      <c r="B228" s="101" t="n"/>
      <c r="C228" s="120" t="n">
        <v>500</v>
      </c>
      <c r="D228" s="121" t="n"/>
      <c r="E228" s="121" t="n"/>
      <c r="F228" s="121" t="n"/>
      <c r="G228" s="121" t="n"/>
      <c r="H228" s="90" t="n"/>
      <c r="I228" s="92" t="n"/>
      <c r="J228" s="92" t="n"/>
      <c r="K228" s="92" t="n"/>
      <c r="L228" s="92" t="n"/>
      <c r="M228" s="92" t="n"/>
    </row>
    <row r="229" ht="17.25" customHeight="1">
      <c r="A229" s="95" t="n"/>
      <c r="B229" s="101" t="n"/>
      <c r="C229" s="122" t="n">
        <v>1000</v>
      </c>
      <c r="D229" s="121" t="n"/>
      <c r="E229" s="121" t="n"/>
      <c r="F229" s="121" t="n"/>
      <c r="G229" s="121" t="n"/>
      <c r="H229" s="90" t="n"/>
      <c r="I229" s="92" t="n"/>
      <c r="J229" s="92" t="n"/>
      <c r="K229" s="92" t="n"/>
      <c r="L229" s="92" t="n"/>
      <c r="M229" s="92" t="n"/>
    </row>
    <row r="230" ht="6.75" customHeight="1">
      <c r="A230" s="95" t="n"/>
      <c r="B230" s="101" t="n"/>
      <c r="C230" s="90" t="n"/>
      <c r="D230" s="123" t="n"/>
      <c r="E230" s="123" t="n"/>
      <c r="F230" s="123" t="n"/>
      <c r="G230" s="123" t="n"/>
      <c r="H230" s="90" t="n"/>
      <c r="I230" s="92" t="n"/>
      <c r="J230" s="92" t="n"/>
      <c r="K230" s="92" t="n"/>
      <c r="L230" s="92" t="n"/>
      <c r="M230" s="92" t="n"/>
    </row>
    <row r="231" ht="27.2" customHeight="1">
      <c r="A231" s="124" t="n"/>
      <c r="B231" s="101" t="n"/>
      <c r="C231" s="125" t="inlineStr">
        <is>
          <t>Exposure to North American Earthquake</t>
        </is>
      </c>
      <c r="D231" s="110" t="n"/>
      <c r="E231" s="126" t="inlineStr">
        <is>
          <t>Gross</t>
        </is>
      </c>
      <c r="F231" s="127" t="inlineStr">
        <is>
          <t>Net</t>
        </is>
      </c>
      <c r="G231" s="123" t="n"/>
      <c r="H231" s="90" t="n"/>
      <c r="I231" s="92" t="n"/>
      <c r="J231" s="92" t="n"/>
      <c r="K231" s="92" t="n"/>
      <c r="L231" s="92" t="n"/>
      <c r="M231" s="92" t="n"/>
    </row>
    <row r="232" ht="16.5" customHeight="1">
      <c r="A232" s="124" t="n"/>
      <c r="B232" s="101" t="n"/>
      <c r="C232" s="128" t="n"/>
      <c r="D232" s="129" t="n"/>
      <c r="E232" s="118" t="inlineStr">
        <is>
          <t xml:space="preserve"> ($M)</t>
        </is>
      </c>
      <c r="F232" s="119" t="inlineStr">
        <is>
          <t xml:space="preserve"> ($M)</t>
        </is>
      </c>
      <c r="G232" s="123" t="n"/>
      <c r="H232" s="90" t="n"/>
      <c r="I232" s="92" t="n"/>
      <c r="J232" s="92" t="n"/>
      <c r="K232" s="92" t="n"/>
      <c r="L232" s="92" t="n"/>
      <c r="M232" s="92" t="n"/>
    </row>
    <row r="233" ht="16.5" customHeight="1">
      <c r="A233" s="124" t="n"/>
      <c r="B233" s="101" t="n"/>
      <c r="C233" s="130" t="inlineStr">
        <is>
          <t>Total statutory property catastrophe premium</t>
        </is>
      </c>
      <c r="D233" s="131" t="n"/>
      <c r="E233" s="121" t="n"/>
      <c r="F233" s="132" t="n"/>
      <c r="G233" s="123" t="n"/>
      <c r="H233" s="90" t="n"/>
      <c r="I233" s="92" t="n"/>
      <c r="J233" s="92" t="n"/>
      <c r="K233" s="92" t="n"/>
      <c r="L233" s="92" t="n"/>
      <c r="M233" s="92" t="n"/>
    </row>
    <row r="234" ht="16.5" customHeight="1">
      <c r="A234" s="124" t="n"/>
      <c r="B234" s="101" t="n"/>
      <c r="C234" s="130" t="inlineStr">
        <is>
          <t>Total all other statutory premium</t>
        </is>
      </c>
      <c r="D234" s="131" t="n"/>
      <c r="E234" s="140" t="n"/>
      <c r="F234" s="141" t="n"/>
      <c r="G234" s="123" t="n"/>
      <c r="H234" s="90" t="n"/>
      <c r="I234" s="92" t="n"/>
      <c r="J234" s="92" t="n"/>
      <c r="K234" s="92" t="n"/>
      <c r="L234" s="92" t="n"/>
      <c r="M234" s="92" t="n"/>
    </row>
    <row r="235" ht="16.5" customHeight="1">
      <c r="A235" s="124" t="n"/>
      <c r="B235" s="101" t="n"/>
      <c r="C235" s="130" t="inlineStr">
        <is>
          <t>Total statutory property catastrophe limits</t>
        </is>
      </c>
      <c r="D235" s="131" t="n"/>
      <c r="E235" s="133" t="n"/>
      <c r="F235" s="134" t="n"/>
      <c r="G235" s="123" t="n"/>
      <c r="H235" s="90" t="n"/>
      <c r="I235" s="92" t="n"/>
      <c r="J235" s="92" t="n"/>
      <c r="K235" s="92" t="n"/>
      <c r="L235" s="92" t="n"/>
      <c r="M235" s="92" t="n"/>
    </row>
    <row r="236" ht="17.25" customHeight="1">
      <c r="A236" s="124" t="n"/>
      <c r="B236" s="101" t="n"/>
      <c r="C236" s="135" t="inlineStr">
        <is>
          <t>Total all other statutory limits</t>
        </is>
      </c>
      <c r="D236" s="136" t="n"/>
      <c r="E236" s="137">
        <f>SUMIFS(BSCRInput[sum_pml],BSCRInput[bscr_entity],"HSA",BSCRInput[region],"is_na_eq",BSCRInput[peril_id],1)/1000000</f>
        <v>7.535709720000001</v>
      </c>
      <c r="F236" s="193">
        <f>SUMIFS(BSCRInput[sum_net],BSCRInput[bscr_entity],"HSA",BSCRInput[region],"is_na_eq",BSCRInput[peril_id],1)/1000000</f>
        <v>7.535709720000001</v>
      </c>
      <c r="G236" s="123" t="n"/>
      <c r="H236" s="90" t="n"/>
      <c r="I236" s="92" t="n"/>
      <c r="J236" s="92" t="n"/>
      <c r="K236" s="92" t="n"/>
      <c r="L236" s="92" t="n"/>
      <c r="M236" s="92" t="n"/>
    </row>
    <row r="237" ht="6.75" customHeight="1">
      <c r="A237" s="95" t="n"/>
      <c r="B237" s="101" t="n"/>
      <c r="C237" s="90" t="n"/>
      <c r="D237" s="90" t="n"/>
      <c r="E237" s="90" t="n"/>
      <c r="F237" s="90" t="n"/>
      <c r="G237" s="90" t="n"/>
      <c r="H237" s="90" t="n"/>
      <c r="I237" s="92" t="n"/>
      <c r="J237" s="92" t="n"/>
      <c r="K237" s="92" t="n"/>
      <c r="L237" s="92" t="n"/>
      <c r="M237" s="92" t="n"/>
    </row>
    <row r="238" ht="16.5" customHeight="1">
      <c r="A238" s="95" t="n"/>
      <c r="B238" s="94" t="inlineStr">
        <is>
          <t>c)</t>
        </is>
      </c>
      <c r="C238" s="99" t="inlineStr">
        <is>
          <t>EP CURVE EUROPEAN WINDSTORM</t>
        </is>
      </c>
      <c r="D238" s="90" t="n"/>
      <c r="E238" s="90" t="n"/>
      <c r="F238" s="139" t="n"/>
      <c r="G238" s="90" t="n"/>
      <c r="H238" s="90" t="n"/>
      <c r="I238" s="100" t="n"/>
      <c r="J238" s="92" t="n"/>
      <c r="K238" s="92" t="n"/>
      <c r="L238" s="92" t="n"/>
      <c r="M238" s="92" t="n"/>
    </row>
    <row r="239" ht="6.75" customHeight="1">
      <c r="A239" s="95" t="n"/>
      <c r="B239" s="101" t="n"/>
      <c r="C239" s="90" t="n"/>
      <c r="D239" s="90" t="n"/>
      <c r="E239" s="90" t="n"/>
      <c r="F239" s="90" t="n"/>
      <c r="G239" s="90" t="n"/>
      <c r="H239" s="90" t="n"/>
      <c r="I239" s="92" t="n"/>
      <c r="J239" s="92" t="n"/>
      <c r="K239" s="92" t="n"/>
      <c r="L239" s="92" t="n"/>
      <c r="M239" s="92" t="n"/>
    </row>
    <row r="240" ht="16.5" customHeight="1">
      <c r="A240" s="95" t="n"/>
      <c r="B240" s="101" t="n"/>
      <c r="C240" s="90" t="inlineStr">
        <is>
          <t>Which model(s) is used for  EP Curve European windstorm</t>
        </is>
      </c>
      <c r="D240" s="90" t="n"/>
      <c r="E240" s="90" t="n"/>
      <c r="F240" s="102" t="n"/>
      <c r="G240" s="90" t="n"/>
      <c r="H240" s="90" t="n"/>
      <c r="I240" s="92" t="n"/>
      <c r="J240" s="103" t="n"/>
      <c r="K240" s="92" t="n"/>
      <c r="L240" s="92" t="n"/>
      <c r="M240" s="92" t="n"/>
    </row>
    <row r="241" ht="16.5" customHeight="1">
      <c r="A241" s="95" t="n"/>
      <c r="B241" s="101" t="n"/>
      <c r="C241" s="90" t="inlineStr">
        <is>
          <t>Indicate the model version</t>
        </is>
      </c>
      <c r="D241" s="90" t="n"/>
      <c r="E241" s="90" t="n"/>
      <c r="F241" s="104" t="n"/>
      <c r="G241" s="90" t="n"/>
      <c r="H241" s="90" t="n"/>
      <c r="I241" s="92" t="n"/>
      <c r="J241" s="103" t="n"/>
      <c r="K241" s="92" t="n"/>
      <c r="L241" s="92" t="n"/>
      <c r="M241" s="92" t="n"/>
    </row>
    <row r="242" ht="6.75" customHeight="1">
      <c r="A242" s="95" t="n"/>
      <c r="B242" s="101" t="n"/>
      <c r="C242" s="90" t="n"/>
      <c r="D242" s="90" t="n"/>
      <c r="E242" s="90" t="n"/>
      <c r="F242" s="90" t="n"/>
      <c r="G242" s="90" t="n"/>
      <c r="H242" s="90" t="n"/>
      <c r="I242" s="92" t="n"/>
      <c r="J242" s="92" t="n"/>
      <c r="K242" s="92" t="n"/>
      <c r="L242" s="92" t="n"/>
      <c r="M242" s="92" t="n"/>
    </row>
    <row r="243" ht="17.25" customHeight="1">
      <c r="A243" s="95" t="n"/>
      <c r="B243" s="101" t="n"/>
      <c r="C243" s="107" t="inlineStr">
        <is>
          <t>Exceedance probability information:</t>
        </is>
      </c>
      <c r="D243" s="107" t="n"/>
      <c r="E243" s="90" t="n"/>
      <c r="F243" s="90" t="n"/>
      <c r="G243" s="90" t="n"/>
      <c r="H243" s="90" t="n"/>
      <c r="I243" s="92" t="n"/>
      <c r="J243" s="92" t="n"/>
      <c r="K243" s="92" t="n"/>
      <c r="L243" s="92" t="n"/>
      <c r="M243" s="92" t="n"/>
    </row>
    <row r="244" ht="16.5" customHeight="1">
      <c r="A244" s="95" t="n"/>
      <c r="B244" s="101" t="n"/>
      <c r="C244" s="108" t="n"/>
      <c r="D244" s="109" t="inlineStr">
        <is>
          <t xml:space="preserve"> Gross loss</t>
        </is>
      </c>
      <c r="E244" s="110" t="n"/>
      <c r="F244" s="111" t="inlineStr">
        <is>
          <t xml:space="preserve"> Net loss</t>
        </is>
      </c>
      <c r="G244" s="112" t="n"/>
      <c r="H244" s="90" t="n"/>
      <c r="I244" s="92" t="n"/>
      <c r="J244" s="92" t="n"/>
      <c r="K244" s="92" t="n"/>
      <c r="L244" s="92" t="n"/>
      <c r="M244" s="92" t="n"/>
    </row>
    <row r="245" ht="33" customHeight="1">
      <c r="A245" s="95" t="n"/>
      <c r="B245" s="101" t="n"/>
      <c r="C245" s="113" t="inlineStr">
        <is>
          <t>Loss Return period (years)</t>
        </is>
      </c>
      <c r="D245" s="114" t="inlineStr">
        <is>
          <t>Gross per occurrence loss TVaR</t>
        </is>
      </c>
      <c r="E245" s="115" t="inlineStr">
        <is>
          <t xml:space="preserve">Gross aggregate 
TVaR </t>
        </is>
      </c>
      <c r="F245" s="115" t="inlineStr">
        <is>
          <t>Net per occurrence loss TVaR</t>
        </is>
      </c>
      <c r="G245" s="116" t="inlineStr">
        <is>
          <t>Net aggregate
TVaR</t>
        </is>
      </c>
      <c r="H245" s="90" t="n"/>
      <c r="I245" s="92" t="n"/>
      <c r="J245" s="92" t="n"/>
      <c r="K245" s="92" t="n"/>
      <c r="L245" s="92" t="n"/>
      <c r="M245" s="92" t="n"/>
    </row>
    <row r="246" ht="16.5" customHeight="1">
      <c r="A246" s="95" t="n"/>
      <c r="B246" s="101" t="n"/>
      <c r="C246" s="117" t="n"/>
      <c r="D246" s="118" t="inlineStr">
        <is>
          <t xml:space="preserve"> ($M)</t>
        </is>
      </c>
      <c r="E246" s="118" t="inlineStr">
        <is>
          <t>($M)</t>
        </is>
      </c>
      <c r="F246" s="118" t="inlineStr">
        <is>
          <t>($M)</t>
        </is>
      </c>
      <c r="G246" s="119" t="inlineStr">
        <is>
          <t xml:space="preserve"> ($M)</t>
        </is>
      </c>
      <c r="H246" s="90" t="n"/>
      <c r="I246" s="92" t="n"/>
      <c r="J246" s="92" t="n"/>
      <c r="K246" s="92" t="n"/>
      <c r="L246" s="92" t="n"/>
      <c r="M246" s="92" t="n"/>
    </row>
    <row r="247" ht="16.5" customHeight="1">
      <c r="A247" s="95" t="n"/>
      <c r="B247" s="101" t="n"/>
      <c r="C247" s="120" t="n">
        <v>50</v>
      </c>
      <c r="D247" s="121" t="n"/>
      <c r="E247" s="121" t="n"/>
      <c r="F247" s="121" t="n"/>
      <c r="G247" s="121" t="n"/>
      <c r="H247" s="90" t="n"/>
      <c r="I247" s="92" t="n"/>
      <c r="J247" s="92" t="n"/>
      <c r="K247" s="92" t="n"/>
      <c r="L247" s="92" t="n"/>
      <c r="M247" s="92" t="n"/>
    </row>
    <row r="248" ht="16.5" customHeight="1">
      <c r="A248" s="95" t="n"/>
      <c r="B248" s="101" t="n"/>
      <c r="C248" s="120" t="n">
        <v>100</v>
      </c>
      <c r="D248" s="121" t="n"/>
      <c r="E248" s="121" t="n"/>
      <c r="F248" s="121" t="n"/>
      <c r="G248" s="121" t="n"/>
      <c r="H248" s="90" t="n"/>
      <c r="I248" s="92" t="n"/>
      <c r="J248" s="92" t="n"/>
      <c r="K248" s="92" t="n"/>
      <c r="L248" s="92" t="n"/>
      <c r="M248" s="92" t="n"/>
    </row>
    <row r="249" ht="16.5" customHeight="1">
      <c r="A249" s="95" t="n"/>
      <c r="B249" s="101" t="n"/>
      <c r="C249" s="120" t="n">
        <v>250</v>
      </c>
      <c r="D249" s="121" t="n"/>
      <c r="E249" s="121" t="n"/>
      <c r="F249" s="121" t="n"/>
      <c r="G249" s="121" t="n"/>
      <c r="H249" s="90" t="n"/>
      <c r="I249" s="92" t="n"/>
      <c r="J249" s="92" t="n"/>
      <c r="K249" s="92" t="n"/>
      <c r="L249" s="92" t="n"/>
      <c r="M249" s="92" t="n"/>
    </row>
    <row r="250" ht="16.5" customHeight="1">
      <c r="A250" s="95" t="n"/>
      <c r="B250" s="101" t="n"/>
      <c r="C250" s="120" t="n">
        <v>500</v>
      </c>
      <c r="D250" s="121" t="n"/>
      <c r="E250" s="121" t="n"/>
      <c r="F250" s="121" t="n"/>
      <c r="G250" s="121" t="n"/>
      <c r="H250" s="90" t="n"/>
      <c r="I250" s="92" t="n"/>
      <c r="J250" s="92" t="n"/>
      <c r="K250" s="92" t="n"/>
      <c r="L250" s="92" t="n"/>
      <c r="M250" s="92" t="n"/>
    </row>
    <row r="251" ht="17.25" customHeight="1">
      <c r="A251" s="95" t="n"/>
      <c r="B251" s="101" t="n"/>
      <c r="C251" s="122" t="n">
        <v>1000</v>
      </c>
      <c r="D251" s="121" t="n"/>
      <c r="E251" s="121" t="n"/>
      <c r="F251" s="121" t="n"/>
      <c r="G251" s="121" t="n"/>
      <c r="H251" s="90" t="n"/>
      <c r="I251" s="92" t="n"/>
      <c r="J251" s="92" t="n"/>
      <c r="K251" s="92" t="n"/>
      <c r="L251" s="92" t="n"/>
      <c r="M251" s="92" t="n"/>
    </row>
    <row r="252" ht="6.75" customHeight="1">
      <c r="A252" s="95" t="n"/>
      <c r="B252" s="101" t="n"/>
      <c r="C252" s="90" t="n"/>
      <c r="D252" s="123" t="n"/>
      <c r="E252" s="123" t="n"/>
      <c r="F252" s="123" t="n"/>
      <c r="G252" s="123" t="n"/>
      <c r="H252" s="90" t="n"/>
      <c r="I252" s="92" t="n"/>
      <c r="J252" s="92" t="n"/>
      <c r="K252" s="92" t="n"/>
      <c r="L252" s="92" t="n"/>
      <c r="M252" s="92" t="n"/>
    </row>
    <row r="253" ht="27.2" customHeight="1">
      <c r="A253" s="124" t="n"/>
      <c r="B253" s="101" t="n"/>
      <c r="C253" s="125" t="inlineStr">
        <is>
          <t>Exposure to European Windstorm</t>
        </is>
      </c>
      <c r="D253" s="110" t="n"/>
      <c r="E253" s="126" t="inlineStr">
        <is>
          <t>Gross</t>
        </is>
      </c>
      <c r="F253" s="127" t="inlineStr">
        <is>
          <t>Net</t>
        </is>
      </c>
      <c r="G253" s="123" t="n"/>
      <c r="H253" s="90" t="n"/>
      <c r="I253" s="92" t="n"/>
      <c r="J253" s="92" t="n"/>
      <c r="K253" s="92" t="n"/>
      <c r="L253" s="92" t="n"/>
      <c r="M253" s="92" t="n"/>
    </row>
    <row r="254" ht="16.5" customHeight="1">
      <c r="A254" s="124" t="n"/>
      <c r="B254" s="101" t="n"/>
      <c r="C254" s="128" t="n"/>
      <c r="D254" s="129" t="n"/>
      <c r="E254" s="118" t="inlineStr">
        <is>
          <t xml:space="preserve"> ($M)</t>
        </is>
      </c>
      <c r="F254" s="119" t="inlineStr">
        <is>
          <t xml:space="preserve"> ($M)</t>
        </is>
      </c>
      <c r="G254" s="123" t="n"/>
      <c r="H254" s="90" t="n"/>
      <c r="I254" s="92" t="n"/>
      <c r="J254" s="92" t="n"/>
      <c r="K254" s="92" t="n"/>
      <c r="L254" s="92" t="n"/>
      <c r="M254" s="92" t="n"/>
    </row>
    <row r="255" ht="16.5" customHeight="1">
      <c r="A255" s="124" t="n"/>
      <c r="B255" s="101" t="n"/>
      <c r="C255" s="130" t="inlineStr">
        <is>
          <t>Total statutory property catastrophe premium</t>
        </is>
      </c>
      <c r="D255" s="131" t="n"/>
      <c r="E255" s="121" t="n"/>
      <c r="F255" s="132" t="n"/>
      <c r="G255" s="123" t="n"/>
      <c r="H255" s="90" t="n"/>
      <c r="I255" s="92" t="n"/>
      <c r="J255" s="92" t="n"/>
      <c r="K255" s="92" t="n"/>
      <c r="L255" s="92" t="n"/>
      <c r="M255" s="92" t="n"/>
    </row>
    <row r="256" ht="16.5" customHeight="1">
      <c r="A256" s="124" t="n"/>
      <c r="B256" s="101" t="n"/>
      <c r="C256" s="130" t="inlineStr">
        <is>
          <t>Total all other statutory premium</t>
        </is>
      </c>
      <c r="D256" s="131" t="n"/>
      <c r="E256" s="140" t="n"/>
      <c r="F256" s="141" t="n"/>
      <c r="G256" s="123" t="n"/>
      <c r="H256" s="90" t="n"/>
      <c r="I256" s="92" t="n"/>
      <c r="J256" s="92" t="n"/>
      <c r="K256" s="92" t="n"/>
      <c r="L256" s="92" t="n"/>
      <c r="M256" s="92" t="n"/>
    </row>
    <row r="257" ht="16.5" customHeight="1">
      <c r="A257" s="124" t="n"/>
      <c r="B257" s="101" t="n"/>
      <c r="C257" s="130" t="inlineStr">
        <is>
          <t>Total statutory property catastrophe limits</t>
        </is>
      </c>
      <c r="D257" s="131" t="n"/>
      <c r="E257" s="133" t="n"/>
      <c r="F257" s="134" t="n"/>
      <c r="G257" s="123" t="n"/>
      <c r="H257" s="90" t="n"/>
      <c r="I257" s="92" t="n"/>
      <c r="J257" s="92" t="n"/>
      <c r="K257" s="92" t="n"/>
      <c r="L257" s="92" t="n"/>
      <c r="M257" s="92" t="n"/>
    </row>
    <row r="258" ht="17.25" customHeight="1">
      <c r="A258" s="124" t="n"/>
      <c r="B258" s="101" t="n"/>
      <c r="C258" s="135" t="inlineStr">
        <is>
          <t>Total all other statutory limits</t>
        </is>
      </c>
      <c r="D258" s="136" t="n"/>
      <c r="E258" s="137">
        <f>SUMIFS(BSCRInput[sum_pml],BSCRInput[bscr_entity],"HSA",BSCRInput[region],"is_eu",BSCRInput[peril_id],2)/1000000</f>
        <v>75628.40424803631</v>
      </c>
      <c r="F258" s="193">
        <f>SUMIFS(BSCRInput[sum_net],BSCRInput[bscr_entity],"HSA",BSCRInput[region],"is_eu",BSCRInput[peril_id],2)/1000000</f>
        <v>73900.47051257716</v>
      </c>
      <c r="G258" s="123" t="n"/>
      <c r="H258" s="90" t="n"/>
      <c r="I258" s="92" t="n"/>
      <c r="J258" s="92" t="n"/>
      <c r="K258" s="92" t="n"/>
      <c r="L258" s="92" t="n"/>
      <c r="M258" s="92" t="n"/>
    </row>
    <row r="259" ht="6.75" customHeight="1">
      <c r="A259" s="95" t="n"/>
      <c r="B259" s="101" t="n"/>
      <c r="C259" s="90" t="n"/>
      <c r="D259" s="90" t="n"/>
      <c r="E259" s="90" t="n"/>
      <c r="F259" s="90" t="n"/>
      <c r="G259" s="90" t="n"/>
      <c r="H259" s="90" t="n"/>
      <c r="I259" s="92" t="n"/>
      <c r="J259" s="92" t="n"/>
      <c r="K259" s="92" t="n"/>
      <c r="L259" s="92" t="n"/>
      <c r="M259" s="92" t="n"/>
    </row>
    <row r="260" ht="16.5" customHeight="1">
      <c r="A260" s="95" t="n"/>
      <c r="B260" s="94" t="inlineStr">
        <is>
          <t>d)</t>
        </is>
      </c>
      <c r="C260" s="99" t="inlineStr">
        <is>
          <t>EP CURVE JAPANESE EARTH QUAKE</t>
        </is>
      </c>
      <c r="D260" s="90" t="n"/>
      <c r="E260" s="90" t="n"/>
      <c r="F260" s="139" t="n"/>
      <c r="G260" s="90" t="n"/>
      <c r="H260" s="90" t="n"/>
      <c r="I260" s="100" t="n"/>
      <c r="J260" s="92" t="n"/>
      <c r="K260" s="92" t="n"/>
      <c r="L260" s="92" t="n"/>
      <c r="M260" s="92" t="n"/>
    </row>
    <row r="261" ht="6.75" customHeight="1">
      <c r="A261" s="95" t="n"/>
      <c r="B261" s="101" t="n"/>
      <c r="C261" s="90" t="n"/>
      <c r="D261" s="90" t="n"/>
      <c r="E261" s="90" t="n"/>
      <c r="F261" s="90" t="n"/>
      <c r="G261" s="90" t="n"/>
      <c r="H261" s="90" t="n"/>
      <c r="I261" s="92" t="n"/>
      <c r="J261" s="92" t="n"/>
      <c r="K261" s="92" t="n"/>
      <c r="L261" s="92" t="n"/>
      <c r="M261" s="92" t="n"/>
    </row>
    <row r="262" ht="16.5" customHeight="1">
      <c r="A262" s="95" t="n"/>
      <c r="B262" s="101" t="n"/>
      <c r="C262" s="90" t="inlineStr">
        <is>
          <t>Which model(s) is used for  EP Curve Japanese earthquake</t>
        </is>
      </c>
      <c r="D262" s="90" t="n"/>
      <c r="E262" s="90" t="n"/>
      <c r="F262" s="102" t="n"/>
      <c r="G262" s="90" t="n"/>
      <c r="H262" s="90" t="n"/>
      <c r="I262" s="92" t="n"/>
      <c r="J262" s="103" t="n"/>
      <c r="K262" s="92" t="n"/>
      <c r="L262" s="92" t="n"/>
      <c r="M262" s="92" t="n"/>
    </row>
    <row r="263" ht="16.5" customHeight="1">
      <c r="A263" s="95" t="n"/>
      <c r="B263" s="101" t="n"/>
      <c r="C263" s="95" t="inlineStr">
        <is>
          <t>Indicate the model version</t>
        </is>
      </c>
      <c r="D263" s="90" t="n"/>
      <c r="E263" s="90" t="n"/>
      <c r="F263" s="104" t="n"/>
      <c r="G263" s="90" t="n"/>
      <c r="H263" s="90" t="n"/>
      <c r="I263" s="92" t="n"/>
      <c r="J263" s="103" t="n"/>
      <c r="K263" s="92" t="n"/>
      <c r="L263" s="92" t="n"/>
      <c r="M263" s="92" t="n"/>
    </row>
    <row r="264" ht="6.75" customHeight="1">
      <c r="A264" s="95" t="n"/>
      <c r="B264" s="101" t="n"/>
      <c r="C264" s="90" t="n"/>
      <c r="D264" s="90" t="n"/>
      <c r="E264" s="90" t="n"/>
      <c r="F264" s="90" t="n"/>
      <c r="G264" s="90" t="n"/>
      <c r="H264" s="90" t="n"/>
      <c r="I264" s="92" t="n"/>
      <c r="J264" s="92" t="n"/>
      <c r="K264" s="92" t="n"/>
      <c r="L264" s="92" t="n"/>
      <c r="M264" s="92" t="n"/>
    </row>
    <row r="265" ht="17.25" customHeight="1">
      <c r="A265" s="95" t="n"/>
      <c r="B265" s="101" t="n"/>
      <c r="C265" s="107" t="inlineStr">
        <is>
          <t>Exceedance probability information:</t>
        </is>
      </c>
      <c r="D265" s="107" t="n"/>
      <c r="E265" s="90" t="n"/>
      <c r="F265" s="90" t="n"/>
      <c r="G265" s="90" t="n"/>
      <c r="H265" s="90" t="n"/>
      <c r="I265" s="92" t="n"/>
      <c r="J265" s="92" t="n"/>
      <c r="K265" s="92" t="n"/>
      <c r="L265" s="92" t="n"/>
      <c r="M265" s="92" t="n"/>
    </row>
    <row r="266" ht="16.5" customHeight="1">
      <c r="A266" s="95" t="n"/>
      <c r="B266" s="101" t="n"/>
      <c r="C266" s="108" t="n"/>
      <c r="D266" s="109" t="inlineStr">
        <is>
          <t xml:space="preserve"> Gross loss</t>
        </is>
      </c>
      <c r="E266" s="110" t="n"/>
      <c r="F266" s="111" t="inlineStr">
        <is>
          <t xml:space="preserve"> Net loss</t>
        </is>
      </c>
      <c r="G266" s="112" t="n"/>
      <c r="H266" s="90" t="n"/>
      <c r="I266" s="92" t="n"/>
      <c r="J266" s="92" t="n"/>
      <c r="K266" s="92" t="n"/>
      <c r="L266" s="92" t="n"/>
      <c r="M266" s="92" t="n"/>
    </row>
    <row r="267" ht="33" customHeight="1">
      <c r="A267" s="95" t="n"/>
      <c r="B267" s="101" t="n"/>
      <c r="C267" s="113" t="inlineStr">
        <is>
          <t>Loss Return period (years)</t>
        </is>
      </c>
      <c r="D267" s="114" t="inlineStr">
        <is>
          <t>Gross per occurrence loss TVaR</t>
        </is>
      </c>
      <c r="E267" s="115" t="inlineStr">
        <is>
          <t xml:space="preserve">Gross aggregate 
TVaR </t>
        </is>
      </c>
      <c r="F267" s="115" t="inlineStr">
        <is>
          <t>Net per occurrence loss TVaR</t>
        </is>
      </c>
      <c r="G267" s="116" t="inlineStr">
        <is>
          <t>Net aggregate
TVaR</t>
        </is>
      </c>
      <c r="H267" s="90" t="n"/>
      <c r="I267" s="92" t="n"/>
      <c r="J267" s="92" t="n"/>
      <c r="K267" s="92" t="n"/>
      <c r="L267" s="92" t="n"/>
      <c r="M267" s="92" t="n"/>
    </row>
    <row r="268" ht="16.5" customHeight="1">
      <c r="A268" s="95" t="n"/>
      <c r="B268" s="101" t="n"/>
      <c r="C268" s="117" t="n"/>
      <c r="D268" s="118" t="inlineStr">
        <is>
          <t xml:space="preserve"> ($M)</t>
        </is>
      </c>
      <c r="E268" s="118" t="inlineStr">
        <is>
          <t>($M)</t>
        </is>
      </c>
      <c r="F268" s="118" t="inlineStr">
        <is>
          <t>($M)</t>
        </is>
      </c>
      <c r="G268" s="119" t="inlineStr">
        <is>
          <t xml:space="preserve"> ($M)</t>
        </is>
      </c>
      <c r="H268" s="90" t="n"/>
      <c r="I268" s="92" t="n"/>
      <c r="J268" s="92" t="n"/>
      <c r="K268" s="92" t="n"/>
      <c r="L268" s="92" t="n"/>
      <c r="M268" s="92" t="n"/>
    </row>
    <row r="269" ht="16.5" customHeight="1">
      <c r="A269" s="95" t="n"/>
      <c r="B269" s="101" t="n"/>
      <c r="C269" s="120" t="n">
        <v>50</v>
      </c>
      <c r="D269" s="121" t="n"/>
      <c r="E269" s="121" t="n"/>
      <c r="F269" s="121" t="n"/>
      <c r="G269" s="121" t="n"/>
      <c r="H269" s="90" t="n"/>
      <c r="I269" s="92" t="n"/>
      <c r="J269" s="92" t="n"/>
      <c r="K269" s="92" t="n"/>
      <c r="L269" s="92" t="n"/>
      <c r="M269" s="92" t="n"/>
    </row>
    <row r="270" ht="16.5" customHeight="1">
      <c r="A270" s="95" t="n"/>
      <c r="B270" s="101" t="n"/>
      <c r="C270" s="120" t="n">
        <v>100</v>
      </c>
      <c r="D270" s="121" t="n"/>
      <c r="E270" s="121" t="n"/>
      <c r="F270" s="121" t="n"/>
      <c r="G270" s="121" t="n"/>
      <c r="H270" s="90" t="n"/>
      <c r="I270" s="92" t="n"/>
      <c r="J270" s="92" t="n"/>
      <c r="K270" s="92" t="n"/>
      <c r="L270" s="92" t="n"/>
      <c r="M270" s="92" t="n"/>
    </row>
    <row r="271" ht="16.5" customHeight="1">
      <c r="A271" s="95" t="n"/>
      <c r="B271" s="101" t="n"/>
      <c r="C271" s="120" t="n">
        <v>250</v>
      </c>
      <c r="D271" s="121" t="n"/>
      <c r="E271" s="121" t="n"/>
      <c r="F271" s="121" t="n"/>
      <c r="G271" s="121" t="n"/>
      <c r="H271" s="90" t="n"/>
      <c r="I271" s="92" t="n"/>
      <c r="J271" s="92" t="n"/>
      <c r="K271" s="92" t="n"/>
      <c r="L271" s="92" t="n"/>
      <c r="M271" s="92" t="n"/>
    </row>
    <row r="272" ht="16.5" customHeight="1">
      <c r="A272" s="95" t="n"/>
      <c r="B272" s="101" t="n"/>
      <c r="C272" s="120" t="n">
        <v>500</v>
      </c>
      <c r="D272" s="121" t="n"/>
      <c r="E272" s="121" t="n"/>
      <c r="F272" s="121" t="n"/>
      <c r="G272" s="121" t="n"/>
      <c r="H272" s="90" t="n"/>
      <c r="I272" s="92" t="n"/>
      <c r="J272" s="92" t="n"/>
      <c r="K272" s="92" t="n"/>
      <c r="L272" s="92" t="n"/>
      <c r="M272" s="92" t="n"/>
    </row>
    <row r="273" ht="17.25" customHeight="1">
      <c r="A273" s="95" t="n"/>
      <c r="B273" s="101" t="n"/>
      <c r="C273" s="122" t="n">
        <v>1000</v>
      </c>
      <c r="D273" s="121" t="n"/>
      <c r="E273" s="121" t="n"/>
      <c r="F273" s="121" t="n"/>
      <c r="G273" s="121" t="n"/>
      <c r="H273" s="90" t="n"/>
      <c r="I273" s="92" t="n"/>
      <c r="J273" s="92" t="n"/>
      <c r="K273" s="92" t="n"/>
      <c r="L273" s="92" t="n"/>
      <c r="M273" s="92" t="n"/>
    </row>
    <row r="274" ht="6.75" customHeight="1">
      <c r="A274" s="95" t="n"/>
      <c r="B274" s="101" t="n"/>
      <c r="C274" s="90" t="n"/>
      <c r="D274" s="123" t="n"/>
      <c r="E274" s="123" t="n"/>
      <c r="F274" s="123" t="n"/>
      <c r="G274" s="123" t="n"/>
      <c r="H274" s="90" t="n"/>
      <c r="I274" s="92" t="n"/>
      <c r="J274" s="92" t="n"/>
      <c r="K274" s="92" t="n"/>
      <c r="L274" s="92" t="n"/>
      <c r="M274" s="92" t="n"/>
    </row>
    <row r="275" ht="27.2" customHeight="1">
      <c r="A275" s="124" t="n"/>
      <c r="B275" s="101" t="n"/>
      <c r="C275" s="125" t="inlineStr">
        <is>
          <t>Exposure to Japanese Earthquake</t>
        </is>
      </c>
      <c r="D275" s="110" t="n"/>
      <c r="E275" s="126" t="inlineStr">
        <is>
          <t>Gross</t>
        </is>
      </c>
      <c r="F275" s="127" t="inlineStr">
        <is>
          <t>Net</t>
        </is>
      </c>
      <c r="G275" s="123" t="n"/>
      <c r="H275" s="90" t="n"/>
      <c r="I275" s="92" t="n"/>
      <c r="J275" s="92" t="n"/>
      <c r="K275" s="92" t="n"/>
      <c r="L275" s="92" t="n"/>
      <c r="M275" s="92" t="n"/>
    </row>
    <row r="276" ht="16.5" customHeight="1">
      <c r="A276" s="124" t="n"/>
      <c r="B276" s="101" t="n"/>
      <c r="C276" s="128" t="n"/>
      <c r="D276" s="129" t="n"/>
      <c r="E276" s="118" t="inlineStr">
        <is>
          <t xml:space="preserve"> ($M)</t>
        </is>
      </c>
      <c r="F276" s="119" t="inlineStr">
        <is>
          <t xml:space="preserve"> ($M)</t>
        </is>
      </c>
      <c r="G276" s="123" t="n"/>
      <c r="H276" s="90" t="n"/>
      <c r="I276" s="92" t="n"/>
      <c r="J276" s="92" t="n"/>
      <c r="K276" s="92" t="n"/>
      <c r="L276" s="92" t="n"/>
      <c r="M276" s="92" t="n"/>
    </row>
    <row r="277" ht="16.5" customHeight="1">
      <c r="A277" s="124" t="n"/>
      <c r="B277" s="101" t="n"/>
      <c r="C277" s="130" t="inlineStr">
        <is>
          <t>Total statutory property catastrophe premium</t>
        </is>
      </c>
      <c r="D277" s="131" t="n"/>
      <c r="E277" s="121" t="n"/>
      <c r="F277" s="132" t="n"/>
      <c r="G277" s="123" t="n"/>
      <c r="H277" s="90" t="n"/>
      <c r="I277" s="92" t="n"/>
      <c r="J277" s="92" t="n"/>
      <c r="K277" s="92" t="n"/>
      <c r="L277" s="92" t="n"/>
      <c r="M277" s="92" t="n"/>
    </row>
    <row r="278" ht="16.5" customHeight="1">
      <c r="A278" s="124" t="n"/>
      <c r="B278" s="101" t="n"/>
      <c r="C278" s="130" t="inlineStr">
        <is>
          <t>Total all other statutory premium</t>
        </is>
      </c>
      <c r="D278" s="131" t="n"/>
      <c r="E278" s="140" t="n"/>
      <c r="F278" s="141" t="n"/>
      <c r="G278" s="123" t="n"/>
      <c r="H278" s="90" t="n"/>
      <c r="I278" s="92" t="n"/>
      <c r="J278" s="92" t="n"/>
      <c r="K278" s="92" t="n"/>
      <c r="L278" s="92" t="n"/>
      <c r="M278" s="92" t="n"/>
    </row>
    <row r="279" ht="16.5" customHeight="1">
      <c r="A279" s="124" t="n"/>
      <c r="B279" s="101" t="n"/>
      <c r="C279" s="130" t="inlineStr">
        <is>
          <t>Total statutory property catastrophe limits</t>
        </is>
      </c>
      <c r="D279" s="131" t="n"/>
      <c r="E279" s="133" t="n"/>
      <c r="F279" s="134" t="n"/>
      <c r="G279" s="123" t="n"/>
      <c r="H279" s="90" t="n"/>
      <c r="I279" s="92" t="n"/>
      <c r="J279" s="92" t="n"/>
      <c r="K279" s="92" t="n"/>
      <c r="L279" s="92" t="n"/>
      <c r="M279" s="92" t="n"/>
    </row>
    <row r="280" ht="17.25" customHeight="1">
      <c r="A280" s="124" t="n"/>
      <c r="B280" s="101" t="n"/>
      <c r="C280" s="135" t="inlineStr">
        <is>
          <t>Total all other statutory limits</t>
        </is>
      </c>
      <c r="D280" s="136" t="n"/>
      <c r="E280" s="137">
        <f>SUMIFS(BSCRInput[sum_pml],BSCRInput[bscr_entity],"HSA",BSCRInput[region],"is_jp_eq",BSCRInput[peril_id],1)/1000000</f>
        <v>27.271459080000003</v>
      </c>
      <c r="F280" s="193">
        <f>SUMIFS(BSCRInput[sum_net],BSCRInput[bscr_entity],"HSA",BSCRInput[region],"is_jp_eq",BSCRInput[peril_id],1)/1000000</f>
        <v>27.271459080000003</v>
      </c>
      <c r="G280" s="123" t="n"/>
      <c r="H280" s="90" t="n"/>
      <c r="I280" s="92" t="n"/>
      <c r="J280" s="92" t="n"/>
      <c r="K280" s="92" t="n"/>
      <c r="L280" s="92" t="n"/>
      <c r="M280" s="92" t="n"/>
    </row>
    <row r="281" ht="6.75" customHeight="1">
      <c r="A281" s="95" t="n"/>
      <c r="B281" s="101" t="n"/>
      <c r="C281" s="90" t="n"/>
      <c r="D281" s="90" t="n"/>
      <c r="E281" s="90" t="n"/>
      <c r="F281" s="90" t="n"/>
      <c r="G281" s="90" t="n"/>
      <c r="H281" s="90" t="n"/>
      <c r="I281" s="92" t="n"/>
      <c r="J281" s="92" t="n"/>
      <c r="K281" s="92" t="n"/>
      <c r="L281" s="92" t="n"/>
      <c r="M281" s="92" t="n"/>
    </row>
    <row r="282" ht="16.5" customHeight="1">
      <c r="A282" s="95" t="n"/>
      <c r="B282" s="94" t="inlineStr">
        <is>
          <t>e)</t>
        </is>
      </c>
      <c r="C282" s="99" t="inlineStr">
        <is>
          <t>EP CURVE JAPANESE TYPHOON</t>
        </is>
      </c>
      <c r="D282" s="90" t="n"/>
      <c r="E282" s="90" t="n"/>
      <c r="F282" s="139" t="n"/>
      <c r="G282" s="90" t="n"/>
      <c r="H282" s="90" t="n"/>
      <c r="I282" s="100" t="n"/>
      <c r="J282" s="92" t="n"/>
      <c r="K282" s="92" t="n"/>
      <c r="L282" s="92" t="n"/>
      <c r="M282" s="92" t="n"/>
    </row>
    <row r="283" ht="6.75" customHeight="1">
      <c r="A283" s="95" t="n"/>
      <c r="B283" s="101" t="n"/>
      <c r="C283" s="90" t="n"/>
      <c r="D283" s="90" t="n"/>
      <c r="E283" s="90" t="n"/>
      <c r="F283" s="90" t="n"/>
      <c r="G283" s="90" t="n"/>
      <c r="H283" s="90" t="n"/>
      <c r="I283" s="92" t="n"/>
      <c r="J283" s="92" t="n"/>
      <c r="K283" s="92" t="n"/>
      <c r="L283" s="92" t="n"/>
      <c r="M283" s="92" t="n"/>
    </row>
    <row r="284" ht="16.5" customHeight="1">
      <c r="A284" s="95" t="n"/>
      <c r="B284" s="101" t="n"/>
      <c r="C284" s="90" t="inlineStr">
        <is>
          <t xml:space="preserve">Which model(s) is used for  EP Curve Japanese typhoon </t>
        </is>
      </c>
      <c r="D284" s="90" t="n"/>
      <c r="E284" s="90" t="n"/>
      <c r="F284" s="102" t="n"/>
      <c r="G284" s="90" t="n"/>
      <c r="H284" s="90" t="n"/>
      <c r="I284" s="92" t="n"/>
      <c r="J284" s="103" t="n"/>
      <c r="K284" s="92" t="n"/>
      <c r="L284" s="92" t="n"/>
      <c r="M284" s="92" t="n"/>
    </row>
    <row r="285" ht="16.5" customHeight="1">
      <c r="A285" s="95" t="n"/>
      <c r="B285" s="101" t="n"/>
      <c r="C285" s="95" t="inlineStr">
        <is>
          <t>Indicate the model version</t>
        </is>
      </c>
      <c r="D285" s="90" t="n"/>
      <c r="E285" s="90" t="n"/>
      <c r="F285" s="104" t="n"/>
      <c r="G285" s="90" t="n"/>
      <c r="H285" s="90" t="n"/>
      <c r="I285" s="92" t="n"/>
      <c r="J285" s="103" t="n"/>
      <c r="K285" s="92" t="n"/>
      <c r="L285" s="92" t="n"/>
      <c r="M285" s="92" t="n"/>
    </row>
    <row r="286" ht="6.75" customHeight="1">
      <c r="A286" s="95" t="n"/>
      <c r="B286" s="101" t="n"/>
      <c r="C286" s="90" t="n"/>
      <c r="D286" s="90" t="n"/>
      <c r="E286" s="90" t="n"/>
      <c r="F286" s="90" t="n"/>
      <c r="G286" s="90" t="n"/>
      <c r="H286" s="90" t="n"/>
      <c r="I286" s="92" t="n"/>
      <c r="J286" s="92" t="n"/>
      <c r="K286" s="92" t="n"/>
      <c r="L286" s="92" t="n"/>
      <c r="M286" s="92" t="n"/>
    </row>
    <row r="287" ht="17.25" customHeight="1">
      <c r="A287" s="95" t="n"/>
      <c r="B287" s="101" t="n"/>
      <c r="C287" s="107" t="inlineStr">
        <is>
          <t>Exceedance probability information:</t>
        </is>
      </c>
      <c r="D287" s="107" t="n"/>
      <c r="E287" s="90" t="n"/>
      <c r="F287" s="90" t="n"/>
      <c r="G287" s="90" t="n"/>
      <c r="H287" s="90" t="n"/>
      <c r="I287" s="92" t="n"/>
      <c r="J287" s="92" t="n"/>
      <c r="K287" s="92" t="n"/>
      <c r="L287" s="92" t="n"/>
      <c r="M287" s="92" t="n"/>
    </row>
    <row r="288" ht="17.25" customHeight="1">
      <c r="A288" s="95" t="n"/>
      <c r="B288" s="101" t="n"/>
      <c r="C288" s="108" t="n"/>
      <c r="D288" s="142" t="inlineStr">
        <is>
          <t xml:space="preserve"> Gross loss</t>
        </is>
      </c>
      <c r="E288" s="143" t="n"/>
      <c r="F288" s="111" t="inlineStr">
        <is>
          <t xml:space="preserve"> Net loss</t>
        </is>
      </c>
      <c r="G288" s="112" t="n"/>
      <c r="H288" s="90" t="n"/>
      <c r="I288" s="92" t="n"/>
      <c r="J288" s="92" t="n"/>
      <c r="K288" s="92" t="n"/>
      <c r="L288" s="92" t="n"/>
      <c r="M288" s="92" t="n"/>
    </row>
    <row r="289" ht="33" customHeight="1">
      <c r="A289" s="95" t="n"/>
      <c r="B289" s="101" t="n"/>
      <c r="C289" s="144" t="inlineStr">
        <is>
          <t>Loss Return period (years)</t>
        </is>
      </c>
      <c r="D289" s="114" t="inlineStr">
        <is>
          <t>Gross per occurrence loss TVaR</t>
        </is>
      </c>
      <c r="E289" s="115" t="inlineStr">
        <is>
          <t xml:space="preserve">Gross aggregate 
TVaR </t>
        </is>
      </c>
      <c r="F289" s="145" t="inlineStr">
        <is>
          <t>Net per occurrence loss TVaR</t>
        </is>
      </c>
      <c r="G289" s="116" t="inlineStr">
        <is>
          <t>Net aggregate
TVaR</t>
        </is>
      </c>
      <c r="H289" s="90" t="n"/>
      <c r="I289" s="92" t="n"/>
      <c r="J289" s="92" t="n"/>
      <c r="K289" s="92" t="n"/>
      <c r="L289" s="92" t="n"/>
      <c r="M289" s="92" t="n"/>
    </row>
    <row r="290" ht="16.5" customHeight="1">
      <c r="A290" s="95" t="n"/>
      <c r="B290" s="101" t="n"/>
      <c r="C290" s="117" t="n"/>
      <c r="D290" s="118" t="inlineStr">
        <is>
          <t xml:space="preserve"> ($M)</t>
        </is>
      </c>
      <c r="E290" s="118" t="inlineStr">
        <is>
          <t>($M)</t>
        </is>
      </c>
      <c r="F290" s="118" t="inlineStr">
        <is>
          <t>($M)</t>
        </is>
      </c>
      <c r="G290" s="119" t="inlineStr">
        <is>
          <t xml:space="preserve"> ($M)</t>
        </is>
      </c>
      <c r="H290" s="90" t="n"/>
      <c r="I290" s="92" t="n"/>
      <c r="J290" s="92" t="n"/>
      <c r="K290" s="92" t="n"/>
      <c r="L290" s="92" t="n"/>
      <c r="M290" s="92" t="n"/>
    </row>
    <row r="291" ht="16.5" customHeight="1">
      <c r="A291" s="95" t="n"/>
      <c r="B291" s="101" t="n"/>
      <c r="C291" s="120" t="n">
        <v>50</v>
      </c>
      <c r="D291" s="121" t="n"/>
      <c r="E291" s="121" t="n"/>
      <c r="F291" s="121" t="n"/>
      <c r="G291" s="121" t="n"/>
      <c r="H291" s="90" t="n"/>
      <c r="I291" s="92" t="n"/>
      <c r="J291" s="92" t="n"/>
      <c r="K291" s="92" t="n"/>
      <c r="L291" s="92" t="n"/>
      <c r="M291" s="92" t="n"/>
    </row>
    <row r="292" ht="16.5" customHeight="1">
      <c r="A292" s="95" t="n"/>
      <c r="B292" s="101" t="n"/>
      <c r="C292" s="120" t="n">
        <v>100</v>
      </c>
      <c r="D292" s="121" t="n"/>
      <c r="E292" s="121" t="n"/>
      <c r="F292" s="121" t="n"/>
      <c r="G292" s="121" t="n"/>
      <c r="H292" s="90" t="n"/>
      <c r="I292" s="92" t="n"/>
      <c r="J292" s="92" t="n"/>
      <c r="K292" s="92" t="n"/>
      <c r="L292" s="92" t="n"/>
      <c r="M292" s="92" t="n"/>
    </row>
    <row r="293" ht="16.5" customHeight="1">
      <c r="A293" s="95" t="n"/>
      <c r="B293" s="101" t="n"/>
      <c r="C293" s="120" t="n">
        <v>250</v>
      </c>
      <c r="D293" s="121" t="n"/>
      <c r="E293" s="121" t="n"/>
      <c r="F293" s="121" t="n"/>
      <c r="G293" s="121" t="n"/>
      <c r="H293" s="90" t="n"/>
      <c r="I293" s="92" t="n"/>
      <c r="J293" s="92" t="n"/>
      <c r="K293" s="92" t="n"/>
      <c r="L293" s="92" t="n"/>
      <c r="M293" s="92" t="n"/>
    </row>
    <row r="294" ht="16.5" customHeight="1">
      <c r="A294" s="95" t="n"/>
      <c r="B294" s="101" t="n"/>
      <c r="C294" s="120" t="n">
        <v>500</v>
      </c>
      <c r="D294" s="121" t="n"/>
      <c r="E294" s="121" t="n"/>
      <c r="F294" s="121" t="n"/>
      <c r="G294" s="121" t="n"/>
      <c r="H294" s="90" t="n"/>
      <c r="I294" s="92" t="n"/>
      <c r="J294" s="92" t="n"/>
      <c r="K294" s="92" t="n"/>
      <c r="L294" s="92" t="n"/>
      <c r="M294" s="92" t="n"/>
    </row>
    <row r="295" ht="17.25" customHeight="1">
      <c r="A295" s="95" t="n"/>
      <c r="B295" s="101" t="n"/>
      <c r="C295" s="122" t="n">
        <v>1000</v>
      </c>
      <c r="D295" s="121" t="n"/>
      <c r="E295" s="121" t="n"/>
      <c r="F295" s="121" t="n"/>
      <c r="G295" s="121" t="n"/>
      <c r="H295" s="90" t="n"/>
      <c r="I295" s="92" t="n"/>
      <c r="J295" s="92" t="n"/>
      <c r="K295" s="92" t="n"/>
      <c r="L295" s="92" t="n"/>
      <c r="M295" s="92" t="n"/>
    </row>
    <row r="296" ht="6.75" customHeight="1">
      <c r="A296" s="95" t="n"/>
      <c r="B296" s="90" t="n"/>
      <c r="C296" s="90" t="n"/>
      <c r="D296" s="123" t="n"/>
      <c r="E296" s="123" t="n"/>
      <c r="F296" s="123" t="n"/>
      <c r="G296" s="123" t="n"/>
      <c r="H296" s="90" t="n"/>
      <c r="I296" s="92" t="n"/>
      <c r="J296" s="92" t="n"/>
      <c r="K296" s="92" t="n"/>
      <c r="L296" s="92" t="n"/>
      <c r="M296" s="92" t="n"/>
    </row>
    <row r="297" ht="27.2" customHeight="1">
      <c r="A297" s="124" t="n"/>
      <c r="B297" s="90" t="n"/>
      <c r="C297" s="125" t="inlineStr">
        <is>
          <t>Exposure to Japanese Typhoon</t>
        </is>
      </c>
      <c r="D297" s="110" t="n"/>
      <c r="E297" s="126" t="inlineStr">
        <is>
          <t>Gross</t>
        </is>
      </c>
      <c r="F297" s="127" t="inlineStr">
        <is>
          <t>Net</t>
        </is>
      </c>
      <c r="G297" s="123" t="n"/>
      <c r="H297" s="90" t="n"/>
      <c r="I297" s="92" t="n"/>
      <c r="J297" s="92" t="n"/>
      <c r="K297" s="92" t="n"/>
      <c r="L297" s="92" t="n"/>
      <c r="M297" s="92" t="n"/>
    </row>
    <row r="298" ht="16.5" customHeight="1">
      <c r="A298" s="124" t="n"/>
      <c r="B298" s="90" t="n"/>
      <c r="C298" s="128" t="n"/>
      <c r="D298" s="129" t="n"/>
      <c r="E298" s="118" t="inlineStr">
        <is>
          <t xml:space="preserve"> ($M)</t>
        </is>
      </c>
      <c r="F298" s="119" t="inlineStr">
        <is>
          <t xml:space="preserve"> ($M)</t>
        </is>
      </c>
      <c r="G298" s="123" t="n"/>
      <c r="H298" s="90" t="n"/>
      <c r="I298" s="92" t="n"/>
      <c r="J298" s="92" t="n"/>
      <c r="K298" s="92" t="n"/>
      <c r="L298" s="92" t="n"/>
      <c r="M298" s="92" t="n"/>
    </row>
    <row r="299" ht="16.5" customHeight="1">
      <c r="A299" s="124" t="n"/>
      <c r="B299" s="90" t="n"/>
      <c r="C299" s="130" t="inlineStr">
        <is>
          <t>Total statutory property catastrophe premium</t>
        </is>
      </c>
      <c r="D299" s="131" t="n"/>
      <c r="E299" s="121" t="n"/>
      <c r="F299" s="132" t="n"/>
      <c r="G299" s="123" t="n"/>
      <c r="H299" s="90" t="n"/>
      <c r="I299" s="92" t="n"/>
      <c r="J299" s="92" t="n"/>
      <c r="K299" s="92" t="n"/>
      <c r="L299" s="92" t="n"/>
      <c r="M299" s="92" t="n"/>
    </row>
    <row r="300" ht="16.5" customHeight="1">
      <c r="A300" s="124" t="n"/>
      <c r="B300" s="90" t="n"/>
      <c r="C300" s="130" t="inlineStr">
        <is>
          <t>Total all other statutory premium</t>
        </is>
      </c>
      <c r="D300" s="131" t="n"/>
      <c r="E300" s="140" t="n"/>
      <c r="F300" s="141" t="n"/>
      <c r="G300" s="123" t="n"/>
      <c r="H300" s="90" t="n"/>
      <c r="I300" s="92" t="n"/>
      <c r="J300" s="92" t="n"/>
      <c r="K300" s="92" t="n"/>
      <c r="L300" s="92" t="n"/>
      <c r="M300" s="92" t="n"/>
    </row>
    <row r="301" ht="16.5" customHeight="1">
      <c r="A301" s="124" t="n"/>
      <c r="B301" s="90" t="n"/>
      <c r="C301" s="130" t="inlineStr">
        <is>
          <t>Total statutory property catastrophe limits</t>
        </is>
      </c>
      <c r="D301" s="131" t="n"/>
      <c r="E301" s="133" t="n"/>
      <c r="F301" s="134" t="n"/>
      <c r="G301" s="123" t="n"/>
      <c r="H301" s="90" t="n"/>
      <c r="I301" s="92" t="n"/>
      <c r="J301" s="92" t="n"/>
      <c r="K301" s="92" t="n"/>
      <c r="L301" s="92" t="n"/>
      <c r="M301" s="92" t="n"/>
    </row>
    <row r="302" ht="17.25" customHeight="1">
      <c r="A302" s="124" t="n"/>
      <c r="B302" s="90" t="n"/>
      <c r="C302" s="135" t="inlineStr">
        <is>
          <t>Total all other statutory limits</t>
        </is>
      </c>
      <c r="D302" s="136" t="n"/>
      <c r="E302" s="137">
        <f>SUMIFS(BSCRInput[sum_pml],BSCRInput[bscr_entity],"HSA",BSCRInput[region],"is_jp",BSCRInput[peril_id],2)/1000000</f>
        <v>27.271459080000003</v>
      </c>
      <c r="F302" s="193">
        <f>SUMIFS(BSCRInput[sum_net],BSCRInput[bscr_entity],"HSA",BSCRInput[region],"is_jp",BSCRInput[peril_id],2)/1000000</f>
        <v>27.271459080000003</v>
      </c>
      <c r="G302" s="123" t="n"/>
      <c r="H302" s="90" t="n"/>
      <c r="I302" s="92" t="n"/>
      <c r="J302" s="92" t="n"/>
      <c r="K302" s="92" t="n"/>
      <c r="L302" s="92" t="n"/>
      <c r="M302" s="92" t="n"/>
    </row>
    <row r="303" ht="6.75" customHeight="1">
      <c r="A303" s="146" t="n"/>
      <c r="B303" s="14" t="n"/>
      <c r="C303" s="14" t="n"/>
      <c r="D303" s="14" t="n"/>
      <c r="E303" s="14" t="n"/>
      <c r="F303" s="14" t="n"/>
      <c r="G303" s="14" t="n"/>
      <c r="H303" s="14" t="n"/>
      <c r="I303" s="92" t="n"/>
      <c r="J303" s="92" t="n"/>
      <c r="K303" s="92" t="n"/>
      <c r="L303" s="92" t="n"/>
      <c r="M303" s="92" t="n"/>
    </row>
    <row r="304"/>
    <row r="305"/>
    <row r="306"/>
    <row r="307"/>
    <row r="308"/>
    <row r="309" ht="72.75" customHeight="1">
      <c r="A309" s="63" t="n"/>
      <c r="B309" s="147" t="inlineStr">
        <is>
          <t>CATASTROPHE RISK RETURN: DATA  ANALYSIS (TABLE 15E)</t>
        </is>
      </c>
      <c r="C309" s="64" t="n"/>
      <c r="D309" s="64" t="n"/>
      <c r="E309" s="64" t="n"/>
      <c r="F309" s="64" t="n"/>
      <c r="G309" s="64" t="n"/>
      <c r="H309" s="64" t="n"/>
      <c r="I309" s="64" t="n"/>
      <c r="J309" s="64" t="inlineStr">
        <is>
          <t>Back to instructions</t>
        </is>
      </c>
      <c r="K309" s="64" t="n"/>
      <c r="L309" s="64" t="n"/>
      <c r="M309" s="8" t="n"/>
    </row>
    <row r="310" ht="16.5" customHeight="1">
      <c r="A310" s="88" t="n"/>
      <c r="B310" s="148" t="inlineStr">
        <is>
          <t>HSA</t>
        </is>
      </c>
      <c r="C310" s="149" t="n"/>
      <c r="D310" s="90" t="n"/>
      <c r="E310" s="90" t="n"/>
      <c r="F310" s="90" t="n"/>
      <c r="G310" s="90" t="n"/>
      <c r="H310" s="90" t="n"/>
      <c r="I310" s="90" t="n"/>
      <c r="J310" s="90" t="n"/>
      <c r="K310" s="90" t="n"/>
      <c r="L310" s="90" t="n"/>
      <c r="M310" s="90" t="n"/>
    </row>
    <row r="311" ht="16.5" customHeight="1">
      <c r="A311" s="88" t="n"/>
      <c r="B311" s="150">
        <f>DATE(2026,1,1)</f>
        <v>46023.0</v>
      </c>
      <c r="E311" s="90" t="n"/>
      <c r="F311" s="90" t="n"/>
      <c r="G311" s="90" t="n"/>
      <c r="H311" s="90" t="n"/>
      <c r="I311" s="90" t="n"/>
      <c r="J311" s="90" t="n"/>
      <c r="K311" s="90" t="n"/>
      <c r="L311" s="151" t="n"/>
      <c r="M311" s="94" t="inlineStr">
        <is>
          <t>Schedule X(f)</t>
        </is>
      </c>
    </row>
    <row r="312" ht="9.199999999999999" customHeight="1">
      <c r="A312" s="152" t="n"/>
      <c r="B312" s="153" t="n"/>
      <c r="C312" s="154" t="n"/>
      <c r="D312" s="154" t="n"/>
      <c r="E312" s="154" t="n"/>
      <c r="F312" s="154" t="n"/>
      <c r="G312" s="154" t="n"/>
      <c r="H312" s="154" t="n"/>
      <c r="I312" s="154" t="n"/>
      <c r="J312" s="154" t="n"/>
      <c r="K312" s="154" t="n"/>
      <c r="L312" s="154" t="n"/>
      <c r="M312" s="154" t="n"/>
    </row>
    <row r="313" ht="15.75" customHeight="1">
      <c r="A313" s="152" t="n"/>
      <c r="B313" s="155" t="n">
        <v>1</v>
      </c>
      <c r="C313" s="155" t="inlineStr">
        <is>
          <t>For all contracts written by the insurance group, provide splits of those that are:</t>
        </is>
      </c>
      <c r="D313" s="154" t="n"/>
      <c r="E313" s="154" t="n"/>
      <c r="F313" s="154" t="n"/>
      <c r="G313" s="154" t="n"/>
      <c r="H313" s="154" t="n"/>
      <c r="I313" s="154" t="n"/>
      <c r="J313" s="154" t="n"/>
      <c r="K313" s="154" t="n"/>
      <c r="L313" s="154" t="n"/>
      <c r="M313" s="154" t="n"/>
    </row>
    <row r="314" ht="9.199999999999999" customHeight="1">
      <c r="A314" s="152" t="n"/>
      <c r="B314" s="155" t="n"/>
      <c r="C314" s="154" t="n"/>
      <c r="D314" s="154" t="n"/>
      <c r="E314" s="154" t="n"/>
      <c r="F314" s="154" t="n"/>
      <c r="G314" s="154" t="n"/>
      <c r="H314" s="154" t="n"/>
      <c r="I314" s="154" t="n"/>
      <c r="J314" s="154" t="n"/>
      <c r="K314" s="154" t="n"/>
      <c r="L314" s="154" t="n"/>
      <c r="M314" s="154" t="n"/>
    </row>
    <row r="315" ht="26.85" customHeight="1">
      <c r="A315" s="152" t="n"/>
      <c r="B315" s="155" t="n"/>
      <c r="C315" s="154" t="n"/>
      <c r="D315" s="154" t="n"/>
      <c r="E315" s="156" t="inlineStr">
        <is>
          <t>U.S. specific contracts - all exposures</t>
        </is>
      </c>
      <c r="F315" s="157" t="n"/>
      <c r="G315" s="22" t="n"/>
      <c r="H315" s="156" t="inlineStr">
        <is>
          <t>All other contracts - all exposures</t>
        </is>
      </c>
      <c r="I315" s="157" t="n"/>
      <c r="J315" s="22" t="n"/>
      <c r="K315" s="156" t="inlineStr">
        <is>
          <t>Total</t>
        </is>
      </c>
      <c r="L315" s="157" t="n"/>
      <c r="M315" s="22" t="n"/>
    </row>
    <row r="316" ht="31.5" customHeight="1">
      <c r="A316" s="152" t="n"/>
      <c r="B316" s="155" t="n"/>
      <c r="C316" s="154" t="n"/>
      <c r="D316" s="154" t="n"/>
      <c r="E316" s="158" t="inlineStr">
        <is>
          <t>Contract count</t>
        </is>
      </c>
      <c r="F316" s="158" t="inlineStr">
        <is>
          <t xml:space="preserve">Gross limit provided </t>
        </is>
      </c>
      <c r="G316" s="158" t="inlineStr">
        <is>
          <t>Net limit provided</t>
        </is>
      </c>
      <c r="H316" s="158" t="inlineStr">
        <is>
          <t>Contract count</t>
        </is>
      </c>
      <c r="I316" s="158" t="inlineStr">
        <is>
          <t xml:space="preserve">Gross limit provided </t>
        </is>
      </c>
      <c r="J316" s="158" t="inlineStr">
        <is>
          <t>Net limit provided</t>
        </is>
      </c>
      <c r="K316" s="158" t="inlineStr">
        <is>
          <t>Contract count</t>
        </is>
      </c>
      <c r="L316" s="158" t="inlineStr">
        <is>
          <t xml:space="preserve">Gross limit provided </t>
        </is>
      </c>
      <c r="M316" s="158" t="inlineStr">
        <is>
          <t>Net limit provided</t>
        </is>
      </c>
    </row>
    <row r="317" ht="15.75" customHeight="1">
      <c r="A317" s="152" t="n"/>
      <c r="B317" s="155" t="n"/>
      <c r="C317" s="154" t="n"/>
      <c r="D317" s="154" t="n"/>
      <c r="E317" s="159" t="n"/>
      <c r="F317" s="158" t="inlineStr">
        <is>
          <t>($M)</t>
        </is>
      </c>
      <c r="G317" s="158" t="inlineStr">
        <is>
          <t>($M)</t>
        </is>
      </c>
      <c r="H317" s="159" t="n"/>
      <c r="I317" s="158" t="inlineStr">
        <is>
          <t>($M)</t>
        </is>
      </c>
      <c r="J317" s="158" t="inlineStr">
        <is>
          <t>($M)</t>
        </is>
      </c>
      <c r="K317" s="159" t="n"/>
      <c r="L317" s="158" t="inlineStr">
        <is>
          <t>($M)</t>
        </is>
      </c>
      <c r="M317" s="158" t="inlineStr">
        <is>
          <t>($M)</t>
        </is>
      </c>
    </row>
    <row r="318" ht="15.75" customHeight="1">
      <c r="A318" s="152" t="n"/>
      <c r="B318" s="155" t="n"/>
      <c r="C318" s="154" t="n"/>
      <c r="D318" s="160" t="inlineStr">
        <is>
          <t>modellable</t>
        </is>
      </c>
      <c r="E318" s="161">
        <f>SUMIFS(BSCRInput[count_policies],BSCRInput[bscr_entity],"HSA",BSCRInput[region],"ALL",BSCRInput[peril_id],1,BSCRInput[is_geocoded],1,BSCRInput[cntrycode],"US")</f>
        <v>76.0</v>
      </c>
      <c r="F318" s="162">
        <f>SUMIFS(BSCRInput[sum_pml],BSCRInput[bscr_entity],"HSA",BSCRInput[region],"ALL",BSCRInput[peril_id],1,BSCRInput[is_geocoded],1,BSCRInput[cntrycode],"US")/1000000</f>
        <v>137.39538440153575</v>
      </c>
      <c r="G318" s="162">
        <f>SUMIFS(BSCRInput[sum_net],BSCRInput[bscr_entity],"HSA",BSCRInput[region],"ALL",BSCRInput[peril_id],1,BSCRInput[is_geocoded],1,BSCRInput[cntrycode],"US")/1000000</f>
        <v>136.30599380153572</v>
      </c>
      <c r="H318" s="161">
        <f>(SUMIFS(BSCRInput[count_policies],BSCRInput[bscr_entity],"HSA",BSCRInput[region],"ALL",BSCRInput[peril_id],1,BSCRInput[is_geocoded],1)-SUMIFS(BSCRInput[count_policies],BSCRInput[bscr_entity],"HSA",BSCRInput[region],"ALL",BSCRInput[peril_id],1,BSCRInput[is_geocoded],1,BSCRInput[cntrycode],"US"))</f>
        <v>89769.0</v>
      </c>
      <c r="I318" s="162">
        <f>(SUMIFS(BSCRInput[sum_pml],BSCRInput[bscr_entity],"HSA",BSCRInput[region],"ALL",BSCRInput[peril_id],1,BSCRInput[is_geocoded],1)-SUMIFS(BSCRInput[sum_pml],BSCRInput[bscr_entity],"HSA",BSCRInput[region],"ALL",BSCRInput[peril_id],1,BSCRInput[is_geocoded],1,BSCRInput[cntrycode],"US"))/1000000</f>
        <v>104068.32651870762</v>
      </c>
      <c r="J318" s="162">
        <f>(SUMIFS(BSCRInput[sum_net],BSCRInput[bscr_entity],"HSA",BSCRInput[region],"ALL",BSCRInput[peril_id],1,BSCRInput[is_geocoded],1)-SUMIFS(BSCRInput[sum_net],BSCRInput[bscr_entity],"HSA",BSCRInput[region],"ALL",BSCRInput[peril_id],1,BSCRInput[is_geocoded],1,BSCRInput[cntrycode],"US"))/1000000</f>
        <v>101779.00707246395</v>
      </c>
      <c r="K318" s="163">
        <f>SUMIFS(BSCRInput[count_policies],BSCRInput[bscr_entity],"HSA",BSCRInput[region],"ALL",BSCRInput[peril_id],1,BSCRInput[is_geocoded],1)</f>
        <v>89845.0</v>
      </c>
      <c r="L318" s="164">
        <f>SUMIFS(BSCRInput[sum_pml],BSCRInput[bscr_entity],"HSA",BSCRInput[region],"ALL",BSCRInput[peril_id],1,BSCRInput[is_geocoded],1)/1000000</f>
        <v>104205.72190310915</v>
      </c>
      <c r="M318" s="164">
        <f>SUMIFS(BSCRInput[sum_net],BSCRInput[bscr_entity],"HSA",BSCRInput[region],"ALL",BSCRInput[peril_id],1,BSCRInput[is_geocoded],1)/1000000</f>
        <v>101915.31306626549</v>
      </c>
    </row>
    <row r="319" ht="15.75" customHeight="1">
      <c r="A319" s="152" t="n"/>
      <c r="B319" s="155" t="n"/>
      <c r="C319" s="154" t="n"/>
      <c r="D319" s="160" t="inlineStr">
        <is>
          <t>Not modellable</t>
        </is>
      </c>
      <c r="E319" s="161">
        <f>SUMIFS(BSCRInput[count_policies],BSCRInput[bscr_entity],"HSA",BSCRInput[region],"ALL",BSCRInput[peril_id],1,BSCRInput[is_geocoded],0,BSCRInput[cntrycode],"US")</f>
        <v>0.0</v>
      </c>
      <c r="F319" s="162">
        <f>SUMIFS(BSCRInput[sum_pml],BSCRInput[bscr_entity],"HSA",BSCRInput[region],"ALL",BSCRInput[peril_id],1,BSCRInput[is_geocoded],0,BSCRInput[cntrycode],"US")/1000000</f>
        <v>0.0</v>
      </c>
      <c r="G319" s="162">
        <f>SUMIFS(BSCRInput[sum_net],BSCRInput[bscr_entity],"HSA",BSCRInput[region],"ALL",BSCRInput[peril_id],1,BSCRInput[is_geocoded],0,BSCRInput[cntrycode],"US")/1000000</f>
        <v>0.0</v>
      </c>
      <c r="H319" s="161">
        <f>(SUMIFS(BSCRInput[count_policies],BSCRInput[bscr_entity],"HSA",BSCRInput[region],"ALL",BSCRInput[peril_id],1,BSCRInput[is_geocoded],0)-SUMIFS(BSCRInput[count_policies],BSCRInput[bscr_entity],"HSA",BSCRInput[region],"ALL",BSCRInput[peril_id],1,BSCRInput[is_geocoded],0,BSCRInput[cntrycode],"US"))</f>
        <v>187.0</v>
      </c>
      <c r="I319" s="162">
        <f>(SUMIFS(BSCRInput[sum_pml],BSCRInput[bscr_entity],"HSA",BSCRInput[region],"ALL",BSCRInput[peril_id],1,BSCRInput[is_geocoded],0)-SUMIFS(BSCRInput[sum_pml],BSCRInput[bscr_entity],"HSA",BSCRInput[region],"ALL",BSCRInput[peril_id],1,BSCRInput[is_geocoded],0,BSCRInput[cntrycode],"US"))/1000000</f>
        <v>154.7942636550143</v>
      </c>
      <c r="J319" s="162">
        <f>(SUMIFS(BSCRInput[sum_net],BSCRInput[bscr_entity],"HSA",BSCRInput[region],"ALL",BSCRInput[peril_id],1,BSCRInput[is_geocoded],0)-SUMIFS(BSCRInput[sum_net],BSCRInput[bscr_entity],"HSA",BSCRInput[region],"ALL",BSCRInput[peril_id],1,BSCRInput[is_geocoded],0,BSCRInput[cntrycode],"US"))/1000000</f>
        <v>154.7942636550143</v>
      </c>
      <c r="K319" s="163">
        <f>SUMIFS(BSCRInput[count_policies],BSCRInput[bscr_entity],"HSA",BSCRInput[region],"ALL",BSCRInput[peril_id],1,BSCRInput[is_geocoded],0)</f>
        <v>187.0</v>
      </c>
      <c r="L319" s="164">
        <f>SUMIFS(BSCRInput[sum_pml],BSCRInput[bscr_entity],"HSA",BSCRInput[region],"ALL",BSCRInput[peril_id],1,BSCRInput[is_geocoded],0)/1000000</f>
        <v>154.7942636550143</v>
      </c>
      <c r="M319" s="164">
        <f>SUMIFS(BSCRInput[sum_net],BSCRInput[bscr_entity],"HSA",BSCRInput[region],"ALL",BSCRInput[peril_id],1,BSCRInput[is_geocoded],0)/1000000</f>
        <v>154.7942636550143</v>
      </c>
    </row>
    <row r="320" ht="15.75" customHeight="1">
      <c r="A320" s="152" t="n"/>
      <c r="B320" s="155" t="n"/>
      <c r="C320" s="154" t="n"/>
      <c r="D320" s="160" t="inlineStr">
        <is>
          <t>Total</t>
        </is>
      </c>
      <c r="E320" s="165">
        <f>SUMIFS(BSCRInput[count_policies],BSCRInput[bscr_entity],"HSA",BSCRInput[region],"ALL",BSCRInput[peril_id],1,BSCRInput[cntrycode],"US")</f>
        <v>76.0</v>
      </c>
      <c r="F320" s="166">
        <f>SUMIFS(BSCRInput[sum_pml],BSCRInput[bscr_entity],"HSA",BSCRInput[region],"ALL",BSCRInput[peril_id],1,BSCRInput[cntrycode],"US")/1000000</f>
        <v>137.39538440153575</v>
      </c>
      <c r="G320" s="166">
        <f>SUMIFS(BSCRInput[sum_net],BSCRInput[bscr_entity],"HSA",BSCRInput[region],"ALL",BSCRInput[peril_id],1,BSCRInput[cntrycode],"US")/1000000</f>
        <v>136.30599380153572</v>
      </c>
      <c r="H320" s="165">
        <f>(SUMIFS(BSCRInput[count_policies],BSCRInput[bscr_entity],"HSA",BSCRInput[region],"ALL",BSCRInput[peril_id],1)-SUMIFS(BSCRInput[count_policies],BSCRInput[bscr_entity],"HSA",BSCRInput[region],"ALL",BSCRInput[peril_id],1,BSCRInput[cntrycode],"US"))</f>
        <v>89956.0</v>
      </c>
      <c r="I320" s="166">
        <f>(SUMIFS(BSCRInput[sum_pml],BSCRInput[bscr_entity],"HSA",BSCRInput[region],"ALL",BSCRInput[peril_id],1)-SUMIFS(BSCRInput[sum_pml],BSCRInput[bscr_entity],"HSA",BSCRInput[region],"ALL",BSCRInput[peril_id],1,BSCRInput[cntrycode],"US"))/1000000</f>
        <v>104223.12078236263</v>
      </c>
      <c r="J320" s="166">
        <f>(SUMIFS(BSCRInput[sum_net],BSCRInput[bscr_entity],"HSA",BSCRInput[region],"ALL",BSCRInput[peril_id],1)-SUMIFS(BSCRInput[sum_net],BSCRInput[bscr_entity],"HSA",BSCRInput[region],"ALL",BSCRInput[peril_id],1,BSCRInput[cntrycode],"US"))/1000000</f>
        <v>101933.801336119</v>
      </c>
      <c r="K320" s="165">
        <f>SUMIFS(BSCRInput[count_policies],BSCRInput[bscr_entity],"HSA",BSCRInput[region],"ALL",BSCRInput[peril_id],1)</f>
        <v>90032.0</v>
      </c>
      <c r="L320" s="166">
        <f>SUMIFS(BSCRInput[sum_pml],BSCRInput[bscr_entity],"HSA",BSCRInput[region],"ALL",BSCRInput[peril_id],1)/1000000</f>
        <v>104360.51616676417</v>
      </c>
      <c r="M320" s="166">
        <f>SUMIFS(BSCRInput[sum_net],BSCRInput[bscr_entity],"HSA",BSCRInput[region],"ALL",BSCRInput[peril_id],1)/1000000</f>
        <v>102070.10732992052</v>
      </c>
    </row>
    <row r="321" ht="9.199999999999999" customHeight="1">
      <c r="A321" s="152" t="n"/>
      <c r="B321" s="155" t="n"/>
      <c r="C321" s="154" t="n"/>
      <c r="D321" s="154" t="n"/>
      <c r="E321" s="154" t="n"/>
      <c r="F321" s="154" t="n"/>
      <c r="G321" s="154" t="n"/>
      <c r="H321" s="154" t="n"/>
      <c r="I321" s="154" t="n"/>
      <c r="J321" s="154" t="n"/>
      <c r="K321" s="154" t="n"/>
      <c r="L321" s="154" t="n"/>
      <c r="M321" s="154" t="n"/>
    </row>
    <row r="322" ht="15.75" customHeight="1">
      <c r="A322" s="152" t="n"/>
      <c r="B322" s="155" t="n">
        <v>2</v>
      </c>
      <c r="C322" s="155" t="inlineStr">
        <is>
          <t>For those contracts that are written by the insurance group that may be modelled, provide splits of those that are:</t>
        </is>
      </c>
      <c r="D322" s="154" t="n"/>
      <c r="E322" s="154" t="n"/>
      <c r="F322" s="154" t="n"/>
      <c r="G322" s="154" t="n"/>
      <c r="H322" s="154" t="n"/>
      <c r="I322" s="154" t="n"/>
      <c r="J322" s="154" t="n"/>
      <c r="K322" s="154" t="n"/>
      <c r="L322" s="167" t="n"/>
      <c r="M322" s="167" t="n"/>
    </row>
    <row r="323" ht="9.199999999999999" customHeight="1">
      <c r="A323" s="152" t="n"/>
      <c r="B323" s="155" t="n"/>
      <c r="C323" s="154" t="n"/>
      <c r="D323" s="154" t="n"/>
      <c r="E323" s="154" t="n"/>
      <c r="F323" s="154" t="n"/>
      <c r="G323" s="154" t="n"/>
      <c r="H323" s="154" t="n"/>
      <c r="I323" s="154" t="n"/>
      <c r="J323" s="154" t="n"/>
      <c r="K323" s="154" t="n"/>
      <c r="L323" s="154" t="n"/>
      <c r="M323" s="154" t="n"/>
    </row>
    <row r="324" ht="27.2" customHeight="1">
      <c r="A324" s="152" t="n"/>
      <c r="B324" s="155" t="n"/>
      <c r="C324" s="154" t="n"/>
      <c r="D324" s="154" t="n"/>
      <c r="E324" s="156" t="str">
        <f>+E315</f>
        <v>U.S. specific contracts - all exposures</v>
      </c>
      <c r="F324" s="157" t="n"/>
      <c r="G324" s="22" t="n"/>
      <c r="H324" s="156" t="str">
        <f>+H315</f>
        <v>All other contracts - all exposures</v>
      </c>
      <c r="I324" s="157" t="n"/>
      <c r="J324" s="22" t="n"/>
      <c r="K324" s="156" t="inlineStr">
        <is>
          <t>Total</t>
        </is>
      </c>
      <c r="L324" s="157" t="n"/>
      <c r="M324" s="22" t="n"/>
    </row>
    <row r="325" ht="31.5" customHeight="1">
      <c r="A325" s="152" t="n"/>
      <c r="B325" s="155" t="n"/>
      <c r="C325" s="154" t="n"/>
      <c r="D325" s="154" t="n"/>
      <c r="E325" s="158" t="inlineStr">
        <is>
          <t>Contract count</t>
        </is>
      </c>
      <c r="F325" s="158" t="inlineStr">
        <is>
          <t xml:space="preserve">Gross limit provided </t>
        </is>
      </c>
      <c r="G325" s="158" t="inlineStr">
        <is>
          <t>Net limit provided</t>
        </is>
      </c>
      <c r="H325" s="158" t="inlineStr">
        <is>
          <t>Contract count</t>
        </is>
      </c>
      <c r="I325" s="158" t="inlineStr">
        <is>
          <t xml:space="preserve">Gross limit provided </t>
        </is>
      </c>
      <c r="J325" s="158" t="inlineStr">
        <is>
          <t>Net limit provided</t>
        </is>
      </c>
      <c r="K325" s="158" t="inlineStr">
        <is>
          <t>Contract count</t>
        </is>
      </c>
      <c r="L325" s="158" t="inlineStr">
        <is>
          <t xml:space="preserve">Gross limit provided </t>
        </is>
      </c>
      <c r="M325" s="158" t="inlineStr">
        <is>
          <t>Net limit provided</t>
        </is>
      </c>
    </row>
    <row r="326" ht="15.75" customHeight="1">
      <c r="A326" s="152" t="n"/>
      <c r="B326" s="155" t="n"/>
      <c r="C326" s="154" t="n"/>
      <c r="D326" s="154" t="n"/>
      <c r="E326" s="159" t="n"/>
      <c r="F326" s="158" t="inlineStr">
        <is>
          <t>($M)</t>
        </is>
      </c>
      <c r="G326" s="158" t="inlineStr">
        <is>
          <t>($M)</t>
        </is>
      </c>
      <c r="H326" s="159" t="n"/>
      <c r="I326" s="158" t="inlineStr">
        <is>
          <t>($M)</t>
        </is>
      </c>
      <c r="J326" s="158" t="inlineStr">
        <is>
          <t>($M)</t>
        </is>
      </c>
      <c r="K326" s="159" t="n"/>
      <c r="L326" s="158" t="inlineStr">
        <is>
          <t>($M)</t>
        </is>
      </c>
      <c r="M326" s="158" t="inlineStr">
        <is>
          <t>($M)</t>
        </is>
      </c>
    </row>
    <row r="327" ht="15.75" customHeight="1">
      <c r="A327" s="152" t="n"/>
      <c r="B327" s="155" t="n"/>
      <c r="C327" s="154" t="n"/>
      <c r="D327" s="160" t="inlineStr">
        <is>
          <t>modelled</t>
        </is>
      </c>
      <c r="E327" s="161">
        <f>SUMIFS(BSCRInput[count_policies],BSCRInput[bscr_entity],"HSA",BSCRInput[region],"ALL",BSCRInput[peril_id],1,BSCRInput[is_geocoded],1,BSCRInput[cntrycode],"US")</f>
        <v>76.0</v>
      </c>
      <c r="F327" s="162">
        <f>SUMIFS(BSCRInput[sum_pml],BSCRInput[bscr_entity],"HSA",BSCRInput[region],"ALL",BSCRInput[peril_id],1,BSCRInput[is_geocoded],1,BSCRInput[cntrycode],"US")/1000000</f>
        <v>137.39538440153575</v>
      </c>
      <c r="G327" s="162">
        <f>SUMIFS(BSCRInput[sum_net],BSCRInput[bscr_entity],"HSA",BSCRInput[region],"ALL",BSCRInput[peril_id],1,BSCRInput[is_geocoded],1,BSCRInput[cntrycode],"US")/1000000</f>
        <v>136.30599380153572</v>
      </c>
      <c r="H327" s="161">
        <f>(SUMIFS(BSCRInput[count_policies],BSCRInput[bscr_entity],"HSA",BSCRInput[region],"ALL",BSCRInput[peril_id],1,BSCRInput[is_geocoded],1)-SUMIFS(BSCRInput[count_policies],BSCRInput[bscr_entity],"HSA",BSCRInput[region],"ALL",BSCRInput[peril_id],1,BSCRInput[is_geocoded],1,BSCRInput[cntrycode],"US"))</f>
        <v>89769.0</v>
      </c>
      <c r="I327" s="162">
        <f>(SUMIFS(BSCRInput[sum_pml],BSCRInput[bscr_entity],"HSA",BSCRInput[region],"ALL",BSCRInput[peril_id],1,BSCRInput[is_geocoded],1)-SUMIFS(BSCRInput[sum_pml],BSCRInput[bscr_entity],"HSA",BSCRInput[region],"ALL",BSCRInput[peril_id],1,BSCRInput[is_geocoded],1,BSCRInput[cntrycode],"US"))/1000000</f>
        <v>104068.32651870762</v>
      </c>
      <c r="J327" s="162">
        <f>(SUMIFS(BSCRInput[sum_net],BSCRInput[bscr_entity],"HSA",BSCRInput[region],"ALL",BSCRInput[peril_id],1,BSCRInput[is_geocoded],1)-SUMIFS(BSCRInput[sum_net],BSCRInput[bscr_entity],"HSA",BSCRInput[region],"ALL",BSCRInput[peril_id],1,BSCRInput[is_geocoded],1,BSCRInput[cntrycode],"US"))/1000000</f>
        <v>101779.00707246395</v>
      </c>
      <c r="K327" s="163">
        <f>SUMIFS(BSCRInput[count_policies],BSCRInput[bscr_entity],"HSA",BSCRInput[region],"ALL",BSCRInput[peril_id],1,BSCRInput[is_geocoded],1)</f>
        <v>89845.0</v>
      </c>
      <c r="L327" s="164">
        <f>SUMIFS(BSCRInput[sum_pml],BSCRInput[bscr_entity],"HSA",BSCRInput[region],"ALL",BSCRInput[peril_id],1,BSCRInput[is_geocoded],1)/1000000</f>
        <v>104205.72190310915</v>
      </c>
      <c r="M327" s="164">
        <f>SUMIFS(BSCRInput[sum_net],BSCRInput[bscr_entity],"HSA",BSCRInput[region],"ALL",BSCRInput[peril_id],1,BSCRInput[is_geocoded],1)/1000000</f>
        <v>101915.31306626549</v>
      </c>
    </row>
    <row r="328" ht="15.75" customHeight="1">
      <c r="A328" s="152" t="n"/>
      <c r="B328" s="155" t="n"/>
      <c r="C328" s="154" t="n"/>
      <c r="D328" s="160" t="inlineStr">
        <is>
          <t>Not modelled</t>
        </is>
      </c>
      <c r="E328" s="161">
        <f>SUMIFS(BSCRInput[count_policies],BSCRInput[bscr_entity],"HSA",BSCRInput[region],"ALL",BSCRInput[peril_id],1,BSCRInput[is_geocoded],0,BSCRInput[cntrycode],"US")</f>
        <v>0.0</v>
      </c>
      <c r="F328" s="162">
        <f>SUMIFS(BSCRInput[sum_pml],BSCRInput[bscr_entity],"HSA",BSCRInput[region],"ALL",BSCRInput[peril_id],1,BSCRInput[is_geocoded],0,BSCRInput[cntrycode],"US")/1000000</f>
        <v>0.0</v>
      </c>
      <c r="G328" s="162">
        <f>SUMIFS(BSCRInput[sum_net],BSCRInput[bscr_entity],"HSA",BSCRInput[region],"ALL",BSCRInput[peril_id],1,BSCRInput[is_geocoded],0,BSCRInput[cntrycode],"US")/1000000</f>
        <v>0.0</v>
      </c>
      <c r="H328" s="161">
        <f>(SUMIFS(BSCRInput[count_policies],BSCRInput[bscr_entity],"HSA",BSCRInput[region],"ALL",BSCRInput[peril_id],1,BSCRInput[is_geocoded],0)-SUMIFS(BSCRInput[count_policies],BSCRInput[bscr_entity],"HSA",BSCRInput[region],"ALL",BSCRInput[peril_id],1,BSCRInput[is_geocoded],0,BSCRInput[cntrycode],"US"))</f>
        <v>187.0</v>
      </c>
      <c r="I328" s="162">
        <f>(SUMIFS(BSCRInput[sum_pml],BSCRInput[bscr_entity],"HSA",BSCRInput[region],"ALL",BSCRInput[peril_id],1,BSCRInput[is_geocoded],0)-SUMIFS(BSCRInput[sum_pml],BSCRInput[bscr_entity],"HSA",BSCRInput[region],"ALL",BSCRInput[peril_id],1,BSCRInput[is_geocoded],0,BSCRInput[cntrycode],"US"))/1000000</f>
        <v>154.7942636550143</v>
      </c>
      <c r="J328" s="162">
        <f>(SUMIFS(BSCRInput[sum_net],BSCRInput[bscr_entity],"HSA",BSCRInput[region],"ALL",BSCRInput[peril_id],1,BSCRInput[is_geocoded],0)-SUMIFS(BSCRInput[sum_net],BSCRInput[bscr_entity],"HSA",BSCRInput[region],"ALL",BSCRInput[peril_id],1,BSCRInput[is_geocoded],0,BSCRInput[cntrycode],"US"))/1000000</f>
        <v>154.7942636550143</v>
      </c>
      <c r="K328" s="163">
        <f>SUMIFS(BSCRInput[count_policies],BSCRInput[bscr_entity],"HSA",BSCRInput[region],"ALL",BSCRInput[peril_id],1,BSCRInput[is_geocoded],0)</f>
        <v>187.0</v>
      </c>
      <c r="L328" s="164">
        <f>SUMIFS(BSCRInput[sum_pml],BSCRInput[bscr_entity],"HSA",BSCRInput[region],"ALL",BSCRInput[peril_id],1,BSCRInput[is_geocoded],0)/1000000</f>
        <v>154.7942636550143</v>
      </c>
      <c r="M328" s="164">
        <f>SUMIFS(BSCRInput[sum_net],BSCRInput[bscr_entity],"HSA",BSCRInput[region],"ALL",BSCRInput[peril_id],1,BSCRInput[is_geocoded],0)/1000000</f>
        <v>154.7942636550143</v>
      </c>
    </row>
    <row r="329" ht="15.75" customHeight="1">
      <c r="A329" s="152" t="n"/>
      <c r="B329" s="155" t="n"/>
      <c r="C329" s="154" t="n"/>
      <c r="D329" s="160" t="inlineStr">
        <is>
          <t>Total</t>
        </is>
      </c>
      <c r="E329" s="165">
        <f>SUMIFS(BSCRInput[count_policies],BSCRInput[bscr_entity],"HSA",BSCRInput[region],"ALL",BSCRInput[peril_id],1,BSCRInput[cntrycode],"US")</f>
        <v>76.0</v>
      </c>
      <c r="F329" s="166">
        <f>SUMIFS(BSCRInput[sum_pml],BSCRInput[bscr_entity],"HSA",BSCRInput[region],"ALL",BSCRInput[peril_id],1,BSCRInput[cntrycode],"US")/1000000</f>
        <v>137.39538440153575</v>
      </c>
      <c r="G329" s="166">
        <f>SUMIFS(BSCRInput[sum_net],BSCRInput[bscr_entity],"HSA",BSCRInput[region],"ALL",BSCRInput[peril_id],1,BSCRInput[cntrycode],"US")/1000000</f>
        <v>136.30599380153572</v>
      </c>
      <c r="H329" s="165">
        <f>(SUMIFS(BSCRInput[count_policies],BSCRInput[bscr_entity],"HSA",BSCRInput[region],"ALL",BSCRInput[peril_id],1)-SUMIFS(BSCRInput[count_policies],BSCRInput[bscr_entity],"HSA",BSCRInput[region],"ALL",BSCRInput[peril_id],1,BSCRInput[cntrycode],"US"))</f>
        <v>89956.0</v>
      </c>
      <c r="I329" s="166">
        <f>(SUMIFS(BSCRInput[sum_pml],BSCRInput[bscr_entity],"HSA",BSCRInput[region],"ALL",BSCRInput[peril_id],1)-SUMIFS(BSCRInput[sum_pml],BSCRInput[bscr_entity],"HSA",BSCRInput[region],"ALL",BSCRInput[peril_id],1,BSCRInput[cntrycode],"US"))/1000000</f>
        <v>104223.12078236263</v>
      </c>
      <c r="J329" s="166">
        <f>(SUMIFS(BSCRInput[sum_net],BSCRInput[bscr_entity],"HSA",BSCRInput[region],"ALL",BSCRInput[peril_id],1)-SUMIFS(BSCRInput[sum_net],BSCRInput[bscr_entity],"HSA",BSCRInput[region],"ALL",BSCRInput[peril_id],1,BSCRInput[cntrycode],"US"))/1000000</f>
        <v>101933.801336119</v>
      </c>
      <c r="K329" s="165">
        <f>SUMIFS(BSCRInput[count_policies],BSCRInput[bscr_entity],"HSA",BSCRInput[region],"ALL",BSCRInput[peril_id],1)</f>
        <v>90032.0</v>
      </c>
      <c r="L329" s="166">
        <f>SUMIFS(BSCRInput[sum_pml],BSCRInput[bscr_entity],"HSA",BSCRInput[region],"ALL",BSCRInput[peril_id],1)/1000000</f>
        <v>104360.51616676417</v>
      </c>
      <c r="M329" s="166">
        <f>SUMIFS(BSCRInput[sum_net],BSCRInput[bscr_entity],"HSA",BSCRInput[region],"ALL",BSCRInput[peril_id],1)/1000000</f>
        <v>102070.10732992052</v>
      </c>
    </row>
    <row r="330" ht="9.199999999999999" customHeight="1">
      <c r="A330" s="152" t="n"/>
      <c r="B330" s="155" t="n"/>
      <c r="C330" s="154" t="n"/>
      <c r="D330" s="160" t="n"/>
      <c r="E330" s="154" t="n"/>
      <c r="F330" s="154" t="n"/>
      <c r="G330" s="154" t="n"/>
      <c r="H330" s="154" t="n"/>
      <c r="I330" s="154" t="n"/>
      <c r="J330" s="154" t="n"/>
      <c r="K330" s="154" t="n"/>
      <c r="L330" s="154" t="n"/>
      <c r="M330" s="154" t="n"/>
    </row>
    <row r="331" ht="15.75" customHeight="1">
      <c r="A331" s="152" t="n"/>
      <c r="B331" s="155" t="n">
        <v>3</v>
      </c>
      <c r="C331" s="155" t="inlineStr">
        <is>
          <t>For those contracts that are written by the insurance group that are modelled, provide splits of those that are:</t>
        </is>
      </c>
      <c r="D331" s="160" t="n"/>
      <c r="E331" s="154" t="n"/>
      <c r="F331" s="154" t="n"/>
      <c r="G331" s="154" t="n"/>
      <c r="H331" s="154" t="n"/>
      <c r="I331" s="154" t="n"/>
      <c r="J331" s="154" t="n"/>
      <c r="K331" s="154" t="n"/>
      <c r="L331" s="154" t="n"/>
      <c r="M331" s="154" t="n"/>
    </row>
    <row r="332" ht="9.199999999999999" customHeight="1">
      <c r="A332" s="152" t="n"/>
      <c r="B332" s="155" t="n"/>
      <c r="C332" s="154" t="n"/>
      <c r="D332" s="160" t="n"/>
      <c r="E332" s="154" t="n"/>
      <c r="F332" s="154" t="n"/>
      <c r="G332" s="154" t="n"/>
      <c r="H332" s="154" t="n"/>
      <c r="I332" s="154" t="n"/>
      <c r="J332" s="154" t="n"/>
      <c r="K332" s="154" t="n"/>
      <c r="L332" s="154" t="n"/>
      <c r="M332" s="154" t="n"/>
    </row>
    <row r="333" ht="27.2" customHeight="1">
      <c r="A333" s="152" t="n"/>
      <c r="B333" s="155" t="n"/>
      <c r="C333" s="154" t="n"/>
      <c r="D333" s="160" t="n"/>
      <c r="E333" s="156" t="str">
        <f>+E315</f>
        <v>U.S. specific contracts - all exposures</v>
      </c>
      <c r="F333" s="157" t="n"/>
      <c r="G333" s="22" t="n"/>
      <c r="H333" s="156" t="str">
        <f>+H315</f>
        <v>All other contracts - all exposures</v>
      </c>
      <c r="I333" s="157" t="n"/>
      <c r="J333" s="22" t="n"/>
      <c r="K333" s="156" t="inlineStr">
        <is>
          <t>Total</t>
        </is>
      </c>
      <c r="L333" s="157" t="n"/>
      <c r="M333" s="22" t="n"/>
    </row>
    <row r="334" ht="31.5" customHeight="1">
      <c r="A334" s="152" t="n"/>
      <c r="B334" s="155" t="n"/>
      <c r="C334" s="154" t="n"/>
      <c r="D334" s="154" t="n"/>
      <c r="E334" s="158" t="inlineStr">
        <is>
          <t>Contract count</t>
        </is>
      </c>
      <c r="F334" s="158" t="inlineStr">
        <is>
          <t xml:space="preserve">Gross limit provided </t>
        </is>
      </c>
      <c r="G334" s="158" t="inlineStr">
        <is>
          <t>Net limit provided</t>
        </is>
      </c>
      <c r="H334" s="158" t="inlineStr">
        <is>
          <t>Contract count</t>
        </is>
      </c>
      <c r="I334" s="158" t="inlineStr">
        <is>
          <t xml:space="preserve">Gross limit provided </t>
        </is>
      </c>
      <c r="J334" s="158" t="inlineStr">
        <is>
          <t>Net limit provided</t>
        </is>
      </c>
      <c r="K334" s="158" t="inlineStr">
        <is>
          <t>Contract count</t>
        </is>
      </c>
      <c r="L334" s="158" t="inlineStr">
        <is>
          <t xml:space="preserve">Gross limit provided </t>
        </is>
      </c>
      <c r="M334" s="158" t="inlineStr">
        <is>
          <t>Net limit provided</t>
        </is>
      </c>
    </row>
    <row r="335" ht="15.75" customHeight="1">
      <c r="A335" s="152" t="n"/>
      <c r="B335" s="155" t="n"/>
      <c r="C335" s="154" t="n"/>
      <c r="D335" s="154" t="n"/>
      <c r="E335" s="159" t="n"/>
      <c r="F335" s="158" t="inlineStr">
        <is>
          <t>($M)</t>
        </is>
      </c>
      <c r="G335" s="158" t="inlineStr">
        <is>
          <t>($M)</t>
        </is>
      </c>
      <c r="H335" s="159" t="n"/>
      <c r="I335" s="158" t="inlineStr">
        <is>
          <t>($M)</t>
        </is>
      </c>
      <c r="J335" s="158" t="inlineStr">
        <is>
          <t>($M)</t>
        </is>
      </c>
      <c r="K335" s="159" t="n"/>
      <c r="L335" s="158" t="inlineStr">
        <is>
          <t>($M)</t>
        </is>
      </c>
      <c r="M335" s="158" t="inlineStr">
        <is>
          <t>($M)</t>
        </is>
      </c>
    </row>
    <row r="336" ht="15.75" customHeight="1">
      <c r="A336" s="152" t="n"/>
      <c r="B336" s="155" t="n"/>
      <c r="C336" s="154" t="n"/>
      <c r="D336" s="160" t="inlineStr">
        <is>
          <t>Detailed exposure data</t>
        </is>
      </c>
      <c r="E336" s="161">
        <f>SUMIFS(BSCRInput[count_policies],BSCRInput[bscr_entity],"HSA",BSCRInput[region],"ALL",BSCRInput[peril_id],1,BSCRInput[is_geocoded],1,BSCRInput[cntrycode],"US")</f>
        <v>76.0</v>
      </c>
      <c r="F336" s="162">
        <f>SUMIFS(BSCRInput[sum_pml],BSCRInput[bscr_entity],"HSA",BSCRInput[region],"ALL",BSCRInput[peril_id],1,BSCRInput[is_geocoded],1,BSCRInput[cntrycode],"US")/1000000</f>
        <v>137.39538440153575</v>
      </c>
      <c r="G336" s="162">
        <f>SUMIFS(BSCRInput[sum_net],BSCRInput[bscr_entity],"HSA",BSCRInput[region],"ALL",BSCRInput[peril_id],1,BSCRInput[is_geocoded],1,BSCRInput[cntrycode],"US")/1000000</f>
        <v>136.30599380153572</v>
      </c>
      <c r="H336" s="161">
        <f>(SUMIFS(BSCRInput[count_policies],BSCRInput[bscr_entity],"HSA",BSCRInput[region],"ALL",BSCRInput[peril_id],1,BSCRInput[is_geocoded],1)-SUMIFS(BSCRInput[count_policies],BSCRInput[bscr_entity],"HSA",BSCRInput[region],"ALL",BSCRInput[peril_id],1,BSCRInput[is_geocoded],1,BSCRInput[cntrycode],"US"))</f>
        <v>89769.0</v>
      </c>
      <c r="I336" s="162">
        <f>(SUMIFS(BSCRInput[sum_pml],BSCRInput[bscr_entity],"HSA",BSCRInput[region],"ALL",BSCRInput[peril_id],1,BSCRInput[is_geocoded],1)-SUMIFS(BSCRInput[sum_pml],BSCRInput[bscr_entity],"HSA",BSCRInput[region],"ALL",BSCRInput[peril_id],1,BSCRInput[is_geocoded],1,BSCRInput[cntrycode],"US"))/1000000</f>
        <v>104068.32651870762</v>
      </c>
      <c r="J336" s="162">
        <f>(SUMIFS(BSCRInput[sum_net],BSCRInput[bscr_entity],"HSA",BSCRInput[region],"ALL",BSCRInput[peril_id],1,BSCRInput[is_geocoded],1)-SUMIFS(BSCRInput[sum_net],BSCRInput[bscr_entity],"HSA",BSCRInput[region],"ALL",BSCRInput[peril_id],1,BSCRInput[is_geocoded],1,BSCRInput[cntrycode],"US"))/1000000</f>
        <v>101779.00707246395</v>
      </c>
      <c r="K336" s="163">
        <f>SUMIFS(BSCRInput[count_policies],BSCRInput[bscr_entity],"HSA",BSCRInput[region],"ALL",BSCRInput[peril_id],1,BSCRInput[is_geocoded],1)</f>
        <v>89845.0</v>
      </c>
      <c r="L336" s="164">
        <f>SUMIFS(BSCRInput[sum_pml],BSCRInput[bscr_entity],"HSA",BSCRInput[region],"ALL",BSCRInput[peril_id],1,BSCRInput[is_geocoded],1)/1000000</f>
        <v>104205.72190310915</v>
      </c>
      <c r="M336" s="164">
        <f>SUMIFS(BSCRInput[sum_net],BSCRInput[bscr_entity],"HSA",BSCRInput[region],"ALL",BSCRInput[peril_id],1,BSCRInput[is_geocoded],1)/1000000</f>
        <v>101915.31306626549</v>
      </c>
    </row>
    <row r="337" ht="15.75" customHeight="1">
      <c r="A337" s="152" t="n"/>
      <c r="B337" s="155" t="n"/>
      <c r="C337" s="154" t="n"/>
      <c r="D337" s="160" t="inlineStr">
        <is>
          <t>Aggregate exposure data</t>
        </is>
      </c>
      <c r="E337" s="161">
        <f>0</f>
        <v>0.0</v>
      </c>
      <c r="F337" s="162">
        <f>0</f>
        <v>0.0</v>
      </c>
      <c r="G337" s="162">
        <f>0</f>
        <v>0.0</v>
      </c>
      <c r="H337" s="161">
        <f>0</f>
        <v>0.0</v>
      </c>
      <c r="I337" s="162">
        <f>0</f>
        <v>0.0</v>
      </c>
      <c r="J337" s="162">
        <f>0</f>
        <v>0.0</v>
      </c>
      <c r="K337" s="163">
        <f>0</f>
        <v>0.0</v>
      </c>
      <c r="L337" s="164">
        <f>0</f>
        <v>0.0</v>
      </c>
      <c r="M337" s="164">
        <f>0</f>
        <v>0.0</v>
      </c>
    </row>
    <row r="338" ht="42.75" customHeight="1">
      <c r="A338" s="152" t="n"/>
      <c r="B338" s="155" t="n"/>
      <c r="C338" s="168" t="n"/>
      <c r="D338" s="43" t="n"/>
      <c r="E338" s="161">
        <f>0</f>
        <v>0.0</v>
      </c>
      <c r="F338" s="162">
        <f>0</f>
        <v>0.0</v>
      </c>
      <c r="G338" s="162">
        <f>0</f>
        <v>0.0</v>
      </c>
      <c r="H338" s="161">
        <f>0</f>
        <v>0.0</v>
      </c>
      <c r="I338" s="162">
        <f>0</f>
        <v>0.0</v>
      </c>
      <c r="J338" s="162">
        <f>0</f>
        <v>0.0</v>
      </c>
      <c r="K338" s="163">
        <f>0</f>
        <v>0.0</v>
      </c>
      <c r="L338" s="164">
        <f>0</f>
        <v>0.0</v>
      </c>
      <c r="M338" s="164">
        <f>0</f>
        <v>0.0</v>
      </c>
    </row>
    <row r="339" ht="27.2" customHeight="1">
      <c r="A339" s="152" t="n"/>
      <c r="B339" s="155" t="n"/>
      <c r="C339" s="168" t="n"/>
      <c r="D339" s="43" t="n"/>
      <c r="E339" s="161">
        <f>0</f>
        <v>0.0</v>
      </c>
      <c r="F339" s="162">
        <f>0</f>
        <v>0.0</v>
      </c>
      <c r="G339" s="162">
        <f>0</f>
        <v>0.0</v>
      </c>
      <c r="H339" s="161">
        <f>0</f>
        <v>0.0</v>
      </c>
      <c r="I339" s="162">
        <f>0</f>
        <v>0.0</v>
      </c>
      <c r="J339" s="162">
        <f>0</f>
        <v>0.0</v>
      </c>
      <c r="K339" s="163">
        <f>0</f>
        <v>0.0</v>
      </c>
      <c r="L339" s="164">
        <f>0</f>
        <v>0.0</v>
      </c>
      <c r="M339" s="164">
        <f>0</f>
        <v>0.0</v>
      </c>
    </row>
    <row r="340" ht="15.75" customHeight="1">
      <c r="A340" s="152" t="n"/>
      <c r="B340" s="155" t="n"/>
      <c r="C340" s="154" t="n"/>
      <c r="D340" s="160" t="inlineStr">
        <is>
          <t>Other</t>
        </is>
      </c>
      <c r="E340" s="161">
        <f>0</f>
        <v>0.0</v>
      </c>
      <c r="F340" s="162">
        <f>0</f>
        <v>0.0</v>
      </c>
      <c r="G340" s="162">
        <f>0</f>
        <v>0.0</v>
      </c>
      <c r="H340" s="161">
        <f>0</f>
        <v>0.0</v>
      </c>
      <c r="I340" s="162">
        <f>0</f>
        <v>0.0</v>
      </c>
      <c r="J340" s="162">
        <f>0</f>
        <v>0.0</v>
      </c>
      <c r="K340" s="163">
        <f>0</f>
        <v>0.0</v>
      </c>
      <c r="L340" s="164">
        <f>0</f>
        <v>0.0</v>
      </c>
      <c r="M340" s="164">
        <f>0</f>
        <v>0.0</v>
      </c>
    </row>
    <row r="341" ht="15.75" customHeight="1">
      <c r="A341" s="152" t="n"/>
      <c r="B341" s="155" t="n"/>
      <c r="C341" s="154" t="n"/>
      <c r="D341" s="160" t="inlineStr">
        <is>
          <t>Total</t>
        </is>
      </c>
      <c r="E341" s="165">
        <f>SUMIFS(BSCRInput[count_policies],BSCRInput[bscr_entity],"HSA",BSCRInput[region],"ALL",BSCRInput[peril_id],1,BSCRInput[is_geocoded],1,BSCRInput[cntrycode],"US")</f>
        <v>76.0</v>
      </c>
      <c r="F341" s="169">
        <f>SUMIFS(BSCRInput[sum_pml],BSCRInput[bscr_entity],"HSA",BSCRInput[region],"ALL",BSCRInput[peril_id],1,BSCRInput[is_geocoded],1,BSCRInput[cntrycode],"US")/1000000</f>
        <v>137.39538440153575</v>
      </c>
      <c r="G341" s="169">
        <f>SUMIFS(BSCRInput[sum_net],BSCRInput[bscr_entity],"HSA",BSCRInput[region],"ALL",BSCRInput[peril_id],1,BSCRInput[is_geocoded],1,BSCRInput[cntrycode],"US")/1000000</f>
        <v>136.30599380153572</v>
      </c>
      <c r="H341" s="170">
        <f>(SUMIFS(BSCRInput[count_policies],BSCRInput[bscr_entity],"HSA",BSCRInput[region],"ALL",BSCRInput[peril_id],1,BSCRInput[is_geocoded],1)-SUMIFS(BSCRInput[count_policies],BSCRInput[bscr_entity],"HSA",BSCRInput[region],"ALL",BSCRInput[peril_id],1,BSCRInput[is_geocoded],1,BSCRInput[cntrycode],"US"))</f>
        <v>89769.0</v>
      </c>
      <c r="I341" s="169">
        <f>(SUMIFS(BSCRInput[sum_pml],BSCRInput[bscr_entity],"HSA",BSCRInput[region],"ALL",BSCRInput[peril_id],1,BSCRInput[is_geocoded],1)-SUMIFS(BSCRInput[sum_pml],BSCRInput[bscr_entity],"HSA",BSCRInput[region],"ALL",BSCRInput[peril_id],1,BSCRInput[is_geocoded],1,BSCRInput[cntrycode],"US"))/1000000</f>
        <v>104068.32651870762</v>
      </c>
      <c r="J341" s="166">
        <f>(SUMIFS(BSCRInput[sum_net],BSCRInput[bscr_entity],"HSA",BSCRInput[region],"ALL",BSCRInput[peril_id],1,BSCRInput[is_geocoded],1)-SUMIFS(BSCRInput[sum_net],BSCRInput[bscr_entity],"HSA",BSCRInput[region],"ALL",BSCRInput[peril_id],1,BSCRInput[is_geocoded],1,BSCRInput[cntrycode],"US"))/1000000</f>
        <v>101779.00707246395</v>
      </c>
      <c r="K341" s="165">
        <f>SUMIFS(BSCRInput[count_policies],BSCRInput[bscr_entity],"HSA",BSCRInput[region],"ALL",BSCRInput[peril_id],1,BSCRInput[is_geocoded],1)</f>
        <v>89845.0</v>
      </c>
      <c r="L341" s="166">
        <f>SUMIFS(BSCRInput[sum_pml],BSCRInput[bscr_entity],"HSA",BSCRInput[region],"ALL",BSCRInput[peril_id],1,BSCRInput[is_geocoded],1)/1000000</f>
        <v>104205.72190310915</v>
      </c>
      <c r="M341" s="166">
        <f>SUMIFS(BSCRInput[sum_net],BSCRInput[bscr_entity],"HSA",BSCRInput[region],"ALL",BSCRInput[peril_id],1,BSCRInput[is_geocoded],1)/1000000</f>
        <v>101915.31306626549</v>
      </c>
    </row>
    <row r="342" ht="9.199999999999999" customHeight="1">
      <c r="A342" s="152" t="n"/>
      <c r="B342" s="155" t="n"/>
      <c r="C342" s="154" t="n"/>
      <c r="D342" s="160" t="n"/>
      <c r="E342" s="167" t="n"/>
      <c r="F342" s="167" t="n"/>
      <c r="G342" s="167" t="n"/>
      <c r="H342" s="154" t="n"/>
      <c r="I342" s="154" t="n"/>
      <c r="J342" s="154" t="n"/>
      <c r="K342" s="154" t="n"/>
      <c r="L342" s="154" t="n"/>
      <c r="M342" s="154" t="n"/>
    </row>
    <row r="343" ht="15.75" customHeight="1">
      <c r="A343" s="152" t="n"/>
      <c r="B343" s="155" t="n"/>
      <c r="C343" s="154" t="inlineStr">
        <is>
          <t>If other is selected, describe the methodology as appropriate:</t>
        </is>
      </c>
      <c r="D343" s="154" t="n"/>
      <c r="E343" s="167" t="n"/>
      <c r="F343" s="167" t="n"/>
      <c r="G343" s="167" t="n"/>
      <c r="H343" s="154" t="n"/>
      <c r="I343" s="154" t="n"/>
      <c r="J343" s="154" t="n"/>
      <c r="K343" s="154" t="n"/>
      <c r="L343" s="154" t="n"/>
      <c r="M343" s="154" t="n"/>
    </row>
    <row r="344" ht="15.75" customHeight="1">
      <c r="A344" s="152" t="n"/>
      <c r="B344" s="155" t="n"/>
      <c r="C344" s="171" t="n"/>
      <c r="D344" s="45" t="n"/>
      <c r="E344" s="45" t="n"/>
      <c r="F344" s="45" t="n"/>
      <c r="G344" s="45" t="n"/>
      <c r="H344" s="45" t="n"/>
      <c r="I344" s="45" t="n"/>
      <c r="J344" s="45" t="n"/>
      <c r="K344" s="45" t="n"/>
      <c r="L344" s="45" t="n"/>
      <c r="M344" s="46" t="n"/>
    </row>
    <row r="345" ht="9.199999999999999" customHeight="1">
      <c r="A345" s="152" t="n"/>
      <c r="B345" s="155" t="n"/>
      <c r="C345" s="154" t="n"/>
      <c r="D345" s="154" t="n"/>
      <c r="E345" s="154" t="n"/>
      <c r="F345" s="154" t="n"/>
      <c r="G345" s="154" t="n"/>
      <c r="H345" s="154" t="n"/>
      <c r="I345" s="154" t="n"/>
      <c r="J345" s="154" t="n"/>
      <c r="K345" s="154" t="n"/>
      <c r="L345" s="154" t="n"/>
      <c r="M345" s="154" t="n"/>
    </row>
    <row r="346" ht="15.75" customHeight="1">
      <c r="A346" s="152" t="n"/>
      <c r="B346" s="155" t="n">
        <v>4</v>
      </c>
      <c r="C346" s="155" t="inlineStr">
        <is>
          <t xml:space="preserve">For those contracts that are written by the insurance group that may be modelled (but are not modelled), provide splits of those that are: </t>
        </is>
      </c>
      <c r="D346" s="154" t="n"/>
      <c r="E346" s="154" t="n"/>
      <c r="F346" s="154" t="n"/>
      <c r="G346" s="154" t="n"/>
      <c r="H346" s="154" t="n"/>
      <c r="I346" s="154" t="n"/>
      <c r="J346" s="154" t="n"/>
      <c r="K346" s="154" t="n"/>
      <c r="L346" s="154" t="n"/>
      <c r="M346" s="154" t="n"/>
    </row>
    <row r="347" ht="9.199999999999999" customHeight="1">
      <c r="A347" s="152" t="n"/>
      <c r="B347" s="155" t="n"/>
      <c r="C347" s="154" t="n"/>
      <c r="D347" s="154" t="n"/>
      <c r="E347" s="154" t="n"/>
      <c r="F347" s="154" t="n"/>
      <c r="G347" s="154" t="n"/>
      <c r="H347" s="154" t="n"/>
      <c r="I347" s="154" t="n"/>
      <c r="J347" s="154" t="n"/>
      <c r="K347" s="154" t="n"/>
      <c r="L347" s="154" t="n"/>
      <c r="M347" s="154" t="n"/>
    </row>
    <row r="348" ht="25.5" customHeight="1">
      <c r="A348" s="152" t="n"/>
      <c r="B348" s="155" t="n"/>
      <c r="C348" s="154" t="n"/>
      <c r="D348" s="154" t="n"/>
      <c r="E348" s="156" t="str">
        <f>+E315</f>
        <v>U.S. specific contracts - all exposures</v>
      </c>
      <c r="F348" s="157" t="n"/>
      <c r="G348" s="22" t="n"/>
      <c r="H348" s="156" t="str">
        <f>+H315</f>
        <v>All other contracts - all exposures</v>
      </c>
      <c r="I348" s="157" t="n"/>
      <c r="J348" s="22" t="n"/>
      <c r="K348" s="156" t="inlineStr">
        <is>
          <t>Total</t>
        </is>
      </c>
      <c r="L348" s="157" t="n"/>
      <c r="M348" s="22" t="n"/>
    </row>
    <row r="349" ht="31.5" customHeight="1">
      <c r="A349" s="152" t="n"/>
      <c r="B349" s="155" t="n"/>
      <c r="C349" s="154" t="n"/>
      <c r="D349" s="154" t="n"/>
      <c r="E349" s="158" t="inlineStr">
        <is>
          <t>Contract count</t>
        </is>
      </c>
      <c r="F349" s="158" t="inlineStr">
        <is>
          <t xml:space="preserve">Gross limit provided </t>
        </is>
      </c>
      <c r="G349" s="158" t="inlineStr">
        <is>
          <t>Net limit provided</t>
        </is>
      </c>
      <c r="H349" s="158" t="inlineStr">
        <is>
          <t>Contract count</t>
        </is>
      </c>
      <c r="I349" s="158" t="inlineStr">
        <is>
          <t xml:space="preserve">Gross limit provided </t>
        </is>
      </c>
      <c r="J349" s="158" t="inlineStr">
        <is>
          <t>Net limit provided</t>
        </is>
      </c>
      <c r="K349" s="158" t="inlineStr">
        <is>
          <t>Contract count</t>
        </is>
      </c>
      <c r="L349" s="158" t="inlineStr">
        <is>
          <t xml:space="preserve">Gross limit provided </t>
        </is>
      </c>
      <c r="M349" s="158" t="inlineStr">
        <is>
          <t>Net limit provided</t>
        </is>
      </c>
    </row>
    <row r="350" ht="15.75" customHeight="1">
      <c r="A350" s="152" t="n"/>
      <c r="B350" s="155" t="n"/>
      <c r="C350" s="154" t="n"/>
      <c r="D350" s="154" t="n"/>
      <c r="E350" s="159" t="n"/>
      <c r="F350" s="158" t="inlineStr">
        <is>
          <t>($M)</t>
        </is>
      </c>
      <c r="G350" s="158" t="inlineStr">
        <is>
          <t>($M)</t>
        </is>
      </c>
      <c r="H350" s="159" t="n"/>
      <c r="I350" s="158" t="inlineStr">
        <is>
          <t>($M)</t>
        </is>
      </c>
      <c r="J350" s="158" t="inlineStr">
        <is>
          <t>($M)</t>
        </is>
      </c>
      <c r="K350" s="159" t="n"/>
      <c r="L350" s="158" t="inlineStr">
        <is>
          <t>($M)</t>
        </is>
      </c>
      <c r="M350" s="158" t="inlineStr">
        <is>
          <t>($M)</t>
        </is>
      </c>
    </row>
    <row r="351" ht="15.75" customHeight="1">
      <c r="A351" s="152" t="n"/>
      <c r="B351" s="155" t="n"/>
      <c r="C351" s="154" t="n"/>
      <c r="D351" s="160" t="inlineStr">
        <is>
          <t>Data deficient</t>
        </is>
      </c>
      <c r="E351" s="161">
        <f>SUMIFS(BSCRInput[count_policies],BSCRInput[bscr_entity],"HSA",BSCRInput[region],"ALL",BSCRInput[peril_id],1,BSCRInput[is_geocoded],0,BSCRInput[cntrycode],"US")</f>
        <v>0.0</v>
      </c>
      <c r="F351" s="162">
        <f>SUMIFS(BSCRInput[sum_pml],BSCRInput[bscr_entity],"HSA",BSCRInput[region],"ALL",BSCRInput[peril_id],1,BSCRInput[is_geocoded],0,BSCRInput[cntrycode],"US")/1000000</f>
        <v>0.0</v>
      </c>
      <c r="G351" s="162">
        <f>SUMIFS(BSCRInput[sum_net],BSCRInput[bscr_entity],"HSA",BSCRInput[region],"ALL",BSCRInput[peril_id],1,BSCRInput[is_geocoded],0,BSCRInput[cntrycode],"US")/1000000</f>
        <v>0.0</v>
      </c>
      <c r="H351" s="161">
        <f>(SUMIFS(BSCRInput[count_policies],BSCRInput[bscr_entity],"HSA",BSCRInput[region],"ALL",BSCRInput[peril_id],1,BSCRInput[is_geocoded],0)-SUMIFS(BSCRInput[count_policies],BSCRInput[bscr_entity],"HSA",BSCRInput[region],"ALL",BSCRInput[peril_id],1,BSCRInput[is_geocoded],0,BSCRInput[cntrycode],"US"))</f>
        <v>187.0</v>
      </c>
      <c r="I351" s="162">
        <f>(SUMIFS(BSCRInput[sum_pml],BSCRInput[bscr_entity],"HSA",BSCRInput[region],"ALL",BSCRInput[peril_id],1,BSCRInput[is_geocoded],0)-SUMIFS(BSCRInput[sum_pml],BSCRInput[bscr_entity],"HSA",BSCRInput[region],"ALL",BSCRInput[peril_id],1,BSCRInput[is_geocoded],0,BSCRInput[cntrycode],"US"))/1000000</f>
        <v>154.7942636550143</v>
      </c>
      <c r="J351" s="162">
        <f>(SUMIFS(BSCRInput[sum_net],BSCRInput[bscr_entity],"HSA",BSCRInput[region],"ALL",BSCRInput[peril_id],1,BSCRInput[is_geocoded],0)-SUMIFS(BSCRInput[sum_net],BSCRInput[bscr_entity],"HSA",BSCRInput[region],"ALL",BSCRInput[peril_id],1,BSCRInput[is_geocoded],0,BSCRInput[cntrycode],"US"))/1000000</f>
        <v>154.7942636550143</v>
      </c>
      <c r="K351" s="163">
        <f>SUMIFS(BSCRInput[count_policies],BSCRInput[bscr_entity],"HSA",BSCRInput[region],"ALL",BSCRInput[peril_id],1,BSCRInput[is_geocoded],0)</f>
        <v>187.0</v>
      </c>
      <c r="L351" s="164">
        <f>SUMIFS(BSCRInput[sum_pml],BSCRInput[bscr_entity],"HSA",BSCRInput[region],"ALL",BSCRInput[peril_id],1,BSCRInput[is_geocoded],0)/1000000</f>
        <v>154.7942636550143</v>
      </c>
      <c r="M351" s="164">
        <f>SUMIFS(BSCRInput[sum_net],BSCRInput[bscr_entity],"HSA",BSCRInput[region],"ALL",BSCRInput[peril_id],1,BSCRInput[is_geocoded],0)/1000000</f>
        <v>154.7942636550143</v>
      </c>
    </row>
    <row r="352" ht="15.75" customHeight="1">
      <c r="A352" s="152" t="n"/>
      <c r="B352" s="155" t="n"/>
      <c r="C352" s="154" t="n"/>
      <c r="D352" s="160" t="inlineStr">
        <is>
          <t>Model deficient</t>
        </is>
      </c>
      <c r="E352" s="161">
        <f>0</f>
        <v>0.0</v>
      </c>
      <c r="F352" s="162">
        <f>0</f>
        <v>0.0</v>
      </c>
      <c r="G352" s="162">
        <f>0</f>
        <v>0.0</v>
      </c>
      <c r="H352" s="161">
        <f>0</f>
        <v>0.0</v>
      </c>
      <c r="I352" s="162">
        <f>0</f>
        <v>0.0</v>
      </c>
      <c r="J352" s="162">
        <f>0</f>
        <v>0.0</v>
      </c>
      <c r="K352" s="163">
        <f>0</f>
        <v>0.0</v>
      </c>
      <c r="L352" s="164">
        <f>0</f>
        <v>0.0</v>
      </c>
      <c r="M352" s="164">
        <f>0</f>
        <v>0.0</v>
      </c>
    </row>
    <row r="353" ht="15.75" customHeight="1">
      <c r="A353" s="152" t="n"/>
      <c r="B353" s="155" t="n"/>
      <c r="C353" s="154" t="n"/>
      <c r="D353" s="160" t="inlineStr">
        <is>
          <t>Other</t>
        </is>
      </c>
      <c r="E353" s="161">
        <f>0</f>
        <v>0.0</v>
      </c>
      <c r="F353" s="162">
        <f>0</f>
        <v>0.0</v>
      </c>
      <c r="G353" s="162">
        <f>0</f>
        <v>0.0</v>
      </c>
      <c r="H353" s="161">
        <f>0</f>
        <v>0.0</v>
      </c>
      <c r="I353" s="162">
        <f>0</f>
        <v>0.0</v>
      </c>
      <c r="J353" s="162">
        <f>0</f>
        <v>0.0</v>
      </c>
      <c r="K353" s="163">
        <f>0</f>
        <v>0.0</v>
      </c>
      <c r="L353" s="164">
        <f>0</f>
        <v>0.0</v>
      </c>
      <c r="M353" s="164">
        <f>0</f>
        <v>0.0</v>
      </c>
    </row>
    <row r="354" ht="16.5" customHeight="1">
      <c r="A354" s="152" t="n"/>
      <c r="B354" s="155" t="n"/>
      <c r="C354" s="154" t="n"/>
      <c r="D354" s="160" t="inlineStr">
        <is>
          <t>Total</t>
        </is>
      </c>
      <c r="E354" s="165">
        <f>SUMIFS(BSCRInput[count_policies],BSCRInput[bscr_entity],"HSA",BSCRInput[region],"ALL",BSCRInput[peril_id],1,BSCRInput[is_geocoded],0,BSCRInput[cntrycode],"US")</f>
        <v>0.0</v>
      </c>
      <c r="F354" s="166">
        <f>SUMIFS(BSCRInput[sum_pml],BSCRInput[bscr_entity],"HSA",BSCRInput[region],"ALL",BSCRInput[peril_id],1,BSCRInput[is_geocoded],0,BSCRInput[cntrycode],"US")/1000000</f>
        <v>0.0</v>
      </c>
      <c r="G354" s="166">
        <f>SUMIFS(BSCRInput[sum_net],BSCRInput[bscr_entity],"HSA",BSCRInput[region],"ALL",BSCRInput[peril_id],1,BSCRInput[is_geocoded],0,BSCRInput[cntrycode],"US")/1000000</f>
        <v>0.0</v>
      </c>
      <c r="H354" s="165">
        <f>(SUMIFS(BSCRInput[count_policies],BSCRInput[bscr_entity],"HSA",BSCRInput[region],"ALL",BSCRInput[peril_id],1,BSCRInput[is_geocoded],0)-SUMIFS(BSCRInput[count_policies],BSCRInput[bscr_entity],"HSA",BSCRInput[region],"ALL",BSCRInput[peril_id],1,BSCRInput[is_geocoded],0,BSCRInput[cntrycode],"US"))</f>
        <v>187.0</v>
      </c>
      <c r="I354" s="166">
        <f>(SUMIFS(BSCRInput[sum_pml],BSCRInput[bscr_entity],"HSA",BSCRInput[region],"ALL",BSCRInput[peril_id],1,BSCRInput[is_geocoded],0)-SUMIFS(BSCRInput[sum_pml],BSCRInput[bscr_entity],"HSA",BSCRInput[region],"ALL",BSCRInput[peril_id],1,BSCRInput[is_geocoded],0,BSCRInput[cntrycode],"US"))/1000000</f>
        <v>154.7942636550143</v>
      </c>
      <c r="J354" s="166">
        <f>(SUMIFS(BSCRInput[sum_net],BSCRInput[bscr_entity],"HSA",BSCRInput[region],"ALL",BSCRInput[peril_id],1,BSCRInput[is_geocoded],0)-SUMIFS(BSCRInput[sum_net],BSCRInput[bscr_entity],"HSA",BSCRInput[region],"ALL",BSCRInput[peril_id],1,BSCRInput[is_geocoded],0,BSCRInput[cntrycode],"US"))/1000000</f>
        <v>154.7942636550143</v>
      </c>
      <c r="K354" s="165">
        <f>SUMIFS(BSCRInput[count_policies],BSCRInput[bscr_entity],"HSA",BSCRInput[region],"ALL",BSCRInput[peril_id],1,BSCRInput[is_geocoded],0)</f>
        <v>187.0</v>
      </c>
      <c r="L354" s="166">
        <f>SUMIFS(BSCRInput[sum_pml],BSCRInput[bscr_entity],"HSA",BSCRInput[region],"ALL",BSCRInput[peril_id],1,BSCRInput[is_geocoded],0)/1000000</f>
        <v>154.7942636550143</v>
      </c>
      <c r="M354" s="166">
        <f>SUMIFS(BSCRInput[sum_net],BSCRInput[bscr_entity],"HSA",BSCRInput[region],"ALL",BSCRInput[peril_id],1,BSCRInput[is_geocoded],0)/1000000</f>
        <v>154.7942636550143</v>
      </c>
    </row>
    <row r="355" ht="9.199999999999999" customHeight="1">
      <c r="A355" s="152" t="n"/>
      <c r="B355" s="155" t="n"/>
      <c r="C355" s="154" t="n"/>
      <c r="D355" s="154" t="n"/>
      <c r="E355" s="154" t="n"/>
      <c r="F355" s="154" t="n"/>
      <c r="G355" s="154" t="n"/>
      <c r="H355" s="154" t="n"/>
      <c r="I355" s="154" t="n"/>
      <c r="J355" s="154" t="n"/>
      <c r="K355" s="154" t="n"/>
      <c r="L355" s="154" t="n"/>
      <c r="M355" s="154" t="n"/>
    </row>
    <row r="356" ht="15.75" customHeight="1">
      <c r="A356" s="152" t="n"/>
      <c r="B356" s="155" t="n"/>
      <c r="C356" s="154" t="inlineStr">
        <is>
          <t>If other is selected, describe the reasons for not modelling the contract(s):</t>
        </is>
      </c>
      <c r="D356" s="154" t="n"/>
      <c r="E356" s="167" t="n"/>
      <c r="F356" s="167" t="n"/>
      <c r="G356" s="167" t="n"/>
      <c r="H356" s="154" t="n"/>
      <c r="I356" s="154" t="n"/>
      <c r="J356" s="154" t="n"/>
      <c r="K356" s="154" t="n"/>
      <c r="L356" s="154" t="n"/>
      <c r="M356" s="154" t="n"/>
    </row>
    <row r="357" ht="15.75" customHeight="1">
      <c r="A357" s="152" t="n"/>
      <c r="B357" s="155" t="n"/>
      <c r="C357" s="171" t="n"/>
      <c r="D357" s="45" t="n"/>
      <c r="E357" s="45" t="n"/>
      <c r="F357" s="45" t="n"/>
      <c r="G357" s="45" t="n"/>
      <c r="H357" s="45" t="n"/>
      <c r="I357" s="45" t="n"/>
      <c r="J357" s="45" t="n"/>
      <c r="K357" s="45" t="n"/>
      <c r="L357" s="45" t="n"/>
      <c r="M357" s="46" t="n"/>
    </row>
    <row r="358" ht="9.199999999999999" customHeight="1">
      <c r="A358" s="152" t="n"/>
      <c r="B358" s="155" t="n"/>
      <c r="C358" s="154" t="n"/>
      <c r="D358" s="154" t="n"/>
      <c r="E358" s="154" t="n"/>
      <c r="F358" s="154" t="n"/>
      <c r="G358" s="154" t="n"/>
      <c r="H358" s="154" t="n"/>
      <c r="I358" s="154" t="n"/>
      <c r="J358" s="154" t="n"/>
      <c r="K358" s="154" t="n"/>
      <c r="L358" s="154" t="n"/>
      <c r="M358" s="154" t="n"/>
    </row>
    <row r="359" ht="30" customHeight="1">
      <c r="A359" s="152" t="n"/>
      <c r="B359" s="172" t="n">
        <v>5</v>
      </c>
      <c r="C359" s="173" t="inlineStr">
        <is>
          <t>For contracts that are written by the insurance group that may be modelled (but are not modelled), describe what the members of the insurance group do from an accumulation perspective.</t>
        </is>
      </c>
    </row>
    <row r="360" ht="9.199999999999999" customHeight="1">
      <c r="A360" s="152" t="n"/>
      <c r="B360" s="155" t="n"/>
      <c r="C360" s="154" t="n"/>
      <c r="D360" s="154" t="n"/>
      <c r="E360" s="154" t="n"/>
      <c r="F360" s="154" t="n"/>
      <c r="G360" s="154" t="n"/>
      <c r="H360" s="154" t="n"/>
      <c r="I360" s="154" t="n"/>
      <c r="J360" s="154" t="n"/>
      <c r="K360" s="154" t="n"/>
      <c r="L360" s="154" t="n"/>
      <c r="M360" s="154" t="n"/>
    </row>
    <row r="361" ht="18" customHeight="1">
      <c r="A361" s="152" t="n"/>
      <c r="B361" s="155" t="n"/>
      <c r="C361" s="171" t="n"/>
      <c r="D361" s="45" t="n"/>
      <c r="E361" s="45" t="n"/>
      <c r="F361" s="45" t="n"/>
      <c r="G361" s="45" t="n"/>
      <c r="H361" s="45" t="n"/>
      <c r="I361" s="45" t="n"/>
      <c r="J361" s="45" t="n"/>
      <c r="K361" s="45" t="n"/>
      <c r="L361" s="45" t="n"/>
      <c r="M361" s="46" t="n"/>
    </row>
    <row r="362" ht="9.199999999999999" customHeight="1">
      <c r="A362" s="152" t="n"/>
      <c r="B362" s="155" t="n"/>
      <c r="C362" s="154" t="n"/>
      <c r="D362" s="154" t="n"/>
      <c r="E362" s="154" t="n"/>
      <c r="F362" s="154" t="n"/>
      <c r="G362" s="154" t="n"/>
      <c r="H362" s="154" t="n"/>
      <c r="I362" s="154" t="n"/>
      <c r="J362" s="154" t="n"/>
      <c r="K362" s="154" t="n"/>
      <c r="L362" s="154" t="n"/>
      <c r="M362" s="154" t="n"/>
    </row>
    <row r="363" ht="15.75" customHeight="1">
      <c r="A363" s="152" t="n"/>
      <c r="B363" s="155" t="n">
        <v>6</v>
      </c>
      <c r="C363" s="155" t="inlineStr">
        <is>
          <t>For contracts that are written by the insurance group that are unable to be modelled, provide splits of those that are:</t>
        </is>
      </c>
      <c r="D363" s="154" t="n"/>
      <c r="E363" s="154" t="n"/>
      <c r="F363" s="154" t="n"/>
      <c r="G363" s="154" t="n"/>
      <c r="H363" s="154" t="n"/>
      <c r="I363" s="154" t="n"/>
      <c r="J363" s="154" t="n"/>
      <c r="K363" s="154" t="n"/>
      <c r="L363" s="154" t="n"/>
      <c r="M363" s="154" t="n"/>
    </row>
    <row r="364" ht="9.199999999999999" customHeight="1">
      <c r="A364" s="152" t="n"/>
      <c r="B364" s="155" t="n"/>
      <c r="C364" s="154" t="n"/>
      <c r="D364" s="154" t="n"/>
      <c r="E364" s="154" t="n"/>
      <c r="F364" s="154" t="n"/>
      <c r="G364" s="154" t="n"/>
      <c r="H364" s="154" t="n"/>
      <c r="I364" s="154" t="n"/>
      <c r="J364" s="154" t="n"/>
      <c r="K364" s="154" t="n"/>
      <c r="L364" s="154" t="n"/>
      <c r="M364" s="154" t="n"/>
    </row>
    <row r="365" ht="21.75" customHeight="1">
      <c r="A365" s="152" t="n"/>
      <c r="B365" s="155" t="n"/>
      <c r="C365" s="154" t="n"/>
      <c r="D365" s="154" t="n"/>
      <c r="E365" s="156" t="str">
        <f>+E315</f>
        <v>U.S. specific contracts - all exposures</v>
      </c>
      <c r="F365" s="157" t="n"/>
      <c r="G365" s="22" t="n"/>
      <c r="H365" s="156" t="str">
        <f>+H315</f>
        <v>All other contracts - all exposures</v>
      </c>
      <c r="I365" s="157" t="n"/>
      <c r="J365" s="22" t="n"/>
      <c r="K365" s="156" t="inlineStr">
        <is>
          <t>Total</t>
        </is>
      </c>
      <c r="L365" s="157" t="n"/>
      <c r="M365" s="22" t="n"/>
    </row>
    <row r="366" ht="31.5" customHeight="1">
      <c r="A366" s="152" t="n"/>
      <c r="B366" s="155" t="n"/>
      <c r="C366" s="154" t="n"/>
      <c r="D366" s="154" t="n"/>
      <c r="E366" s="158" t="inlineStr">
        <is>
          <t>Contract count</t>
        </is>
      </c>
      <c r="F366" s="158" t="inlineStr">
        <is>
          <t xml:space="preserve">Gross limit provided </t>
        </is>
      </c>
      <c r="G366" s="158" t="inlineStr">
        <is>
          <t>Net limit provided</t>
        </is>
      </c>
      <c r="H366" s="158" t="inlineStr">
        <is>
          <t>Contract count</t>
        </is>
      </c>
      <c r="I366" s="158" t="inlineStr">
        <is>
          <t xml:space="preserve">Gross limit provided </t>
        </is>
      </c>
      <c r="J366" s="158" t="inlineStr">
        <is>
          <t>Net limit provided</t>
        </is>
      </c>
      <c r="K366" s="158" t="inlineStr">
        <is>
          <t>Contract count</t>
        </is>
      </c>
      <c r="L366" s="158" t="inlineStr">
        <is>
          <t xml:space="preserve">Gross limit provided </t>
        </is>
      </c>
      <c r="M366" s="158" t="inlineStr">
        <is>
          <t>Net limit provided</t>
        </is>
      </c>
    </row>
    <row r="367" ht="17.25" customHeight="1">
      <c r="A367" s="152" t="n"/>
      <c r="B367" s="155" t="n"/>
      <c r="C367" s="154" t="n"/>
      <c r="D367" s="154" t="n"/>
      <c r="E367" s="159" t="n"/>
      <c r="F367" s="158" t="inlineStr">
        <is>
          <t>($M)</t>
        </is>
      </c>
      <c r="G367" s="158" t="inlineStr">
        <is>
          <t>($M)</t>
        </is>
      </c>
      <c r="H367" s="159" t="n"/>
      <c r="I367" s="158" t="inlineStr">
        <is>
          <t>($M)</t>
        </is>
      </c>
      <c r="J367" s="158" t="inlineStr">
        <is>
          <t>($M)</t>
        </is>
      </c>
      <c r="K367" s="159" t="n"/>
      <c r="L367" s="158" t="inlineStr">
        <is>
          <t>($M)</t>
        </is>
      </c>
      <c r="M367" s="158" t="inlineStr">
        <is>
          <t>($M)</t>
        </is>
      </c>
    </row>
    <row r="368" ht="15.75" customHeight="1">
      <c r="A368" s="152" t="n"/>
      <c r="B368" s="155" t="n"/>
      <c r="C368" s="154" t="n"/>
      <c r="D368" s="160" t="inlineStr">
        <is>
          <t>Data deficient</t>
        </is>
      </c>
      <c r="E368" s="196">
        <f>SUMIFS(BSCRInput[count_policies],BSCRInput[bscr_entity],"HSA",BSCRInput[region],"ALL",BSCRInput[peril_id],1,BSCRInput[is_geocoded],0,BSCRInput[cntrycode],"US")</f>
        <v>0.0</v>
      </c>
      <c r="F368" s="197">
        <f>SUMIFS(BSCRInput[sum_pml],BSCRInput[bscr_entity],"HSA",BSCRInput[region],"ALL",BSCRInput[peril_id],1,BSCRInput[is_geocoded],0,BSCRInput[cntrycode],"US")/1000000</f>
        <v>0.0</v>
      </c>
      <c r="G368" s="197">
        <f>SUMIFS(BSCRInput[sum_net],BSCRInput[bscr_entity],"HSA",BSCRInput[region],"ALL",BSCRInput[peril_id],1,BSCRInput[is_geocoded],0,BSCRInput[cntrycode],"US")/1000000</f>
        <v>0.0</v>
      </c>
      <c r="H368" s="196">
        <f>(SUMIFS(BSCRInput[count_policies],BSCRInput[bscr_entity],"HSA",BSCRInput[region],"ALL",BSCRInput[peril_id],1,BSCRInput[is_geocoded],0)-SUMIFS(BSCRInput[count_policies],BSCRInput[bscr_entity],"HSA",BSCRInput[region],"ALL",BSCRInput[peril_id],1,BSCRInput[is_geocoded],0,BSCRInput[cntrycode],"US"))</f>
        <v>187.0</v>
      </c>
      <c r="I368" s="197">
        <f>(SUMIFS(BSCRInput[sum_pml],BSCRInput[bscr_entity],"HSA",BSCRInput[region],"ALL",BSCRInput[peril_id],1,BSCRInput[is_geocoded],0)-SUMIFS(BSCRInput[sum_pml],BSCRInput[bscr_entity],"HSA",BSCRInput[region],"ALL",BSCRInput[peril_id],1,BSCRInput[is_geocoded],0,BSCRInput[cntrycode],"US"))/1000000</f>
        <v>154.7942636550143</v>
      </c>
      <c r="J368" s="197">
        <f>(SUMIFS(BSCRInput[sum_net],BSCRInput[bscr_entity],"HSA",BSCRInput[region],"ALL",BSCRInput[peril_id],1,BSCRInput[is_geocoded],0)-SUMIFS(BSCRInput[sum_net],BSCRInput[bscr_entity],"HSA",BSCRInput[region],"ALL",BSCRInput[peril_id],1,BSCRInput[is_geocoded],0,BSCRInput[cntrycode],"US"))/1000000</f>
        <v>154.7942636550143</v>
      </c>
      <c r="K368" s="174">
        <f>SUMIFS(BSCRInput[count_policies],BSCRInput[bscr_entity],"HSA",BSCRInput[region],"ALL",BSCRInput[peril_id],1,BSCRInput[is_geocoded],0)</f>
        <v>187.0</v>
      </c>
      <c r="L368" s="175">
        <f>SUMIFS(BSCRInput[sum_pml],BSCRInput[bscr_entity],"HSA",BSCRInput[region],"ALL",BSCRInput[peril_id],1,BSCRInput[is_geocoded],0)/1000000</f>
        <v>154.7942636550143</v>
      </c>
      <c r="M368" s="176">
        <f>SUMIFS(BSCRInput[sum_net],BSCRInput[bscr_entity],"HSA",BSCRInput[region],"ALL",BSCRInput[peril_id],1,BSCRInput[is_geocoded],0)/1000000</f>
        <v>154.7942636550143</v>
      </c>
    </row>
    <row r="369" ht="15.75" customHeight="1">
      <c r="A369" s="152" t="n"/>
      <c r="B369" s="155" t="n"/>
      <c r="C369" s="154" t="n"/>
      <c r="D369" s="160" t="inlineStr">
        <is>
          <t>No catastrophe model exists</t>
        </is>
      </c>
      <c r="E369" s="161">
        <f>0</f>
        <v>0.0</v>
      </c>
      <c r="F369" s="162">
        <f>0</f>
        <v>0.0</v>
      </c>
      <c r="G369" s="162">
        <f>0</f>
        <v>0.0</v>
      </c>
      <c r="H369" s="161">
        <f>0</f>
        <v>0.0</v>
      </c>
      <c r="I369" s="162">
        <f>0</f>
        <v>0.0</v>
      </c>
      <c r="J369" s="162">
        <f>0</f>
        <v>0.0</v>
      </c>
      <c r="K369" s="177">
        <f>0</f>
        <v>0.0</v>
      </c>
      <c r="L369" s="164">
        <f>0</f>
        <v>0.0</v>
      </c>
      <c r="M369" s="178">
        <f>0</f>
        <v>0.0</v>
      </c>
    </row>
    <row r="370" ht="15.75" customHeight="1">
      <c r="A370" s="152" t="n"/>
      <c r="B370" s="155" t="n"/>
      <c r="C370" s="154" t="n"/>
      <c r="D370" s="160" t="inlineStr">
        <is>
          <t>Model deficient</t>
        </is>
      </c>
      <c r="E370" s="161">
        <f>0</f>
        <v>0.0</v>
      </c>
      <c r="F370" s="162">
        <f>0</f>
        <v>0.0</v>
      </c>
      <c r="G370" s="162">
        <f>0</f>
        <v>0.0</v>
      </c>
      <c r="H370" s="161">
        <f>0</f>
        <v>0.0</v>
      </c>
      <c r="I370" s="162">
        <f>0</f>
        <v>0.0</v>
      </c>
      <c r="J370" s="162">
        <f>0</f>
        <v>0.0</v>
      </c>
      <c r="K370" s="177">
        <f>0</f>
        <v>0.0</v>
      </c>
      <c r="L370" s="164">
        <f>0</f>
        <v>0.0</v>
      </c>
      <c r="M370" s="178">
        <f>0</f>
        <v>0.0</v>
      </c>
    </row>
    <row r="371" ht="15.75" customHeight="1">
      <c r="A371" s="152" t="n"/>
      <c r="B371" s="155" t="n"/>
      <c r="C371" s="154" t="n"/>
      <c r="D371" s="160" t="inlineStr">
        <is>
          <t>Other</t>
        </is>
      </c>
      <c r="E371" s="161">
        <f>0</f>
        <v>0.0</v>
      </c>
      <c r="F371" s="162">
        <f>0</f>
        <v>0.0</v>
      </c>
      <c r="G371" s="162">
        <f>0</f>
        <v>0.0</v>
      </c>
      <c r="H371" s="161">
        <f>0</f>
        <v>0.0</v>
      </c>
      <c r="I371" s="162">
        <f>0</f>
        <v>0.0</v>
      </c>
      <c r="J371" s="162">
        <f>0</f>
        <v>0.0</v>
      </c>
      <c r="K371" s="177">
        <f>0</f>
        <v>0.0</v>
      </c>
      <c r="L371" s="164">
        <f>0</f>
        <v>0.0</v>
      </c>
      <c r="M371" s="178">
        <f>0</f>
        <v>0.0</v>
      </c>
    </row>
    <row r="372" ht="15.75" customHeight="1">
      <c r="A372" s="152" t="n"/>
      <c r="B372" s="155" t="n"/>
      <c r="C372" s="154" t="n"/>
      <c r="D372" s="160" t="inlineStr">
        <is>
          <t>Total</t>
        </is>
      </c>
      <c r="E372" s="165">
        <f>SUMIFS(BSCRInput[count_policies],BSCRInput[bscr_entity],"HSA",BSCRInput[region],"ALL",BSCRInput[peril_id],1,BSCRInput[is_geocoded],0,BSCRInput[cntrycode],"US")</f>
        <v>0.0</v>
      </c>
      <c r="F372" s="166">
        <f>SUMIFS(BSCRInput[sum_pml],BSCRInput[bscr_entity],"HSA",BSCRInput[region],"ALL",BSCRInput[peril_id],1,BSCRInput[is_geocoded],0,BSCRInput[cntrycode],"US")/1000000</f>
        <v>0.0</v>
      </c>
      <c r="G372" s="166">
        <f>SUMIFS(BSCRInput[sum_net],BSCRInput[bscr_entity],"HSA",BSCRInput[region],"ALL",BSCRInput[peril_id],1,BSCRInput[is_geocoded],0,BSCRInput[cntrycode],"US")/1000000</f>
        <v>0.0</v>
      </c>
      <c r="H372" s="165">
        <f>(SUMIFS(BSCRInput[count_policies],BSCRInput[bscr_entity],"HSA",BSCRInput[region],"ALL",BSCRInput[peril_id],1,BSCRInput[is_geocoded],0)-SUMIFS(BSCRInput[count_policies],BSCRInput[bscr_entity],"HSA",BSCRInput[region],"ALL",BSCRInput[peril_id],1,BSCRInput[is_geocoded],0,BSCRInput[cntrycode],"US"))</f>
        <v>187.0</v>
      </c>
      <c r="I372" s="166">
        <f>(SUMIFS(BSCRInput[sum_pml],BSCRInput[bscr_entity],"HSA",BSCRInput[region],"ALL",BSCRInput[peril_id],1,BSCRInput[is_geocoded],0)-SUMIFS(BSCRInput[sum_pml],BSCRInput[bscr_entity],"HSA",BSCRInput[region],"ALL",BSCRInput[peril_id],1,BSCRInput[is_geocoded],0,BSCRInput[cntrycode],"US"))/1000000</f>
        <v>154.7942636550143</v>
      </c>
      <c r="J372" s="166">
        <f>(SUMIFS(BSCRInput[sum_net],BSCRInput[bscr_entity],"HSA",BSCRInput[region],"ALL",BSCRInput[peril_id],1,BSCRInput[is_geocoded],0)-SUMIFS(BSCRInput[sum_net],BSCRInput[bscr_entity],"HSA",BSCRInput[region],"ALL",BSCRInput[peril_id],1,BSCRInput[is_geocoded],0,BSCRInput[cntrycode],"US"))/1000000</f>
        <v>154.7942636550143</v>
      </c>
      <c r="K372" s="165">
        <f>SUMIFS(BSCRInput[count_policies],BSCRInput[bscr_entity],"HSA",BSCRInput[region],"ALL",BSCRInput[peril_id],1,BSCRInput[is_geocoded],0)</f>
        <v>187.0</v>
      </c>
      <c r="L372" s="166">
        <f>SUMIFS(BSCRInput[sum_pml],BSCRInput[bscr_entity],"HSA",BSCRInput[region],"ALL",BSCRInput[peril_id],1,BSCRInput[is_geocoded],0)/1000000</f>
        <v>154.7942636550143</v>
      </c>
      <c r="M372" s="166">
        <f>SUMIFS(BSCRInput[sum_net],BSCRInput[bscr_entity],"HSA",BSCRInput[region],"ALL",BSCRInput[peril_id],1,BSCRInput[is_geocoded],0)/1000000</f>
        <v>154.7942636550143</v>
      </c>
    </row>
    <row r="373" ht="9.199999999999999" customHeight="1">
      <c r="A373" s="152" t="n"/>
      <c r="B373" s="155" t="n"/>
      <c r="C373" s="154" t="n"/>
      <c r="D373" s="154" t="n"/>
      <c r="E373" s="154" t="n"/>
      <c r="F373" s="154" t="n"/>
      <c r="G373" s="154" t="n"/>
      <c r="H373" s="154" t="n"/>
      <c r="I373" s="154" t="n"/>
      <c r="J373" s="154" t="n"/>
      <c r="K373" s="154" t="n"/>
      <c r="L373" s="154" t="n"/>
      <c r="M373" s="154" t="n"/>
    </row>
    <row r="374" ht="15.75" customHeight="1">
      <c r="A374" s="152" t="n"/>
      <c r="B374" s="155" t="n"/>
      <c r="C374" s="154" t="inlineStr">
        <is>
          <t>If other is selected, describe the reasons for not modelling the contract(s):</t>
        </is>
      </c>
      <c r="D374" s="154" t="n"/>
      <c r="E374" s="167" t="n"/>
      <c r="F374" s="167" t="n"/>
      <c r="G374" s="167" t="n"/>
      <c r="H374" s="154" t="n"/>
      <c r="I374" s="154" t="n"/>
      <c r="J374" s="154" t="n"/>
      <c r="K374" s="154" t="n"/>
      <c r="L374" s="154" t="n"/>
      <c r="M374" s="154" t="n"/>
    </row>
    <row r="375" ht="15.75" customHeight="1">
      <c r="A375" s="152" t="n"/>
      <c r="B375" s="155" t="n"/>
      <c r="C375" s="171" t="n"/>
      <c r="D375" s="179" t="n"/>
      <c r="E375" s="179" t="n"/>
      <c r="F375" s="179" t="n"/>
      <c r="G375" s="179" t="n"/>
      <c r="H375" s="179" t="n"/>
      <c r="I375" s="179" t="n"/>
      <c r="J375" s="179" t="n"/>
      <c r="K375" s="179" t="n"/>
      <c r="L375" s="179" t="n"/>
      <c r="M375" s="56" t="n"/>
    </row>
    <row r="376" ht="6.75" customHeight="1">
      <c r="A376" s="152" t="n"/>
      <c r="B376" s="155" t="n"/>
      <c r="C376" s="57" t="n"/>
      <c r="D376" s="180" t="n"/>
      <c r="E376" s="180" t="n"/>
      <c r="F376" s="180" t="n"/>
      <c r="G376" s="180" t="n"/>
      <c r="H376" s="180" t="n"/>
      <c r="I376" s="180" t="n"/>
      <c r="J376" s="180" t="n"/>
      <c r="K376" s="180" t="n"/>
      <c r="L376" s="180" t="n"/>
      <c r="M376" s="58" t="n"/>
    </row>
    <row r="377" ht="9.199999999999999" customHeight="1">
      <c r="A377" s="152" t="n"/>
      <c r="B377" s="155" t="n"/>
      <c r="C377" s="181" t="n"/>
      <c r="D377" s="181" t="n"/>
      <c r="E377" s="181" t="n"/>
      <c r="F377" s="181" t="n"/>
      <c r="G377" s="181" t="n"/>
      <c r="H377" s="181" t="n"/>
      <c r="I377" s="181" t="n"/>
      <c r="J377" s="181" t="n"/>
      <c r="K377" s="181" t="n"/>
      <c r="L377" s="181" t="n"/>
      <c r="M377" s="181" t="n"/>
    </row>
    <row r="378" ht="15.75" customHeight="1">
      <c r="A378" s="152" t="n"/>
      <c r="B378" s="155" t="n">
        <v>7</v>
      </c>
      <c r="C378" s="155" t="inlineStr">
        <is>
          <t>What percentage of total net premiums written represents contracts with no limits?</t>
        </is>
      </c>
      <c r="D378" s="154" t="n"/>
      <c r="E378" s="154" t="n"/>
      <c r="F378" s="154" t="n"/>
      <c r="G378" s="154" t="n"/>
      <c r="H378" s="154" t="n"/>
      <c r="I378" s="182" t="n"/>
      <c r="J378" s="154" t="n"/>
      <c r="K378" s="154" t="n"/>
      <c r="L378" s="154" t="n"/>
      <c r="M378" s="154" t="n"/>
    </row>
    <row r="379" ht="9.199999999999999" customHeight="1">
      <c r="A379" s="152" t="n"/>
      <c r="B379" s="155" t="n"/>
      <c r="C379" s="154" t="n"/>
      <c r="D379" s="154" t="n"/>
      <c r="E379" s="154" t="n"/>
      <c r="F379" s="154" t="n"/>
      <c r="G379" s="154" t="n"/>
      <c r="H379" s="154" t="n"/>
      <c r="I379" s="154" t="n"/>
      <c r="J379" s="154" t="n"/>
      <c r="K379" s="154" t="n"/>
      <c r="L379" s="154" t="n"/>
      <c r="M379" s="154" t="n"/>
    </row>
    <row r="380" ht="15.75" customHeight="1">
      <c r="A380" s="152" t="n"/>
      <c r="B380" s="155" t="n">
        <v>8</v>
      </c>
      <c r="C380" s="155" t="inlineStr">
        <is>
          <t>For contracts that are written by the insurance group that are not modellable, describe what the members of the insurance group do from an accumulation perspective.</t>
        </is>
      </c>
      <c r="D380" s="154" t="n"/>
      <c r="E380" s="154" t="n"/>
      <c r="F380" s="154" t="n"/>
      <c r="G380" s="154" t="n"/>
      <c r="H380" s="154" t="n"/>
      <c r="I380" s="154" t="n"/>
      <c r="J380" s="154" t="n"/>
      <c r="K380" s="154" t="n"/>
      <c r="L380" s="154" t="n"/>
      <c r="M380" s="154" t="n"/>
    </row>
    <row r="381" ht="9.199999999999999" customHeight="1">
      <c r="A381" s="152" t="n"/>
      <c r="B381" s="155" t="n"/>
      <c r="C381" s="154" t="n"/>
      <c r="D381" s="154" t="n"/>
      <c r="E381" s="154" t="n"/>
      <c r="F381" s="154" t="n"/>
      <c r="G381" s="154" t="n"/>
      <c r="H381" s="154" t="n"/>
      <c r="I381" s="154" t="n"/>
      <c r="J381" s="154" t="n"/>
      <c r="K381" s="154" t="n"/>
      <c r="L381" s="154" t="n"/>
      <c r="M381" s="154" t="n"/>
    </row>
    <row r="382" ht="15.6" customHeight="1">
      <c r="A382" s="152" t="n"/>
      <c r="B382" s="155" t="n"/>
      <c r="C382" s="183" t="n"/>
      <c r="D382" s="45" t="n"/>
      <c r="E382" s="45" t="n"/>
      <c r="F382" s="45" t="n"/>
      <c r="G382" s="45" t="n"/>
      <c r="H382" s="45" t="n"/>
      <c r="I382" s="45" t="n"/>
      <c r="J382" s="45" t="n"/>
      <c r="K382" s="45" t="n"/>
      <c r="L382" s="45" t="n"/>
      <c r="M382" s="46" t="n"/>
    </row>
    <row r="383" ht="9.199999999999999" customHeight="1">
      <c r="A383" s="152" t="n"/>
      <c r="B383" s="155" t="n"/>
      <c r="C383" s="154" t="n"/>
      <c r="D383" s="154" t="n"/>
      <c r="E383" s="154" t="n"/>
      <c r="F383" s="154" t="n"/>
      <c r="G383" s="154" t="n"/>
      <c r="H383" s="154" t="n"/>
      <c r="I383" s="154" t="n"/>
      <c r="J383" s="154" t="n"/>
      <c r="K383" s="154" t="n"/>
      <c r="L383" s="154" t="n"/>
      <c r="M383" s="154" t="n"/>
    </row>
    <row r="384" ht="27.2" customHeight="1">
      <c r="A384" s="152" t="n"/>
      <c r="B384" s="184" t="n">
        <v>9</v>
      </c>
      <c r="C384" s="185" t="inlineStr">
        <is>
          <t>If there are contracts that are written by the insurance group that have no occurrence limits or where TIV has not been included in the exposure in the above exhibits, describe how this exposure is included in the above data.</t>
        </is>
      </c>
      <c r="M384" s="185" t="n"/>
    </row>
    <row r="385" ht="9.199999999999999" customHeight="1">
      <c r="A385" s="152" t="n"/>
      <c r="B385" s="155" t="n"/>
      <c r="C385" s="154" t="n"/>
      <c r="D385" s="154" t="n"/>
      <c r="E385" s="154" t="n"/>
      <c r="F385" s="154" t="n"/>
      <c r="G385" s="154" t="n"/>
      <c r="H385" s="154" t="n"/>
      <c r="I385" s="154" t="n"/>
      <c r="J385" s="154" t="n"/>
      <c r="K385" s="154" t="n"/>
      <c r="L385" s="154" t="n"/>
      <c r="M385" s="154" t="n"/>
    </row>
    <row r="386" ht="13.5" customHeight="1">
      <c r="A386" s="152" t="n"/>
      <c r="B386" s="155" t="n"/>
      <c r="C386" s="171" t="n"/>
      <c r="D386" s="45" t="n"/>
      <c r="E386" s="45" t="n"/>
      <c r="F386" s="45" t="n"/>
      <c r="G386" s="45" t="n"/>
      <c r="H386" s="45" t="n"/>
      <c r="I386" s="45" t="n"/>
      <c r="J386" s="45" t="n"/>
      <c r="K386" s="45" t="n"/>
      <c r="L386" s="45" t="n"/>
      <c r="M386" s="46" t="n"/>
    </row>
    <row r="387" ht="9.199999999999999" customHeight="1">
      <c r="A387" s="186" t="n"/>
      <c r="B387" s="187" t="n"/>
      <c r="C387" s="188" t="n"/>
      <c r="D387" s="188" t="n"/>
      <c r="E387" s="188" t="n"/>
      <c r="F387" s="188" t="n"/>
      <c r="G387" s="188" t="n"/>
      <c r="H387" s="188" t="n"/>
      <c r="I387" s="188" t="n"/>
      <c r="J387" s="188" t="n"/>
      <c r="K387" s="188" t="n"/>
      <c r="L387" s="188" t="n"/>
      <c r="M387" s="188" t="n"/>
    </row>
    <row r="388">
      <c r="A388" s="10" t="n"/>
      <c r="B388" s="189" t="n"/>
      <c r="C388" s="10" t="n"/>
      <c r="D388" s="10" t="n"/>
      <c r="E388" s="10" t="n"/>
      <c r="F388" s="10" t="n"/>
      <c r="G388" s="10" t="n"/>
      <c r="H388" s="10" t="n"/>
      <c r="I388" s="10" t="n"/>
      <c r="J388" s="10" t="n"/>
      <c r="K388" s="10" t="n"/>
      <c r="L388" s="10" t="n"/>
      <c r="M388" s="10" t="n"/>
    </row>
  </sheetData>
  <sheetProtection selectLockedCells="0" selectUnlockedCells="0" sheet="1" objects="0" insertRows="1" insertHyperlinks="1" autoFilter="1" scenarios="0" formatColumns="1" deleteColumns="1" insertColumns="1" pivotTables="1" deleteRows="1" formatCells="1" formatRows="1" sort="1"/>
  <mergeCells count="204">
    <mergeCell ref="E161:G161"/>
    <mergeCell ref="C210:D210"/>
    <mergeCell ref="I72:K72"/>
    <mergeCell ref="I159:K159"/>
    <mergeCell ref="C234:D234"/>
    <mergeCell ref="I56:K56"/>
    <mergeCell ref="I161:K161"/>
    <mergeCell ref="E79:F79"/>
    <mergeCell ref="E171:F171"/>
    <mergeCell ref="C302:D302"/>
    <mergeCell ref="C212:D212"/>
    <mergeCell ref="E315:G315"/>
    <mergeCell ref="I79:K79"/>
    <mergeCell ref="E57:G57"/>
    <mergeCell ref="C277:D277"/>
    <mergeCell ref="I82:K82"/>
    <mergeCell ref="C276:D276"/>
    <mergeCell ref="E365:G365"/>
    <mergeCell ref="C214:D214"/>
    <mergeCell ref="I63:K63"/>
    <mergeCell ref="E105:F105"/>
    <mergeCell ref="C192:G192"/>
    <mergeCell ref="I137:K137"/>
    <mergeCell ref="I50:K50"/>
    <mergeCell ref="C375:M376"/>
    <mergeCell ref="I59:K59"/>
    <mergeCell ref="E58:G58"/>
    <mergeCell ref="C278:D278"/>
    <mergeCell ref="I139:K139"/>
    <mergeCell ref="I174:K174"/>
    <mergeCell ref="C361:M361"/>
    <mergeCell ref="C253:D253"/>
    <mergeCell ref="I49:K49"/>
    <mergeCell ref="E42:G42"/>
    <mergeCell ref="E151:G151"/>
    <mergeCell ref="I45:K45"/>
    <mergeCell ref="E141:G141"/>
    <mergeCell ref="H315:J315"/>
    <mergeCell ref="E135:G135"/>
    <mergeCell ref="E44:G44"/>
    <mergeCell ref="E138:G138"/>
    <mergeCell ref="G180:H181"/>
    <mergeCell ref="I47:K47"/>
    <mergeCell ref="C254:D254"/>
    <mergeCell ref="E143:G143"/>
    <mergeCell ref="I141:K141"/>
    <mergeCell ref="I150:K150"/>
    <mergeCell ref="E60:G60"/>
    <mergeCell ref="C235:D235"/>
    <mergeCell ref="E69:G69"/>
    <mergeCell ref="E149:G149"/>
    <mergeCell ref="I143:K143"/>
    <mergeCell ref="E59:G59"/>
    <mergeCell ref="I152:K152"/>
    <mergeCell ref="E46:G46"/>
    <mergeCell ref="C280:D280"/>
    <mergeCell ref="I167:K167"/>
    <mergeCell ref="I142:K142"/>
    <mergeCell ref="E70:G70"/>
    <mergeCell ref="E162:G162"/>
    <mergeCell ref="C211:D211"/>
    <mergeCell ref="I64:K64"/>
    <mergeCell ref="E144:G144"/>
    <mergeCell ref="I78:K78"/>
    <mergeCell ref="C382:M382"/>
    <mergeCell ref="I169:K169"/>
    <mergeCell ref="I51:K51"/>
    <mergeCell ref="E159:G159"/>
    <mergeCell ref="E134:G134"/>
    <mergeCell ref="E348:G348"/>
    <mergeCell ref="E47:G47"/>
    <mergeCell ref="E56:G56"/>
    <mergeCell ref="E145:G145"/>
    <mergeCell ref="E139:G139"/>
    <mergeCell ref="I81:K81"/>
    <mergeCell ref="E43:G43"/>
    <mergeCell ref="H333:J333"/>
    <mergeCell ref="E71:G71"/>
    <mergeCell ref="I164:K164"/>
    <mergeCell ref="E172:F172"/>
    <mergeCell ref="F288:G288"/>
    <mergeCell ref="I145:K145"/>
    <mergeCell ref="H348:J348"/>
    <mergeCell ref="I163:K163"/>
    <mergeCell ref="E140:G140"/>
    <mergeCell ref="K333:M333"/>
    <mergeCell ref="E324:G324"/>
    <mergeCell ref="I76:K76"/>
    <mergeCell ref="E333:G333"/>
    <mergeCell ref="B188:F188"/>
    <mergeCell ref="E63:G63"/>
    <mergeCell ref="I156:K156"/>
    <mergeCell ref="F266:G266"/>
    <mergeCell ref="E137:G137"/>
    <mergeCell ref="C279:D279"/>
    <mergeCell ref="C357:M357"/>
    <mergeCell ref="H365:J365"/>
    <mergeCell ref="I75:K75"/>
    <mergeCell ref="I53:K53"/>
    <mergeCell ref="C344:M344"/>
    <mergeCell ref="I130:K130"/>
    <mergeCell ref="I68:K68"/>
    <mergeCell ref="C386:M386"/>
    <mergeCell ref="C256:D256"/>
    <mergeCell ref="I52:K52"/>
    <mergeCell ref="I67:K67"/>
    <mergeCell ref="E45:G45"/>
    <mergeCell ref="I39:K39"/>
    <mergeCell ref="I132:K132"/>
    <mergeCell ref="I48:K48"/>
    <mergeCell ref="E13:F13"/>
    <mergeCell ref="A3:M4"/>
    <mergeCell ref="G13:H13"/>
    <mergeCell ref="C255:D255"/>
    <mergeCell ref="E136:G136"/>
    <mergeCell ref="I38:K38"/>
    <mergeCell ref="D244:E244"/>
    <mergeCell ref="F244:G244"/>
    <mergeCell ref="A1:M1"/>
    <mergeCell ref="C257:D257"/>
    <mergeCell ref="C297:D297"/>
    <mergeCell ref="E80:F80"/>
    <mergeCell ref="K348:M348"/>
    <mergeCell ref="I40:K40"/>
    <mergeCell ref="H324:J324"/>
    <mergeCell ref="I168:K168"/>
    <mergeCell ref="C299:D299"/>
    <mergeCell ref="I80:K80"/>
    <mergeCell ref="C209:D209"/>
    <mergeCell ref="I160:K160"/>
    <mergeCell ref="E142:G142"/>
    <mergeCell ref="B311:D311"/>
    <mergeCell ref="I136:K136"/>
    <mergeCell ref="I70:K70"/>
    <mergeCell ref="F222:G222"/>
    <mergeCell ref="K365:M365"/>
    <mergeCell ref="I144:K144"/>
    <mergeCell ref="I57:K57"/>
    <mergeCell ref="E64:G64"/>
    <mergeCell ref="C258:D258"/>
    <mergeCell ref="K315:M315"/>
    <mergeCell ref="C298:D298"/>
    <mergeCell ref="K324:M324"/>
    <mergeCell ref="E51:G51"/>
    <mergeCell ref="E156:G156"/>
    <mergeCell ref="C338:D338"/>
    <mergeCell ref="I41:K41"/>
    <mergeCell ref="I134:K134"/>
    <mergeCell ref="G105:H105"/>
    <mergeCell ref="D222:E222"/>
    <mergeCell ref="E155:G155"/>
    <mergeCell ref="C275:D275"/>
    <mergeCell ref="B190:C190"/>
    <mergeCell ref="I71:K71"/>
    <mergeCell ref="I162:K162"/>
    <mergeCell ref="I131:K131"/>
    <mergeCell ref="I43:K43"/>
    <mergeCell ref="I58:K58"/>
    <mergeCell ref="I171:K171"/>
    <mergeCell ref="E148:G148"/>
    <mergeCell ref="C231:D231"/>
    <mergeCell ref="I155:K155"/>
    <mergeCell ref="D266:E266"/>
    <mergeCell ref="I42:K42"/>
    <mergeCell ref="E49:G49"/>
    <mergeCell ref="I173:K173"/>
    <mergeCell ref="D288:E288"/>
    <mergeCell ref="G88:H89"/>
    <mergeCell ref="I170:K170"/>
    <mergeCell ref="E163:G163"/>
    <mergeCell ref="I148:K148"/>
    <mergeCell ref="C301:D301"/>
    <mergeCell ref="C236:D236"/>
    <mergeCell ref="I44:K44"/>
    <mergeCell ref="I138:K138"/>
    <mergeCell ref="D200:E200"/>
    <mergeCell ref="C232:D232"/>
    <mergeCell ref="I172:K172"/>
    <mergeCell ref="F200:G200"/>
    <mergeCell ref="C300:D300"/>
    <mergeCell ref="C213:D213"/>
    <mergeCell ref="I60:K60"/>
    <mergeCell ref="E53:G53"/>
    <mergeCell ref="B10:C10"/>
    <mergeCell ref="I69:K69"/>
    <mergeCell ref="I140:K140"/>
    <mergeCell ref="E50:G50"/>
    <mergeCell ref="C384:L384"/>
    <mergeCell ref="I149:K149"/>
    <mergeCell ref="E68:G68"/>
    <mergeCell ref="I77:K77"/>
    <mergeCell ref="E160:G160"/>
    <mergeCell ref="I46:K46"/>
    <mergeCell ref="I133:K133"/>
    <mergeCell ref="C233:D233"/>
    <mergeCell ref="C359:M359"/>
    <mergeCell ref="E52:G52"/>
    <mergeCell ref="E67:G67"/>
    <mergeCell ref="I151:K151"/>
    <mergeCell ref="E150:G150"/>
    <mergeCell ref="E48:G48"/>
    <mergeCell ref="C339:D339"/>
    <mergeCell ref="I135:K135"/>
    <mergeCell ref="E152:G152"/>
  </mergeCells>
  <hyperlinks>
    <hyperlink xmlns:r="http://schemas.openxmlformats.org/officeDocument/2006/relationships" ref="B6" r:id="rId1"/>
    <hyperlink xmlns:r="http://schemas.openxmlformats.org/officeDocument/2006/relationships" ref="E6" r:id="rId2"/>
    <hyperlink xmlns:r="http://schemas.openxmlformats.org/officeDocument/2006/relationships" ref="H6" r:id="rId3"/>
    <hyperlink xmlns:r="http://schemas.openxmlformats.org/officeDocument/2006/relationships" ref="K6" r:id="rId4"/>
    <hyperlink xmlns:r="http://schemas.openxmlformats.org/officeDocument/2006/relationships" ref="J8" r:id="rId5"/>
    <hyperlink xmlns:r="http://schemas.openxmlformats.org/officeDocument/2006/relationships" ref="J98" r:id="rId6"/>
    <hyperlink xmlns:r="http://schemas.openxmlformats.org/officeDocument/2006/relationships" ref="G188" r:id="rId7"/>
    <hyperlink xmlns:r="http://schemas.openxmlformats.org/officeDocument/2006/relationships" ref="J309" r:id="rId8"/>
  </hyperlinks>
  <pageMargins left="0.75" right="0.75" top="1" bottom="1" header="0.5" footer="0.5"/>
  <pageSetup orientation="landscape" paperSize="8" fitToHeight="0" fitToWidth="1"/>
  <rowBreaks count="4" manualBreakCount="4">
    <brk id="92" min="0" max="16383" man="1"/>
    <brk id="182" min="0" max="16383" man="1"/>
    <brk id="303" min="0" max="16383" man="1"/>
    <brk id="388" min="0" max="16383" man="1"/>
  </rowBreaks>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2026-09-24T20:41:28Z</dcterms:created>
  <dcterms:modified xmlns:dcterms="http://purl.org/dc/terms/" xmlns:xsi="http://www.w3.org/2001/XMLSchema-instance" xsi:type="dcterms:W3CDTF">2026-09-24T20:41:34Z</dcterms:modified>
</cp:coreProperties>
</file>