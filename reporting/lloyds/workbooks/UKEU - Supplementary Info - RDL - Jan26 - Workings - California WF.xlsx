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rels" ContentType="application/vnd.openxmlformats-package.relationships+xml"/>
  <ns0:Default Extension="vml" ContentType="application/vnd.openxmlformats-officedocument.vmlDrawing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externalLinks/externalLink1.xml" ContentType="application/vnd.openxmlformats-officedocument.spreadsheetml.externalLink+xml"/>
  <ns0:Override PartName="/xl/externalLinks/externalLink2.xml" ContentType="application/vnd.openxmlformats-officedocument.spreadsheetml.externalLink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trlProps/ctrlProp1.xml" ContentType="application/vnd.ms-excel.controlproperties+xml"/>
  <ns0:Override PartName="/xl/ctrlProps/ctrlProp2.xml" ContentType="application/vnd.ms-excel.controlproperties+xml"/>
  <ns0:Override PartName="/xl/calcChain.xml" ContentType="application/vnd.openxmlformats-officedocument.spreadsheetml.calcChain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worksheets/sheet3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8526"/>
  <workbookPr defaultThemeVersion="124226"/>
  <mc:AlternateContent>
    <mc:Choice Requires="x15">
      <x15ac:absPath url="W:\Data\Cat Modelling\Group Reporting\Reports\2026\2026-01 - RDS\Supplementary Information\2. Data Received\Nat Cat\UKEU\"/>
    </mc:Choice>
  </mc:AlternateContent>
  <xr:revisionPtr revIDLastSave="0" documentId="13_ncr:1_{EF1C5BD3-70BB-4F31-ACC1-ABE2C2742450}" xr6:coauthVersionLast="47" xr6:coauthVersionMax="47" xr10:uidLastSave="{00000000-0000-0000-0000-000000000000}"/>
  <bookViews>
    <workbookView xWindow="0" yWindow="0" windowWidth="19814" windowHeight="15990" tabRatio="773" xr2:uid="{00000000-000D-0000-FFFF-FFFF00000000}" activeTab="2"/>
  </bookViews>
  <sheets>
    <sheet name="06 California Wildfire Aggs" sheetId="11" r:id="rId1"/>
    <sheet name="Core data" sheetId="2" r:id="rId2"/>
    <sheet name="AUDIT_SUMMARY" sheetId="12" r:id="rId9"/>
  </sheets>
  <externalReferences>
    <externalReference r:id="rId3"/>
    <externalReference r:id="rId4"/>
  </externalReferences>
  <definedNames>
    <definedName name="_xlnm._FilterDatabase" localSheetId="1" hidden="1">'Core data'!$A$1:$T$67</definedName>
    <definedName name="CRESTA">[1]Reference!#REF!</definedName>
    <definedName name="General_tab">'[2]Contact information'!$D$5,'[2]Contact information'!$D$7,'[2]Contact information'!$D$9,'[2]Contact information'!$D$10,'[2]Contact information'!$D$11</definedName>
    <definedName name="ModellingMethod">[1]Reference!$D$3:$D$10</definedName>
    <definedName name="RMSVersions">[1]Reference!$E$3:$E$5</definedName>
    <definedName name="Syndicates">[1]Reference!$B$3:$B$89</definedName>
  </definedName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C10" i="11" s="1"/>
  <c r="N7" i="2"/>
  <c r="N8" i="2"/>
  <c r="N2" i="2"/>
  <c r="C57" i="11"/>
  <c r="C61" i="11"/>
  <c r="C65" i="11"/>
  <c r="C64" i="11" l="1"/>
  <c r="C60" i="11"/>
  <c r="C56" i="11"/>
  <c r="C52" i="11"/>
  <c r="C48" i="11"/>
  <c r="C44" i="11"/>
  <c r="C40" i="11"/>
  <c r="C36" i="11"/>
  <c r="C32" i="11"/>
  <c r="C28" i="11"/>
  <c r="C24" i="11"/>
  <c r="C20" i="11"/>
  <c r="C16" i="11"/>
  <c r="C12" i="11"/>
  <c r="C53" i="11"/>
  <c r="C41" i="11"/>
  <c r="C33" i="11"/>
  <c r="C25" i="11"/>
  <c r="C13" i="11"/>
  <c r="C63" i="11"/>
  <c r="C59" i="11"/>
  <c r="C55" i="11"/>
  <c r="C51" i="11"/>
  <c r="C47" i="11"/>
  <c r="C43" i="11"/>
  <c r="C39" i="11"/>
  <c r="C35" i="11"/>
  <c r="C31" i="11"/>
  <c r="C27" i="11"/>
  <c r="C23" i="11"/>
  <c r="C19" i="11"/>
  <c r="C15" i="11"/>
  <c r="C11" i="11"/>
  <c r="C49" i="11"/>
  <c r="C45" i="11"/>
  <c r="C37" i="11"/>
  <c r="C29" i="11"/>
  <c r="C21" i="11"/>
  <c r="C17" i="11"/>
  <c r="C9" i="11"/>
  <c r="C8" i="11"/>
  <c r="C62" i="11"/>
  <c r="C58" i="11"/>
  <c r="C54" i="11"/>
  <c r="C50" i="11"/>
  <c r="C46" i="11"/>
  <c r="C42" i="11"/>
  <c r="C38" i="11"/>
  <c r="C34" i="11"/>
  <c r="C30" i="11"/>
  <c r="C26" i="11"/>
  <c r="C22" i="11"/>
  <c r="C18" i="11"/>
  <c r="C14" i="11"/>
</calcChain>
</file>

<file path=xl/sharedStrings.xml><?xml version="1.0" encoding="utf-8"?>
<sst xmlns="http://schemas.openxmlformats.org/spreadsheetml/2006/main" count="156" uniqueCount="120">
  <si>
    <t>Table 1</t>
  </si>
  <si>
    <t>Table 2</t>
  </si>
  <si>
    <t>Property D&amp;F</t>
  </si>
  <si>
    <t>Energy</t>
  </si>
  <si>
    <t>Other</t>
  </si>
  <si>
    <t>Property Treaty</t>
  </si>
  <si>
    <t>Cat XL</t>
  </si>
  <si>
    <t>Risk XL</t>
  </si>
  <si>
    <t>Proportional</t>
  </si>
  <si>
    <t>Open Market</t>
  </si>
  <si>
    <t>Binding Authorities</t>
  </si>
  <si>
    <t>Onshore</t>
  </si>
  <si>
    <t>Table 3</t>
  </si>
  <si>
    <t>Aggregate Allocation %</t>
  </si>
  <si>
    <t>Class of Business</t>
  </si>
  <si>
    <t>Known</t>
  </si>
  <si>
    <t>'Deemed'</t>
  </si>
  <si>
    <t>Open Market D&amp;F</t>
  </si>
  <si>
    <t>Energy (onshore)</t>
  </si>
  <si>
    <t>Treaty - Cat XL</t>
  </si>
  <si>
    <t>Treaty - Risk XL</t>
  </si>
  <si>
    <t>Treaty - Proportional</t>
  </si>
  <si>
    <t>PORTNAME</t>
  </si>
  <si>
    <t>Currency</t>
  </si>
  <si>
    <t>TSI</t>
  </si>
  <si>
    <t>GBP</t>
  </si>
  <si>
    <t>COUNTRY</t>
  </si>
  <si>
    <t>cresta</t>
  </si>
  <si>
    <t>California Wildfire aggregates at County level</t>
  </si>
  <si>
    <t>County</t>
  </si>
  <si>
    <t>State-wide total</t>
  </si>
  <si>
    <t>San Francisco</t>
  </si>
  <si>
    <t>US</t>
  </si>
  <si>
    <t>B1</t>
  </si>
  <si>
    <t>LOS ANGELES COUNTY</t>
  </si>
  <si>
    <t>A1</t>
  </si>
  <si>
    <t>SAN FRANCISCO COUNTY</t>
  </si>
  <si>
    <t>B3</t>
  </si>
  <si>
    <t>ORANGE COUNTY</t>
  </si>
  <si>
    <t>G</t>
  </si>
  <si>
    <t>SAN JOAQUIN COUNTY</t>
  </si>
  <si>
    <t>SACRAMENTO COUNTY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</si>
  <si>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</si>
  <si>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</si>
  <si>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</si>
  <si>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</si>
  <si>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</si>
  <si>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</si>
  <si>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</si>
  <si>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</si>
  <si>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</si>
  <si>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</si>
  <si>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</si>
  <si>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</si>
  <si>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</si>
  <si>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</si>
  <si>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</si>
  <si>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</si>
  <si>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</si>
  <si>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</si>
  <si>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</si>
  <si>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</si>
  <si>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</si>
  <si>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</si>
  <si>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</si>
  <si>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</si>
  <si>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</si>
  <si>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</si>
  <si>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</si>
  <si>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</si>
  <si>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</si>
  <si>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</si>
  <si>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</si>
  <si>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</si>
  <si>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</si>
  <si>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</si>
  <si>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</si>
  <si>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</si>
  <si>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</si>
  <si>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</si>
  <si>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</si>
  <si>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</si>
  <si>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</si>
  <si>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</si>
  <si>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</si>
  <si>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</si>
  <si>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</si>
  <si>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</si>
  <si>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</si>
  <si>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</si>
  <si>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</si>
  <si>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</si>
  <si>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</si>
  <si>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</si>
  <si>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</si>
  <si>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</si>
  <si>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</si>
  <si>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</si>
  <si>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</si>
  <si>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TSI_NET</t>
  </si>
  <si>
    <t>TSI_GBP</t>
  </si>
  <si>
    <t>TSI_USD_NET</t>
  </si>
  <si>
    <t>Static property exposure data as at 01/01/2025 (USD units)</t>
  </si>
  <si>
    <t>S33_FA_Lloyds</t>
  </si>
  <si>
    <t>B2</t>
  </si>
  <si>
    <t>S3624_COMM_UK</t>
  </si>
  <si>
    <t>cntrycode</t>
  </si>
  <si>
    <t>statecode</t>
  </si>
  <si>
    <t>county</t>
  </si>
  <si>
    <t>accgrpid</t>
  </si>
  <si>
    <t>ACCGRPNUM</t>
  </si>
  <si>
    <t>CA</t>
  </si>
  <si>
    <t>1BABC240AFCD_32</t>
  </si>
  <si>
    <t>17J73240AFMD_32</t>
  </si>
  <si>
    <t>S33_FA_Lloyds_QS</t>
  </si>
  <si>
    <t>19NFT240AFPD_32</t>
  </si>
  <si>
    <t>S33_FA_Lloyds_SRP</t>
  </si>
  <si>
    <t>165L2250AFPA_32</t>
  </si>
  <si>
    <t>9649559_44</t>
  </si>
  <si>
    <t>Remove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</si>
</sst>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30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8"/>
      <color rgb="FF000000"/>
      <name val="Tahoma"/>
      <family val="2"/>
    </font>
    <font>
      <sz val="10"/>
      <name val="Arial"/>
      <family val="2"/>
    </font>
    <font>
      <sz val="10"/>
      <name val="Sansa Lloyds"/>
    </font>
    <font>
      <sz val="12"/>
      <color indexed="9"/>
      <name val="Sansa Lloyd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SwissReSans"/>
    </font>
    <font>
      <b/>
      <sz val="11"/>
      <color indexed="63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b/>
      <sz val="14"/>
      <name val="Sansa Lloyds"/>
    </font>
    <font>
      <sz val="1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164" fontId="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1" fillId="3" borderId="0" applyNumberFormat="0" applyBorder="0" applyAlignment="0" applyProtection="0"/>
    <xf numFmtId="0" fontId="12" fillId="6" borderId="4" applyNumberFormat="0" applyAlignment="0" applyProtection="0"/>
    <xf numFmtId="0" fontId="13" fillId="7" borderId="6" applyNumberFormat="0" applyAlignment="0" applyProtection="0"/>
    <xf numFmtId="164" fontId="6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4" applyNumberFormat="0" applyAlignment="0" applyProtection="0"/>
    <xf numFmtId="0" fontId="21" fillId="0" borderId="5" applyNumberFormat="0" applyFill="0" applyAlignment="0" applyProtection="0"/>
    <xf numFmtId="0" fontId="22" fillId="4" borderId="0" applyNumberFormat="0" applyBorder="0" applyAlignment="0" applyProtection="0"/>
    <xf numFmtId="0" fontId="6" fillId="0" borderId="0"/>
    <xf numFmtId="0" fontId="6" fillId="0" borderId="0"/>
    <xf numFmtId="0" fontId="23" fillId="0" borderId="0"/>
    <xf numFmtId="0" fontId="9" fillId="8" borderId="7" applyNumberFormat="0" applyFont="0" applyAlignment="0" applyProtection="0"/>
    <xf numFmtId="0" fontId="24" fillId="35" borderId="11" applyNumberFormat="0" applyAlignment="0" applyProtection="0"/>
    <xf numFmtId="0" fontId="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2" fillId="0" borderId="0"/>
    <xf numFmtId="0" fontId="14" fillId="0" borderId="0"/>
    <xf numFmtId="164" fontId="1" fillId="0" borderId="0" applyFont="0" applyFill="0" applyBorder="0" applyAlignment="0" applyProtection="0"/>
    <xf numFmtId="0" fontId="27" fillId="2" borderId="0" applyNumberFormat="0" applyBorder="0" applyAlignment="0" applyProtection="0"/>
  </cellStyleXfs>
  <cellXfs count="43">
    <xf numFmtId="0" fontId="0" fillId="0" borderId="0" xfId="0"/>
    <xf numFmtId="0" fontId="0" fillId="0" borderId="0" xfId="0" applyFill="1"/>
    <xf numFmtId="2" fontId="0" fillId="0" borderId="0" xfId="0" applyNumberFormat="1" applyFill="1" applyAlignment="1">
      <alignment vertical="center"/>
    </xf>
    <xf numFmtId="0" fontId="6" fillId="33" borderId="0" xfId="2" applyFill="1" applyAlignment="1">
      <alignment vertical="center"/>
    </xf>
    <xf numFmtId="0" fontId="0" fillId="33" borderId="0" xfId="0" applyFill="1"/>
    <xf numFmtId="0" fontId="7" fillId="33" borderId="0" xfId="2" quotePrefix="1" applyFont="1" applyFill="1" applyAlignment="1">
      <alignment vertical="center"/>
    </xf>
    <xf numFmtId="0" fontId="6" fillId="33" borderId="0" xfId="2" applyFill="1" applyAlignment="1">
      <alignment horizontal="center" vertical="center"/>
    </xf>
    <xf numFmtId="165" fontId="0" fillId="0" borderId="0" xfId="1" applyNumberFormat="1" applyFont="1" applyFill="1"/>
    <xf numFmtId="165" fontId="27" fillId="2" borderId="0" xfId="56" applyNumberFormat="1"/>
    <xf numFmtId="0" fontId="27" fillId="2" borderId="0" xfId="56"/>
    <xf numFmtId="0" fontId="0" fillId="0" borderId="0" xfId="0" applyFill="1" applyAlignment="1">
      <alignment horizontal="center"/>
    </xf>
    <xf numFmtId="166" fontId="0" fillId="0" borderId="0" xfId="0" applyNumberFormat="1" applyFill="1" applyAlignment="1" applyProtection="1">
      <alignment horizontal="center"/>
      <protection locked="0"/>
    </xf>
    <xf numFmtId="165" fontId="0" fillId="0" borderId="0" xfId="1" applyNumberFormat="1" applyFont="1" applyFill="1" applyProtection="1">
      <protection locked="0"/>
    </xf>
    <xf numFmtId="0" fontId="28" fillId="33" borderId="0" xfId="2" quotePrefix="1" applyFont="1" applyFill="1"/>
    <xf numFmtId="0" fontId="6" fillId="33" borderId="0" xfId="2" applyFill="1"/>
    <xf numFmtId="0" fontId="7" fillId="33" borderId="0" xfId="2" quotePrefix="1" applyFont="1" applyFill="1"/>
    <xf numFmtId="0" fontId="8" fillId="34" borderId="14" xfId="43" applyFont="1" applyFill="1" applyBorder="1" applyAlignment="1">
      <alignment horizontal="center" vertical="justify"/>
    </xf>
    <xf numFmtId="0" fontId="8" fillId="34" borderId="14" xfId="43" applyFont="1" applyFill="1" applyBorder="1" applyAlignment="1">
      <alignment horizontal="center" vertical="center"/>
    </xf>
    <xf numFmtId="0" fontId="8" fillId="34" borderId="17" xfId="43" applyFont="1" applyFill="1" applyBorder="1" applyAlignment="1">
      <alignment horizontal="center" vertical="justify"/>
    </xf>
    <xf numFmtId="0" fontId="29" fillId="0" borderId="18" xfId="2" applyFont="1" applyBorder="1" applyAlignment="1">
      <alignment horizontal="center" wrapText="1"/>
    </xf>
    <xf numFmtId="0" fontId="29" fillId="0" borderId="17" xfId="2" applyFont="1" applyBorder="1" applyAlignment="1">
      <alignment horizontal="center"/>
    </xf>
    <xf numFmtId="0" fontId="6" fillId="0" borderId="17" xfId="2" applyBorder="1" applyAlignment="1">
      <alignment horizontal="center"/>
    </xf>
    <xf numFmtId="0" fontId="6" fillId="33" borderId="14" xfId="2" applyFill="1" applyBorder="1" applyAlignment="1">
      <alignment horizontal="center" vertical="center"/>
    </xf>
    <xf numFmtId="165" fontId="0" fillId="33" borderId="14" xfId="3" applyNumberFormat="1" applyFont="1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/>
    </xf>
    <xf numFmtId="165" fontId="6" fillId="33" borderId="17" xfId="3" applyNumberFormat="1" applyFont="1" applyFill="1" applyBorder="1" applyAlignment="1" applyProtection="1">
      <alignment vertical="center"/>
      <protection locked="0"/>
    </xf>
    <xf numFmtId="165" fontId="6" fillId="33" borderId="18" xfId="3" applyNumberFormat="1" applyFont="1" applyFill="1" applyBorder="1" applyAlignment="1" applyProtection="1">
      <alignment vertical="center"/>
      <protection locked="0"/>
    </xf>
    <xf numFmtId="165" fontId="6" fillId="33" borderId="12" xfId="3" applyNumberFormat="1" applyFont="1" applyFill="1" applyBorder="1" applyAlignment="1" applyProtection="1">
      <alignment vertical="center"/>
      <protection locked="0"/>
    </xf>
    <xf numFmtId="165" fontId="6" fillId="33" borderId="9" xfId="3" applyNumberFormat="1" applyFont="1" applyFill="1" applyBorder="1" applyAlignment="1" applyProtection="1">
      <alignment vertical="center"/>
      <protection locked="0"/>
    </xf>
    <xf numFmtId="0" fontId="8" fillId="34" borderId="17" xfId="2" applyFont="1" applyFill="1" applyBorder="1" applyAlignment="1">
      <alignment horizontal="center" vertical="center"/>
    </xf>
    <xf numFmtId="0" fontId="8" fillId="34" borderId="17" xfId="2" quotePrefix="1" applyFont="1" applyFill="1" applyBorder="1" applyAlignment="1">
      <alignment horizontal="center" vertical="center"/>
    </xf>
    <xf numFmtId="9" fontId="0" fillId="33" borderId="14" xfId="4" applyFont="1" applyFill="1" applyBorder="1" applyAlignment="1" applyProtection="1">
      <alignment vertical="center"/>
      <protection locked="0"/>
    </xf>
    <xf numFmtId="0" fontId="0" fillId="0" borderId="13" xfId="0" applyBorder="1" applyAlignment="1">
      <alignment horizontal="center"/>
    </xf>
    <xf numFmtId="165" fontId="6" fillId="33" borderId="13" xfId="3" applyNumberFormat="1" applyFont="1" applyFill="1" applyBorder="1" applyAlignment="1" applyProtection="1">
      <alignment vertical="center"/>
      <protection locked="0"/>
    </xf>
    <xf numFmtId="165" fontId="6" fillId="33" borderId="10" xfId="3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65" fontId="6" fillId="33" borderId="0" xfId="3" applyNumberFormat="1" applyFont="1" applyFill="1" applyBorder="1" applyAlignment="1" applyProtection="1">
      <alignment vertical="center"/>
      <protection locked="0"/>
    </xf>
    <xf numFmtId="0" fontId="8" fillId="34" borderId="15" xfId="43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34" borderId="15" xfId="2" applyFont="1" applyFill="1" applyBorder="1" applyAlignment="1">
      <alignment horizontal="center" vertical="center"/>
    </xf>
    <xf numFmtId="0" fontId="8" fillId="34" borderId="16" xfId="2" applyFont="1" applyFill="1" applyBorder="1" applyAlignment="1">
      <alignment horizontal="center" vertical="center"/>
    </xf>
    <xf numFmtId="3" fontId="0" fillId="0" borderId="0" xfId="0" applyNumberFormat="1" applyFill="1"/>
    <xf numFmtId="4" fontId="0" fillId="0" borderId="0" xfId="0" applyNumberFormat="1" applyFill="1"/>
  </cellXfs>
  <cellStyles count="5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" xfId="1" builtinId="3"/>
    <cellStyle name="Comma 10" xfId="55" xr:uid="{00000000-0005-0000-0000-00001C000000}"/>
    <cellStyle name="Comma 2" xfId="3" xr:uid="{00000000-0005-0000-0000-00001D000000}"/>
    <cellStyle name="Comma 2 2" xfId="32" xr:uid="{00000000-0005-0000-0000-00001E000000}"/>
    <cellStyle name="Comma 3" xfId="51" xr:uid="{00000000-0005-0000-0000-00001F000000}"/>
    <cellStyle name="Excel Built-in Normal" xfId="33" xr:uid="{00000000-0005-0000-0000-000020000000}"/>
    <cellStyle name="Explanatory Text 2" xfId="34" xr:uid="{00000000-0005-0000-0000-000021000000}"/>
    <cellStyle name="Good" xfId="56" builtinId="26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2" xr:uid="{00000000-0005-0000-0000-00002C000000}"/>
    <cellStyle name="Normal 3" xfId="44" xr:uid="{00000000-0005-0000-0000-00002D000000}"/>
    <cellStyle name="Normal 4" xfId="45" xr:uid="{00000000-0005-0000-0000-00002E000000}"/>
    <cellStyle name="Normal 5" xfId="52" xr:uid="{00000000-0005-0000-0000-00002F000000}"/>
    <cellStyle name="Normal 6" xfId="53" xr:uid="{00000000-0005-0000-0000-000030000000}"/>
    <cellStyle name="Normal 8" xfId="54" xr:uid="{00000000-0005-0000-0000-000031000000}"/>
    <cellStyle name="Note 2" xfId="46" xr:uid="{00000000-0005-0000-0000-000032000000}"/>
    <cellStyle name="Output 2" xfId="47" xr:uid="{00000000-0005-0000-0000-000033000000}"/>
    <cellStyle name="Percent 2" xfId="4" xr:uid="{00000000-0005-0000-0000-000035000000}"/>
    <cellStyle name="Title 2" xfId="48" xr:uid="{00000000-0005-0000-0000-000036000000}"/>
    <cellStyle name="Total 2" xfId="49" xr:uid="{00000000-0005-0000-0000-000037000000}"/>
    <cellStyle name="Warning Text 2" xfId="50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calcChain" Target="calcChain.xml" /><ns0:Relationship Id="rId3" Type="http://schemas.openxmlformats.org/officeDocument/2006/relationships/externalLink" Target="externalLinks/externalLink1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externalLink" Target="externalLinks/externalLink2.xml" /><ns0:Relationship Id="rId9" Type="http://schemas.openxmlformats.org/officeDocument/2006/relationships/worksheet" Target="worksheets/sheet3.xml" /></ns0: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7315</xdr:colOff>
          <xdr:row>3</xdr:row>
          <xdr:rowOff>51206</xdr:rowOff>
        </xdr:from>
        <xdr:to>
          <xdr:col>1</xdr:col>
          <xdr:colOff>672998</xdr:colOff>
          <xdr:row>4</xdr:row>
          <xdr:rowOff>102413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1</xdr:colOff>
      <xdr:row>1</xdr:row>
      <xdr:rowOff>0</xdr:rowOff>
    </xdr:from>
    <xdr:to>
      <xdr:col>6</xdr:col>
      <xdr:colOff>57152</xdr:colOff>
      <xdr:row>6</xdr:row>
      <xdr:rowOff>125055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6" y="161925"/>
          <a:ext cx="1400176" cy="93468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7315</xdr:colOff>
          <xdr:row>3</xdr:row>
          <xdr:rowOff>51206</xdr:rowOff>
        </xdr:from>
        <xdr:to>
          <xdr:col>1</xdr:col>
          <xdr:colOff>636422</xdr:colOff>
          <xdr:row>3</xdr:row>
          <xdr:rowOff>263347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1</xdr:colOff>
      <xdr:row>1</xdr:row>
      <xdr:rowOff>0</xdr:rowOff>
    </xdr:from>
    <xdr:to>
      <xdr:col>6</xdr:col>
      <xdr:colOff>2</xdr:colOff>
      <xdr:row>4</xdr:row>
      <xdr:rowOff>45680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6" y="161925"/>
          <a:ext cx="1400176" cy="934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2\lossmod2\LossMod2\RDS\2012-01%20RDS\01.%202012%20RDS%20Documentation\_FINAL\2012%20RDS%20Supporting%20Documentation\2011%20RDL%20Supplementary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xro\AppData\Local\Microsoft\Windows\Temporary%20Internet%20Files\Content.Outlook\NTF2OJN9\HISCO%20-%202020-rds-supplementary-informatio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ummary"/>
      <sheetName val="RMS Versions"/>
      <sheetName val="Gulf of Mexico"/>
      <sheetName val="Country Agg"/>
      <sheetName val="ERRO Aggregates"/>
      <sheetName val="Canada Key Return Periods"/>
      <sheetName val="RDL Material Changes Commentary"/>
      <sheetName val="Reference"/>
      <sheetName val="Lloyd's Internal Use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0033</v>
          </cell>
          <cell r="D3" t="str">
            <v>AIR</v>
          </cell>
          <cell r="E3" t="str">
            <v>V10</v>
          </cell>
        </row>
        <row r="4">
          <cell r="B4" t="str">
            <v>0044</v>
          </cell>
          <cell r="D4" t="str">
            <v>EQECAT</v>
          </cell>
          <cell r="E4" t="str">
            <v>V11</v>
          </cell>
        </row>
        <row r="5">
          <cell r="B5" t="str">
            <v>0218</v>
          </cell>
          <cell r="D5" t="str">
            <v>RMS</v>
          </cell>
          <cell r="E5" t="str">
            <v>V10 and V11</v>
          </cell>
        </row>
        <row r="6">
          <cell r="B6" t="str">
            <v>0260</v>
          </cell>
          <cell r="D6" t="str">
            <v>MARKET SHARE</v>
          </cell>
        </row>
        <row r="7">
          <cell r="B7" t="str">
            <v>0308</v>
          </cell>
          <cell r="D7" t="str">
            <v>MODELLED INTERNALLY (Please Provide Details)</v>
          </cell>
        </row>
        <row r="8">
          <cell r="B8" t="str">
            <v>0318</v>
          </cell>
          <cell r="D8" t="str">
            <v>MAXIMUM LINE</v>
          </cell>
        </row>
        <row r="9">
          <cell r="B9" t="str">
            <v>0382</v>
          </cell>
          <cell r="D9" t="str">
            <v>PML</v>
          </cell>
        </row>
        <row r="10">
          <cell r="B10" t="str">
            <v>0386</v>
          </cell>
          <cell r="D10" t="str">
            <v>OTHER (Please Provide Details Below)</v>
          </cell>
        </row>
        <row r="11">
          <cell r="B11" t="str">
            <v>0435</v>
          </cell>
        </row>
        <row r="12">
          <cell r="B12" t="str">
            <v>0457</v>
          </cell>
        </row>
        <row r="13">
          <cell r="B13" t="str">
            <v>0510</v>
          </cell>
        </row>
        <row r="14">
          <cell r="B14" t="str">
            <v>0557</v>
          </cell>
        </row>
        <row r="15">
          <cell r="B15" t="str">
            <v>0570</v>
          </cell>
        </row>
        <row r="16">
          <cell r="B16" t="str">
            <v>0609</v>
          </cell>
        </row>
        <row r="17">
          <cell r="B17" t="str">
            <v>0623</v>
          </cell>
        </row>
        <row r="18">
          <cell r="B18" t="str">
            <v>0727</v>
          </cell>
        </row>
        <row r="19">
          <cell r="B19" t="str">
            <v>0779</v>
          </cell>
        </row>
        <row r="20">
          <cell r="B20" t="str">
            <v>0780</v>
          </cell>
        </row>
        <row r="21">
          <cell r="B21" t="str">
            <v>0807</v>
          </cell>
        </row>
        <row r="22">
          <cell r="B22" t="str">
            <v>0958</v>
          </cell>
        </row>
        <row r="23">
          <cell r="B23">
            <v>1084</v>
          </cell>
        </row>
        <row r="24">
          <cell r="B24">
            <v>1110</v>
          </cell>
        </row>
        <row r="25">
          <cell r="B25">
            <v>1176</v>
          </cell>
        </row>
        <row r="26">
          <cell r="B26">
            <v>1183</v>
          </cell>
        </row>
        <row r="27">
          <cell r="B27">
            <v>1200</v>
          </cell>
        </row>
        <row r="28">
          <cell r="B28">
            <v>1206</v>
          </cell>
        </row>
        <row r="29">
          <cell r="B29">
            <v>1209</v>
          </cell>
        </row>
        <row r="30">
          <cell r="B30">
            <v>1218</v>
          </cell>
        </row>
        <row r="31">
          <cell r="B31">
            <v>1221</v>
          </cell>
        </row>
        <row r="32">
          <cell r="B32">
            <v>1225</v>
          </cell>
        </row>
        <row r="33">
          <cell r="B33">
            <v>1274</v>
          </cell>
        </row>
        <row r="34">
          <cell r="B34">
            <v>1301</v>
          </cell>
        </row>
        <row r="35">
          <cell r="B35">
            <v>1318</v>
          </cell>
        </row>
        <row r="36">
          <cell r="B36">
            <v>1400</v>
          </cell>
        </row>
        <row r="37">
          <cell r="B37">
            <v>1414</v>
          </cell>
        </row>
        <row r="38">
          <cell r="B38">
            <v>1458</v>
          </cell>
        </row>
        <row r="39">
          <cell r="B39">
            <v>1861</v>
          </cell>
        </row>
        <row r="40">
          <cell r="B40">
            <v>1880</v>
          </cell>
        </row>
        <row r="41">
          <cell r="B41">
            <v>1882</v>
          </cell>
        </row>
        <row r="42">
          <cell r="B42">
            <v>1897</v>
          </cell>
        </row>
        <row r="43">
          <cell r="B43">
            <v>1910</v>
          </cell>
        </row>
        <row r="44">
          <cell r="B44">
            <v>1919</v>
          </cell>
        </row>
        <row r="45">
          <cell r="B45">
            <v>1955</v>
          </cell>
        </row>
        <row r="46">
          <cell r="B46">
            <v>1965</v>
          </cell>
        </row>
        <row r="47">
          <cell r="B47">
            <v>1967</v>
          </cell>
        </row>
        <row r="48">
          <cell r="B48">
            <v>1969</v>
          </cell>
        </row>
        <row r="49">
          <cell r="B49">
            <v>2001</v>
          </cell>
        </row>
        <row r="50">
          <cell r="B50">
            <v>2003</v>
          </cell>
        </row>
        <row r="51">
          <cell r="B51">
            <v>2007</v>
          </cell>
        </row>
        <row r="52">
          <cell r="B52">
            <v>2010</v>
          </cell>
        </row>
        <row r="53">
          <cell r="B53">
            <v>2012</v>
          </cell>
        </row>
        <row r="54">
          <cell r="B54">
            <v>2015</v>
          </cell>
        </row>
        <row r="55">
          <cell r="B55">
            <v>2121</v>
          </cell>
        </row>
        <row r="56">
          <cell r="B56">
            <v>2232</v>
          </cell>
        </row>
        <row r="57">
          <cell r="B57">
            <v>2243</v>
          </cell>
        </row>
        <row r="58">
          <cell r="B58">
            <v>2318</v>
          </cell>
        </row>
        <row r="59">
          <cell r="B59">
            <v>2468</v>
          </cell>
        </row>
        <row r="60">
          <cell r="B60">
            <v>2488</v>
          </cell>
        </row>
        <row r="61">
          <cell r="B61">
            <v>2525</v>
          </cell>
        </row>
        <row r="62">
          <cell r="B62">
            <v>2526</v>
          </cell>
        </row>
        <row r="63">
          <cell r="B63">
            <v>2623</v>
          </cell>
        </row>
        <row r="64">
          <cell r="B64">
            <v>2791</v>
          </cell>
        </row>
        <row r="65">
          <cell r="B65">
            <v>2987</v>
          </cell>
        </row>
        <row r="66">
          <cell r="B66">
            <v>2999</v>
          </cell>
        </row>
        <row r="67">
          <cell r="B67">
            <v>3000</v>
          </cell>
        </row>
        <row r="68">
          <cell r="B68">
            <v>3002</v>
          </cell>
        </row>
        <row r="69">
          <cell r="B69">
            <v>3010</v>
          </cell>
        </row>
        <row r="70">
          <cell r="B70">
            <v>3210</v>
          </cell>
        </row>
        <row r="71">
          <cell r="B71">
            <v>3334</v>
          </cell>
        </row>
        <row r="72">
          <cell r="B72">
            <v>3622</v>
          </cell>
        </row>
        <row r="73">
          <cell r="B73">
            <v>3623</v>
          </cell>
        </row>
        <row r="74">
          <cell r="B74">
            <v>3624</v>
          </cell>
        </row>
        <row r="75">
          <cell r="B75">
            <v>4000</v>
          </cell>
        </row>
        <row r="76">
          <cell r="B76">
            <v>4020</v>
          </cell>
        </row>
        <row r="77">
          <cell r="B77">
            <v>4141</v>
          </cell>
        </row>
        <row r="78">
          <cell r="B78">
            <v>4242</v>
          </cell>
        </row>
        <row r="79">
          <cell r="B79">
            <v>4444</v>
          </cell>
        </row>
        <row r="80">
          <cell r="B80">
            <v>4472</v>
          </cell>
        </row>
        <row r="81">
          <cell r="B81">
            <v>4711</v>
          </cell>
        </row>
        <row r="82">
          <cell r="B82">
            <v>5000</v>
          </cell>
        </row>
        <row r="83">
          <cell r="B83">
            <v>5151</v>
          </cell>
        </row>
        <row r="84">
          <cell r="B84">
            <v>5820</v>
          </cell>
        </row>
        <row r="85">
          <cell r="B85">
            <v>6103</v>
          </cell>
        </row>
        <row r="86">
          <cell r="B86">
            <v>6104</v>
          </cell>
        </row>
        <row r="87">
          <cell r="B87">
            <v>6105</v>
          </cell>
        </row>
        <row r="88">
          <cell r="B88">
            <v>6106</v>
          </cell>
        </row>
        <row r="89">
          <cell r="B89">
            <v>6107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Contact information"/>
      <sheetName val="01 AEP 1-in-30"/>
      <sheetName val="02 ERRO"/>
      <sheetName val="03 RoW Exposure monitoring"/>
      <sheetName val="04 China Earthquake Aggs"/>
      <sheetName val="05 NZ EQ Agg 31.12.2019"/>
      <sheetName val="06 South Africa EQ Aggs"/>
      <sheetName val="07 War &amp; NCBR by region"/>
      <sheetName val="08 Reinsurance ILW &amp; Stop-Loss"/>
      <sheetName val="09 Liability Methodologies"/>
      <sheetName val="10a Cyber - syndicate scenarios"/>
      <sheetName val="10b Cyber - Lloyd's scenarios"/>
      <sheetName val="11 California Wildfire A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0C80-7F47-4C38-BEE4-21EE14907F2A}">
  <dimension ref="B2:K1246"/>
  <sheetViews>
    <sheetView tabSelected="1" topLeftCell="A7" workbookViewId="0">
      <selection activeCell="B8" sqref="B8"/>
    </sheetView>
  </sheetViews>
  <sheetFormatPr defaultColWidth="9.109375" defaultRowHeight="12.7"/>
  <cols>
    <col min="1" max="1" width="2.33203125" style="14" customWidth="1"/>
    <col min="2" max="2" width="29" style="14" customWidth="1"/>
    <col min="3" max="6" width="20" style="14" customWidth="1"/>
    <col min="7" max="7" width="3.5546875" style="14" customWidth="1"/>
    <col min="8" max="8" width="24.5546875" style="14" customWidth="1"/>
    <col min="9" max="11" width="20" style="14" customWidth="1"/>
    <col min="12" max="12" width="18.109375" style="14" customWidth="1"/>
    <col min="13" max="16384" width="9.109375" style="14"/>
  </cols>
  <sheetData>
    <row r="2" spans="2:11" ht="23.9" customHeight="1">
      <c r="B2" s="13" t="s">
        <v>28</v>
      </c>
    </row>
    <row r="3" spans="2:11" ht="23.9" customHeight="1">
      <c r="B3" s="13" t="s">
        <v>102</v>
      </c>
    </row>
    <row r="4" spans="2:11" ht="23.9" customHeight="1">
      <c r="B4" s="4"/>
    </row>
    <row r="5" spans="2:11" ht="20.2" customHeight="1">
      <c r="B5" s="15" t="s">
        <v>0</v>
      </c>
      <c r="H5" s="15" t="s">
        <v>1</v>
      </c>
    </row>
    <row r="6" spans="2:11" ht="16.45" customHeight="1">
      <c r="B6" s="16" t="s">
        <v>29</v>
      </c>
      <c r="C6" s="37" t="s">
        <v>2</v>
      </c>
      <c r="D6" s="38"/>
      <c r="E6" s="17" t="s">
        <v>3</v>
      </c>
      <c r="F6" s="17" t="s">
        <v>4</v>
      </c>
      <c r="H6" s="17" t="s">
        <v>5</v>
      </c>
      <c r="I6" s="17" t="s">
        <v>6</v>
      </c>
      <c r="J6" s="17" t="s">
        <v>7</v>
      </c>
      <c r="K6" s="17" t="s">
        <v>8</v>
      </c>
    </row>
    <row r="7" spans="2:11" ht="14.15" customHeight="1">
      <c r="B7" s="18"/>
      <c r="C7" s="19" t="s">
        <v>9</v>
      </c>
      <c r="D7" s="20" t="s">
        <v>10</v>
      </c>
      <c r="E7" s="20" t="s">
        <v>11</v>
      </c>
      <c r="F7" s="21"/>
      <c r="H7" s="22" t="s">
        <v>30</v>
      </c>
      <c r="I7" s="23"/>
      <c r="J7" s="23"/>
      <c r="K7" s="23"/>
    </row>
    <row r="8" spans="2:11" ht="14.25" customHeight="1">
      <c r="B8" s="24" t="s">
        <v>42</v>
      </c>
      <c r="C8" s="25">
        <f>SUMIF('Core data'!N:N,'06 California Wildfire Aggs'!B8,'Core data'!M:M)</f>
        <v>0</v>
      </c>
      <c r="D8" s="25"/>
      <c r="E8" s="25"/>
      <c r="F8" s="26"/>
      <c r="H8" s="6"/>
      <c r="I8" s="3"/>
      <c r="J8" s="3"/>
      <c r="K8" s="3"/>
    </row>
    <row r="9" spans="2:11">
      <c r="B9" s="24" t="s">
        <v>43</v>
      </c>
      <c r="C9" s="25">
        <f>SUMIF('Core data'!N:N,'06 California Wildfire Aggs'!B9,'Core data'!M:M)</f>
        <v>0</v>
      </c>
      <c r="D9" s="27"/>
      <c r="E9" s="27"/>
      <c r="F9" s="28"/>
      <c r="H9" s="6"/>
      <c r="I9" s="3"/>
      <c r="J9" s="3"/>
      <c r="K9" s="3"/>
    </row>
    <row r="10" spans="2:11">
      <c r="B10" s="24" t="s">
        <v>44</v>
      </c>
      <c r="C10" s="25">
        <f>SUMIF('Core data'!N:N,'06 California Wildfire Aggs'!B10,'Core data'!M:M)</f>
        <v>0</v>
      </c>
      <c r="D10" s="27"/>
      <c r="E10" s="27"/>
      <c r="F10" s="28"/>
      <c r="H10" s="6"/>
      <c r="I10" s="3"/>
      <c r="J10" s="3"/>
      <c r="K10" s="3"/>
    </row>
    <row r="11" spans="2:11" ht="15.55">
      <c r="B11" s="24" t="s">
        <v>45</v>
      </c>
      <c r="C11" s="25">
        <f>SUMIF('Core data'!N:N,'06 California Wildfire Aggs'!B11,'Core data'!M:M)</f>
        <v>0</v>
      </c>
      <c r="D11" s="27"/>
      <c r="E11" s="27"/>
      <c r="F11" s="28"/>
      <c r="H11" s="5" t="s">
        <v>12</v>
      </c>
      <c r="I11" s="39" t="s">
        <v>13</v>
      </c>
      <c r="J11" s="40"/>
      <c r="K11" s="3"/>
    </row>
    <row r="12" spans="2:11" ht="15.55">
      <c r="B12" s="24" t="s">
        <v>46</v>
      </c>
      <c r="C12" s="25">
        <f>SUMIF('Core data'!N:N,'06 California Wildfire Aggs'!B12,'Core data'!M:M)</f>
        <v>0</v>
      </c>
      <c r="D12" s="27"/>
      <c r="E12" s="27"/>
      <c r="F12" s="28"/>
      <c r="H12" s="29" t="s">
        <v>14</v>
      </c>
      <c r="I12" s="29" t="s">
        <v>15</v>
      </c>
      <c r="J12" s="30" t="s">
        <v>16</v>
      </c>
      <c r="K12" s="3"/>
    </row>
    <row r="13" spans="2:11">
      <c r="B13" s="24" t="s">
        <v>47</v>
      </c>
      <c r="C13" s="25">
        <f>SUMIF('Core data'!N:N,'06 California Wildfire Aggs'!B13,'Core data'!M:M)</f>
        <v>0</v>
      </c>
      <c r="D13" s="27"/>
      <c r="E13" s="27"/>
      <c r="F13" s="28"/>
      <c r="H13" s="22" t="s">
        <v>17</v>
      </c>
      <c r="I13" s="31"/>
      <c r="J13" s="31"/>
      <c r="K13" s="3"/>
    </row>
    <row r="14" spans="2:11">
      <c r="B14" s="24" t="s">
        <v>48</v>
      </c>
      <c r="C14" s="25">
        <f>SUMIF('Core data'!N:N,'06 California Wildfire Aggs'!B14,'Core data'!M:M)</f>
        <v>0</v>
      </c>
      <c r="D14" s="27"/>
      <c r="E14" s="27"/>
      <c r="F14" s="28"/>
      <c r="H14" s="22" t="s">
        <v>10</v>
      </c>
      <c r="I14" s="31"/>
      <c r="J14" s="31"/>
      <c r="K14" s="3"/>
    </row>
    <row r="15" spans="2:11">
      <c r="B15" s="24" t="s">
        <v>49</v>
      </c>
      <c r="C15" s="25">
        <f>SUMIF('Core data'!N:N,'06 California Wildfire Aggs'!B15,'Core data'!M:M)</f>
        <v>0</v>
      </c>
      <c r="D15" s="27"/>
      <c r="E15" s="27"/>
      <c r="F15" s="28"/>
      <c r="H15" s="22" t="s">
        <v>18</v>
      </c>
      <c r="I15" s="31"/>
      <c r="J15" s="31"/>
      <c r="K15" s="3"/>
    </row>
    <row r="16" spans="2:11">
      <c r="B16" s="24" t="s">
        <v>50</v>
      </c>
      <c r="C16" s="25">
        <f>SUMIF('Core data'!N:N,'06 California Wildfire Aggs'!B16,'Core data'!M:M)</f>
        <v>0</v>
      </c>
      <c r="D16" s="27"/>
      <c r="E16" s="27"/>
      <c r="F16" s="28"/>
      <c r="H16" s="22" t="s">
        <v>4</v>
      </c>
      <c r="I16" s="31"/>
      <c r="J16" s="31"/>
      <c r="K16" s="3"/>
    </row>
    <row r="17" spans="2:11">
      <c r="B17" s="24" t="s">
        <v>51</v>
      </c>
      <c r="C17" s="25">
        <f>SUMIF('Core data'!N:N,'06 California Wildfire Aggs'!B17,'Core data'!M:M)</f>
        <v>0</v>
      </c>
      <c r="D17" s="27"/>
      <c r="E17" s="27"/>
      <c r="F17" s="28"/>
      <c r="H17" s="22" t="s">
        <v>19</v>
      </c>
      <c r="I17" s="31"/>
      <c r="J17" s="31"/>
      <c r="K17" s="3"/>
    </row>
    <row r="18" spans="2:11">
      <c r="B18" s="24" t="s">
        <v>52</v>
      </c>
      <c r="C18" s="25">
        <f>SUMIF('Core data'!N:N,'06 California Wildfire Aggs'!B18,'Core data'!M:M)</f>
        <v>0</v>
      </c>
      <c r="D18" s="27"/>
      <c r="E18" s="27"/>
      <c r="F18" s="28"/>
      <c r="H18" s="22" t="s">
        <v>20</v>
      </c>
      <c r="I18" s="31"/>
      <c r="J18" s="31"/>
      <c r="K18" s="3"/>
    </row>
    <row r="19" spans="2:11">
      <c r="B19" s="24" t="s">
        <v>53</v>
      </c>
      <c r="C19" s="25">
        <f>SUMIF('Core data'!N:N,'06 California Wildfire Aggs'!B19,'Core data'!M:M)</f>
        <v>0</v>
      </c>
      <c r="D19" s="27"/>
      <c r="E19" s="27"/>
      <c r="F19" s="28"/>
      <c r="H19" s="22" t="s">
        <v>21</v>
      </c>
      <c r="I19" s="31"/>
      <c r="J19" s="31"/>
      <c r="K19" s="3"/>
    </row>
    <row r="20" spans="2:11">
      <c r="B20" s="24" t="s">
        <v>54</v>
      </c>
      <c r="C20" s="25">
        <f>SUMIF('Core data'!N:N,'06 California Wildfire Aggs'!B20,'Core data'!M:M)</f>
        <v>0</v>
      </c>
      <c r="D20" s="27"/>
      <c r="E20" s="27"/>
      <c r="F20" s="28"/>
    </row>
    <row r="21" spans="2:11">
      <c r="B21" s="24" t="s">
        <v>55</v>
      </c>
      <c r="C21" s="25">
        <f>SUMIF('Core data'!N:N,'06 California Wildfire Aggs'!B21,'Core data'!M:M)</f>
        <v>0</v>
      </c>
      <c r="D21" s="27"/>
      <c r="E21" s="27"/>
      <c r="F21" s="28"/>
    </row>
    <row r="22" spans="2:11">
      <c r="B22" s="24" t="s">
        <v>56</v>
      </c>
      <c r="C22" s="25">
        <f>SUMIF('Core data'!N:N,'06 California Wildfire Aggs'!B22,'Core data'!M:M)</f>
        <v>0</v>
      </c>
      <c r="D22" s="27"/>
      <c r="E22" s="27"/>
      <c r="F22" s="28"/>
    </row>
    <row r="23" spans="2:11">
      <c r="B23" s="24" t="s">
        <v>57</v>
      </c>
      <c r="C23" s="25">
        <f>SUMIF('Core data'!N:N,'06 California Wildfire Aggs'!B23,'Core data'!M:M)</f>
        <v>0</v>
      </c>
      <c r="D23" s="27"/>
      <c r="E23" s="27"/>
      <c r="F23" s="28"/>
    </row>
    <row r="24" spans="2:11">
      <c r="B24" s="24" t="s">
        <v>58</v>
      </c>
      <c r="C24" s="25">
        <f>SUMIF('Core data'!N:N,'06 California Wildfire Aggs'!B24,'Core data'!M:M)</f>
        <v>0</v>
      </c>
      <c r="D24" s="27"/>
      <c r="E24" s="27"/>
      <c r="F24" s="28"/>
    </row>
    <row r="25" spans="2:11">
      <c r="B25" s="24" t="s">
        <v>59</v>
      </c>
      <c r="C25" s="25">
        <f>SUMIF('Core data'!N:N,'06 California Wildfire Aggs'!B25,'Core data'!M:M)</f>
        <v>0</v>
      </c>
      <c r="D25" s="27"/>
      <c r="E25" s="27"/>
      <c r="F25" s="28"/>
    </row>
    <row r="26" spans="2:11">
      <c r="B26" s="24" t="s">
        <v>60</v>
      </c>
      <c r="C26" s="25">
        <f>SUMIF('Core data'!N:N,'06 California Wildfire Aggs'!B26,'Core data'!M:M)</f>
        <v>4367802.8721982995</v>
      </c>
      <c r="D26" s="27"/>
      <c r="E26" s="27"/>
      <c r="F26" s="28"/>
    </row>
    <row r="27" spans="2:11">
      <c r="B27" s="24" t="s">
        <v>61</v>
      </c>
      <c r="C27" s="25">
        <f>SUMIF('Core data'!N:N,'06 California Wildfire Aggs'!B27,'Core data'!M:M)</f>
        <v>0</v>
      </c>
      <c r="D27" s="27"/>
      <c r="E27" s="27"/>
      <c r="F27" s="28"/>
    </row>
    <row r="28" spans="2:11">
      <c r="B28" s="24" t="s">
        <v>62</v>
      </c>
      <c r="C28" s="25">
        <f>SUMIF('Core data'!N:N,'06 California Wildfire Aggs'!B28,'Core data'!M:M)</f>
        <v>0</v>
      </c>
      <c r="D28" s="27"/>
      <c r="E28" s="27"/>
      <c r="F28" s="28"/>
    </row>
    <row r="29" spans="2:11">
      <c r="B29" s="24" t="s">
        <v>63</v>
      </c>
      <c r="C29" s="25">
        <f>SUMIF('Core data'!N:N,'06 California Wildfire Aggs'!B29,'Core data'!M:M)</f>
        <v>0</v>
      </c>
      <c r="D29" s="27"/>
      <c r="E29" s="27"/>
      <c r="F29" s="28"/>
    </row>
    <row r="30" spans="2:11">
      <c r="B30" s="24" t="s">
        <v>64</v>
      </c>
      <c r="C30" s="25">
        <f>SUMIF('Core data'!N:N,'06 California Wildfire Aggs'!B30,'Core data'!M:M)</f>
        <v>0</v>
      </c>
      <c r="D30" s="27"/>
      <c r="E30" s="27"/>
      <c r="F30" s="28"/>
    </row>
    <row r="31" spans="2:11">
      <c r="B31" s="24" t="s">
        <v>65</v>
      </c>
      <c r="C31" s="25">
        <f>SUMIF('Core data'!N:N,'06 California Wildfire Aggs'!B31,'Core data'!M:M)</f>
        <v>0</v>
      </c>
      <c r="D31" s="27"/>
      <c r="E31" s="27"/>
      <c r="F31" s="28"/>
    </row>
    <row r="32" spans="2:11">
      <c r="B32" s="24" t="s">
        <v>66</v>
      </c>
      <c r="C32" s="25">
        <f>SUMIF('Core data'!N:N,'06 California Wildfire Aggs'!B32,'Core data'!M:M)</f>
        <v>0</v>
      </c>
      <c r="D32" s="27"/>
      <c r="E32" s="27"/>
      <c r="F32" s="28"/>
    </row>
    <row r="33" spans="2:6">
      <c r="B33" s="24" t="s">
        <v>67</v>
      </c>
      <c r="C33" s="25">
        <f>SUMIF('Core data'!N:N,'06 California Wildfire Aggs'!B33,'Core data'!M:M)</f>
        <v>0</v>
      </c>
      <c r="D33" s="27"/>
      <c r="E33" s="27"/>
      <c r="F33" s="28"/>
    </row>
    <row r="34" spans="2:6">
      <c r="B34" s="24" t="s">
        <v>68</v>
      </c>
      <c r="C34" s="25">
        <f>SUMIF('Core data'!N:N,'06 California Wildfire Aggs'!B34,'Core data'!M:M)</f>
        <v>0</v>
      </c>
      <c r="D34" s="27"/>
      <c r="E34" s="27"/>
      <c r="F34" s="28"/>
    </row>
    <row r="35" spans="2:6">
      <c r="B35" s="24" t="s">
        <v>69</v>
      </c>
      <c r="C35" s="25">
        <f>SUMIF('Core data'!N:N,'06 California Wildfire Aggs'!B35,'Core data'!M:M)</f>
        <v>0</v>
      </c>
      <c r="D35" s="27"/>
      <c r="E35" s="27"/>
      <c r="F35" s="28"/>
    </row>
    <row r="36" spans="2:6">
      <c r="B36" s="24" t="s">
        <v>70</v>
      </c>
      <c r="C36" s="25">
        <f>SUMIF('Core data'!N:N,'06 California Wildfire Aggs'!B36,'Core data'!M:M)</f>
        <v>0</v>
      </c>
      <c r="D36" s="27"/>
      <c r="E36" s="27"/>
      <c r="F36" s="28"/>
    </row>
    <row r="37" spans="2:6">
      <c r="B37" s="24" t="s">
        <v>71</v>
      </c>
      <c r="C37" s="25">
        <f>SUMIF('Core data'!N:N,'06 California Wildfire Aggs'!B37,'Core data'!M:M)</f>
        <v>485358.67723769898</v>
      </c>
      <c r="D37" s="27"/>
      <c r="E37" s="27"/>
      <c r="F37" s="28"/>
    </row>
    <row r="38" spans="2:6">
      <c r="B38" s="24" t="s">
        <v>72</v>
      </c>
      <c r="C38" s="25">
        <f>SUMIF('Core data'!N:N,'06 California Wildfire Aggs'!B38,'Core data'!M:M)</f>
        <v>0</v>
      </c>
      <c r="D38" s="27"/>
      <c r="E38" s="27"/>
      <c r="F38" s="28"/>
    </row>
    <row r="39" spans="2:6">
      <c r="B39" s="24" t="s">
        <v>73</v>
      </c>
      <c r="C39" s="25">
        <f>SUMIF('Core data'!N:N,'06 California Wildfire Aggs'!B39,'Core data'!M:M)</f>
        <v>0</v>
      </c>
      <c r="D39" s="27"/>
      <c r="E39" s="27"/>
      <c r="F39" s="28"/>
    </row>
    <row r="40" spans="2:6">
      <c r="B40" s="24" t="s">
        <v>74</v>
      </c>
      <c r="C40" s="25">
        <f>SUMIF('Core data'!N:N,'06 California Wildfire Aggs'!B40,'Core data'!M:M)</f>
        <v>0</v>
      </c>
      <c r="D40" s="27"/>
      <c r="E40" s="27"/>
      <c r="F40" s="28"/>
    </row>
    <row r="41" spans="2:6">
      <c r="B41" s="24" t="s">
        <v>75</v>
      </c>
      <c r="C41" s="25">
        <f>SUMIF('Core data'!N:N,'06 California Wildfire Aggs'!B41,'Core data'!M:M)</f>
        <v>292873.38858420198</v>
      </c>
      <c r="D41" s="27"/>
      <c r="E41" s="27"/>
      <c r="F41" s="28"/>
    </row>
    <row r="42" spans="2:6">
      <c r="B42" s="24" t="s">
        <v>76</v>
      </c>
      <c r="C42" s="25">
        <f>SUMIF('Core data'!N:N,'06 California Wildfire Aggs'!B42,'Core data'!M:M)</f>
        <v>0</v>
      </c>
      <c r="D42" s="27"/>
      <c r="E42" s="27"/>
      <c r="F42" s="28"/>
    </row>
    <row r="43" spans="2:6">
      <c r="B43" s="24" t="s">
        <v>77</v>
      </c>
      <c r="C43" s="25">
        <f>SUMIF('Core data'!N:N,'06 California Wildfire Aggs'!B43,'Core data'!M:M)</f>
        <v>0</v>
      </c>
      <c r="D43" s="27"/>
      <c r="E43" s="27"/>
      <c r="F43" s="28"/>
    </row>
    <row r="44" spans="2:6">
      <c r="B44" s="24" t="s">
        <v>78</v>
      </c>
      <c r="C44" s="25">
        <f>SUMIF('Core data'!N:N,'06 California Wildfire Aggs'!B44,'Core data'!M:M)</f>
        <v>0</v>
      </c>
      <c r="D44" s="27"/>
      <c r="E44" s="27"/>
      <c r="F44" s="28"/>
    </row>
    <row r="45" spans="2:6">
      <c r="B45" s="24" t="s">
        <v>31</v>
      </c>
      <c r="C45" s="25">
        <f>SUMIF('Core data'!N:N,'06 California Wildfire Aggs'!B45,'Core data'!M:M)</f>
        <v>2454243.6285803909</v>
      </c>
      <c r="D45" s="27"/>
      <c r="E45" s="27"/>
      <c r="F45" s="28"/>
    </row>
    <row r="46" spans="2:6">
      <c r="B46" s="24" t="s">
        <v>79</v>
      </c>
      <c r="C46" s="25">
        <f>SUMIF('Core data'!N:N,'06 California Wildfire Aggs'!B46,'Core data'!M:M)</f>
        <v>8690558.7348001506</v>
      </c>
      <c r="D46" s="27"/>
      <c r="E46" s="27"/>
      <c r="F46" s="28"/>
    </row>
    <row r="47" spans="2:6">
      <c r="B47" s="24" t="s">
        <v>80</v>
      </c>
      <c r="C47" s="25">
        <f>SUMIF('Core data'!N:N,'06 California Wildfire Aggs'!B47,'Core data'!M:M)</f>
        <v>0</v>
      </c>
      <c r="D47" s="27"/>
      <c r="E47" s="27"/>
      <c r="F47" s="28"/>
    </row>
    <row r="48" spans="2:6">
      <c r="B48" s="24" t="s">
        <v>81</v>
      </c>
      <c r="C48" s="25">
        <f>SUMIF('Core data'!N:N,'06 California Wildfire Aggs'!B48,'Core data'!M:M)</f>
        <v>0</v>
      </c>
      <c r="D48" s="27"/>
      <c r="E48" s="27"/>
      <c r="F48" s="28"/>
    </row>
    <row r="49" spans="2:6">
      <c r="B49" s="24" t="s">
        <v>82</v>
      </c>
      <c r="C49" s="25">
        <f>SUMIF('Core data'!N:N,'06 California Wildfire Aggs'!B49,'Core data'!M:M)</f>
        <v>0</v>
      </c>
      <c r="D49" s="27"/>
      <c r="E49" s="27"/>
      <c r="F49" s="28"/>
    </row>
    <row r="50" spans="2:6">
      <c r="B50" s="24" t="s">
        <v>83</v>
      </c>
      <c r="C50" s="25">
        <f>SUMIF('Core data'!N:N,'06 California Wildfire Aggs'!B50,'Core data'!M:M)</f>
        <v>0</v>
      </c>
      <c r="D50" s="27"/>
      <c r="E50" s="27"/>
      <c r="F50" s="28"/>
    </row>
    <row r="51" spans="2:6">
      <c r="B51" s="24" t="s">
        <v>84</v>
      </c>
      <c r="C51" s="25">
        <f>SUMIF('Core data'!N:N,'06 California Wildfire Aggs'!B51,'Core data'!M:M)</f>
        <v>0</v>
      </c>
      <c r="D51" s="27"/>
      <c r="E51" s="27"/>
      <c r="F51" s="28"/>
    </row>
    <row r="52" spans="2:6">
      <c r="B52" s="24" t="s">
        <v>85</v>
      </c>
      <c r="C52" s="25">
        <f>SUMIF('Core data'!N:N,'06 California Wildfire Aggs'!B52,'Core data'!M:M)</f>
        <v>0</v>
      </c>
      <c r="D52" s="27"/>
      <c r="E52" s="27"/>
      <c r="F52" s="28"/>
    </row>
    <row r="53" spans="2:6">
      <c r="B53" s="24" t="s">
        <v>86</v>
      </c>
      <c r="C53" s="25">
        <f>SUMIF('Core data'!N:N,'06 California Wildfire Aggs'!B53,'Core data'!M:M)</f>
        <v>0</v>
      </c>
      <c r="D53" s="27"/>
      <c r="E53" s="27"/>
      <c r="F53" s="28"/>
    </row>
    <row r="54" spans="2:6">
      <c r="B54" s="24" t="s">
        <v>87</v>
      </c>
      <c r="C54" s="25">
        <f>SUMIF('Core data'!N:N,'06 California Wildfire Aggs'!B54,'Core data'!M:M)</f>
        <v>0</v>
      </c>
      <c r="D54" s="27"/>
      <c r="E54" s="27"/>
      <c r="F54" s="28"/>
    </row>
    <row r="55" spans="2:6">
      <c r="B55" s="24" t="s">
        <v>88</v>
      </c>
      <c r="C55" s="25">
        <f>SUMIF('Core data'!N:N,'06 California Wildfire Aggs'!B55,'Core data'!M:M)</f>
        <v>0</v>
      </c>
      <c r="D55" s="27"/>
      <c r="E55" s="27"/>
      <c r="F55" s="28"/>
    </row>
    <row r="56" spans="2:6">
      <c r="B56" s="24" t="s">
        <v>89</v>
      </c>
      <c r="C56" s="25">
        <f>SUMIF('Core data'!N:N,'06 California Wildfire Aggs'!B56,'Core data'!M:M)</f>
        <v>0</v>
      </c>
      <c r="D56" s="27"/>
      <c r="E56" s="27"/>
      <c r="F56" s="28"/>
    </row>
    <row r="57" spans="2:6">
      <c r="B57" s="24" t="s">
        <v>90</v>
      </c>
      <c r="C57" s="25">
        <f>SUMIF('Core data'!N:N,'06 California Wildfire Aggs'!B57,'Core data'!M:M)</f>
        <v>0</v>
      </c>
      <c r="D57" s="27"/>
      <c r="E57" s="27"/>
      <c r="F57" s="28"/>
    </row>
    <row r="58" spans="2:6">
      <c r="B58" s="24" t="s">
        <v>91</v>
      </c>
      <c r="C58" s="25">
        <f>SUMIF('Core data'!N:N,'06 California Wildfire Aggs'!B58,'Core data'!M:M)</f>
        <v>0</v>
      </c>
      <c r="D58" s="27"/>
      <c r="E58" s="27"/>
      <c r="F58" s="28"/>
    </row>
    <row r="59" spans="2:6">
      <c r="B59" s="24" t="s">
        <v>92</v>
      </c>
      <c r="C59" s="25">
        <f>SUMIF('Core data'!N:N,'06 California Wildfire Aggs'!B59,'Core data'!M:M)</f>
        <v>0</v>
      </c>
      <c r="D59" s="27"/>
      <c r="E59" s="27"/>
      <c r="F59" s="28"/>
    </row>
    <row r="60" spans="2:6">
      <c r="B60" s="24" t="s">
        <v>93</v>
      </c>
      <c r="C60" s="25">
        <f>SUMIF('Core data'!N:N,'06 California Wildfire Aggs'!B60,'Core data'!M:M)</f>
        <v>0</v>
      </c>
      <c r="D60" s="27"/>
      <c r="E60" s="27"/>
      <c r="F60" s="28"/>
    </row>
    <row r="61" spans="2:6">
      <c r="B61" s="24" t="s">
        <v>94</v>
      </c>
      <c r="C61" s="25">
        <f>SUMIF('Core data'!N:N,'06 California Wildfire Aggs'!B61,'Core data'!M:M)</f>
        <v>0</v>
      </c>
      <c r="D61" s="27"/>
      <c r="E61" s="27"/>
      <c r="F61" s="28"/>
    </row>
    <row r="62" spans="2:6">
      <c r="B62" s="24" t="s">
        <v>95</v>
      </c>
      <c r="C62" s="25">
        <f>SUMIF('Core data'!N:N,'06 California Wildfire Aggs'!B62,'Core data'!M:M)</f>
        <v>0</v>
      </c>
      <c r="D62" s="27"/>
      <c r="E62" s="27"/>
      <c r="F62" s="28"/>
    </row>
    <row r="63" spans="2:6">
      <c r="B63" s="24" t="s">
        <v>96</v>
      </c>
      <c r="C63" s="25">
        <f>SUMIF('Core data'!N:N,'06 California Wildfire Aggs'!B63,'Core data'!M:M)</f>
        <v>0</v>
      </c>
      <c r="D63" s="27"/>
      <c r="E63" s="27"/>
      <c r="F63" s="28"/>
    </row>
    <row r="64" spans="2:6">
      <c r="B64" s="24" t="s">
        <v>97</v>
      </c>
      <c r="C64" s="25">
        <f>SUMIF('Core data'!N:N,'06 California Wildfire Aggs'!B64,'Core data'!M:M)</f>
        <v>0</v>
      </c>
      <c r="D64" s="27"/>
      <c r="E64" s="27"/>
      <c r="F64" s="28"/>
    </row>
    <row r="65" spans="2:6">
      <c r="B65" s="32" t="s">
        <v>98</v>
      </c>
      <c r="C65" s="25">
        <f>SUMIF('Core data'!N:N,'06 California Wildfire Aggs'!B65,'Core data'!M:M)</f>
        <v>0</v>
      </c>
      <c r="D65" s="33"/>
      <c r="E65" s="33"/>
      <c r="F65" s="34"/>
    </row>
    <row r="66" spans="2:6">
      <c r="B66" s="35"/>
      <c r="C66" s="36"/>
      <c r="D66" s="36"/>
      <c r="E66" s="36"/>
      <c r="F66" s="36"/>
    </row>
    <row r="67" spans="2:6">
      <c r="B67" s="35"/>
      <c r="C67" s="36"/>
      <c r="D67" s="36"/>
      <c r="E67" s="36"/>
      <c r="F67" s="36"/>
    </row>
    <row r="68" spans="2:6">
      <c r="B68" s="35"/>
      <c r="C68" s="36"/>
      <c r="D68" s="36"/>
      <c r="E68" s="36"/>
      <c r="F68" s="36"/>
    </row>
    <row r="69" spans="2:6">
      <c r="B69" s="35"/>
      <c r="C69" s="36"/>
      <c r="D69" s="36"/>
      <c r="E69" s="36"/>
      <c r="F69" s="36"/>
    </row>
    <row r="70" spans="2:6">
      <c r="B70" s="35"/>
    </row>
    <row r="71" spans="2:6">
      <c r="B71" s="35"/>
    </row>
    <row r="72" spans="2:6">
      <c r="B72" s="35"/>
    </row>
    <row r="73" spans="2:6">
      <c r="B73" s="35"/>
    </row>
    <row r="74" spans="2:6">
      <c r="B74" s="35"/>
    </row>
    <row r="75" spans="2:6">
      <c r="B75" s="35"/>
    </row>
    <row r="76" spans="2:6">
      <c r="B76" s="35"/>
    </row>
    <row r="77" spans="2:6">
      <c r="B77" s="35"/>
    </row>
    <row r="78" spans="2:6">
      <c r="B78" s="35"/>
    </row>
    <row r="79" spans="2:6">
      <c r="B79" s="35"/>
    </row>
    <row r="80" spans="2:6">
      <c r="B80" s="35"/>
    </row>
    <row r="81" spans="2:2">
      <c r="B81" s="35"/>
    </row>
    <row r="82" spans="2:2">
      <c r="B82" s="35"/>
    </row>
    <row r="83" spans="2:2">
      <c r="B83" s="35"/>
    </row>
    <row r="84" spans="2:2">
      <c r="B84" s="35"/>
    </row>
    <row r="85" spans="2:2">
      <c r="B85" s="35"/>
    </row>
    <row r="86" spans="2:2">
      <c r="B86" s="35"/>
    </row>
    <row r="87" spans="2:2">
      <c r="B87" s="35"/>
    </row>
    <row r="88" spans="2:2">
      <c r="B88" s="35"/>
    </row>
    <row r="89" spans="2:2">
      <c r="B89" s="35"/>
    </row>
    <row r="90" spans="2:2">
      <c r="B90" s="35"/>
    </row>
    <row r="91" spans="2:2">
      <c r="B91" s="35"/>
    </row>
    <row r="92" spans="2:2">
      <c r="B92" s="35"/>
    </row>
    <row r="93" spans="2:2">
      <c r="B93" s="35"/>
    </row>
    <row r="94" spans="2:2">
      <c r="B94" s="35"/>
    </row>
    <row r="95" spans="2:2">
      <c r="B95" s="35"/>
    </row>
    <row r="96" spans="2:2">
      <c r="B96" s="35"/>
    </row>
    <row r="97" spans="2:2">
      <c r="B97" s="35"/>
    </row>
    <row r="98" spans="2:2">
      <c r="B98" s="35"/>
    </row>
    <row r="99" spans="2:2">
      <c r="B99" s="35"/>
    </row>
    <row r="100" spans="2:2">
      <c r="B100" s="35"/>
    </row>
    <row r="101" spans="2:2">
      <c r="B101" s="35"/>
    </row>
    <row r="102" spans="2:2">
      <c r="B102" s="35"/>
    </row>
    <row r="103" spans="2:2">
      <c r="B103" s="35"/>
    </row>
    <row r="104" spans="2:2">
      <c r="B104" s="35"/>
    </row>
    <row r="105" spans="2:2">
      <c r="B105" s="35"/>
    </row>
    <row r="106" spans="2:2">
      <c r="B106" s="35"/>
    </row>
    <row r="107" spans="2:2">
      <c r="B107" s="35"/>
    </row>
    <row r="108" spans="2:2">
      <c r="B108" s="35"/>
    </row>
    <row r="109" spans="2:2">
      <c r="B109" s="35"/>
    </row>
    <row r="110" spans="2:2">
      <c r="B110" s="35"/>
    </row>
    <row r="111" spans="2:2">
      <c r="B111" s="35"/>
    </row>
    <row r="112" spans="2:2">
      <c r="B112" s="35"/>
    </row>
    <row r="113" spans="2:2">
      <c r="B113" s="35"/>
    </row>
    <row r="114" spans="2:2">
      <c r="B114" s="35"/>
    </row>
    <row r="115" spans="2:2">
      <c r="B115" s="35"/>
    </row>
    <row r="116" spans="2:2">
      <c r="B116" s="35"/>
    </row>
    <row r="117" spans="2:2">
      <c r="B117" s="35"/>
    </row>
    <row r="118" spans="2:2">
      <c r="B118" s="35"/>
    </row>
    <row r="119" spans="2:2">
      <c r="B119" s="35"/>
    </row>
    <row r="120" spans="2:2">
      <c r="B120" s="35"/>
    </row>
    <row r="121" spans="2:2">
      <c r="B121" s="35"/>
    </row>
    <row r="122" spans="2:2">
      <c r="B122" s="35"/>
    </row>
    <row r="123" spans="2:2">
      <c r="B123" s="35"/>
    </row>
    <row r="124" spans="2:2">
      <c r="B124" s="35"/>
    </row>
    <row r="125" spans="2:2">
      <c r="B125" s="35"/>
    </row>
    <row r="126" spans="2:2">
      <c r="B126" s="35"/>
    </row>
    <row r="127" spans="2:2">
      <c r="B127" s="35"/>
    </row>
    <row r="128" spans="2:2">
      <c r="B128" s="35"/>
    </row>
    <row r="129" spans="2:2">
      <c r="B129" s="35"/>
    </row>
    <row r="130" spans="2:2">
      <c r="B130" s="35"/>
    </row>
    <row r="131" spans="2:2">
      <c r="B131" s="35"/>
    </row>
    <row r="132" spans="2:2">
      <c r="B132" s="35"/>
    </row>
    <row r="133" spans="2:2">
      <c r="B133" s="35"/>
    </row>
    <row r="134" spans="2:2">
      <c r="B134" s="35"/>
    </row>
    <row r="135" spans="2:2">
      <c r="B135" s="35"/>
    </row>
    <row r="136" spans="2:2">
      <c r="B136" s="35"/>
    </row>
    <row r="137" spans="2:2">
      <c r="B137" s="35"/>
    </row>
    <row r="138" spans="2:2">
      <c r="B138" s="35"/>
    </row>
    <row r="139" spans="2:2">
      <c r="B139" s="35"/>
    </row>
    <row r="140" spans="2:2">
      <c r="B140" s="35"/>
    </row>
    <row r="141" spans="2:2">
      <c r="B141" s="35"/>
    </row>
    <row r="142" spans="2:2">
      <c r="B142" s="35"/>
    </row>
    <row r="143" spans="2:2">
      <c r="B143" s="35"/>
    </row>
    <row r="144" spans="2:2">
      <c r="B144" s="35"/>
    </row>
    <row r="145" spans="2:2">
      <c r="B145" s="35"/>
    </row>
    <row r="146" spans="2:2">
      <c r="B146" s="35"/>
    </row>
    <row r="147" spans="2:2">
      <c r="B147" s="35"/>
    </row>
    <row r="148" spans="2:2">
      <c r="B148" s="35"/>
    </row>
    <row r="149" spans="2:2">
      <c r="B149" s="35"/>
    </row>
    <row r="150" spans="2:2">
      <c r="B150" s="35"/>
    </row>
    <row r="151" spans="2:2">
      <c r="B151" s="35"/>
    </row>
    <row r="152" spans="2:2">
      <c r="B152" s="35"/>
    </row>
    <row r="153" spans="2:2">
      <c r="B153" s="35"/>
    </row>
    <row r="154" spans="2:2">
      <c r="B154" s="35"/>
    </row>
    <row r="155" spans="2:2">
      <c r="B155" s="35"/>
    </row>
    <row r="156" spans="2:2">
      <c r="B156" s="35"/>
    </row>
    <row r="157" spans="2:2">
      <c r="B157" s="35"/>
    </row>
    <row r="158" spans="2:2">
      <c r="B158" s="35"/>
    </row>
    <row r="159" spans="2:2">
      <c r="B159" s="35"/>
    </row>
    <row r="160" spans="2:2">
      <c r="B160" s="35"/>
    </row>
    <row r="161" spans="2:2">
      <c r="B161" s="35"/>
    </row>
    <row r="162" spans="2:2">
      <c r="B162" s="35"/>
    </row>
    <row r="163" spans="2:2">
      <c r="B163" s="35"/>
    </row>
    <row r="164" spans="2:2">
      <c r="B164" s="35"/>
    </row>
    <row r="165" spans="2:2">
      <c r="B165" s="35"/>
    </row>
    <row r="166" spans="2:2">
      <c r="B166" s="35"/>
    </row>
    <row r="167" spans="2:2">
      <c r="B167" s="35"/>
    </row>
    <row r="168" spans="2:2">
      <c r="B168" s="35"/>
    </row>
    <row r="169" spans="2:2">
      <c r="B169" s="35"/>
    </row>
    <row r="170" spans="2:2">
      <c r="B170" s="35"/>
    </row>
    <row r="171" spans="2:2">
      <c r="B171" s="35"/>
    </row>
    <row r="172" spans="2:2">
      <c r="B172" s="35"/>
    </row>
    <row r="173" spans="2:2">
      <c r="B173" s="35"/>
    </row>
    <row r="174" spans="2:2">
      <c r="B174" s="35"/>
    </row>
    <row r="175" spans="2:2">
      <c r="B175" s="35"/>
    </row>
    <row r="176" spans="2:2">
      <c r="B176" s="35"/>
    </row>
    <row r="177" spans="2:2">
      <c r="B177" s="35"/>
    </row>
    <row r="178" spans="2:2">
      <c r="B178" s="35"/>
    </row>
    <row r="179" spans="2:2">
      <c r="B179" s="35"/>
    </row>
    <row r="180" spans="2:2">
      <c r="B180" s="35"/>
    </row>
    <row r="181" spans="2:2">
      <c r="B181" s="35"/>
    </row>
    <row r="182" spans="2:2">
      <c r="B182" s="35"/>
    </row>
    <row r="183" spans="2:2">
      <c r="B183" s="35"/>
    </row>
    <row r="184" spans="2:2">
      <c r="B184" s="35"/>
    </row>
    <row r="185" spans="2:2">
      <c r="B185" s="35"/>
    </row>
    <row r="186" spans="2:2">
      <c r="B186" s="35"/>
    </row>
    <row r="187" spans="2:2">
      <c r="B187" s="35"/>
    </row>
    <row r="188" spans="2:2">
      <c r="B188" s="35"/>
    </row>
    <row r="189" spans="2:2">
      <c r="B189" s="35"/>
    </row>
    <row r="190" spans="2:2">
      <c r="B190" s="35"/>
    </row>
    <row r="191" spans="2:2">
      <c r="B191" s="35"/>
    </row>
    <row r="192" spans="2:2">
      <c r="B192" s="35"/>
    </row>
    <row r="193" spans="2:2">
      <c r="B193" s="35"/>
    </row>
    <row r="194" spans="2:2">
      <c r="B194" s="35"/>
    </row>
    <row r="195" spans="2:2">
      <c r="B195" s="35"/>
    </row>
    <row r="196" spans="2:2">
      <c r="B196" s="35"/>
    </row>
    <row r="197" spans="2:2">
      <c r="B197" s="35"/>
    </row>
    <row r="198" spans="2:2">
      <c r="B198" s="35"/>
    </row>
    <row r="199" spans="2:2">
      <c r="B199" s="35"/>
    </row>
    <row r="200" spans="2:2">
      <c r="B200" s="35"/>
    </row>
    <row r="201" spans="2:2">
      <c r="B201" s="35"/>
    </row>
    <row r="202" spans="2:2">
      <c r="B202" s="35"/>
    </row>
    <row r="203" spans="2:2">
      <c r="B203" s="35"/>
    </row>
    <row r="204" spans="2:2">
      <c r="B204" s="35"/>
    </row>
    <row r="205" spans="2:2">
      <c r="B205" s="35"/>
    </row>
    <row r="206" spans="2:2">
      <c r="B206" s="35"/>
    </row>
    <row r="207" spans="2:2">
      <c r="B207" s="35"/>
    </row>
    <row r="208" spans="2:2">
      <c r="B208" s="35"/>
    </row>
    <row r="209" spans="2:2">
      <c r="B209" s="35"/>
    </row>
    <row r="210" spans="2:2">
      <c r="B210" s="35"/>
    </row>
    <row r="211" spans="2:2">
      <c r="B211" s="35"/>
    </row>
    <row r="212" spans="2:2">
      <c r="B212" s="35"/>
    </row>
    <row r="213" spans="2:2">
      <c r="B213" s="35"/>
    </row>
    <row r="214" spans="2:2">
      <c r="B214" s="35"/>
    </row>
    <row r="215" spans="2:2">
      <c r="B215" s="35"/>
    </row>
    <row r="216" spans="2:2">
      <c r="B216" s="35"/>
    </row>
    <row r="217" spans="2:2">
      <c r="B217" s="35"/>
    </row>
    <row r="218" spans="2:2">
      <c r="B218" s="35"/>
    </row>
    <row r="219" spans="2:2">
      <c r="B219" s="35"/>
    </row>
    <row r="220" spans="2:2">
      <c r="B220" s="35"/>
    </row>
    <row r="221" spans="2:2">
      <c r="B221" s="35"/>
    </row>
    <row r="222" spans="2:2">
      <c r="B222" s="35"/>
    </row>
    <row r="223" spans="2:2">
      <c r="B223" s="35"/>
    </row>
    <row r="224" spans="2:2">
      <c r="B224" s="35"/>
    </row>
    <row r="225" spans="2:2">
      <c r="B225" s="35"/>
    </row>
    <row r="226" spans="2:2">
      <c r="B226" s="35"/>
    </row>
    <row r="227" spans="2:2">
      <c r="B227" s="35"/>
    </row>
    <row r="228" spans="2:2">
      <c r="B228" s="35"/>
    </row>
    <row r="229" spans="2:2">
      <c r="B229" s="35"/>
    </row>
    <row r="230" spans="2:2">
      <c r="B230" s="35"/>
    </row>
    <row r="231" spans="2:2">
      <c r="B231" s="35"/>
    </row>
    <row r="232" spans="2:2">
      <c r="B232" s="35"/>
    </row>
    <row r="233" spans="2:2">
      <c r="B233" s="35"/>
    </row>
    <row r="234" spans="2:2">
      <c r="B234" s="35"/>
    </row>
    <row r="235" spans="2:2">
      <c r="B235" s="35"/>
    </row>
    <row r="236" spans="2:2">
      <c r="B236" s="35"/>
    </row>
    <row r="237" spans="2:2">
      <c r="B237" s="35"/>
    </row>
    <row r="238" spans="2:2">
      <c r="B238" s="35"/>
    </row>
    <row r="239" spans="2:2">
      <c r="B239" s="35"/>
    </row>
    <row r="240" spans="2:2">
      <c r="B240" s="35"/>
    </row>
    <row r="241" spans="2:2">
      <c r="B241" s="35"/>
    </row>
    <row r="242" spans="2:2">
      <c r="B242" s="35"/>
    </row>
    <row r="243" spans="2:2">
      <c r="B243" s="35"/>
    </row>
    <row r="244" spans="2:2">
      <c r="B244" s="35"/>
    </row>
    <row r="245" spans="2:2">
      <c r="B245" s="35"/>
    </row>
    <row r="246" spans="2:2">
      <c r="B246" s="35"/>
    </row>
    <row r="247" spans="2:2">
      <c r="B247" s="35"/>
    </row>
    <row r="248" spans="2:2">
      <c r="B248" s="35"/>
    </row>
    <row r="249" spans="2:2">
      <c r="B249" s="35"/>
    </row>
    <row r="250" spans="2:2">
      <c r="B250" s="35"/>
    </row>
    <row r="251" spans="2:2">
      <c r="B251" s="35"/>
    </row>
    <row r="252" spans="2:2">
      <c r="B252" s="35"/>
    </row>
    <row r="253" spans="2:2">
      <c r="B253" s="35"/>
    </row>
    <row r="254" spans="2:2">
      <c r="B254" s="35"/>
    </row>
    <row r="255" spans="2:2">
      <c r="B255" s="35"/>
    </row>
    <row r="256" spans="2:2">
      <c r="B256" s="35"/>
    </row>
    <row r="257" spans="2:2">
      <c r="B257" s="35"/>
    </row>
    <row r="258" spans="2:2">
      <c r="B258" s="35"/>
    </row>
    <row r="259" spans="2:2">
      <c r="B259" s="35"/>
    </row>
    <row r="260" spans="2:2">
      <c r="B260" s="35"/>
    </row>
    <row r="261" spans="2:2">
      <c r="B261" s="35"/>
    </row>
    <row r="262" spans="2:2">
      <c r="B262" s="35"/>
    </row>
    <row r="263" spans="2:2">
      <c r="B263" s="35"/>
    </row>
    <row r="264" spans="2:2">
      <c r="B264" s="35"/>
    </row>
    <row r="265" spans="2:2">
      <c r="B265" s="35"/>
    </row>
    <row r="266" spans="2:2">
      <c r="B266" s="35"/>
    </row>
    <row r="267" spans="2:2">
      <c r="B267" s="35"/>
    </row>
    <row r="268" spans="2:2">
      <c r="B268" s="35"/>
    </row>
    <row r="269" spans="2:2">
      <c r="B269" s="35"/>
    </row>
    <row r="270" spans="2:2">
      <c r="B270" s="35"/>
    </row>
    <row r="271" spans="2:2">
      <c r="B271" s="35"/>
    </row>
    <row r="272" spans="2:2">
      <c r="B272" s="35"/>
    </row>
    <row r="273" spans="2:2">
      <c r="B273" s="35"/>
    </row>
    <row r="274" spans="2:2">
      <c r="B274" s="35"/>
    </row>
    <row r="275" spans="2:2">
      <c r="B275" s="35"/>
    </row>
    <row r="276" spans="2:2">
      <c r="B276" s="35"/>
    </row>
    <row r="277" spans="2:2">
      <c r="B277" s="35"/>
    </row>
    <row r="278" spans="2:2">
      <c r="B278" s="35"/>
    </row>
    <row r="279" spans="2:2">
      <c r="B279" s="35"/>
    </row>
    <row r="280" spans="2:2">
      <c r="B280" s="35"/>
    </row>
    <row r="281" spans="2:2">
      <c r="B281" s="35"/>
    </row>
    <row r="282" spans="2:2">
      <c r="B282" s="35"/>
    </row>
    <row r="283" spans="2:2">
      <c r="B283" s="35"/>
    </row>
    <row r="284" spans="2:2">
      <c r="B284" s="35"/>
    </row>
    <row r="285" spans="2:2">
      <c r="B285" s="35"/>
    </row>
    <row r="286" spans="2:2">
      <c r="B286" s="35"/>
    </row>
    <row r="287" spans="2:2">
      <c r="B287" s="35"/>
    </row>
    <row r="288" spans="2:2">
      <c r="B288" s="35"/>
    </row>
    <row r="289" spans="2:2">
      <c r="B289" s="35"/>
    </row>
    <row r="290" spans="2:2">
      <c r="B290" s="35"/>
    </row>
    <row r="291" spans="2:2">
      <c r="B291" s="35"/>
    </row>
    <row r="292" spans="2:2">
      <c r="B292" s="35"/>
    </row>
    <row r="293" spans="2:2">
      <c r="B293" s="35"/>
    </row>
    <row r="294" spans="2:2">
      <c r="B294" s="35"/>
    </row>
    <row r="295" spans="2:2">
      <c r="B295" s="35"/>
    </row>
    <row r="296" spans="2:2">
      <c r="B296" s="35"/>
    </row>
    <row r="297" spans="2:2">
      <c r="B297" s="35"/>
    </row>
    <row r="298" spans="2:2">
      <c r="B298" s="35"/>
    </row>
    <row r="299" spans="2:2">
      <c r="B299" s="35"/>
    </row>
    <row r="300" spans="2:2">
      <c r="B300" s="35"/>
    </row>
    <row r="301" spans="2:2">
      <c r="B301" s="35"/>
    </row>
    <row r="302" spans="2:2">
      <c r="B302" s="35"/>
    </row>
    <row r="303" spans="2:2">
      <c r="B303" s="35"/>
    </row>
    <row r="304" spans="2:2">
      <c r="B304" s="35"/>
    </row>
    <row r="305" spans="2:2">
      <c r="B305" s="35"/>
    </row>
    <row r="306" spans="2:2">
      <c r="B306" s="35"/>
    </row>
    <row r="307" spans="2:2">
      <c r="B307" s="35"/>
    </row>
    <row r="308" spans="2:2">
      <c r="B308" s="35"/>
    </row>
    <row r="309" spans="2:2">
      <c r="B309" s="35"/>
    </row>
    <row r="310" spans="2:2">
      <c r="B310" s="35"/>
    </row>
    <row r="311" spans="2:2">
      <c r="B311" s="35"/>
    </row>
    <row r="312" spans="2:2">
      <c r="B312" s="35"/>
    </row>
    <row r="313" spans="2:2">
      <c r="B313" s="35"/>
    </row>
    <row r="314" spans="2:2">
      <c r="B314" s="35"/>
    </row>
    <row r="315" spans="2:2">
      <c r="B315" s="35"/>
    </row>
    <row r="316" spans="2:2">
      <c r="B316" s="35"/>
    </row>
    <row r="317" spans="2:2">
      <c r="B317" s="35"/>
    </row>
    <row r="318" spans="2:2">
      <c r="B318" s="35"/>
    </row>
    <row r="319" spans="2:2">
      <c r="B319" s="35"/>
    </row>
    <row r="320" spans="2:2">
      <c r="B320" s="35"/>
    </row>
    <row r="321" spans="2:2">
      <c r="B321" s="35"/>
    </row>
    <row r="322" spans="2:2">
      <c r="B322" s="35"/>
    </row>
    <row r="323" spans="2:2">
      <c r="B323" s="35"/>
    </row>
    <row r="324" spans="2:2">
      <c r="B324" s="35"/>
    </row>
    <row r="325" spans="2:2">
      <c r="B325" s="35"/>
    </row>
    <row r="326" spans="2:2">
      <c r="B326" s="35"/>
    </row>
    <row r="327" spans="2:2">
      <c r="B327" s="35"/>
    </row>
    <row r="328" spans="2:2">
      <c r="B328" s="35"/>
    </row>
    <row r="329" spans="2:2">
      <c r="B329" s="35"/>
    </row>
    <row r="330" spans="2:2">
      <c r="B330" s="35"/>
    </row>
    <row r="331" spans="2:2">
      <c r="B331" s="35"/>
    </row>
    <row r="332" spans="2:2">
      <c r="B332" s="35"/>
    </row>
    <row r="333" spans="2:2">
      <c r="B333" s="35"/>
    </row>
    <row r="334" spans="2:2">
      <c r="B334" s="35"/>
    </row>
    <row r="335" spans="2:2">
      <c r="B335" s="35"/>
    </row>
    <row r="336" spans="2:2">
      <c r="B336" s="35"/>
    </row>
    <row r="337" spans="2:2">
      <c r="B337" s="35"/>
    </row>
    <row r="338" spans="2:2">
      <c r="B338" s="35"/>
    </row>
    <row r="339" spans="2:2">
      <c r="B339" s="35"/>
    </row>
    <row r="340" spans="2:2">
      <c r="B340" s="35"/>
    </row>
    <row r="341" spans="2:2">
      <c r="B341" s="35"/>
    </row>
    <row r="342" spans="2:2">
      <c r="B342" s="35"/>
    </row>
    <row r="343" spans="2:2">
      <c r="B343" s="35"/>
    </row>
    <row r="344" spans="2:2">
      <c r="B344" s="35"/>
    </row>
    <row r="345" spans="2:2">
      <c r="B345" s="35"/>
    </row>
    <row r="346" spans="2:2">
      <c r="B346" s="35"/>
    </row>
    <row r="347" spans="2:2">
      <c r="B347" s="35"/>
    </row>
    <row r="348" spans="2:2">
      <c r="B348" s="35"/>
    </row>
    <row r="349" spans="2:2">
      <c r="B349" s="35"/>
    </row>
    <row r="350" spans="2:2">
      <c r="B350" s="35"/>
    </row>
    <row r="351" spans="2:2">
      <c r="B351" s="35"/>
    </row>
    <row r="352" spans="2:2">
      <c r="B352" s="35"/>
    </row>
    <row r="353" spans="2:2">
      <c r="B353" s="35"/>
    </row>
    <row r="354" spans="2:2">
      <c r="B354" s="35"/>
    </row>
    <row r="355" spans="2:2">
      <c r="B355" s="35"/>
    </row>
    <row r="356" spans="2:2">
      <c r="B356" s="35"/>
    </row>
    <row r="357" spans="2:2">
      <c r="B357" s="35"/>
    </row>
    <row r="358" spans="2:2">
      <c r="B358" s="35"/>
    </row>
    <row r="359" spans="2:2">
      <c r="B359" s="35"/>
    </row>
    <row r="360" spans="2:2">
      <c r="B360" s="35"/>
    </row>
    <row r="361" spans="2:2">
      <c r="B361" s="35"/>
    </row>
    <row r="362" spans="2:2">
      <c r="B362" s="35"/>
    </row>
    <row r="363" spans="2:2">
      <c r="B363" s="35"/>
    </row>
    <row r="364" spans="2:2">
      <c r="B364" s="35"/>
    </row>
    <row r="365" spans="2:2">
      <c r="B365" s="35"/>
    </row>
    <row r="366" spans="2:2">
      <c r="B366" s="35"/>
    </row>
    <row r="367" spans="2:2">
      <c r="B367" s="35"/>
    </row>
    <row r="368" spans="2:2">
      <c r="B368" s="35"/>
    </row>
    <row r="369" spans="2:2">
      <c r="B369" s="35"/>
    </row>
    <row r="370" spans="2:2">
      <c r="B370" s="35"/>
    </row>
    <row r="371" spans="2:2">
      <c r="B371" s="35"/>
    </row>
    <row r="372" spans="2:2">
      <c r="B372" s="35"/>
    </row>
    <row r="373" spans="2:2">
      <c r="B373" s="35"/>
    </row>
    <row r="374" spans="2:2">
      <c r="B374" s="35"/>
    </row>
    <row r="375" spans="2:2">
      <c r="B375" s="35"/>
    </row>
    <row r="376" spans="2:2">
      <c r="B376" s="35"/>
    </row>
    <row r="377" spans="2:2">
      <c r="B377" s="35"/>
    </row>
    <row r="378" spans="2:2">
      <c r="B378" s="35"/>
    </row>
    <row r="379" spans="2:2">
      <c r="B379" s="35"/>
    </row>
    <row r="380" spans="2:2">
      <c r="B380" s="35"/>
    </row>
    <row r="381" spans="2:2">
      <c r="B381" s="35"/>
    </row>
    <row r="382" spans="2:2">
      <c r="B382" s="35"/>
    </row>
    <row r="383" spans="2:2">
      <c r="B383" s="35"/>
    </row>
    <row r="384" spans="2:2">
      <c r="B384" s="35"/>
    </row>
    <row r="385" spans="2:2">
      <c r="B385" s="35"/>
    </row>
    <row r="386" spans="2:2">
      <c r="B386" s="35"/>
    </row>
    <row r="387" spans="2:2">
      <c r="B387" s="35"/>
    </row>
    <row r="388" spans="2:2">
      <c r="B388" s="35"/>
    </row>
    <row r="389" spans="2:2">
      <c r="B389" s="35"/>
    </row>
    <row r="390" spans="2:2">
      <c r="B390" s="35"/>
    </row>
    <row r="391" spans="2:2">
      <c r="B391" s="35"/>
    </row>
    <row r="392" spans="2:2">
      <c r="B392" s="35"/>
    </row>
    <row r="393" spans="2:2">
      <c r="B393" s="35"/>
    </row>
    <row r="394" spans="2:2">
      <c r="B394" s="35"/>
    </row>
    <row r="395" spans="2:2">
      <c r="B395" s="35"/>
    </row>
    <row r="396" spans="2:2">
      <c r="B396" s="35"/>
    </row>
    <row r="397" spans="2:2">
      <c r="B397" s="35"/>
    </row>
    <row r="398" spans="2:2">
      <c r="B398" s="35"/>
    </row>
    <row r="399" spans="2:2">
      <c r="B399" s="35"/>
    </row>
    <row r="400" spans="2:2">
      <c r="B400" s="35"/>
    </row>
    <row r="401" spans="2:2">
      <c r="B401" s="35"/>
    </row>
    <row r="402" spans="2:2">
      <c r="B402" s="35"/>
    </row>
    <row r="403" spans="2:2">
      <c r="B403" s="35"/>
    </row>
    <row r="404" spans="2:2">
      <c r="B404" s="35"/>
    </row>
    <row r="405" spans="2:2">
      <c r="B405" s="35"/>
    </row>
    <row r="406" spans="2:2">
      <c r="B406" s="35"/>
    </row>
    <row r="407" spans="2:2">
      <c r="B407" s="35"/>
    </row>
    <row r="408" spans="2:2">
      <c r="B408" s="35"/>
    </row>
    <row r="409" spans="2:2">
      <c r="B409" s="35"/>
    </row>
    <row r="410" spans="2:2">
      <c r="B410" s="35"/>
    </row>
    <row r="411" spans="2:2">
      <c r="B411" s="35"/>
    </row>
    <row r="412" spans="2:2">
      <c r="B412" s="35"/>
    </row>
    <row r="413" spans="2:2">
      <c r="B413" s="35"/>
    </row>
    <row r="414" spans="2:2">
      <c r="B414" s="35"/>
    </row>
    <row r="415" spans="2:2">
      <c r="B415" s="35"/>
    </row>
    <row r="416" spans="2:2">
      <c r="B416" s="35"/>
    </row>
    <row r="417" spans="2:2">
      <c r="B417" s="35"/>
    </row>
    <row r="418" spans="2:2">
      <c r="B418" s="35"/>
    </row>
    <row r="419" spans="2:2">
      <c r="B419" s="35"/>
    </row>
    <row r="420" spans="2:2">
      <c r="B420" s="35"/>
    </row>
    <row r="421" spans="2:2">
      <c r="B421" s="35"/>
    </row>
    <row r="422" spans="2:2">
      <c r="B422" s="35"/>
    </row>
    <row r="423" spans="2:2">
      <c r="B423" s="35"/>
    </row>
    <row r="424" spans="2:2">
      <c r="B424" s="35"/>
    </row>
    <row r="425" spans="2:2">
      <c r="B425" s="35"/>
    </row>
    <row r="426" spans="2:2">
      <c r="B426" s="35"/>
    </row>
    <row r="427" spans="2:2">
      <c r="B427" s="35"/>
    </row>
    <row r="428" spans="2:2">
      <c r="B428" s="35"/>
    </row>
    <row r="429" spans="2:2">
      <c r="B429" s="35"/>
    </row>
    <row r="430" spans="2:2">
      <c r="B430" s="35"/>
    </row>
    <row r="431" spans="2:2">
      <c r="B431" s="35"/>
    </row>
    <row r="432" spans="2:2">
      <c r="B432" s="35"/>
    </row>
    <row r="433" spans="2:2">
      <c r="B433" s="35"/>
    </row>
    <row r="434" spans="2:2">
      <c r="B434" s="35"/>
    </row>
    <row r="435" spans="2:2">
      <c r="B435" s="35"/>
    </row>
    <row r="436" spans="2:2">
      <c r="B436" s="35"/>
    </row>
    <row r="437" spans="2:2">
      <c r="B437" s="35"/>
    </row>
    <row r="438" spans="2:2">
      <c r="B438" s="35"/>
    </row>
    <row r="439" spans="2:2">
      <c r="B439" s="35"/>
    </row>
    <row r="440" spans="2:2">
      <c r="B440" s="35"/>
    </row>
    <row r="441" spans="2:2">
      <c r="B441" s="35"/>
    </row>
    <row r="442" spans="2:2">
      <c r="B442" s="35"/>
    </row>
    <row r="443" spans="2:2">
      <c r="B443" s="35"/>
    </row>
    <row r="444" spans="2:2">
      <c r="B444" s="35"/>
    </row>
    <row r="445" spans="2:2">
      <c r="B445" s="35"/>
    </row>
    <row r="446" spans="2:2">
      <c r="B446" s="35"/>
    </row>
    <row r="447" spans="2:2">
      <c r="B447" s="35"/>
    </row>
    <row r="448" spans="2:2">
      <c r="B448" s="35"/>
    </row>
    <row r="449" spans="2:2">
      <c r="B449" s="35"/>
    </row>
    <row r="450" spans="2:2">
      <c r="B450" s="35"/>
    </row>
    <row r="451" spans="2:2">
      <c r="B451" s="35"/>
    </row>
    <row r="452" spans="2:2">
      <c r="B452" s="35"/>
    </row>
    <row r="453" spans="2:2">
      <c r="B453" s="35"/>
    </row>
    <row r="454" spans="2:2">
      <c r="B454" s="35"/>
    </row>
    <row r="455" spans="2:2">
      <c r="B455" s="35"/>
    </row>
    <row r="456" spans="2:2">
      <c r="B456" s="35"/>
    </row>
    <row r="457" spans="2:2">
      <c r="B457" s="35"/>
    </row>
    <row r="458" spans="2:2">
      <c r="B458" s="35"/>
    </row>
    <row r="459" spans="2:2">
      <c r="B459" s="35"/>
    </row>
    <row r="460" spans="2:2">
      <c r="B460" s="35"/>
    </row>
    <row r="461" spans="2:2">
      <c r="B461" s="35"/>
    </row>
    <row r="462" spans="2:2">
      <c r="B462" s="35"/>
    </row>
    <row r="463" spans="2:2">
      <c r="B463" s="35"/>
    </row>
    <row r="464" spans="2:2">
      <c r="B464" s="35"/>
    </row>
    <row r="465" spans="2:2">
      <c r="B465" s="35"/>
    </row>
    <row r="466" spans="2:2">
      <c r="B466" s="35"/>
    </row>
    <row r="467" spans="2:2">
      <c r="B467" s="35"/>
    </row>
    <row r="468" spans="2:2">
      <c r="B468" s="35"/>
    </row>
    <row r="469" spans="2:2">
      <c r="B469" s="35"/>
    </row>
    <row r="470" spans="2:2">
      <c r="B470" s="35"/>
    </row>
    <row r="471" spans="2:2">
      <c r="B471" s="35"/>
    </row>
    <row r="472" spans="2:2">
      <c r="B472" s="35"/>
    </row>
    <row r="473" spans="2:2">
      <c r="B473" s="35"/>
    </row>
    <row r="474" spans="2:2">
      <c r="B474" s="35"/>
    </row>
    <row r="475" spans="2:2">
      <c r="B475" s="35"/>
    </row>
    <row r="476" spans="2:2">
      <c r="B476" s="35"/>
    </row>
    <row r="477" spans="2:2">
      <c r="B477" s="35"/>
    </row>
    <row r="478" spans="2:2">
      <c r="B478" s="35"/>
    </row>
    <row r="479" spans="2:2">
      <c r="B479" s="35"/>
    </row>
    <row r="480" spans="2:2">
      <c r="B480" s="35"/>
    </row>
    <row r="481" spans="2:2">
      <c r="B481" s="35"/>
    </row>
    <row r="482" spans="2:2">
      <c r="B482" s="35"/>
    </row>
    <row r="483" spans="2:2">
      <c r="B483" s="35"/>
    </row>
    <row r="484" spans="2:2">
      <c r="B484" s="35"/>
    </row>
    <row r="485" spans="2:2">
      <c r="B485" s="35"/>
    </row>
    <row r="486" spans="2:2">
      <c r="B486" s="35"/>
    </row>
    <row r="487" spans="2:2">
      <c r="B487" s="35"/>
    </row>
    <row r="488" spans="2:2">
      <c r="B488" s="35"/>
    </row>
    <row r="489" spans="2:2">
      <c r="B489" s="35"/>
    </row>
    <row r="490" spans="2:2">
      <c r="B490" s="35"/>
    </row>
    <row r="491" spans="2:2">
      <c r="B491" s="35"/>
    </row>
    <row r="492" spans="2:2">
      <c r="B492" s="35"/>
    </row>
    <row r="493" spans="2:2">
      <c r="B493" s="35"/>
    </row>
    <row r="494" spans="2:2">
      <c r="B494" s="35"/>
    </row>
    <row r="495" spans="2:2">
      <c r="B495" s="35"/>
    </row>
    <row r="496" spans="2:2">
      <c r="B496" s="35"/>
    </row>
    <row r="497" spans="2:2">
      <c r="B497" s="35"/>
    </row>
    <row r="498" spans="2:2">
      <c r="B498" s="35"/>
    </row>
    <row r="499" spans="2:2">
      <c r="B499" s="35"/>
    </row>
    <row r="500" spans="2:2">
      <c r="B500" s="35"/>
    </row>
    <row r="501" spans="2:2">
      <c r="B501" s="35"/>
    </row>
    <row r="502" spans="2:2">
      <c r="B502" s="35"/>
    </row>
    <row r="503" spans="2:2">
      <c r="B503" s="35"/>
    </row>
    <row r="504" spans="2:2">
      <c r="B504" s="35"/>
    </row>
    <row r="505" spans="2:2">
      <c r="B505" s="35"/>
    </row>
    <row r="506" spans="2:2">
      <c r="B506" s="35"/>
    </row>
    <row r="507" spans="2:2">
      <c r="B507" s="35"/>
    </row>
    <row r="508" spans="2:2">
      <c r="B508" s="35"/>
    </row>
    <row r="509" spans="2:2">
      <c r="B509" s="35"/>
    </row>
    <row r="510" spans="2:2">
      <c r="B510" s="35"/>
    </row>
    <row r="511" spans="2:2">
      <c r="B511" s="35"/>
    </row>
    <row r="512" spans="2:2">
      <c r="B512" s="35"/>
    </row>
    <row r="513" spans="2:2">
      <c r="B513" s="35"/>
    </row>
    <row r="514" spans="2:2">
      <c r="B514" s="35"/>
    </row>
    <row r="515" spans="2:2">
      <c r="B515" s="35"/>
    </row>
    <row r="516" spans="2:2">
      <c r="B516" s="35"/>
    </row>
    <row r="517" spans="2:2">
      <c r="B517" s="35"/>
    </row>
    <row r="518" spans="2:2">
      <c r="B518" s="35"/>
    </row>
    <row r="519" spans="2:2">
      <c r="B519" s="35"/>
    </row>
    <row r="520" spans="2:2">
      <c r="B520" s="35"/>
    </row>
    <row r="521" spans="2:2">
      <c r="B521" s="35"/>
    </row>
    <row r="522" spans="2:2">
      <c r="B522" s="35"/>
    </row>
    <row r="523" spans="2:2">
      <c r="B523" s="35"/>
    </row>
    <row r="524" spans="2:2">
      <c r="B524" s="35"/>
    </row>
    <row r="525" spans="2:2">
      <c r="B525" s="35"/>
    </row>
    <row r="526" spans="2:2">
      <c r="B526" s="35"/>
    </row>
    <row r="527" spans="2:2">
      <c r="B527" s="35"/>
    </row>
    <row r="528" spans="2:2">
      <c r="B528" s="35"/>
    </row>
    <row r="529" spans="2:2">
      <c r="B529" s="35"/>
    </row>
    <row r="530" spans="2:2">
      <c r="B530" s="35"/>
    </row>
    <row r="531" spans="2:2">
      <c r="B531" s="35"/>
    </row>
    <row r="532" spans="2:2">
      <c r="B532" s="35"/>
    </row>
    <row r="533" spans="2:2">
      <c r="B533" s="35"/>
    </row>
    <row r="534" spans="2:2">
      <c r="B534" s="35"/>
    </row>
    <row r="535" spans="2:2">
      <c r="B535" s="35"/>
    </row>
    <row r="536" spans="2:2">
      <c r="B536" s="35"/>
    </row>
    <row r="537" spans="2:2">
      <c r="B537" s="35"/>
    </row>
    <row r="538" spans="2:2">
      <c r="B538" s="35"/>
    </row>
    <row r="539" spans="2:2">
      <c r="B539" s="35"/>
    </row>
    <row r="540" spans="2:2">
      <c r="B540" s="35"/>
    </row>
    <row r="541" spans="2:2">
      <c r="B541" s="35"/>
    </row>
    <row r="542" spans="2:2">
      <c r="B542" s="35"/>
    </row>
    <row r="543" spans="2:2">
      <c r="B543" s="35"/>
    </row>
    <row r="544" spans="2:2">
      <c r="B544" s="35"/>
    </row>
    <row r="545" spans="2:2">
      <c r="B545" s="35"/>
    </row>
    <row r="546" spans="2:2">
      <c r="B546" s="35"/>
    </row>
    <row r="547" spans="2:2">
      <c r="B547" s="35"/>
    </row>
    <row r="548" spans="2:2">
      <c r="B548" s="35"/>
    </row>
    <row r="549" spans="2:2">
      <c r="B549" s="35"/>
    </row>
    <row r="550" spans="2:2">
      <c r="B550" s="35"/>
    </row>
    <row r="551" spans="2:2">
      <c r="B551" s="35"/>
    </row>
    <row r="552" spans="2:2">
      <c r="B552" s="35"/>
    </row>
    <row r="553" spans="2:2">
      <c r="B553" s="35"/>
    </row>
    <row r="554" spans="2:2">
      <c r="B554" s="35"/>
    </row>
    <row r="555" spans="2:2">
      <c r="B555" s="35"/>
    </row>
    <row r="556" spans="2:2">
      <c r="B556" s="35"/>
    </row>
    <row r="557" spans="2:2">
      <c r="B557" s="35"/>
    </row>
    <row r="558" spans="2:2">
      <c r="B558" s="35"/>
    </row>
    <row r="559" spans="2:2">
      <c r="B559" s="35"/>
    </row>
    <row r="560" spans="2:2">
      <c r="B560" s="35"/>
    </row>
    <row r="561" spans="2:2">
      <c r="B561" s="35"/>
    </row>
    <row r="562" spans="2:2">
      <c r="B562" s="35"/>
    </row>
    <row r="563" spans="2:2">
      <c r="B563" s="35"/>
    </row>
    <row r="564" spans="2:2">
      <c r="B564" s="35"/>
    </row>
    <row r="565" spans="2:2">
      <c r="B565" s="35"/>
    </row>
    <row r="566" spans="2:2">
      <c r="B566" s="35"/>
    </row>
    <row r="567" spans="2:2">
      <c r="B567" s="35"/>
    </row>
    <row r="568" spans="2:2">
      <c r="B568" s="35"/>
    </row>
    <row r="569" spans="2:2">
      <c r="B569" s="35"/>
    </row>
    <row r="570" spans="2:2">
      <c r="B570" s="35"/>
    </row>
    <row r="571" spans="2:2">
      <c r="B571" s="35"/>
    </row>
    <row r="572" spans="2:2">
      <c r="B572" s="35"/>
    </row>
    <row r="573" spans="2:2">
      <c r="B573" s="35"/>
    </row>
    <row r="574" spans="2:2">
      <c r="B574" s="35"/>
    </row>
    <row r="575" spans="2:2">
      <c r="B575" s="35"/>
    </row>
    <row r="576" spans="2:2">
      <c r="B576" s="35"/>
    </row>
    <row r="577" spans="2:2">
      <c r="B577" s="35"/>
    </row>
    <row r="578" spans="2:2">
      <c r="B578" s="35"/>
    </row>
    <row r="579" spans="2:2">
      <c r="B579" s="35"/>
    </row>
    <row r="580" spans="2:2">
      <c r="B580" s="35"/>
    </row>
    <row r="581" spans="2:2">
      <c r="B581" s="35"/>
    </row>
    <row r="582" spans="2:2">
      <c r="B582" s="35"/>
    </row>
    <row r="583" spans="2:2">
      <c r="B583" s="35"/>
    </row>
    <row r="584" spans="2:2">
      <c r="B584" s="35"/>
    </row>
    <row r="585" spans="2:2">
      <c r="B585" s="35"/>
    </row>
    <row r="586" spans="2:2">
      <c r="B586" s="35"/>
    </row>
    <row r="587" spans="2:2">
      <c r="B587" s="35"/>
    </row>
    <row r="588" spans="2:2">
      <c r="B588" s="35"/>
    </row>
    <row r="589" spans="2:2">
      <c r="B589" s="35"/>
    </row>
    <row r="590" spans="2:2">
      <c r="B590" s="35"/>
    </row>
    <row r="591" spans="2:2">
      <c r="B591" s="35"/>
    </row>
    <row r="592" spans="2:2">
      <c r="B592" s="35"/>
    </row>
    <row r="593" spans="2:2">
      <c r="B593" s="35"/>
    </row>
    <row r="594" spans="2:2">
      <c r="B594" s="35"/>
    </row>
    <row r="595" spans="2:2">
      <c r="B595" s="35"/>
    </row>
    <row r="596" spans="2:2">
      <c r="B596" s="35"/>
    </row>
    <row r="597" spans="2:2">
      <c r="B597" s="35"/>
    </row>
    <row r="598" spans="2:2">
      <c r="B598" s="35"/>
    </row>
    <row r="599" spans="2:2">
      <c r="B599" s="35"/>
    </row>
    <row r="600" spans="2:2">
      <c r="B600" s="35"/>
    </row>
    <row r="601" spans="2:2">
      <c r="B601" s="35"/>
    </row>
    <row r="602" spans="2:2">
      <c r="B602" s="35"/>
    </row>
    <row r="603" spans="2:2">
      <c r="B603" s="35"/>
    </row>
    <row r="604" spans="2:2">
      <c r="B604" s="35"/>
    </row>
    <row r="605" spans="2:2">
      <c r="B605" s="35"/>
    </row>
    <row r="606" spans="2:2">
      <c r="B606" s="35"/>
    </row>
    <row r="607" spans="2:2">
      <c r="B607" s="35"/>
    </row>
    <row r="608" spans="2:2">
      <c r="B608" s="35"/>
    </row>
    <row r="609" spans="2:2">
      <c r="B609" s="35"/>
    </row>
    <row r="610" spans="2:2">
      <c r="B610" s="35"/>
    </row>
    <row r="611" spans="2:2">
      <c r="B611" s="35"/>
    </row>
    <row r="612" spans="2:2">
      <c r="B612" s="35"/>
    </row>
    <row r="613" spans="2:2">
      <c r="B613" s="35"/>
    </row>
    <row r="614" spans="2:2">
      <c r="B614" s="35"/>
    </row>
    <row r="615" spans="2:2">
      <c r="B615" s="35"/>
    </row>
    <row r="616" spans="2:2">
      <c r="B616" s="35"/>
    </row>
    <row r="617" spans="2:2">
      <c r="B617" s="35"/>
    </row>
    <row r="618" spans="2:2">
      <c r="B618" s="35"/>
    </row>
    <row r="619" spans="2:2">
      <c r="B619" s="35"/>
    </row>
    <row r="620" spans="2:2">
      <c r="B620" s="35"/>
    </row>
    <row r="621" spans="2:2">
      <c r="B621" s="35"/>
    </row>
    <row r="622" spans="2:2">
      <c r="B622" s="35"/>
    </row>
    <row r="623" spans="2:2">
      <c r="B623" s="35"/>
    </row>
    <row r="624" spans="2:2">
      <c r="B624" s="35"/>
    </row>
    <row r="625" spans="2:2">
      <c r="B625" s="35"/>
    </row>
    <row r="626" spans="2:2">
      <c r="B626" s="35"/>
    </row>
    <row r="627" spans="2:2">
      <c r="B627" s="35"/>
    </row>
    <row r="628" spans="2:2">
      <c r="B628" s="35"/>
    </row>
    <row r="629" spans="2:2">
      <c r="B629" s="35"/>
    </row>
    <row r="630" spans="2:2">
      <c r="B630" s="35"/>
    </row>
    <row r="631" spans="2:2">
      <c r="B631" s="35"/>
    </row>
    <row r="632" spans="2:2">
      <c r="B632" s="35"/>
    </row>
    <row r="633" spans="2:2">
      <c r="B633" s="35"/>
    </row>
    <row r="634" spans="2:2">
      <c r="B634" s="35"/>
    </row>
    <row r="635" spans="2:2">
      <c r="B635" s="35"/>
    </row>
    <row r="636" spans="2:2">
      <c r="B636" s="35"/>
    </row>
    <row r="637" spans="2:2">
      <c r="B637" s="35"/>
    </row>
    <row r="638" spans="2:2">
      <c r="B638" s="35"/>
    </row>
    <row r="639" spans="2:2">
      <c r="B639" s="35"/>
    </row>
    <row r="640" spans="2:2">
      <c r="B640" s="35"/>
    </row>
    <row r="641" spans="2:2">
      <c r="B641" s="35"/>
    </row>
    <row r="642" spans="2:2">
      <c r="B642" s="35"/>
    </row>
    <row r="643" spans="2:2">
      <c r="B643" s="35"/>
    </row>
    <row r="644" spans="2:2">
      <c r="B644" s="35"/>
    </row>
    <row r="645" spans="2:2">
      <c r="B645" s="35"/>
    </row>
    <row r="646" spans="2:2">
      <c r="B646" s="35"/>
    </row>
    <row r="647" spans="2:2">
      <c r="B647" s="35"/>
    </row>
    <row r="648" spans="2:2">
      <c r="B648" s="35"/>
    </row>
    <row r="649" spans="2:2">
      <c r="B649" s="35"/>
    </row>
    <row r="650" spans="2:2">
      <c r="B650" s="35"/>
    </row>
    <row r="651" spans="2:2">
      <c r="B651" s="35"/>
    </row>
    <row r="652" spans="2:2">
      <c r="B652" s="35"/>
    </row>
    <row r="653" spans="2:2">
      <c r="B653" s="35"/>
    </row>
    <row r="654" spans="2:2">
      <c r="B654" s="35"/>
    </row>
    <row r="655" spans="2:2">
      <c r="B655" s="35"/>
    </row>
    <row r="656" spans="2:2">
      <c r="B656" s="35"/>
    </row>
    <row r="657" spans="2:2">
      <c r="B657" s="35"/>
    </row>
    <row r="658" spans="2:2">
      <c r="B658" s="35"/>
    </row>
    <row r="659" spans="2:2">
      <c r="B659" s="35"/>
    </row>
    <row r="660" spans="2:2">
      <c r="B660" s="35"/>
    </row>
    <row r="661" spans="2:2">
      <c r="B661" s="35"/>
    </row>
    <row r="662" spans="2:2">
      <c r="B662" s="35"/>
    </row>
    <row r="663" spans="2:2">
      <c r="B663" s="35"/>
    </row>
    <row r="664" spans="2:2">
      <c r="B664" s="35"/>
    </row>
    <row r="665" spans="2:2">
      <c r="B665" s="35"/>
    </row>
    <row r="666" spans="2:2">
      <c r="B666" s="35"/>
    </row>
    <row r="667" spans="2:2">
      <c r="B667" s="35"/>
    </row>
    <row r="668" spans="2:2">
      <c r="B668" s="35"/>
    </row>
    <row r="669" spans="2:2">
      <c r="B669" s="35"/>
    </row>
    <row r="670" spans="2:2">
      <c r="B670" s="35"/>
    </row>
    <row r="671" spans="2:2">
      <c r="B671" s="35"/>
    </row>
    <row r="672" spans="2:2">
      <c r="B672" s="35"/>
    </row>
    <row r="673" spans="2:2">
      <c r="B673" s="35"/>
    </row>
    <row r="674" spans="2:2">
      <c r="B674" s="35"/>
    </row>
    <row r="675" spans="2:2">
      <c r="B675" s="35"/>
    </row>
    <row r="676" spans="2:2">
      <c r="B676" s="35"/>
    </row>
    <row r="677" spans="2:2">
      <c r="B677" s="35"/>
    </row>
    <row r="678" spans="2:2">
      <c r="B678" s="35"/>
    </row>
    <row r="679" spans="2:2">
      <c r="B679" s="35"/>
    </row>
    <row r="680" spans="2:2">
      <c r="B680" s="35"/>
    </row>
    <row r="681" spans="2:2">
      <c r="B681" s="35"/>
    </row>
    <row r="682" spans="2:2">
      <c r="B682" s="35"/>
    </row>
    <row r="683" spans="2:2">
      <c r="B683" s="35"/>
    </row>
    <row r="684" spans="2:2">
      <c r="B684" s="35"/>
    </row>
    <row r="685" spans="2:2">
      <c r="B685" s="35"/>
    </row>
    <row r="686" spans="2:2">
      <c r="B686" s="35"/>
    </row>
    <row r="687" spans="2:2">
      <c r="B687" s="35"/>
    </row>
    <row r="688" spans="2:2">
      <c r="B688" s="35"/>
    </row>
    <row r="689" spans="2:2">
      <c r="B689" s="35"/>
    </row>
    <row r="690" spans="2:2">
      <c r="B690" s="35"/>
    </row>
    <row r="691" spans="2:2">
      <c r="B691" s="35"/>
    </row>
    <row r="692" spans="2:2">
      <c r="B692" s="35"/>
    </row>
    <row r="693" spans="2:2">
      <c r="B693" s="35"/>
    </row>
    <row r="694" spans="2:2">
      <c r="B694" s="35"/>
    </row>
    <row r="695" spans="2:2">
      <c r="B695" s="35"/>
    </row>
    <row r="696" spans="2:2">
      <c r="B696" s="35"/>
    </row>
    <row r="697" spans="2:2">
      <c r="B697" s="35"/>
    </row>
    <row r="698" spans="2:2">
      <c r="B698" s="35"/>
    </row>
    <row r="699" spans="2:2">
      <c r="B699" s="35"/>
    </row>
    <row r="700" spans="2:2">
      <c r="B700" s="35"/>
    </row>
    <row r="701" spans="2:2">
      <c r="B701" s="35"/>
    </row>
    <row r="702" spans="2:2">
      <c r="B702" s="35"/>
    </row>
    <row r="703" spans="2:2">
      <c r="B703" s="35"/>
    </row>
    <row r="704" spans="2:2">
      <c r="B704" s="35"/>
    </row>
    <row r="705" spans="2:2">
      <c r="B705" s="35"/>
    </row>
    <row r="706" spans="2:2">
      <c r="B706" s="35"/>
    </row>
    <row r="707" spans="2:2">
      <c r="B707" s="35"/>
    </row>
    <row r="708" spans="2:2">
      <c r="B708" s="35"/>
    </row>
    <row r="709" spans="2:2">
      <c r="B709" s="35"/>
    </row>
    <row r="710" spans="2:2">
      <c r="B710" s="35"/>
    </row>
    <row r="711" spans="2:2">
      <c r="B711" s="35"/>
    </row>
    <row r="712" spans="2:2">
      <c r="B712" s="35"/>
    </row>
    <row r="713" spans="2:2">
      <c r="B713" s="35"/>
    </row>
    <row r="714" spans="2:2">
      <c r="B714" s="35"/>
    </row>
    <row r="715" spans="2:2">
      <c r="B715" s="35"/>
    </row>
    <row r="716" spans="2:2">
      <c r="B716" s="35"/>
    </row>
    <row r="717" spans="2:2">
      <c r="B717" s="35"/>
    </row>
    <row r="718" spans="2:2">
      <c r="B718" s="35"/>
    </row>
    <row r="719" spans="2:2">
      <c r="B719" s="35"/>
    </row>
    <row r="720" spans="2:2">
      <c r="B720" s="35"/>
    </row>
    <row r="721" spans="2:2">
      <c r="B721" s="35"/>
    </row>
    <row r="722" spans="2:2">
      <c r="B722" s="35"/>
    </row>
    <row r="723" spans="2:2">
      <c r="B723" s="35"/>
    </row>
    <row r="724" spans="2:2">
      <c r="B724" s="35"/>
    </row>
    <row r="725" spans="2:2">
      <c r="B725" s="35"/>
    </row>
    <row r="726" spans="2:2">
      <c r="B726" s="35"/>
    </row>
    <row r="727" spans="2:2">
      <c r="B727" s="35"/>
    </row>
    <row r="728" spans="2:2">
      <c r="B728" s="35"/>
    </row>
    <row r="729" spans="2:2">
      <c r="B729" s="35"/>
    </row>
    <row r="730" spans="2:2">
      <c r="B730" s="35"/>
    </row>
    <row r="731" spans="2:2">
      <c r="B731" s="35"/>
    </row>
    <row r="732" spans="2:2">
      <c r="B732" s="35"/>
    </row>
    <row r="733" spans="2:2">
      <c r="B733" s="35"/>
    </row>
    <row r="734" spans="2:2">
      <c r="B734" s="35"/>
    </row>
    <row r="735" spans="2:2">
      <c r="B735" s="35"/>
    </row>
    <row r="736" spans="2:2">
      <c r="B736" s="35"/>
    </row>
    <row r="737" spans="2:2">
      <c r="B737" s="35"/>
    </row>
    <row r="738" spans="2:2">
      <c r="B738" s="35"/>
    </row>
    <row r="739" spans="2:2">
      <c r="B739" s="35"/>
    </row>
    <row r="740" spans="2:2">
      <c r="B740" s="35"/>
    </row>
    <row r="741" spans="2:2">
      <c r="B741" s="35"/>
    </row>
    <row r="742" spans="2:2">
      <c r="B742" s="35"/>
    </row>
    <row r="743" spans="2:2">
      <c r="B743" s="35"/>
    </row>
    <row r="744" spans="2:2">
      <c r="B744" s="35"/>
    </row>
    <row r="745" spans="2:2">
      <c r="B745" s="35"/>
    </row>
    <row r="746" spans="2:2">
      <c r="B746" s="35"/>
    </row>
    <row r="747" spans="2:2">
      <c r="B747" s="35"/>
    </row>
    <row r="748" spans="2:2">
      <c r="B748" s="35"/>
    </row>
    <row r="749" spans="2:2">
      <c r="B749" s="35"/>
    </row>
    <row r="750" spans="2:2">
      <c r="B750" s="35"/>
    </row>
    <row r="751" spans="2:2">
      <c r="B751" s="35"/>
    </row>
    <row r="752" spans="2:2">
      <c r="B752" s="35"/>
    </row>
    <row r="753" spans="2:2">
      <c r="B753" s="35"/>
    </row>
    <row r="754" spans="2:2">
      <c r="B754" s="35"/>
    </row>
    <row r="755" spans="2:2">
      <c r="B755" s="35"/>
    </row>
    <row r="756" spans="2:2">
      <c r="B756" s="35"/>
    </row>
    <row r="757" spans="2:2">
      <c r="B757" s="35"/>
    </row>
    <row r="758" spans="2:2">
      <c r="B758" s="35"/>
    </row>
    <row r="759" spans="2:2">
      <c r="B759" s="35"/>
    </row>
    <row r="760" spans="2:2">
      <c r="B760" s="35"/>
    </row>
    <row r="761" spans="2:2">
      <c r="B761" s="35"/>
    </row>
    <row r="762" spans="2:2">
      <c r="B762" s="35"/>
    </row>
    <row r="763" spans="2:2">
      <c r="B763" s="35"/>
    </row>
    <row r="764" spans="2:2">
      <c r="B764" s="35"/>
    </row>
    <row r="765" spans="2:2">
      <c r="B765" s="35"/>
    </row>
    <row r="766" spans="2:2">
      <c r="B766" s="35"/>
    </row>
    <row r="767" spans="2:2">
      <c r="B767" s="35"/>
    </row>
    <row r="768" spans="2:2">
      <c r="B768" s="35"/>
    </row>
    <row r="769" spans="2:2">
      <c r="B769" s="35"/>
    </row>
    <row r="770" spans="2:2">
      <c r="B770" s="35"/>
    </row>
    <row r="771" spans="2:2">
      <c r="B771" s="35"/>
    </row>
    <row r="772" spans="2:2">
      <c r="B772" s="35"/>
    </row>
    <row r="773" spans="2:2">
      <c r="B773" s="35"/>
    </row>
    <row r="774" spans="2:2">
      <c r="B774" s="35"/>
    </row>
    <row r="775" spans="2:2">
      <c r="B775" s="35"/>
    </row>
    <row r="776" spans="2:2">
      <c r="B776" s="35"/>
    </row>
    <row r="777" spans="2:2">
      <c r="B777" s="35"/>
    </row>
    <row r="778" spans="2:2">
      <c r="B778" s="35"/>
    </row>
    <row r="779" spans="2:2">
      <c r="B779" s="35"/>
    </row>
    <row r="780" spans="2:2">
      <c r="B780" s="35"/>
    </row>
    <row r="781" spans="2:2">
      <c r="B781" s="35"/>
    </row>
    <row r="782" spans="2:2">
      <c r="B782" s="35"/>
    </row>
    <row r="783" spans="2:2">
      <c r="B783" s="35"/>
    </row>
    <row r="784" spans="2:2">
      <c r="B784" s="35"/>
    </row>
    <row r="785" spans="2:2">
      <c r="B785" s="35"/>
    </row>
    <row r="786" spans="2:2">
      <c r="B786" s="35"/>
    </row>
    <row r="787" spans="2:2">
      <c r="B787" s="35"/>
    </row>
    <row r="788" spans="2:2">
      <c r="B788" s="35"/>
    </row>
    <row r="789" spans="2:2">
      <c r="B789" s="35"/>
    </row>
    <row r="790" spans="2:2">
      <c r="B790" s="35"/>
    </row>
    <row r="791" spans="2:2">
      <c r="B791" s="35"/>
    </row>
    <row r="792" spans="2:2">
      <c r="B792" s="35"/>
    </row>
    <row r="793" spans="2:2">
      <c r="B793" s="35"/>
    </row>
    <row r="794" spans="2:2">
      <c r="B794" s="35"/>
    </row>
    <row r="795" spans="2:2">
      <c r="B795" s="35"/>
    </row>
    <row r="796" spans="2:2">
      <c r="B796" s="35"/>
    </row>
    <row r="797" spans="2:2">
      <c r="B797" s="35"/>
    </row>
    <row r="798" spans="2:2">
      <c r="B798" s="35"/>
    </row>
    <row r="799" spans="2:2">
      <c r="B799" s="35"/>
    </row>
    <row r="800" spans="2:2">
      <c r="B800" s="35"/>
    </row>
    <row r="801" spans="2:2">
      <c r="B801" s="35"/>
    </row>
    <row r="802" spans="2:2">
      <c r="B802" s="35"/>
    </row>
    <row r="803" spans="2:2">
      <c r="B803" s="35"/>
    </row>
    <row r="804" spans="2:2">
      <c r="B804" s="35"/>
    </row>
    <row r="805" spans="2:2">
      <c r="B805" s="35"/>
    </row>
    <row r="806" spans="2:2">
      <c r="B806" s="35"/>
    </row>
    <row r="807" spans="2:2">
      <c r="B807" s="35"/>
    </row>
    <row r="808" spans="2:2">
      <c r="B808" s="35"/>
    </row>
    <row r="809" spans="2:2">
      <c r="B809" s="35"/>
    </row>
    <row r="810" spans="2:2">
      <c r="B810" s="35"/>
    </row>
    <row r="811" spans="2:2">
      <c r="B811" s="35"/>
    </row>
    <row r="812" spans="2:2">
      <c r="B812" s="35"/>
    </row>
    <row r="813" spans="2:2">
      <c r="B813" s="35"/>
    </row>
    <row r="814" spans="2:2">
      <c r="B814" s="35"/>
    </row>
    <row r="815" spans="2:2">
      <c r="B815" s="35"/>
    </row>
    <row r="816" spans="2:2">
      <c r="B816" s="35"/>
    </row>
    <row r="817" spans="2:2">
      <c r="B817" s="35"/>
    </row>
    <row r="818" spans="2:2">
      <c r="B818" s="35"/>
    </row>
    <row r="819" spans="2:2">
      <c r="B819" s="35"/>
    </row>
    <row r="820" spans="2:2">
      <c r="B820" s="35"/>
    </row>
    <row r="821" spans="2:2">
      <c r="B821" s="35"/>
    </row>
    <row r="822" spans="2:2">
      <c r="B822" s="35"/>
    </row>
    <row r="823" spans="2:2">
      <c r="B823" s="35"/>
    </row>
    <row r="824" spans="2:2">
      <c r="B824" s="35"/>
    </row>
    <row r="825" spans="2:2">
      <c r="B825" s="35"/>
    </row>
    <row r="826" spans="2:2">
      <c r="B826" s="35"/>
    </row>
    <row r="827" spans="2:2">
      <c r="B827" s="35"/>
    </row>
    <row r="828" spans="2:2">
      <c r="B828" s="35"/>
    </row>
    <row r="829" spans="2:2">
      <c r="B829" s="35"/>
    </row>
    <row r="830" spans="2:2">
      <c r="B830" s="35"/>
    </row>
    <row r="831" spans="2:2">
      <c r="B831" s="35"/>
    </row>
    <row r="832" spans="2:2">
      <c r="B832" s="35"/>
    </row>
    <row r="833" spans="2:2">
      <c r="B833" s="35"/>
    </row>
    <row r="834" spans="2:2">
      <c r="B834" s="35"/>
    </row>
    <row r="835" spans="2:2">
      <c r="B835" s="35"/>
    </row>
    <row r="836" spans="2:2">
      <c r="B836" s="35"/>
    </row>
    <row r="837" spans="2:2">
      <c r="B837" s="35"/>
    </row>
    <row r="838" spans="2:2">
      <c r="B838" s="35"/>
    </row>
    <row r="839" spans="2:2">
      <c r="B839" s="35"/>
    </row>
    <row r="840" spans="2:2">
      <c r="B840" s="35"/>
    </row>
    <row r="841" spans="2:2">
      <c r="B841" s="35"/>
    </row>
    <row r="842" spans="2:2">
      <c r="B842" s="35"/>
    </row>
    <row r="843" spans="2:2">
      <c r="B843" s="35"/>
    </row>
    <row r="844" spans="2:2">
      <c r="B844" s="35"/>
    </row>
    <row r="845" spans="2:2">
      <c r="B845" s="35"/>
    </row>
    <row r="846" spans="2:2">
      <c r="B846" s="35"/>
    </row>
    <row r="847" spans="2:2">
      <c r="B847" s="35"/>
    </row>
    <row r="848" spans="2:2">
      <c r="B848" s="35"/>
    </row>
    <row r="849" spans="2:2">
      <c r="B849" s="35"/>
    </row>
    <row r="850" spans="2:2">
      <c r="B850" s="35"/>
    </row>
    <row r="851" spans="2:2">
      <c r="B851" s="35"/>
    </row>
    <row r="852" spans="2:2">
      <c r="B852" s="35"/>
    </row>
    <row r="853" spans="2:2">
      <c r="B853" s="35"/>
    </row>
    <row r="854" spans="2:2">
      <c r="B854" s="35"/>
    </row>
    <row r="855" spans="2:2">
      <c r="B855" s="35"/>
    </row>
    <row r="856" spans="2:2">
      <c r="B856" s="35"/>
    </row>
    <row r="857" spans="2:2">
      <c r="B857" s="35"/>
    </row>
    <row r="858" spans="2:2">
      <c r="B858" s="35"/>
    </row>
    <row r="859" spans="2:2">
      <c r="B859" s="35"/>
    </row>
    <row r="860" spans="2:2">
      <c r="B860" s="35"/>
    </row>
    <row r="861" spans="2:2">
      <c r="B861" s="35"/>
    </row>
    <row r="862" spans="2:2">
      <c r="B862" s="35"/>
    </row>
    <row r="863" spans="2:2">
      <c r="B863" s="35"/>
    </row>
    <row r="864" spans="2:2">
      <c r="B864" s="35"/>
    </row>
    <row r="865" spans="2:2">
      <c r="B865" s="35"/>
    </row>
    <row r="866" spans="2:2">
      <c r="B866" s="35"/>
    </row>
    <row r="867" spans="2:2">
      <c r="B867" s="35"/>
    </row>
    <row r="868" spans="2:2">
      <c r="B868" s="35"/>
    </row>
    <row r="869" spans="2:2">
      <c r="B869" s="35"/>
    </row>
    <row r="870" spans="2:2">
      <c r="B870" s="35"/>
    </row>
    <row r="871" spans="2:2">
      <c r="B871" s="35"/>
    </row>
    <row r="872" spans="2:2">
      <c r="B872" s="35"/>
    </row>
    <row r="873" spans="2:2">
      <c r="B873" s="35"/>
    </row>
    <row r="874" spans="2:2">
      <c r="B874" s="35"/>
    </row>
    <row r="875" spans="2:2">
      <c r="B875" s="35"/>
    </row>
    <row r="876" spans="2:2">
      <c r="B876" s="35"/>
    </row>
    <row r="877" spans="2:2">
      <c r="B877" s="35"/>
    </row>
    <row r="878" spans="2:2">
      <c r="B878" s="35"/>
    </row>
    <row r="879" spans="2:2">
      <c r="B879" s="35"/>
    </row>
    <row r="880" spans="2:2">
      <c r="B880" s="35"/>
    </row>
    <row r="881" spans="2:2">
      <c r="B881" s="35"/>
    </row>
    <row r="882" spans="2:2">
      <c r="B882" s="35"/>
    </row>
    <row r="883" spans="2:2">
      <c r="B883" s="35"/>
    </row>
    <row r="884" spans="2:2">
      <c r="B884" s="35"/>
    </row>
    <row r="885" spans="2:2">
      <c r="B885" s="35"/>
    </row>
    <row r="886" spans="2:2">
      <c r="B886" s="35"/>
    </row>
    <row r="887" spans="2:2">
      <c r="B887" s="35"/>
    </row>
    <row r="888" spans="2:2">
      <c r="B888" s="35"/>
    </row>
    <row r="889" spans="2:2">
      <c r="B889" s="35"/>
    </row>
    <row r="890" spans="2:2">
      <c r="B890" s="35"/>
    </row>
    <row r="891" spans="2:2">
      <c r="B891" s="35"/>
    </row>
    <row r="892" spans="2:2">
      <c r="B892" s="35"/>
    </row>
    <row r="893" spans="2:2">
      <c r="B893" s="35"/>
    </row>
    <row r="894" spans="2:2">
      <c r="B894" s="35"/>
    </row>
    <row r="895" spans="2:2">
      <c r="B895" s="35"/>
    </row>
    <row r="896" spans="2:2">
      <c r="B896" s="35"/>
    </row>
    <row r="897" spans="2:2">
      <c r="B897" s="35"/>
    </row>
    <row r="898" spans="2:2">
      <c r="B898" s="35"/>
    </row>
    <row r="899" spans="2:2">
      <c r="B899" s="35"/>
    </row>
    <row r="900" spans="2:2">
      <c r="B900" s="35"/>
    </row>
    <row r="901" spans="2:2">
      <c r="B901" s="35"/>
    </row>
    <row r="902" spans="2:2">
      <c r="B902" s="35"/>
    </row>
    <row r="903" spans="2:2">
      <c r="B903" s="35"/>
    </row>
    <row r="904" spans="2:2">
      <c r="B904" s="35"/>
    </row>
    <row r="905" spans="2:2">
      <c r="B905" s="35"/>
    </row>
    <row r="906" spans="2:2">
      <c r="B906" s="35"/>
    </row>
    <row r="907" spans="2:2">
      <c r="B907" s="35"/>
    </row>
    <row r="908" spans="2:2">
      <c r="B908" s="35"/>
    </row>
    <row r="909" spans="2:2">
      <c r="B909" s="35"/>
    </row>
    <row r="910" spans="2:2">
      <c r="B910" s="35"/>
    </row>
    <row r="911" spans="2:2">
      <c r="B911" s="35"/>
    </row>
    <row r="912" spans="2:2">
      <c r="B912" s="35"/>
    </row>
    <row r="913" spans="2:2">
      <c r="B913" s="35"/>
    </row>
    <row r="914" spans="2:2">
      <c r="B914" s="35"/>
    </row>
    <row r="915" spans="2:2">
      <c r="B915" s="35"/>
    </row>
    <row r="916" spans="2:2">
      <c r="B916" s="35"/>
    </row>
    <row r="917" spans="2:2">
      <c r="B917" s="35"/>
    </row>
    <row r="918" spans="2:2">
      <c r="B918" s="35"/>
    </row>
    <row r="919" spans="2:2">
      <c r="B919" s="35"/>
    </row>
    <row r="920" spans="2:2">
      <c r="B920" s="35"/>
    </row>
    <row r="921" spans="2:2">
      <c r="B921" s="35"/>
    </row>
    <row r="922" spans="2:2">
      <c r="B922" s="35"/>
    </row>
    <row r="923" spans="2:2">
      <c r="B923" s="35"/>
    </row>
    <row r="924" spans="2:2">
      <c r="B924" s="35"/>
    </row>
    <row r="925" spans="2:2">
      <c r="B925" s="35"/>
    </row>
    <row r="926" spans="2:2">
      <c r="B926" s="35"/>
    </row>
    <row r="927" spans="2:2">
      <c r="B927" s="35"/>
    </row>
    <row r="928" spans="2:2">
      <c r="B928" s="35"/>
    </row>
    <row r="929" spans="2:2">
      <c r="B929" s="35"/>
    </row>
    <row r="930" spans="2:2">
      <c r="B930" s="35"/>
    </row>
    <row r="931" spans="2:2">
      <c r="B931" s="35"/>
    </row>
    <row r="932" spans="2:2">
      <c r="B932" s="35"/>
    </row>
    <row r="933" spans="2:2">
      <c r="B933" s="35"/>
    </row>
    <row r="934" spans="2:2">
      <c r="B934" s="35"/>
    </row>
    <row r="935" spans="2:2">
      <c r="B935" s="35"/>
    </row>
    <row r="936" spans="2:2">
      <c r="B936" s="35"/>
    </row>
    <row r="937" spans="2:2">
      <c r="B937" s="35"/>
    </row>
    <row r="938" spans="2:2">
      <c r="B938" s="35"/>
    </row>
    <row r="939" spans="2:2">
      <c r="B939" s="35"/>
    </row>
    <row r="940" spans="2:2">
      <c r="B940" s="35"/>
    </row>
    <row r="941" spans="2:2">
      <c r="B941" s="35"/>
    </row>
    <row r="942" spans="2:2">
      <c r="B942" s="35"/>
    </row>
    <row r="943" spans="2:2">
      <c r="B943" s="35"/>
    </row>
    <row r="944" spans="2:2">
      <c r="B944" s="35"/>
    </row>
    <row r="945" spans="2:2">
      <c r="B945" s="35"/>
    </row>
    <row r="946" spans="2:2">
      <c r="B946" s="35"/>
    </row>
    <row r="947" spans="2:2">
      <c r="B947" s="35"/>
    </row>
    <row r="948" spans="2:2">
      <c r="B948" s="35"/>
    </row>
    <row r="949" spans="2:2">
      <c r="B949" s="35"/>
    </row>
    <row r="950" spans="2:2">
      <c r="B950" s="35"/>
    </row>
    <row r="951" spans="2:2">
      <c r="B951" s="35"/>
    </row>
    <row r="952" spans="2:2">
      <c r="B952" s="35"/>
    </row>
    <row r="953" spans="2:2">
      <c r="B953" s="35"/>
    </row>
    <row r="954" spans="2:2">
      <c r="B954" s="35"/>
    </row>
    <row r="955" spans="2:2">
      <c r="B955" s="35"/>
    </row>
    <row r="956" spans="2:2">
      <c r="B956" s="35"/>
    </row>
    <row r="957" spans="2:2">
      <c r="B957" s="35"/>
    </row>
    <row r="958" spans="2:2">
      <c r="B958" s="35"/>
    </row>
    <row r="959" spans="2:2">
      <c r="B959" s="35"/>
    </row>
    <row r="960" spans="2:2">
      <c r="B960" s="35"/>
    </row>
    <row r="961" spans="2:2">
      <c r="B961" s="35"/>
    </row>
    <row r="962" spans="2:2">
      <c r="B962" s="35"/>
    </row>
    <row r="963" spans="2:2">
      <c r="B963" s="35"/>
    </row>
    <row r="964" spans="2:2">
      <c r="B964" s="35"/>
    </row>
    <row r="965" spans="2:2">
      <c r="B965" s="35"/>
    </row>
    <row r="966" spans="2:2">
      <c r="B966" s="35"/>
    </row>
    <row r="967" spans="2:2">
      <c r="B967" s="35"/>
    </row>
    <row r="968" spans="2:2">
      <c r="B968" s="35"/>
    </row>
    <row r="969" spans="2:2">
      <c r="B969" s="35"/>
    </row>
    <row r="970" spans="2:2">
      <c r="B970" s="35"/>
    </row>
    <row r="971" spans="2:2">
      <c r="B971" s="35"/>
    </row>
    <row r="972" spans="2:2">
      <c r="B972" s="35"/>
    </row>
    <row r="973" spans="2:2">
      <c r="B973" s="35"/>
    </row>
    <row r="974" spans="2:2">
      <c r="B974" s="35"/>
    </row>
    <row r="975" spans="2:2">
      <c r="B975" s="35"/>
    </row>
    <row r="976" spans="2:2">
      <c r="B976" s="35"/>
    </row>
    <row r="977" spans="2:2">
      <c r="B977" s="35"/>
    </row>
    <row r="978" spans="2:2">
      <c r="B978" s="35"/>
    </row>
    <row r="979" spans="2:2">
      <c r="B979" s="35"/>
    </row>
    <row r="980" spans="2:2">
      <c r="B980" s="35"/>
    </row>
    <row r="981" spans="2:2">
      <c r="B981" s="35"/>
    </row>
    <row r="982" spans="2:2">
      <c r="B982" s="35"/>
    </row>
    <row r="983" spans="2:2">
      <c r="B983" s="35"/>
    </row>
    <row r="984" spans="2:2">
      <c r="B984" s="35"/>
    </row>
    <row r="985" spans="2:2">
      <c r="B985" s="35"/>
    </row>
    <row r="986" spans="2:2">
      <c r="B986" s="35"/>
    </row>
    <row r="987" spans="2:2">
      <c r="B987" s="35"/>
    </row>
    <row r="988" spans="2:2">
      <c r="B988" s="35"/>
    </row>
    <row r="989" spans="2:2">
      <c r="B989" s="35"/>
    </row>
    <row r="990" spans="2:2">
      <c r="B990" s="35"/>
    </row>
    <row r="991" spans="2:2">
      <c r="B991" s="35"/>
    </row>
    <row r="992" spans="2:2">
      <c r="B992" s="35"/>
    </row>
    <row r="993" spans="2:2">
      <c r="B993" s="35"/>
    </row>
    <row r="994" spans="2:2">
      <c r="B994" s="35"/>
    </row>
    <row r="995" spans="2:2">
      <c r="B995" s="35"/>
    </row>
    <row r="996" spans="2:2">
      <c r="B996" s="35"/>
    </row>
    <row r="997" spans="2:2">
      <c r="B997" s="35"/>
    </row>
    <row r="998" spans="2:2">
      <c r="B998" s="35"/>
    </row>
    <row r="999" spans="2:2">
      <c r="B999" s="35"/>
    </row>
    <row r="1000" spans="2:2">
      <c r="B1000" s="35"/>
    </row>
    <row r="1001" spans="2:2">
      <c r="B1001" s="35"/>
    </row>
    <row r="1002" spans="2:2">
      <c r="B1002" s="35"/>
    </row>
    <row r="1003" spans="2:2">
      <c r="B1003" s="35"/>
    </row>
    <row r="1004" spans="2:2">
      <c r="B1004" s="35"/>
    </row>
    <row r="1005" spans="2:2">
      <c r="B1005" s="35"/>
    </row>
    <row r="1006" spans="2:2">
      <c r="B1006" s="35"/>
    </row>
    <row r="1007" spans="2:2">
      <c r="B1007" s="35"/>
    </row>
    <row r="1008" spans="2:2">
      <c r="B1008" s="35"/>
    </row>
    <row r="1009" spans="2:2">
      <c r="B1009" s="35"/>
    </row>
    <row r="1010" spans="2:2">
      <c r="B1010" s="35"/>
    </row>
    <row r="1011" spans="2:2">
      <c r="B1011" s="35"/>
    </row>
    <row r="1012" spans="2:2">
      <c r="B1012" s="35"/>
    </row>
    <row r="1013" spans="2:2">
      <c r="B1013" s="35"/>
    </row>
    <row r="1014" spans="2:2">
      <c r="B1014" s="35"/>
    </row>
    <row r="1015" spans="2:2">
      <c r="B1015" s="35"/>
    </row>
    <row r="1016" spans="2:2">
      <c r="B1016" s="35"/>
    </row>
    <row r="1017" spans="2:2">
      <c r="B1017" s="35"/>
    </row>
    <row r="1018" spans="2:2">
      <c r="B1018" s="35"/>
    </row>
    <row r="1019" spans="2:2">
      <c r="B1019" s="35"/>
    </row>
    <row r="1020" spans="2:2">
      <c r="B1020" s="35"/>
    </row>
    <row r="1021" spans="2:2">
      <c r="B1021" s="35"/>
    </row>
    <row r="1022" spans="2:2">
      <c r="B1022" s="35"/>
    </row>
    <row r="1023" spans="2:2">
      <c r="B1023" s="35"/>
    </row>
    <row r="1024" spans="2:2">
      <c r="B1024" s="35"/>
    </row>
    <row r="1025" spans="2:2">
      <c r="B1025" s="35"/>
    </row>
    <row r="1026" spans="2:2">
      <c r="B1026" s="35"/>
    </row>
    <row r="1027" spans="2:2">
      <c r="B1027" s="35"/>
    </row>
    <row r="1028" spans="2:2">
      <c r="B1028" s="35"/>
    </row>
    <row r="1029" spans="2:2">
      <c r="B1029" s="35"/>
    </row>
    <row r="1030" spans="2:2">
      <c r="B1030" s="35"/>
    </row>
    <row r="1031" spans="2:2">
      <c r="B1031" s="35"/>
    </row>
    <row r="1032" spans="2:2">
      <c r="B1032" s="35"/>
    </row>
    <row r="1033" spans="2:2">
      <c r="B1033" s="35"/>
    </row>
    <row r="1034" spans="2:2">
      <c r="B1034" s="35"/>
    </row>
    <row r="1035" spans="2:2">
      <c r="B1035" s="35"/>
    </row>
    <row r="1036" spans="2:2">
      <c r="B1036" s="35"/>
    </row>
    <row r="1037" spans="2:2">
      <c r="B1037" s="35"/>
    </row>
    <row r="1038" spans="2:2">
      <c r="B1038" s="35"/>
    </row>
    <row r="1039" spans="2:2">
      <c r="B1039" s="35"/>
    </row>
    <row r="1040" spans="2:2">
      <c r="B1040" s="35"/>
    </row>
    <row r="1041" spans="2:2">
      <c r="B1041" s="35"/>
    </row>
    <row r="1042" spans="2:2">
      <c r="B1042" s="35"/>
    </row>
    <row r="1043" spans="2:2">
      <c r="B1043" s="35"/>
    </row>
    <row r="1044" spans="2:2">
      <c r="B1044" s="35"/>
    </row>
    <row r="1045" spans="2:2">
      <c r="B1045" s="35"/>
    </row>
    <row r="1046" spans="2:2">
      <c r="B1046" s="35"/>
    </row>
    <row r="1047" spans="2:2">
      <c r="B1047" s="35"/>
    </row>
    <row r="1048" spans="2:2">
      <c r="B1048" s="35"/>
    </row>
    <row r="1049" spans="2:2">
      <c r="B1049" s="35"/>
    </row>
    <row r="1050" spans="2:2">
      <c r="B1050" s="35"/>
    </row>
    <row r="1051" spans="2:2">
      <c r="B1051" s="35"/>
    </row>
    <row r="1052" spans="2:2">
      <c r="B1052" s="35"/>
    </row>
    <row r="1053" spans="2:2">
      <c r="B1053" s="35"/>
    </row>
    <row r="1054" spans="2:2">
      <c r="B1054" s="35"/>
    </row>
    <row r="1055" spans="2:2">
      <c r="B1055" s="35"/>
    </row>
    <row r="1056" spans="2:2">
      <c r="B1056" s="35"/>
    </row>
    <row r="1057" spans="2:2">
      <c r="B1057" s="35"/>
    </row>
    <row r="1058" spans="2:2">
      <c r="B1058" s="35"/>
    </row>
    <row r="1059" spans="2:2">
      <c r="B1059" s="35"/>
    </row>
    <row r="1060" spans="2:2">
      <c r="B1060" s="35"/>
    </row>
    <row r="1061" spans="2:2">
      <c r="B1061" s="35"/>
    </row>
    <row r="1062" spans="2:2">
      <c r="B1062" s="35"/>
    </row>
    <row r="1063" spans="2:2">
      <c r="B1063" s="35"/>
    </row>
    <row r="1064" spans="2:2">
      <c r="B1064" s="35"/>
    </row>
    <row r="1065" spans="2:2">
      <c r="B1065" s="35"/>
    </row>
    <row r="1066" spans="2:2">
      <c r="B1066" s="35"/>
    </row>
    <row r="1067" spans="2:2">
      <c r="B1067" s="35"/>
    </row>
    <row r="1068" spans="2:2">
      <c r="B1068" s="35"/>
    </row>
    <row r="1069" spans="2:2">
      <c r="B1069" s="35"/>
    </row>
    <row r="1070" spans="2:2">
      <c r="B1070" s="35"/>
    </row>
    <row r="1071" spans="2:2">
      <c r="B1071" s="35"/>
    </row>
    <row r="1072" spans="2:2">
      <c r="B1072" s="35"/>
    </row>
    <row r="1073" spans="2:2">
      <c r="B1073" s="35"/>
    </row>
    <row r="1074" spans="2:2">
      <c r="B1074" s="35"/>
    </row>
    <row r="1075" spans="2:2">
      <c r="B1075" s="35"/>
    </row>
    <row r="1076" spans="2:2">
      <c r="B1076" s="35"/>
    </row>
    <row r="1077" spans="2:2">
      <c r="B1077" s="35"/>
    </row>
    <row r="1078" spans="2:2">
      <c r="B1078" s="35"/>
    </row>
    <row r="1079" spans="2:2">
      <c r="B1079" s="35"/>
    </row>
    <row r="1080" spans="2:2">
      <c r="B1080" s="35"/>
    </row>
    <row r="1081" spans="2:2">
      <c r="B1081" s="35"/>
    </row>
    <row r="1082" spans="2:2">
      <c r="B1082" s="35"/>
    </row>
    <row r="1083" spans="2:2">
      <c r="B1083" s="35"/>
    </row>
    <row r="1084" spans="2:2">
      <c r="B1084" s="35"/>
    </row>
    <row r="1085" spans="2:2">
      <c r="B1085" s="35"/>
    </row>
    <row r="1086" spans="2:2">
      <c r="B1086" s="35"/>
    </row>
    <row r="1087" spans="2:2">
      <c r="B1087" s="35"/>
    </row>
    <row r="1088" spans="2:2">
      <c r="B1088" s="35"/>
    </row>
    <row r="1089" spans="2:2">
      <c r="B1089" s="35"/>
    </row>
    <row r="1090" spans="2:2">
      <c r="B1090" s="35"/>
    </row>
    <row r="1091" spans="2:2">
      <c r="B1091" s="35"/>
    </row>
    <row r="1092" spans="2:2">
      <c r="B1092" s="35"/>
    </row>
    <row r="1093" spans="2:2">
      <c r="B1093" s="35"/>
    </row>
    <row r="1094" spans="2:2">
      <c r="B1094" s="35"/>
    </row>
    <row r="1095" spans="2:2">
      <c r="B1095" s="35"/>
    </row>
    <row r="1096" spans="2:2">
      <c r="B1096" s="35"/>
    </row>
    <row r="1097" spans="2:2">
      <c r="B1097" s="35"/>
    </row>
    <row r="1098" spans="2:2">
      <c r="B1098" s="35"/>
    </row>
    <row r="1099" spans="2:2">
      <c r="B1099" s="35"/>
    </row>
    <row r="1100" spans="2:2">
      <c r="B1100" s="35"/>
    </row>
    <row r="1101" spans="2:2">
      <c r="B1101" s="35"/>
    </row>
    <row r="1102" spans="2:2">
      <c r="B1102" s="35"/>
    </row>
    <row r="1103" spans="2:2">
      <c r="B1103" s="35"/>
    </row>
    <row r="1104" spans="2:2">
      <c r="B1104" s="35"/>
    </row>
    <row r="1105" spans="2:2">
      <c r="B1105" s="35"/>
    </row>
    <row r="1106" spans="2:2">
      <c r="B1106" s="35"/>
    </row>
    <row r="1107" spans="2:2">
      <c r="B1107" s="35"/>
    </row>
    <row r="1108" spans="2:2">
      <c r="B1108" s="35"/>
    </row>
    <row r="1109" spans="2:2">
      <c r="B1109" s="35"/>
    </row>
    <row r="1110" spans="2:2">
      <c r="B1110" s="35"/>
    </row>
    <row r="1111" spans="2:2">
      <c r="B1111" s="35"/>
    </row>
    <row r="1112" spans="2:2">
      <c r="B1112" s="35"/>
    </row>
    <row r="1113" spans="2:2">
      <c r="B1113" s="35"/>
    </row>
    <row r="1114" spans="2:2">
      <c r="B1114" s="35"/>
    </row>
    <row r="1115" spans="2:2">
      <c r="B1115" s="35"/>
    </row>
    <row r="1116" spans="2:2">
      <c r="B1116" s="35"/>
    </row>
    <row r="1117" spans="2:2">
      <c r="B1117" s="35"/>
    </row>
    <row r="1118" spans="2:2">
      <c r="B1118" s="35"/>
    </row>
    <row r="1119" spans="2:2">
      <c r="B1119" s="35"/>
    </row>
    <row r="1120" spans="2:2">
      <c r="B1120" s="35"/>
    </row>
    <row r="1121" spans="2:2">
      <c r="B1121" s="35"/>
    </row>
    <row r="1122" spans="2:2">
      <c r="B1122" s="35"/>
    </row>
    <row r="1123" spans="2:2">
      <c r="B1123" s="35"/>
    </row>
    <row r="1124" spans="2:2">
      <c r="B1124" s="35"/>
    </row>
    <row r="1125" spans="2:2">
      <c r="B1125" s="35"/>
    </row>
    <row r="1126" spans="2:2">
      <c r="B1126" s="35"/>
    </row>
    <row r="1127" spans="2:2">
      <c r="B1127" s="35"/>
    </row>
    <row r="1128" spans="2:2">
      <c r="B1128" s="35"/>
    </row>
    <row r="1129" spans="2:2">
      <c r="B1129" s="35"/>
    </row>
    <row r="1130" spans="2:2">
      <c r="B1130" s="35"/>
    </row>
    <row r="1131" spans="2:2">
      <c r="B1131" s="35"/>
    </row>
    <row r="1132" spans="2:2">
      <c r="B1132" s="35"/>
    </row>
    <row r="1133" spans="2:2">
      <c r="B1133" s="35"/>
    </row>
    <row r="1134" spans="2:2">
      <c r="B1134" s="35"/>
    </row>
    <row r="1135" spans="2:2">
      <c r="B1135" s="35"/>
    </row>
    <row r="1136" spans="2:2">
      <c r="B1136" s="35"/>
    </row>
    <row r="1137" spans="2:2">
      <c r="B1137" s="35"/>
    </row>
    <row r="1138" spans="2:2">
      <c r="B1138" s="35"/>
    </row>
    <row r="1139" spans="2:2">
      <c r="B1139" s="35"/>
    </row>
    <row r="1140" spans="2:2">
      <c r="B1140" s="35"/>
    </row>
    <row r="1141" spans="2:2">
      <c r="B1141" s="35"/>
    </row>
    <row r="1142" spans="2:2">
      <c r="B1142" s="35"/>
    </row>
    <row r="1143" spans="2:2">
      <c r="B1143" s="35"/>
    </row>
    <row r="1144" spans="2:2">
      <c r="B1144" s="35"/>
    </row>
    <row r="1145" spans="2:2">
      <c r="B1145" s="35"/>
    </row>
    <row r="1146" spans="2:2">
      <c r="B1146" s="35"/>
    </row>
    <row r="1147" spans="2:2">
      <c r="B1147" s="35"/>
    </row>
    <row r="1148" spans="2:2">
      <c r="B1148" s="35"/>
    </row>
    <row r="1149" spans="2:2">
      <c r="B1149" s="35"/>
    </row>
    <row r="1150" spans="2:2">
      <c r="B1150" s="35"/>
    </row>
    <row r="1151" spans="2:2">
      <c r="B1151" s="35"/>
    </row>
    <row r="1152" spans="2:2">
      <c r="B1152" s="35"/>
    </row>
    <row r="1153" spans="2:2">
      <c r="B1153" s="35"/>
    </row>
    <row r="1154" spans="2:2">
      <c r="B1154" s="35"/>
    </row>
    <row r="1155" spans="2:2">
      <c r="B1155" s="35"/>
    </row>
    <row r="1156" spans="2:2">
      <c r="B1156" s="35"/>
    </row>
    <row r="1157" spans="2:2">
      <c r="B1157" s="35"/>
    </row>
    <row r="1158" spans="2:2">
      <c r="B1158" s="35"/>
    </row>
    <row r="1159" spans="2:2">
      <c r="B1159" s="35"/>
    </row>
    <row r="1160" spans="2:2">
      <c r="B1160" s="35"/>
    </row>
    <row r="1161" spans="2:2">
      <c r="B1161" s="35"/>
    </row>
    <row r="1162" spans="2:2">
      <c r="B1162" s="35"/>
    </row>
    <row r="1163" spans="2:2">
      <c r="B1163" s="35"/>
    </row>
    <row r="1164" spans="2:2">
      <c r="B1164" s="35"/>
    </row>
    <row r="1165" spans="2:2">
      <c r="B1165" s="35"/>
    </row>
    <row r="1166" spans="2:2">
      <c r="B1166" s="35"/>
    </row>
    <row r="1167" spans="2:2">
      <c r="B1167" s="35"/>
    </row>
    <row r="1168" spans="2:2">
      <c r="B1168" s="35"/>
    </row>
    <row r="1169" spans="2:2">
      <c r="B1169" s="35"/>
    </row>
    <row r="1170" spans="2:2">
      <c r="B1170" s="35"/>
    </row>
    <row r="1171" spans="2:2">
      <c r="B1171" s="35"/>
    </row>
    <row r="1172" spans="2:2">
      <c r="B1172" s="35"/>
    </row>
    <row r="1173" spans="2:2">
      <c r="B1173" s="35"/>
    </row>
    <row r="1174" spans="2:2">
      <c r="B1174" s="35"/>
    </row>
    <row r="1175" spans="2:2">
      <c r="B1175" s="35"/>
    </row>
    <row r="1176" spans="2:2">
      <c r="B1176" s="35"/>
    </row>
    <row r="1177" spans="2:2">
      <c r="B1177" s="35"/>
    </row>
    <row r="1178" spans="2:2">
      <c r="B1178" s="35"/>
    </row>
    <row r="1179" spans="2:2">
      <c r="B1179" s="35"/>
    </row>
    <row r="1180" spans="2:2">
      <c r="B1180" s="35"/>
    </row>
    <row r="1181" spans="2:2">
      <c r="B1181" s="35"/>
    </row>
    <row r="1182" spans="2:2">
      <c r="B1182" s="35"/>
    </row>
    <row r="1183" spans="2:2">
      <c r="B1183" s="35"/>
    </row>
    <row r="1184" spans="2:2">
      <c r="B1184" s="35"/>
    </row>
    <row r="1185" spans="2:2">
      <c r="B1185" s="35"/>
    </row>
    <row r="1186" spans="2:2">
      <c r="B1186" s="35"/>
    </row>
    <row r="1187" spans="2:2">
      <c r="B1187" s="35"/>
    </row>
    <row r="1188" spans="2:2">
      <c r="B1188" s="35"/>
    </row>
    <row r="1189" spans="2:2">
      <c r="B1189" s="35"/>
    </row>
    <row r="1190" spans="2:2">
      <c r="B1190" s="35"/>
    </row>
    <row r="1191" spans="2:2">
      <c r="B1191" s="35"/>
    </row>
    <row r="1192" spans="2:2">
      <c r="B1192" s="35"/>
    </row>
    <row r="1193" spans="2:2">
      <c r="B1193" s="35"/>
    </row>
    <row r="1194" spans="2:2">
      <c r="B1194" s="35"/>
    </row>
    <row r="1195" spans="2:2">
      <c r="B1195" s="35"/>
    </row>
    <row r="1196" spans="2:2">
      <c r="B1196" s="35"/>
    </row>
    <row r="1197" spans="2:2">
      <c r="B1197" s="35"/>
    </row>
    <row r="1198" spans="2:2">
      <c r="B1198" s="35"/>
    </row>
    <row r="1199" spans="2:2">
      <c r="B1199" s="35"/>
    </row>
    <row r="1200" spans="2:2">
      <c r="B1200" s="35"/>
    </row>
    <row r="1201" spans="2:2">
      <c r="B1201" s="35"/>
    </row>
    <row r="1202" spans="2:2">
      <c r="B1202" s="35"/>
    </row>
    <row r="1203" spans="2:2">
      <c r="B1203" s="35"/>
    </row>
    <row r="1204" spans="2:2">
      <c r="B1204" s="35"/>
    </row>
    <row r="1205" spans="2:2">
      <c r="B1205" s="35"/>
    </row>
    <row r="1206" spans="2:2">
      <c r="B1206" s="35"/>
    </row>
    <row r="1207" spans="2:2">
      <c r="B1207" s="35"/>
    </row>
    <row r="1208" spans="2:2">
      <c r="B1208" s="35"/>
    </row>
    <row r="1209" spans="2:2">
      <c r="B1209" s="35"/>
    </row>
    <row r="1210" spans="2:2">
      <c r="B1210" s="35"/>
    </row>
    <row r="1211" spans="2:2">
      <c r="B1211" s="35"/>
    </row>
    <row r="1212" spans="2:2">
      <c r="B1212" s="35"/>
    </row>
    <row r="1213" spans="2:2">
      <c r="B1213" s="35"/>
    </row>
    <row r="1214" spans="2:2">
      <c r="B1214" s="35"/>
    </row>
    <row r="1215" spans="2:2">
      <c r="B1215" s="35"/>
    </row>
    <row r="1216" spans="2:2">
      <c r="B1216" s="35"/>
    </row>
    <row r="1217" spans="2:2">
      <c r="B1217" s="35"/>
    </row>
    <row r="1218" spans="2:2">
      <c r="B1218" s="35"/>
    </row>
    <row r="1219" spans="2:2">
      <c r="B1219" s="35"/>
    </row>
    <row r="1220" spans="2:2">
      <c r="B1220" s="35"/>
    </row>
    <row r="1221" spans="2:2">
      <c r="B1221" s="35"/>
    </row>
    <row r="1222" spans="2:2">
      <c r="B1222" s="35"/>
    </row>
    <row r="1223" spans="2:2">
      <c r="B1223" s="35"/>
    </row>
    <row r="1224" spans="2:2">
      <c r="B1224" s="35"/>
    </row>
    <row r="1225" spans="2:2">
      <c r="B1225" s="35"/>
    </row>
    <row r="1226" spans="2:2">
      <c r="B1226" s="35"/>
    </row>
    <row r="1227" spans="2:2">
      <c r="B1227" s="35"/>
    </row>
    <row r="1228" spans="2:2">
      <c r="B1228" s="35"/>
    </row>
    <row r="1229" spans="2:2">
      <c r="B1229" s="35"/>
    </row>
    <row r="1230" spans="2:2">
      <c r="B1230" s="35"/>
    </row>
    <row r="1231" spans="2:2">
      <c r="B1231" s="35"/>
    </row>
    <row r="1232" spans="2:2">
      <c r="B1232" s="35"/>
    </row>
    <row r="1233" spans="2:2">
      <c r="B1233" s="35"/>
    </row>
    <row r="1234" spans="2:2">
      <c r="B1234" s="35"/>
    </row>
    <row r="1235" spans="2:2">
      <c r="B1235" s="35"/>
    </row>
    <row r="1236" spans="2:2">
      <c r="B1236" s="35"/>
    </row>
    <row r="1237" spans="2:2">
      <c r="B1237" s="35"/>
    </row>
    <row r="1238" spans="2:2">
      <c r="B1238" s="35"/>
    </row>
    <row r="1239" spans="2:2">
      <c r="B1239" s="35"/>
    </row>
    <row r="1240" spans="2:2">
      <c r="B1240" s="35"/>
    </row>
    <row r="1241" spans="2:2">
      <c r="B1241" s="35"/>
    </row>
    <row r="1242" spans="2:2">
      <c r="B1242" s="35"/>
    </row>
    <row r="1243" spans="2:2">
      <c r="B1243" s="35"/>
    </row>
    <row r="1244" spans="2:2">
      <c r="B1244" s="35"/>
    </row>
    <row r="1245" spans="2:2">
      <c r="B1245" s="35"/>
    </row>
    <row r="1246" spans="2:2">
      <c r="B1246" s="35"/>
    </row>
  </sheetData>
  <protectedRanges>
    <protectedRange password="E11B" sqref="C66:F68 D9:F65" name="Range1_1"/>
  </protectedRanges>
  <mergeCells count="2">
    <mergeCell ref="C6:D6"/>
    <mergeCell ref="I11:J1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1</xdr:col>
                    <xdr:colOff>7315</xdr:colOff>
                    <xdr:row>3</xdr:row>
                    <xdr:rowOff>51206</xdr:rowOff>
                  </from>
                  <to>
                    <xdr:col>1</xdr:col>
                    <xdr:colOff>672998</xdr:colOff>
                    <xdr:row>4</xdr:row>
                    <xdr:rowOff>102413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1</xdr:col>
                    <xdr:colOff>7315</xdr:colOff>
                    <xdr:row>3</xdr:row>
                    <xdr:rowOff>51206</xdr:rowOff>
                  </from>
                  <to>
                    <xdr:col>1</xdr:col>
                    <xdr:colOff>636422</xdr:colOff>
                    <xdr:row>3</xdr:row>
                    <xdr:rowOff>263347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zoomScale="80" zoomScaleNormal="80" workbookViewId="0">
      <selection activeCell="M2" sqref="M2"/>
    </sheetView>
  </sheetViews>
  <sheetFormatPr defaultColWidth="8.6640625" defaultRowHeight="12.7"/>
  <cols>
    <col min="1" max="1" width="20.33203125" style="1" bestFit="1" customWidth="1"/>
    <col min="2" max="2" width="26.44140625" style="1" bestFit="1" customWidth="1"/>
    <col min="3" max="3" width="11.6640625" style="1" bestFit="1" customWidth="1"/>
    <col min="4" max="4" width="11.5546875" style="1" bestFit="1" customWidth="1"/>
    <col min="5" max="5" width="27.44140625" style="1" bestFit="1" customWidth="1"/>
    <col min="6" max="6" width="6.44140625" style="1" bestFit="1" customWidth="1"/>
    <col min="7" max="7" width="23.88671875" style="1" bestFit="1" customWidth="1"/>
    <col min="8" max="8" width="9" style="1" bestFit="1" customWidth="1"/>
    <col min="9" max="9" width="10" style="1" bestFit="1" customWidth="1"/>
    <col min="10" max="10" width="10.109375" style="1" bestFit="1" customWidth="1"/>
    <col min="11" max="11" width="10.6640625" style="1" bestFit="1" customWidth="1"/>
    <col min="12" max="13" width="14.33203125" style="7" bestFit="1" customWidth="1"/>
    <col min="14" max="14" width="14.33203125" style="7" customWidth="1"/>
    <col min="15" max="15" width="14.33203125" style="7" bestFit="1" customWidth="1"/>
    <col min="16" max="17" width="14.33203125" style="7" customWidth="1"/>
    <col min="18" max="18" width="27.33203125" style="1" bestFit="1" customWidth="1"/>
    <col min="19" max="19" width="15.44140625" style="7" bestFit="1" customWidth="1"/>
    <col min="20" max="20" width="17.33203125" style="1" bestFit="1" customWidth="1"/>
    <col min="21" max="16384" width="8.6640625" style="1"/>
  </cols>
  <sheetData>
    <row r="1" spans="1:21">
      <c r="A1" s="1" t="s">
        <v>22</v>
      </c>
      <c r="B1" s="10" t="s">
        <v>106</v>
      </c>
      <c r="C1" s="10" t="s">
        <v>26</v>
      </c>
      <c r="D1" s="1" t="s">
        <v>107</v>
      </c>
      <c r="E1" s="1" t="s">
        <v>108</v>
      </c>
      <c r="F1" s="1" t="s">
        <v>27</v>
      </c>
      <c r="G1" s="1" t="s">
        <v>109</v>
      </c>
      <c r="H1" s="1" t="s">
        <v>110</v>
      </c>
      <c r="I1" s="1" t="s">
        <v>23</v>
      </c>
      <c r="J1" s="1" t="s">
        <v>24</v>
      </c>
      <c r="K1" s="1" t="s">
        <v>99</v>
      </c>
      <c r="L1" s="7" t="s">
        <v>100</v>
      </c>
      <c r="M1" s="7" t="s">
        <v>101</v>
      </c>
      <c r="N1" s="7" t="s">
        <v>119</v>
      </c>
      <c r="R1" s="7"/>
      <c r="T1" s="8"/>
    </row>
    <row r="2" spans="1:21">
      <c r="A2" s="1" t="s">
        <v>103</v>
      </c>
      <c r="B2" s="10" t="s">
        <v>32</v>
      </c>
      <c r="C2" s="10" t="s">
        <v>32</v>
      </c>
      <c r="D2" s="1" t="s">
        <v>111</v>
      </c>
      <c r="E2" s="1" t="s">
        <v>34</v>
      </c>
      <c r="F2" s="1" t="s">
        <v>104</v>
      </c>
      <c r="G2" s="41">
        <v>176947</v>
      </c>
      <c r="H2" s="1" t="s">
        <v>112</v>
      </c>
      <c r="I2" s="1" t="s">
        <v>25</v>
      </c>
      <c r="J2" s="42">
        <v>1729869.5828758001</v>
      </c>
      <c r="K2" s="42">
        <v>1729869.5828758001</v>
      </c>
      <c r="L2" s="7">
        <v>1729869.5828758001</v>
      </c>
      <c r="M2" s="7">
        <v>2330826.2759296498</v>
      </c>
      <c r="N2" s="7" t="str">
        <f>TRIM(LEFT(E2,SEARCH("County",E2,1)-1))</f>
        <v>LOS ANGELES</v>
      </c>
      <c r="R2" s="11"/>
      <c r="S2" s="12"/>
      <c r="T2" s="9"/>
      <c r="U2" s="2"/>
    </row>
    <row r="3" spans="1:21">
      <c r="A3" s="1" t="s">
        <v>103</v>
      </c>
      <c r="B3" s="10" t="s">
        <v>32</v>
      </c>
      <c r="C3" s="10" t="s">
        <v>32</v>
      </c>
      <c r="D3" s="1" t="s">
        <v>111</v>
      </c>
      <c r="E3" s="1" t="s">
        <v>41</v>
      </c>
      <c r="F3" s="1" t="s">
        <v>39</v>
      </c>
      <c r="G3" s="41">
        <v>176679</v>
      </c>
      <c r="H3" s="1" t="s">
        <v>113</v>
      </c>
      <c r="I3" s="1" t="s">
        <v>25</v>
      </c>
      <c r="J3" s="42">
        <v>217361.87367439299</v>
      </c>
      <c r="K3" s="42">
        <v>217361.87367439299</v>
      </c>
      <c r="L3" s="7">
        <v>217361.87367439299</v>
      </c>
      <c r="M3" s="7">
        <v>292873.38858420198</v>
      </c>
      <c r="N3" s="7" t="str">
        <f t="shared" ref="N3:N8" si="0">TRIM(LEFT(E3,SEARCH("County",E3,1)-1))</f>
        <v>SACRAMENTO</v>
      </c>
      <c r="R3" s="11"/>
      <c r="S3" s="12"/>
      <c r="T3" s="9"/>
      <c r="U3" s="2"/>
    </row>
    <row r="4" spans="1:21">
      <c r="A4" s="1" t="s">
        <v>103</v>
      </c>
      <c r="B4" s="10" t="s">
        <v>32</v>
      </c>
      <c r="C4" s="10" t="s">
        <v>32</v>
      </c>
      <c r="D4" s="1" t="s">
        <v>111</v>
      </c>
      <c r="E4" s="1" t="s">
        <v>36</v>
      </c>
      <c r="F4" s="1" t="s">
        <v>35</v>
      </c>
      <c r="G4" s="41">
        <v>176679</v>
      </c>
      <c r="H4" s="1" t="s">
        <v>113</v>
      </c>
      <c r="I4" s="1" t="s">
        <v>25</v>
      </c>
      <c r="J4" s="42">
        <v>1476466.2525007899</v>
      </c>
      <c r="K4" s="42">
        <v>1476466.2525007899</v>
      </c>
      <c r="L4" s="7">
        <v>1476466.2525007899</v>
      </c>
      <c r="M4" s="7">
        <v>1989390.6285878101</v>
      </c>
      <c r="N4" s="7" t="str">
        <f t="shared" si="0"/>
        <v>SAN FRANCISCO</v>
      </c>
      <c r="R4" s="11"/>
      <c r="S4" s="12"/>
      <c r="T4" s="9"/>
      <c r="U4" s="2"/>
    </row>
    <row r="5" spans="1:21">
      <c r="A5" s="1" t="s">
        <v>103</v>
      </c>
      <c r="B5" s="10" t="s">
        <v>32</v>
      </c>
      <c r="C5" s="1" t="s">
        <v>32</v>
      </c>
      <c r="D5" s="1" t="s">
        <v>111</v>
      </c>
      <c r="E5" s="1" t="s">
        <v>40</v>
      </c>
      <c r="F5" s="1" t="s">
        <v>39</v>
      </c>
      <c r="G5" s="41">
        <v>176679</v>
      </c>
      <c r="H5" s="1" t="s">
        <v>113</v>
      </c>
      <c r="I5" s="1" t="s">
        <v>25</v>
      </c>
      <c r="J5" s="42">
        <v>6449872.89219152</v>
      </c>
      <c r="K5" s="42">
        <v>6449872.89219152</v>
      </c>
      <c r="L5" s="7">
        <v>6449872.89219152</v>
      </c>
      <c r="M5" s="7">
        <v>8690558.7348001506</v>
      </c>
      <c r="N5" s="7" t="str">
        <f t="shared" si="0"/>
        <v>SAN JOAQUIN</v>
      </c>
      <c r="R5" s="11"/>
      <c r="S5" s="12"/>
      <c r="T5" s="9"/>
      <c r="U5" s="2"/>
    </row>
    <row r="6" spans="1:21">
      <c r="A6" s="1" t="s">
        <v>114</v>
      </c>
      <c r="B6" s="10" t="s">
        <v>32</v>
      </c>
      <c r="C6" s="1" t="s">
        <v>32</v>
      </c>
      <c r="D6" s="1" t="s">
        <v>111</v>
      </c>
      <c r="E6" s="1" t="s">
        <v>38</v>
      </c>
      <c r="F6" s="1" t="s">
        <v>37</v>
      </c>
      <c r="G6" s="41">
        <v>176781</v>
      </c>
      <c r="H6" s="1" t="s">
        <v>115</v>
      </c>
      <c r="I6" s="1" t="s">
        <v>25</v>
      </c>
      <c r="J6" s="42">
        <v>720437.40128461597</v>
      </c>
      <c r="K6" s="42">
        <v>360218.70064230799</v>
      </c>
      <c r="L6" s="7">
        <v>720437.40128461597</v>
      </c>
      <c r="M6" s="7">
        <v>485358.67723769898</v>
      </c>
      <c r="N6" s="7" t="str">
        <f t="shared" si="0"/>
        <v>ORANGE</v>
      </c>
      <c r="R6" s="11"/>
      <c r="S6" s="12"/>
      <c r="T6" s="9"/>
      <c r="U6" s="2"/>
    </row>
    <row r="7" spans="1:21">
      <c r="A7" s="1" t="s">
        <v>116</v>
      </c>
      <c r="B7" s="10" t="s">
        <v>32</v>
      </c>
      <c r="C7" s="1" t="s">
        <v>32</v>
      </c>
      <c r="D7" s="1" t="s">
        <v>111</v>
      </c>
      <c r="E7" s="1" t="s">
        <v>34</v>
      </c>
      <c r="F7" s="1" t="s">
        <v>33</v>
      </c>
      <c r="G7" s="41">
        <v>176636</v>
      </c>
      <c r="H7" s="1" t="s">
        <v>117</v>
      </c>
      <c r="I7" s="1" t="s">
        <v>25</v>
      </c>
      <c r="J7" s="42">
        <v>4535394.7593977097</v>
      </c>
      <c r="K7" s="42">
        <v>1511783.13515003</v>
      </c>
      <c r="L7" s="7">
        <v>4535394.7593977097</v>
      </c>
      <c r="M7" s="7">
        <v>2036976.5962686499</v>
      </c>
      <c r="N7" s="7" t="str">
        <f t="shared" si="0"/>
        <v>LOS ANGELES</v>
      </c>
      <c r="R7" s="11"/>
      <c r="S7" s="12"/>
      <c r="T7" s="9"/>
      <c r="U7" s="2"/>
    </row>
    <row r="8" spans="1:21">
      <c r="A8" s="1" t="s">
        <v>105</v>
      </c>
      <c r="B8" s="10" t="s">
        <v>32</v>
      </c>
      <c r="C8" s="1" t="s">
        <v>32</v>
      </c>
      <c r="D8" s="1" t="s">
        <v>111</v>
      </c>
      <c r="E8" s="1" t="s">
        <v>36</v>
      </c>
      <c r="F8" s="1" t="s">
        <v>35</v>
      </c>
      <c r="G8" s="41">
        <v>176412</v>
      </c>
      <c r="H8" s="1" t="s">
        <v>118</v>
      </c>
      <c r="I8" s="1" t="s">
        <v>25</v>
      </c>
      <c r="J8" s="41">
        <v>345000</v>
      </c>
      <c r="K8" s="41">
        <v>345000</v>
      </c>
      <c r="L8" s="7">
        <v>345000</v>
      </c>
      <c r="M8" s="7">
        <v>464852.99999258103</v>
      </c>
      <c r="N8" s="7" t="str">
        <f t="shared" si="0"/>
        <v>SAN FRANCISCO</v>
      </c>
      <c r="R8" s="11"/>
      <c r="S8" s="12"/>
      <c r="T8" s="9"/>
      <c r="U8" s="2"/>
    </row>
    <row r="9" spans="1:21">
      <c r="B9" s="10"/>
      <c r="R9" s="11"/>
      <c r="S9" s="12"/>
      <c r="T9" s="9"/>
      <c r="U9" s="2"/>
    </row>
    <row r="10" spans="1:21">
      <c r="B10" s="10"/>
      <c r="R10" s="11"/>
      <c r="S10" s="12"/>
      <c r="T10" s="9"/>
      <c r="U10" s="2"/>
    </row>
    <row r="11" spans="1:21">
      <c r="B11" s="10"/>
      <c r="R11" s="11"/>
      <c r="S11" s="12"/>
      <c r="T11" s="9"/>
      <c r="U11" s="2"/>
    </row>
    <row r="12" spans="1:21">
      <c r="B12" s="10"/>
      <c r="R12" s="11"/>
      <c r="S12" s="12"/>
      <c r="T12" s="9"/>
      <c r="U12" s="2"/>
    </row>
    <row r="13" spans="1:21">
      <c r="B13" s="10"/>
      <c r="R13" s="11"/>
      <c r="S13" s="12"/>
      <c r="T13" s="9"/>
      <c r="U13" s="2"/>
    </row>
    <row r="14" spans="1:21">
      <c r="B14" s="10"/>
      <c r="R14" s="11"/>
      <c r="S14" s="12"/>
      <c r="T14" s="9"/>
      <c r="U14" s="2"/>
    </row>
    <row r="15" spans="1:21">
      <c r="B15" s="10"/>
      <c r="R15" s="11"/>
      <c r="S15" s="12"/>
      <c r="T15" s="9"/>
      <c r="U15" s="2"/>
    </row>
    <row r="16" spans="1:21">
      <c r="B16" s="10"/>
      <c r="R16" s="11"/>
      <c r="S16" s="12"/>
      <c r="T16" s="9"/>
      <c r="U16" s="2"/>
    </row>
    <row r="17" spans="2:21">
      <c r="B17" s="10"/>
      <c r="R17" s="11"/>
      <c r="S17" s="12"/>
      <c r="T17" s="9"/>
      <c r="U17" s="2"/>
    </row>
    <row r="18" spans="2:21">
      <c r="B18" s="10"/>
      <c r="R18" s="11"/>
      <c r="S18" s="12"/>
      <c r="T18" s="9"/>
      <c r="U18" s="2"/>
    </row>
    <row r="19" spans="2:21">
      <c r="B19" s="10"/>
      <c r="R19" s="11"/>
      <c r="S19" s="12"/>
      <c r="T19" s="9"/>
      <c r="U19" s="2"/>
    </row>
    <row r="20" spans="2:21">
      <c r="B20" s="10"/>
      <c r="R20" s="11"/>
      <c r="S20" s="12"/>
      <c r="T20" s="9"/>
      <c r="U20" s="2"/>
    </row>
    <row r="21" spans="2:21">
      <c r="B21" s="10"/>
      <c r="R21" s="11"/>
      <c r="S21" s="12"/>
      <c r="T21" s="9"/>
      <c r="U21" s="2"/>
    </row>
    <row r="22" spans="2:21">
      <c r="B22" s="10"/>
      <c r="R22" s="11"/>
      <c r="S22" s="12"/>
      <c r="T22" s="9"/>
      <c r="U22" s="2"/>
    </row>
    <row r="23" spans="2:21">
      <c r="B23" s="10"/>
      <c r="R23" s="11"/>
      <c r="S23" s="12"/>
      <c r="T23" s="9"/>
      <c r="U23" s="2"/>
    </row>
    <row r="24" spans="2:21">
      <c r="B24" s="10"/>
      <c r="R24" s="11"/>
      <c r="S24" s="12"/>
      <c r="T24" s="9"/>
      <c r="U24" s="2"/>
    </row>
    <row r="25" spans="2:21">
      <c r="B25" s="10"/>
      <c r="R25" s="11"/>
      <c r="S25" s="12"/>
      <c r="T25" s="9"/>
      <c r="U25" s="2"/>
    </row>
    <row r="26" spans="2:21">
      <c r="B26" s="10"/>
      <c r="R26" s="11"/>
      <c r="S26" s="12"/>
      <c r="T26" s="9"/>
      <c r="U26" s="2"/>
    </row>
    <row r="27" spans="2:21">
      <c r="B27" s="10"/>
      <c r="R27" s="11"/>
      <c r="S27" s="12"/>
      <c r="T27" s="9"/>
      <c r="U27" s="2"/>
    </row>
    <row r="28" spans="2:21">
      <c r="B28" s="10"/>
      <c r="R28" s="11"/>
      <c r="S28" s="12"/>
      <c r="T28" s="9"/>
      <c r="U28" s="2"/>
    </row>
    <row r="29" spans="2:21">
      <c r="B29" s="10"/>
      <c r="R29" s="11"/>
      <c r="S29" s="12"/>
      <c r="T29" s="9"/>
      <c r="U29" s="2"/>
    </row>
    <row r="30" spans="2:21">
      <c r="B30" s="10"/>
      <c r="R30" s="11"/>
      <c r="S30" s="12"/>
      <c r="T30" s="9"/>
      <c r="U30" s="2"/>
    </row>
    <row r="31" spans="2:21">
      <c r="B31" s="10"/>
      <c r="R31" s="11"/>
      <c r="S31" s="12"/>
      <c r="T31" s="9"/>
      <c r="U31" s="2"/>
    </row>
    <row r="32" spans="2:21">
      <c r="B32" s="10"/>
      <c r="R32" s="11"/>
      <c r="S32" s="12"/>
      <c r="T32" s="9"/>
      <c r="U32" s="2"/>
    </row>
    <row r="33" spans="2:21">
      <c r="B33" s="10"/>
      <c r="R33" s="11"/>
      <c r="S33" s="12"/>
      <c r="T33" s="9"/>
      <c r="U33" s="2"/>
    </row>
    <row r="34" spans="2:21">
      <c r="B34" s="10"/>
      <c r="R34" s="11"/>
      <c r="S34" s="12"/>
      <c r="T34" s="9"/>
      <c r="U34" s="2"/>
    </row>
    <row r="35" spans="2:21">
      <c r="B35" s="10"/>
      <c r="R35" s="11"/>
      <c r="S35" s="12"/>
      <c r="T35" s="9"/>
      <c r="U35" s="2"/>
    </row>
    <row r="36" spans="2:21">
      <c r="B36" s="10"/>
      <c r="R36" s="11"/>
      <c r="S36" s="12"/>
      <c r="T36" s="9"/>
      <c r="U36" s="2"/>
    </row>
    <row r="37" spans="2:21">
      <c r="B37" s="10"/>
      <c r="R37" s="11"/>
      <c r="S37" s="12"/>
      <c r="T37" s="9"/>
      <c r="U37" s="2"/>
    </row>
    <row r="38" spans="2:21">
      <c r="B38" s="10"/>
      <c r="R38" s="11"/>
      <c r="S38" s="12"/>
      <c r="T38" s="9"/>
      <c r="U38" s="2"/>
    </row>
    <row r="39" spans="2:21">
      <c r="B39" s="10"/>
      <c r="R39" s="11"/>
      <c r="S39" s="12"/>
      <c r="T39" s="9"/>
      <c r="U39" s="2"/>
    </row>
    <row r="40" spans="2:21">
      <c r="B40" s="10"/>
      <c r="R40" s="11"/>
      <c r="S40" s="12"/>
      <c r="T40" s="9"/>
      <c r="U40" s="2"/>
    </row>
    <row r="41" spans="2:21">
      <c r="B41" s="10"/>
      <c r="R41" s="11"/>
      <c r="S41" s="12"/>
      <c r="T41" s="9"/>
      <c r="U41" s="2"/>
    </row>
    <row r="42" spans="2:21">
      <c r="B42" s="10"/>
      <c r="R42" s="11"/>
      <c r="S42" s="12"/>
      <c r="T42" s="9"/>
      <c r="U42" s="2"/>
    </row>
    <row r="43" spans="2:21">
      <c r="B43" s="10"/>
      <c r="R43" s="11"/>
      <c r="S43" s="12"/>
      <c r="T43" s="9"/>
      <c r="U43" s="2"/>
    </row>
    <row r="44" spans="2:21">
      <c r="B44" s="10"/>
      <c r="R44" s="11"/>
      <c r="S44" s="12"/>
      <c r="T44" s="9"/>
      <c r="U44" s="2"/>
    </row>
    <row r="45" spans="2:21">
      <c r="B45" s="10"/>
      <c r="R45" s="11"/>
      <c r="S45" s="12"/>
      <c r="T45" s="9"/>
      <c r="U45" s="2"/>
    </row>
    <row r="46" spans="2:21">
      <c r="B46" s="10"/>
      <c r="R46" s="11"/>
      <c r="S46" s="12"/>
      <c r="T46" s="9"/>
      <c r="U46" s="2"/>
    </row>
    <row r="47" spans="2:21">
      <c r="B47" s="10"/>
      <c r="R47" s="11"/>
      <c r="S47" s="12"/>
      <c r="T47" s="9"/>
      <c r="U47" s="2"/>
    </row>
    <row r="48" spans="2:21">
      <c r="B48" s="10"/>
      <c r="R48" s="11"/>
      <c r="S48" s="12"/>
      <c r="T48" s="9"/>
      <c r="U48" s="2"/>
    </row>
    <row r="49" spans="2:21">
      <c r="B49" s="10"/>
      <c r="R49" s="11"/>
      <c r="S49" s="12"/>
      <c r="T49" s="9"/>
      <c r="U49" s="2"/>
    </row>
    <row r="50" spans="2:21">
      <c r="B50" s="10"/>
      <c r="R50" s="11"/>
      <c r="S50" s="12"/>
      <c r="T50" s="9"/>
      <c r="U50" s="2"/>
    </row>
    <row r="51" spans="2:21">
      <c r="B51" s="10"/>
      <c r="R51" s="11"/>
      <c r="S51" s="12"/>
      <c r="T51" s="9"/>
      <c r="U51" s="2"/>
    </row>
    <row r="52" spans="2:21">
      <c r="B52" s="10"/>
      <c r="R52" s="11"/>
      <c r="S52" s="12"/>
      <c r="T52" s="9"/>
      <c r="U52" s="2"/>
    </row>
    <row r="53" spans="2:21">
      <c r="B53" s="10"/>
      <c r="R53" s="11"/>
      <c r="S53" s="12"/>
      <c r="T53" s="9"/>
      <c r="U53" s="2"/>
    </row>
    <row r="54" spans="2:21">
      <c r="B54" s="10"/>
      <c r="R54" s="11"/>
      <c r="S54" s="12"/>
      <c r="T54" s="9"/>
      <c r="U54" s="2"/>
    </row>
    <row r="55" spans="2:21">
      <c r="B55" s="10"/>
      <c r="R55" s="11"/>
      <c r="S55" s="12"/>
      <c r="T55" s="9"/>
      <c r="U55" s="2"/>
    </row>
    <row r="56" spans="2:21">
      <c r="B56" s="10"/>
      <c r="R56" s="11"/>
      <c r="S56" s="12"/>
      <c r="T56" s="9"/>
      <c r="U56" s="2"/>
    </row>
    <row r="57" spans="2:21">
      <c r="B57" s="10"/>
      <c r="R57" s="11"/>
      <c r="S57" s="12"/>
      <c r="T57" s="9"/>
      <c r="U57" s="2"/>
    </row>
    <row r="58" spans="2:21">
      <c r="B58" s="10"/>
      <c r="R58" s="11"/>
      <c r="S58" s="12"/>
      <c r="T58" s="9"/>
      <c r="U58" s="2"/>
    </row>
    <row r="59" spans="2:21">
      <c r="B59" s="10"/>
      <c r="R59" s="11"/>
      <c r="S59" s="12"/>
      <c r="T59" s="9"/>
      <c r="U59" s="2"/>
    </row>
    <row r="60" spans="2:21">
      <c r="B60" s="10"/>
      <c r="R60" s="11"/>
      <c r="S60" s="12"/>
      <c r="T60" s="9"/>
      <c r="U60" s="2"/>
    </row>
    <row r="61" spans="2:21">
      <c r="B61" s="10"/>
      <c r="R61" s="11"/>
      <c r="S61" s="12"/>
      <c r="T61" s="9"/>
      <c r="U61" s="2"/>
    </row>
    <row r="62" spans="2:21">
      <c r="B62" s="10"/>
      <c r="R62" s="11"/>
      <c r="S62" s="12"/>
      <c r="T62" s="9"/>
      <c r="U62" s="2"/>
    </row>
    <row r="63" spans="2:21">
      <c r="B63" s="10"/>
      <c r="R63" s="11"/>
      <c r="S63" s="12"/>
      <c r="T63" s="9"/>
      <c r="U63" s="2"/>
    </row>
    <row r="64" spans="2:21">
      <c r="B64" s="10"/>
      <c r="R64" s="11"/>
      <c r="S64" s="12"/>
      <c r="T64" s="9"/>
      <c r="U64" s="2"/>
    </row>
    <row r="65" spans="2:21">
      <c r="B65" s="10"/>
      <c r="R65" s="11"/>
      <c r="S65" s="12"/>
      <c r="T65" s="9"/>
      <c r="U65" s="2"/>
    </row>
    <row r="66" spans="2:21">
      <c r="B66" s="10"/>
      <c r="R66" s="11"/>
      <c r="S66" s="12"/>
      <c r="T66" s="9"/>
      <c r="U66" s="2"/>
    </row>
    <row r="67" spans="2:21">
      <c r="B67" s="10"/>
      <c r="R67" s="11"/>
      <c r="S67" s="12"/>
      <c r="T67" s="9"/>
      <c r="U67" s="2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t="inlineStr">
        <is>
          <t>AUDIT SUMMARY</t>
        </is>
      </c>
      <c r="B1" t="inlineStr">
        <is>
          <t>UKEU - Supplementary Info - RDL - Jan26 - Workings - California WF.xlsx</t>
        </is>
      </c>
    </row>
    <row r="2" ht="30" customHeight="1">
      <c r="A2" t="inlineStr">
        <is>
          <t>Purpose</t>
        </is>
      </c>
      <c r="B2" t="inlineStr">
        <is>
          <t>Produce California wildfire exposure by county.</t>
        </is>
      </c>
    </row>
    <row r="3" ht="30" customHeight="1">
      <c r="A3" t="inlineStr">
        <is>
          <t>Status</t>
        </is>
      </c>
      <c r="B3" t="inlineStr">
        <is>
          <t>January 2026 working file with a legacy 01/01/2025 report label; cached values are preserved.</t>
        </is>
      </c>
    </row>
    <row r="4" ht="30" customHeight="1">
      <c r="A4" t="inlineStr">
        <is>
          <t>Sources</t>
        </is>
      </c>
      <c r="B4" t="inlineStr">
        <is>
          <t>Weather exposure/proxy decision or the structurally matching FA_California_Aggs.sql extract.</t>
        </is>
      </c>
    </row>
    <row r="5" ht="30" customHeight="1">
      <c r="A5" t="inlineStr">
        <is>
          <t>Process</t>
        </is>
      </c>
      <c r="B5" t="inlineStr">
        <is>
          <t>Populate Core data A:M. Helper column N extracts county text and the county report sums net USD exposure from column M.</t>
        </is>
      </c>
    </row>
    <row r="6" ht="30" customHeight="1">
      <c r="A6" t="inlineStr">
        <is>
          <t>Outputs</t>
        </is>
      </c>
      <c r="B6" t="inlineStr">
        <is>
          <t>California county report, followed by reviewed manual template handoff.</t>
        </is>
      </c>
    </row>
    <row r="7" ht="30" customHeight="1">
      <c r="A7" t="inlineStr">
        <is>
          <t>Required control</t>
        </is>
      </c>
      <c r="B7" t="inlineStr">
        <is>
          <t>The source email says wildfire was not monitored separately. Obtain approval for the proxy/PML and correct as-of date before use.</t>
        </is>
      </c>
    </row>
    <row r="8" ht="30" customHeight="1">
      <c r="A8" t="inlineStr">
        <is>
          <t>January baseline SHA-256</t>
        </is>
      </c>
      <c r="B8" t="inlineStr">
        <is>
          <t>36267a772d2a4252286d891556541296364a4bab15f028cee4dd6fd84fd9f0e8</t>
        </is>
      </c>
    </row>
    <row r="9" ht="30" customHeight="1">
      <c r="A9" t="inlineStr">
        <is>
          <t>Run record</t>
        </is>
      </c>
      <c r="B9" t="inlineStr">
        <is>
          <t>Record server, database, codes, row count, totals, FX, operator, reviewer and date.</t>
        </is>
      </c>
    </row>
    <row r="10" ht="30" customHeight="1">
      <c r="A10" t="inlineStr">
        <is>
          <t>Documentation</t>
        </is>
      </c>
      <c r="B10" t="inlineStr">
        <is>
          <t>Start at docs/index.md. This sheet is a guide, not regulatory approval.</t>
        </is>
      </c>
    </row>
  </sheetData>
  <autoFilter ref="A1:B10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 California Wildfire Aggs</vt:lpstr>
      <vt:lpstr>Core data</vt:lpstr>
    </vt:vector>
  </TitlesOfParts>
  <Company>Hiscox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coxro</dc:creator>
  <cp:lastModifiedBy>Richard Hampton</cp:lastModifiedBy>
  <dcterms:created xsi:type="dcterms:W3CDTF">2020-03-02T18:11:33Z</dcterms:created>
  <dcterms:modified xsi:type="dcterms:W3CDTF">2026-02-11T12:48:49Z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20220322154545658</vt:lpwstr>
  </property>
  <property fmtid="{D5CDD505-2E9C-101B-9397-08002B2CF9AE}" pid="3" name="MSIP_Label_b0e772fd-230e-46a1-9b91-16e31ba7e038_Enabled">
    <vt:lpwstr>true</vt:lpwstr>
  </property>
  <property fmtid="{D5CDD505-2E9C-101B-9397-08002B2CF9AE}" pid="4" name="MSIP_Label_b0e772fd-230e-46a1-9b91-16e31ba7e038_SetDate">
    <vt:lpwstr>2023-02-16T16:38:23Z</vt:lpwstr>
  </property>
  <property fmtid="{D5CDD505-2E9C-101B-9397-08002B2CF9AE}" pid="5" name="MSIP_Label_b0e772fd-230e-46a1-9b91-16e31ba7e038_Method">
    <vt:lpwstr>Privileged</vt:lpwstr>
  </property>
  <property fmtid="{D5CDD505-2E9C-101B-9397-08002B2CF9AE}" pid="6" name="MSIP_Label_b0e772fd-230e-46a1-9b91-16e31ba7e038_Name">
    <vt:lpwstr>Internal</vt:lpwstr>
  </property>
  <property fmtid="{D5CDD505-2E9C-101B-9397-08002B2CF9AE}" pid="7" name="MSIP_Label_b0e772fd-230e-46a1-9b91-16e31ba7e038_SiteId">
    <vt:lpwstr>dfbcc178-bccf-4595-8f8e-3a3175df90b7</vt:lpwstr>
  </property>
  <property fmtid="{D5CDD505-2E9C-101B-9397-08002B2CF9AE}" pid="8" name="MSIP_Label_b0e772fd-230e-46a1-9b91-16e31ba7e038_ActionId">
    <vt:lpwstr>98294533-ad29-4027-83fd-d5db4fa09d5b</vt:lpwstr>
  </property>
  <property fmtid="{D5CDD505-2E9C-101B-9397-08002B2CF9AE}" pid="9" name="MSIP_Label_b0e772fd-230e-46a1-9b91-16e31ba7e038_ContentBits">
    <vt:lpwstr>0</vt:lpwstr>
  </property>
</Properties>
</file>