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at Modelling\Group Reporting\Reports\2026\2026-01 - BSCR\UKEU\Workings\"/>
    </mc:Choice>
  </mc:AlternateContent>
  <xr:revisionPtr revIDLastSave="0" documentId="13_ncr:1_{30AD028F-592B-4888-AD91-FB2F3163888C}" xr6:coauthVersionLast="47" xr6:coauthVersionMax="47" xr10:uidLastSave="{00000000-0000-0000-0000-000000000000}"/>
  <bookViews>
    <workbookView xWindow="-120" yWindow="-120" windowWidth="51840" windowHeight="21240" activeTab="2" xr2:uid="{33ED103A-C225-4AF7-8380-A17D5970A431}"/>
  </bookViews>
  <sheets>
    <sheet name="piv" sheetId="2" r:id="rId1"/>
    <sheet name="output" sheetId="1" r:id="rId2"/>
    <sheet name="Sheet1" sheetId="3" r:id="rId3"/>
  </sheets>
  <definedNames>
    <definedName name="_xlnm._FilterDatabase" localSheetId="1" hidden="1">output!$A$1:$F$50</definedName>
    <definedName name="_xlnm._FilterDatabase" localSheetId="2" hidden="1">Sheet1!$A$1:$K$1</definedName>
  </definedNames>
  <calcPr calcId="191029"/>
  <pivotCaches>
    <pivotCache cacheId="0" r:id="rId4"/>
    <pivotCache cacheId="3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J3" i="3" s="1"/>
  <c r="I3" i="3"/>
  <c r="K3" i="3"/>
  <c r="H4" i="3"/>
  <c r="J4" i="3" s="1"/>
  <c r="I4" i="3"/>
  <c r="K4" i="3"/>
  <c r="H5" i="3"/>
  <c r="J5" i="3" s="1"/>
  <c r="I5" i="3"/>
  <c r="K5" i="3"/>
  <c r="H6" i="3"/>
  <c r="J6" i="3" s="1"/>
  <c r="I6" i="3"/>
  <c r="K6" i="3"/>
  <c r="H7" i="3"/>
  <c r="J7" i="3" s="1"/>
  <c r="I7" i="3"/>
  <c r="K7" i="3"/>
  <c r="H8" i="3"/>
  <c r="J8" i="3" s="1"/>
  <c r="I8" i="3"/>
  <c r="K8" i="3"/>
  <c r="H9" i="3"/>
  <c r="J9" i="3" s="1"/>
  <c r="I9" i="3"/>
  <c r="K9" i="3"/>
  <c r="H10" i="3"/>
  <c r="J10" i="3" s="1"/>
  <c r="I10" i="3"/>
  <c r="K10" i="3"/>
  <c r="H11" i="3"/>
  <c r="J11" i="3" s="1"/>
  <c r="I11" i="3"/>
  <c r="K11" i="3"/>
  <c r="H12" i="3"/>
  <c r="J12" i="3" s="1"/>
  <c r="I12" i="3"/>
  <c r="K12" i="3"/>
  <c r="H13" i="3"/>
  <c r="J13" i="3" s="1"/>
  <c r="I13" i="3"/>
  <c r="K13" i="3"/>
  <c r="H14" i="3"/>
  <c r="J14" i="3" s="1"/>
  <c r="I14" i="3"/>
  <c r="K14" i="3"/>
  <c r="H15" i="3"/>
  <c r="J15" i="3" s="1"/>
  <c r="I15" i="3"/>
  <c r="K15" i="3"/>
  <c r="H16" i="3"/>
  <c r="J16" i="3" s="1"/>
  <c r="I16" i="3"/>
  <c r="K16" i="3"/>
  <c r="H17" i="3"/>
  <c r="J17" i="3" s="1"/>
  <c r="I17" i="3"/>
  <c r="K17" i="3"/>
  <c r="H18" i="3"/>
  <c r="J18" i="3" s="1"/>
  <c r="I18" i="3"/>
  <c r="K18" i="3"/>
  <c r="H19" i="3"/>
  <c r="J19" i="3" s="1"/>
  <c r="I19" i="3"/>
  <c r="K19" i="3"/>
  <c r="H20" i="3"/>
  <c r="J20" i="3" s="1"/>
  <c r="I20" i="3"/>
  <c r="K20" i="3"/>
  <c r="H21" i="3"/>
  <c r="J21" i="3" s="1"/>
  <c r="I21" i="3"/>
  <c r="K21" i="3"/>
  <c r="H22" i="3"/>
  <c r="J22" i="3" s="1"/>
  <c r="I22" i="3"/>
  <c r="K22" i="3"/>
  <c r="H23" i="3"/>
  <c r="J23" i="3" s="1"/>
  <c r="I23" i="3"/>
  <c r="K23" i="3"/>
  <c r="H24" i="3"/>
  <c r="J24" i="3" s="1"/>
  <c r="I24" i="3"/>
  <c r="K24" i="3"/>
  <c r="H25" i="3"/>
  <c r="J25" i="3" s="1"/>
  <c r="I25" i="3"/>
  <c r="K25" i="3"/>
  <c r="H26" i="3"/>
  <c r="J26" i="3" s="1"/>
  <c r="I26" i="3"/>
  <c r="K26" i="3"/>
  <c r="H27" i="3"/>
  <c r="J27" i="3" s="1"/>
  <c r="I27" i="3"/>
  <c r="K27" i="3"/>
  <c r="H28" i="3"/>
  <c r="J28" i="3" s="1"/>
  <c r="I28" i="3"/>
  <c r="K28" i="3"/>
  <c r="H29" i="3"/>
  <c r="J29" i="3" s="1"/>
  <c r="I29" i="3"/>
  <c r="K29" i="3"/>
  <c r="H30" i="3"/>
  <c r="J30" i="3" s="1"/>
  <c r="I30" i="3"/>
  <c r="K30" i="3"/>
  <c r="H31" i="3"/>
  <c r="J31" i="3" s="1"/>
  <c r="I31" i="3"/>
  <c r="K31" i="3"/>
  <c r="H32" i="3"/>
  <c r="J32" i="3" s="1"/>
  <c r="I32" i="3"/>
  <c r="K32" i="3"/>
  <c r="H33" i="3"/>
  <c r="J33" i="3" s="1"/>
  <c r="I33" i="3"/>
  <c r="K33" i="3"/>
  <c r="H34" i="3"/>
  <c r="J34" i="3" s="1"/>
  <c r="I34" i="3"/>
  <c r="K34" i="3"/>
  <c r="H35" i="3"/>
  <c r="J35" i="3" s="1"/>
  <c r="I35" i="3"/>
  <c r="K35" i="3"/>
  <c r="H36" i="3"/>
  <c r="J36" i="3" s="1"/>
  <c r="I36" i="3"/>
  <c r="K36" i="3"/>
  <c r="H37" i="3"/>
  <c r="J37" i="3" s="1"/>
  <c r="I37" i="3"/>
  <c r="K37" i="3"/>
  <c r="H38" i="3"/>
  <c r="J38" i="3" s="1"/>
  <c r="I38" i="3"/>
  <c r="K38" i="3"/>
  <c r="H39" i="3"/>
  <c r="J39" i="3" s="1"/>
  <c r="I39" i="3"/>
  <c r="K39" i="3"/>
  <c r="H40" i="3"/>
  <c r="J40" i="3" s="1"/>
  <c r="I40" i="3"/>
  <c r="K40" i="3"/>
  <c r="H41" i="3"/>
  <c r="J41" i="3" s="1"/>
  <c r="I41" i="3"/>
  <c r="K41" i="3"/>
  <c r="H42" i="3"/>
  <c r="J42" i="3" s="1"/>
  <c r="I42" i="3"/>
  <c r="K42" i="3"/>
  <c r="H43" i="3"/>
  <c r="J43" i="3" s="1"/>
  <c r="I43" i="3"/>
  <c r="K43" i="3"/>
  <c r="H44" i="3"/>
  <c r="J44" i="3" s="1"/>
  <c r="I44" i="3"/>
  <c r="K44" i="3"/>
  <c r="H45" i="3"/>
  <c r="J45" i="3" s="1"/>
  <c r="I45" i="3"/>
  <c r="K45" i="3"/>
  <c r="H46" i="3"/>
  <c r="J46" i="3" s="1"/>
  <c r="I46" i="3"/>
  <c r="K46" i="3"/>
  <c r="H47" i="3"/>
  <c r="J47" i="3" s="1"/>
  <c r="I47" i="3"/>
  <c r="K47" i="3"/>
  <c r="H48" i="3"/>
  <c r="J48" i="3" s="1"/>
  <c r="I48" i="3"/>
  <c r="K48" i="3"/>
  <c r="H49" i="3"/>
  <c r="J49" i="3" s="1"/>
  <c r="I49" i="3"/>
  <c r="K49" i="3"/>
  <c r="H50" i="3"/>
  <c r="J50" i="3" s="1"/>
  <c r="I50" i="3"/>
  <c r="K50" i="3"/>
  <c r="H51" i="3"/>
  <c r="J51" i="3" s="1"/>
  <c r="I51" i="3"/>
  <c r="K51" i="3"/>
  <c r="H52" i="3"/>
  <c r="J52" i="3" s="1"/>
  <c r="I52" i="3"/>
  <c r="K52" i="3"/>
  <c r="H53" i="3"/>
  <c r="J53" i="3" s="1"/>
  <c r="I53" i="3"/>
  <c r="K53" i="3"/>
  <c r="H54" i="3"/>
  <c r="J54" i="3" s="1"/>
  <c r="I54" i="3"/>
  <c r="K54" i="3"/>
  <c r="H55" i="3"/>
  <c r="J55" i="3" s="1"/>
  <c r="I55" i="3"/>
  <c r="K55" i="3"/>
  <c r="H56" i="3"/>
  <c r="J56" i="3" s="1"/>
  <c r="I56" i="3"/>
  <c r="K56" i="3"/>
  <c r="H57" i="3"/>
  <c r="J57" i="3" s="1"/>
  <c r="I57" i="3"/>
  <c r="K57" i="3"/>
  <c r="H58" i="3"/>
  <c r="J58" i="3" s="1"/>
  <c r="I58" i="3"/>
  <c r="K58" i="3"/>
  <c r="H59" i="3"/>
  <c r="J59" i="3" s="1"/>
  <c r="I59" i="3"/>
  <c r="K59" i="3"/>
  <c r="H60" i="3"/>
  <c r="J60" i="3" s="1"/>
  <c r="I60" i="3"/>
  <c r="K60" i="3"/>
  <c r="H61" i="3"/>
  <c r="J61" i="3" s="1"/>
  <c r="I61" i="3"/>
  <c r="K61" i="3"/>
  <c r="H62" i="3"/>
  <c r="J62" i="3" s="1"/>
  <c r="I62" i="3"/>
  <c r="K62" i="3"/>
  <c r="H63" i="3"/>
  <c r="J63" i="3" s="1"/>
  <c r="I63" i="3"/>
  <c r="K63" i="3"/>
  <c r="H64" i="3"/>
  <c r="J64" i="3" s="1"/>
  <c r="I64" i="3"/>
  <c r="K64" i="3"/>
  <c r="H65" i="3"/>
  <c r="J65" i="3" s="1"/>
  <c r="I65" i="3"/>
  <c r="K65" i="3"/>
  <c r="H66" i="3"/>
  <c r="J66" i="3" s="1"/>
  <c r="I66" i="3"/>
  <c r="K66" i="3"/>
  <c r="H67" i="3"/>
  <c r="J67" i="3" s="1"/>
  <c r="I67" i="3"/>
  <c r="K67" i="3"/>
  <c r="H68" i="3"/>
  <c r="J68" i="3" s="1"/>
  <c r="I68" i="3"/>
  <c r="K68" i="3"/>
  <c r="H69" i="3"/>
  <c r="J69" i="3" s="1"/>
  <c r="I69" i="3"/>
  <c r="K69" i="3"/>
  <c r="H70" i="3"/>
  <c r="J70" i="3" s="1"/>
  <c r="I70" i="3"/>
  <c r="K70" i="3"/>
  <c r="H71" i="3"/>
  <c r="J71" i="3" s="1"/>
  <c r="I71" i="3"/>
  <c r="K71" i="3"/>
  <c r="H72" i="3"/>
  <c r="J72" i="3" s="1"/>
  <c r="I72" i="3"/>
  <c r="K72" i="3"/>
  <c r="H73" i="3"/>
  <c r="J73" i="3" s="1"/>
  <c r="I73" i="3"/>
  <c r="K73" i="3"/>
  <c r="H74" i="3"/>
  <c r="J74" i="3" s="1"/>
  <c r="I74" i="3"/>
  <c r="K74" i="3"/>
  <c r="H75" i="3"/>
  <c r="J75" i="3" s="1"/>
  <c r="I75" i="3"/>
  <c r="K75" i="3"/>
  <c r="H76" i="3"/>
  <c r="J76" i="3" s="1"/>
  <c r="I76" i="3"/>
  <c r="K76" i="3"/>
  <c r="H77" i="3"/>
  <c r="J77" i="3" s="1"/>
  <c r="I77" i="3"/>
  <c r="K77" i="3"/>
  <c r="H78" i="3"/>
  <c r="J78" i="3" s="1"/>
  <c r="I78" i="3"/>
  <c r="K78" i="3"/>
  <c r="H79" i="3"/>
  <c r="J79" i="3" s="1"/>
  <c r="I79" i="3"/>
  <c r="K79" i="3"/>
  <c r="H80" i="3"/>
  <c r="J80" i="3" s="1"/>
  <c r="I80" i="3"/>
  <c r="K80" i="3"/>
  <c r="H81" i="3"/>
  <c r="J81" i="3" s="1"/>
  <c r="I81" i="3"/>
  <c r="K81" i="3"/>
  <c r="H82" i="3"/>
  <c r="J82" i="3" s="1"/>
  <c r="I82" i="3"/>
  <c r="K82" i="3"/>
  <c r="H83" i="3"/>
  <c r="J83" i="3" s="1"/>
  <c r="I83" i="3"/>
  <c r="K83" i="3"/>
  <c r="H84" i="3"/>
  <c r="J84" i="3" s="1"/>
  <c r="I84" i="3"/>
  <c r="K84" i="3"/>
  <c r="H85" i="3"/>
  <c r="J85" i="3" s="1"/>
  <c r="I85" i="3"/>
  <c r="K85" i="3"/>
  <c r="H86" i="3"/>
  <c r="J86" i="3" s="1"/>
  <c r="I86" i="3"/>
  <c r="K86" i="3"/>
  <c r="H87" i="3"/>
  <c r="J87" i="3" s="1"/>
  <c r="I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K123" i="3" s="1"/>
  <c r="J123" i="3"/>
  <c r="H124" i="3"/>
  <c r="I124" i="3"/>
  <c r="K124" i="3" s="1"/>
  <c r="J124" i="3"/>
  <c r="H125" i="3"/>
  <c r="I125" i="3"/>
  <c r="K125" i="3" s="1"/>
  <c r="J125" i="3"/>
  <c r="H126" i="3"/>
  <c r="I126" i="3"/>
  <c r="K126" i="3" s="1"/>
  <c r="J126" i="3"/>
  <c r="H127" i="3"/>
  <c r="I127" i="3"/>
  <c r="K127" i="3" s="1"/>
  <c r="J127" i="3"/>
  <c r="H128" i="3"/>
  <c r="I128" i="3"/>
  <c r="K128" i="3" s="1"/>
  <c r="J128" i="3"/>
  <c r="H129" i="3"/>
  <c r="I129" i="3"/>
  <c r="K129" i="3" s="1"/>
  <c r="J129" i="3"/>
  <c r="H130" i="3"/>
  <c r="I130" i="3"/>
  <c r="K130" i="3" s="1"/>
  <c r="J130" i="3"/>
  <c r="H131" i="3"/>
  <c r="I131" i="3"/>
  <c r="K131" i="3" s="1"/>
  <c r="J131" i="3"/>
  <c r="H132" i="3"/>
  <c r="I132" i="3"/>
  <c r="K132" i="3" s="1"/>
  <c r="J132" i="3"/>
  <c r="H133" i="3"/>
  <c r="I133" i="3"/>
  <c r="K133" i="3" s="1"/>
  <c r="J133" i="3"/>
  <c r="H134" i="3"/>
  <c r="I134" i="3"/>
  <c r="K134" i="3" s="1"/>
  <c r="J134" i="3"/>
  <c r="H135" i="3"/>
  <c r="I135" i="3"/>
  <c r="K135" i="3" s="1"/>
  <c r="J135" i="3"/>
  <c r="H136" i="3"/>
  <c r="I136" i="3"/>
  <c r="K136" i="3" s="1"/>
  <c r="J136" i="3"/>
  <c r="H137" i="3"/>
  <c r="I137" i="3"/>
  <c r="K137" i="3" s="1"/>
  <c r="J137" i="3"/>
  <c r="H138" i="3"/>
  <c r="I138" i="3"/>
  <c r="K138" i="3" s="1"/>
  <c r="J138" i="3"/>
  <c r="H139" i="3"/>
  <c r="I139" i="3"/>
  <c r="K139" i="3" s="1"/>
  <c r="J139" i="3"/>
  <c r="H140" i="3"/>
  <c r="I140" i="3"/>
  <c r="K140" i="3" s="1"/>
  <c r="J140" i="3"/>
  <c r="H141" i="3"/>
  <c r="I141" i="3"/>
  <c r="K141" i="3" s="1"/>
  <c r="J141" i="3"/>
  <c r="H142" i="3"/>
  <c r="I142" i="3"/>
  <c r="K142" i="3" s="1"/>
  <c r="J142" i="3"/>
  <c r="H143" i="3"/>
  <c r="I143" i="3"/>
  <c r="K143" i="3" s="1"/>
  <c r="J143" i="3"/>
  <c r="H144" i="3"/>
  <c r="I144" i="3"/>
  <c r="K144" i="3" s="1"/>
  <c r="J144" i="3"/>
  <c r="H145" i="3"/>
  <c r="I145" i="3"/>
  <c r="K145" i="3" s="1"/>
  <c r="J145" i="3"/>
  <c r="H146" i="3"/>
  <c r="I146" i="3"/>
  <c r="K146" i="3" s="1"/>
  <c r="J146" i="3"/>
  <c r="H147" i="3"/>
  <c r="I147" i="3"/>
  <c r="K147" i="3" s="1"/>
  <c r="J147" i="3"/>
  <c r="H148" i="3"/>
  <c r="I148" i="3"/>
  <c r="K148" i="3" s="1"/>
  <c r="J148" i="3"/>
  <c r="H149" i="3"/>
  <c r="I149" i="3"/>
  <c r="K149" i="3" s="1"/>
  <c r="J149" i="3"/>
  <c r="H150" i="3"/>
  <c r="I150" i="3"/>
  <c r="K150" i="3" s="1"/>
  <c r="J150" i="3"/>
  <c r="H151" i="3"/>
  <c r="I151" i="3"/>
  <c r="K151" i="3" s="1"/>
  <c r="J151" i="3"/>
  <c r="H152" i="3"/>
  <c r="I152" i="3"/>
  <c r="K152" i="3" s="1"/>
  <c r="J152" i="3"/>
  <c r="H153" i="3"/>
  <c r="I153" i="3"/>
  <c r="K153" i="3" s="1"/>
  <c r="J153" i="3"/>
  <c r="H154" i="3"/>
  <c r="I154" i="3"/>
  <c r="K154" i="3" s="1"/>
  <c r="J154" i="3"/>
  <c r="H155" i="3"/>
  <c r="I155" i="3"/>
  <c r="K155" i="3" s="1"/>
  <c r="J155" i="3"/>
  <c r="H156" i="3"/>
  <c r="I156" i="3"/>
  <c r="K156" i="3" s="1"/>
  <c r="J156" i="3"/>
  <c r="H157" i="3"/>
  <c r="I157" i="3"/>
  <c r="K157" i="3" s="1"/>
  <c r="J157" i="3"/>
  <c r="H158" i="3"/>
  <c r="I158" i="3"/>
  <c r="K158" i="3" s="1"/>
  <c r="J158" i="3"/>
  <c r="H159" i="3"/>
  <c r="I159" i="3"/>
  <c r="K159" i="3" s="1"/>
  <c r="J159" i="3"/>
  <c r="H160" i="3"/>
  <c r="I160" i="3"/>
  <c r="K160" i="3" s="1"/>
  <c r="J160" i="3"/>
  <c r="H161" i="3"/>
  <c r="I161" i="3"/>
  <c r="K161" i="3" s="1"/>
  <c r="J161" i="3"/>
  <c r="H162" i="3"/>
  <c r="I162" i="3"/>
  <c r="K162" i="3" s="1"/>
  <c r="J162" i="3"/>
  <c r="H163" i="3"/>
  <c r="I163" i="3"/>
  <c r="K163" i="3" s="1"/>
  <c r="J163" i="3"/>
  <c r="H164" i="3"/>
  <c r="I164" i="3"/>
  <c r="K164" i="3" s="1"/>
  <c r="J164" i="3"/>
  <c r="H165" i="3"/>
  <c r="I165" i="3"/>
  <c r="K165" i="3" s="1"/>
  <c r="J165" i="3"/>
  <c r="H166" i="3"/>
  <c r="I166" i="3"/>
  <c r="K166" i="3" s="1"/>
  <c r="J166" i="3"/>
  <c r="H167" i="3"/>
  <c r="I167" i="3"/>
  <c r="K167" i="3" s="1"/>
  <c r="J167" i="3"/>
  <c r="H168" i="3"/>
  <c r="I168" i="3"/>
  <c r="K168" i="3" s="1"/>
  <c r="J168" i="3"/>
  <c r="H169" i="3"/>
  <c r="I169" i="3"/>
  <c r="K169" i="3" s="1"/>
  <c r="J169" i="3"/>
  <c r="H170" i="3"/>
  <c r="I170" i="3"/>
  <c r="K170" i="3" s="1"/>
  <c r="J170" i="3"/>
  <c r="H171" i="3"/>
  <c r="I171" i="3"/>
  <c r="K171" i="3" s="1"/>
  <c r="J171" i="3"/>
  <c r="H172" i="3"/>
  <c r="I172" i="3"/>
  <c r="K172" i="3" s="1"/>
  <c r="J172" i="3"/>
  <c r="H173" i="3"/>
  <c r="I173" i="3"/>
  <c r="K173" i="3" s="1"/>
  <c r="J173" i="3"/>
  <c r="H174" i="3"/>
  <c r="I174" i="3"/>
  <c r="K174" i="3" s="1"/>
  <c r="J174" i="3"/>
  <c r="H175" i="3"/>
  <c r="I175" i="3"/>
  <c r="K175" i="3" s="1"/>
  <c r="J175" i="3"/>
  <c r="H176" i="3"/>
  <c r="I176" i="3"/>
  <c r="K176" i="3" s="1"/>
  <c r="J176" i="3"/>
  <c r="H177" i="3"/>
  <c r="I177" i="3"/>
  <c r="K177" i="3" s="1"/>
  <c r="J177" i="3"/>
  <c r="H178" i="3"/>
  <c r="I178" i="3"/>
  <c r="K178" i="3" s="1"/>
  <c r="J178" i="3"/>
  <c r="H179" i="3"/>
  <c r="I179" i="3"/>
  <c r="K179" i="3" s="1"/>
  <c r="J179" i="3"/>
  <c r="H180" i="3"/>
  <c r="I180" i="3"/>
  <c r="K180" i="3" s="1"/>
  <c r="J180" i="3"/>
  <c r="H181" i="3"/>
  <c r="I181" i="3"/>
  <c r="K181" i="3" s="1"/>
  <c r="J181" i="3"/>
  <c r="H182" i="3"/>
  <c r="I182" i="3"/>
  <c r="K182" i="3" s="1"/>
  <c r="J182" i="3"/>
  <c r="H183" i="3"/>
  <c r="I183" i="3"/>
  <c r="K183" i="3" s="1"/>
  <c r="J183" i="3"/>
  <c r="H184" i="3"/>
  <c r="I184" i="3"/>
  <c r="K184" i="3" s="1"/>
  <c r="J184" i="3"/>
  <c r="H185" i="3"/>
  <c r="I185" i="3"/>
  <c r="K185" i="3" s="1"/>
  <c r="J185" i="3"/>
  <c r="H186" i="3"/>
  <c r="I186" i="3"/>
  <c r="K186" i="3" s="1"/>
  <c r="J186" i="3"/>
  <c r="H187" i="3"/>
  <c r="I187" i="3"/>
  <c r="K187" i="3" s="1"/>
  <c r="J187" i="3"/>
  <c r="H188" i="3"/>
  <c r="I188" i="3"/>
  <c r="K188" i="3" s="1"/>
  <c r="J188" i="3"/>
  <c r="H189" i="3"/>
  <c r="I189" i="3"/>
  <c r="K189" i="3" s="1"/>
  <c r="J189" i="3"/>
  <c r="H190" i="3"/>
  <c r="I190" i="3"/>
  <c r="K190" i="3" s="1"/>
  <c r="J190" i="3"/>
  <c r="H191" i="3"/>
  <c r="I191" i="3"/>
  <c r="K191" i="3" s="1"/>
  <c r="J191" i="3"/>
  <c r="H192" i="3"/>
  <c r="I192" i="3"/>
  <c r="K192" i="3" s="1"/>
  <c r="J192" i="3"/>
  <c r="H193" i="3"/>
  <c r="I193" i="3"/>
  <c r="K193" i="3" s="1"/>
  <c r="J193" i="3"/>
  <c r="H194" i="3"/>
  <c r="I194" i="3"/>
  <c r="K194" i="3" s="1"/>
  <c r="J194" i="3"/>
  <c r="H195" i="3"/>
  <c r="I195" i="3"/>
  <c r="K195" i="3" s="1"/>
  <c r="J195" i="3"/>
  <c r="H196" i="3"/>
  <c r="I196" i="3"/>
  <c r="K196" i="3" s="1"/>
  <c r="J196" i="3"/>
  <c r="H197" i="3"/>
  <c r="I197" i="3"/>
  <c r="K197" i="3" s="1"/>
  <c r="J197" i="3"/>
  <c r="H198" i="3"/>
  <c r="I198" i="3"/>
  <c r="K198" i="3" s="1"/>
  <c r="J198" i="3"/>
  <c r="H199" i="3"/>
  <c r="I199" i="3"/>
  <c r="K199" i="3" s="1"/>
  <c r="J199" i="3"/>
  <c r="H200" i="3"/>
  <c r="I200" i="3"/>
  <c r="K200" i="3" s="1"/>
  <c r="J200" i="3"/>
  <c r="H201" i="3"/>
  <c r="I201" i="3"/>
  <c r="K201" i="3" s="1"/>
  <c r="J201" i="3"/>
  <c r="H202" i="3"/>
  <c r="I202" i="3"/>
  <c r="K202" i="3" s="1"/>
  <c r="J202" i="3"/>
  <c r="H203" i="3"/>
  <c r="I203" i="3"/>
  <c r="K203" i="3" s="1"/>
  <c r="J203" i="3"/>
  <c r="H204" i="3"/>
  <c r="I204" i="3"/>
  <c r="K204" i="3" s="1"/>
  <c r="J204" i="3"/>
  <c r="H205" i="3"/>
  <c r="I205" i="3"/>
  <c r="K205" i="3" s="1"/>
  <c r="J205" i="3"/>
  <c r="H206" i="3"/>
  <c r="I206" i="3"/>
  <c r="K206" i="3" s="1"/>
  <c r="J206" i="3"/>
  <c r="H207" i="3"/>
  <c r="I207" i="3"/>
  <c r="K207" i="3" s="1"/>
  <c r="J207" i="3"/>
  <c r="H208" i="3"/>
  <c r="I208" i="3"/>
  <c r="K208" i="3" s="1"/>
  <c r="J208" i="3"/>
  <c r="H209" i="3"/>
  <c r="I209" i="3"/>
  <c r="K209" i="3" s="1"/>
  <c r="J209" i="3"/>
  <c r="H210" i="3"/>
  <c r="I210" i="3"/>
  <c r="K210" i="3" s="1"/>
  <c r="J210" i="3"/>
  <c r="H211" i="3"/>
  <c r="I211" i="3"/>
  <c r="K211" i="3" s="1"/>
  <c r="J211" i="3"/>
  <c r="H212" i="3"/>
  <c r="I212" i="3"/>
  <c r="K212" i="3" s="1"/>
  <c r="J212" i="3"/>
  <c r="H213" i="3"/>
  <c r="I213" i="3"/>
  <c r="K213" i="3" s="1"/>
  <c r="J213" i="3"/>
  <c r="H214" i="3"/>
  <c r="I214" i="3"/>
  <c r="K214" i="3" s="1"/>
  <c r="J214" i="3"/>
  <c r="H215" i="3"/>
  <c r="I215" i="3"/>
  <c r="K215" i="3" s="1"/>
  <c r="J215" i="3"/>
  <c r="H216" i="3"/>
  <c r="I216" i="3"/>
  <c r="K216" i="3" s="1"/>
  <c r="J216" i="3"/>
  <c r="H217" i="3"/>
  <c r="I217" i="3"/>
  <c r="K217" i="3" s="1"/>
  <c r="J217" i="3"/>
  <c r="H218" i="3"/>
  <c r="I218" i="3"/>
  <c r="K218" i="3" s="1"/>
  <c r="J218" i="3"/>
  <c r="H219" i="3"/>
  <c r="I219" i="3"/>
  <c r="K219" i="3" s="1"/>
  <c r="J219" i="3"/>
  <c r="H220" i="3"/>
  <c r="I220" i="3"/>
  <c r="K220" i="3" s="1"/>
  <c r="J220" i="3"/>
  <c r="H221" i="3"/>
  <c r="I221" i="3"/>
  <c r="K221" i="3" s="1"/>
  <c r="J221" i="3"/>
  <c r="H222" i="3"/>
  <c r="I222" i="3"/>
  <c r="K222" i="3" s="1"/>
  <c r="J222" i="3"/>
  <c r="H223" i="3"/>
  <c r="I223" i="3"/>
  <c r="K223" i="3" s="1"/>
  <c r="J223" i="3"/>
  <c r="H224" i="3"/>
  <c r="I224" i="3"/>
  <c r="K224" i="3" s="1"/>
  <c r="J224" i="3"/>
  <c r="H225" i="3"/>
  <c r="I225" i="3"/>
  <c r="K225" i="3" s="1"/>
  <c r="J225" i="3"/>
  <c r="H226" i="3"/>
  <c r="I226" i="3"/>
  <c r="K226" i="3" s="1"/>
  <c r="J226" i="3"/>
  <c r="H227" i="3"/>
  <c r="I227" i="3"/>
  <c r="K227" i="3" s="1"/>
  <c r="J227" i="3"/>
  <c r="H228" i="3"/>
  <c r="I228" i="3"/>
  <c r="K228" i="3" s="1"/>
  <c r="J228" i="3"/>
  <c r="H229" i="3"/>
  <c r="I229" i="3"/>
  <c r="K229" i="3" s="1"/>
  <c r="J229" i="3"/>
  <c r="H230" i="3"/>
  <c r="I230" i="3"/>
  <c r="K230" i="3" s="1"/>
  <c r="J230" i="3"/>
  <c r="H231" i="3"/>
  <c r="I231" i="3"/>
  <c r="K231" i="3" s="1"/>
  <c r="J231" i="3"/>
  <c r="H232" i="3"/>
  <c r="I232" i="3"/>
  <c r="K232" i="3" s="1"/>
  <c r="J232" i="3"/>
  <c r="H233" i="3"/>
  <c r="I233" i="3"/>
  <c r="K233" i="3" s="1"/>
  <c r="J233" i="3"/>
  <c r="H234" i="3"/>
  <c r="I234" i="3"/>
  <c r="K234" i="3" s="1"/>
  <c r="J234" i="3"/>
  <c r="H235" i="3"/>
  <c r="I235" i="3"/>
  <c r="K235" i="3" s="1"/>
  <c r="J235" i="3"/>
  <c r="H236" i="3"/>
  <c r="I236" i="3"/>
  <c r="K236" i="3" s="1"/>
  <c r="J236" i="3"/>
  <c r="H237" i="3"/>
  <c r="I237" i="3"/>
  <c r="K237" i="3" s="1"/>
  <c r="J237" i="3"/>
  <c r="H238" i="3"/>
  <c r="I238" i="3"/>
  <c r="K238" i="3" s="1"/>
  <c r="J238" i="3"/>
  <c r="H239" i="3"/>
  <c r="I239" i="3"/>
  <c r="K239" i="3" s="1"/>
  <c r="J239" i="3"/>
  <c r="H240" i="3"/>
  <c r="I240" i="3"/>
  <c r="K240" i="3" s="1"/>
  <c r="J240" i="3"/>
  <c r="H241" i="3"/>
  <c r="I241" i="3"/>
  <c r="K241" i="3" s="1"/>
  <c r="J241" i="3"/>
  <c r="H242" i="3"/>
  <c r="I242" i="3"/>
  <c r="K242" i="3" s="1"/>
  <c r="J242" i="3"/>
  <c r="H243" i="3"/>
  <c r="I243" i="3"/>
  <c r="K243" i="3" s="1"/>
  <c r="J243" i="3"/>
  <c r="H244" i="3"/>
  <c r="I244" i="3"/>
  <c r="K244" i="3" s="1"/>
  <c r="J244" i="3"/>
  <c r="H245" i="3"/>
  <c r="I245" i="3"/>
  <c r="K245" i="3" s="1"/>
  <c r="J245" i="3"/>
  <c r="H246" i="3"/>
  <c r="I246" i="3"/>
  <c r="K246" i="3" s="1"/>
  <c r="J246" i="3"/>
  <c r="H247" i="3"/>
  <c r="I247" i="3"/>
  <c r="K247" i="3" s="1"/>
  <c r="J247" i="3"/>
  <c r="H248" i="3"/>
  <c r="I248" i="3"/>
  <c r="K248" i="3" s="1"/>
  <c r="J248" i="3"/>
  <c r="H249" i="3"/>
  <c r="I249" i="3"/>
  <c r="K249" i="3" s="1"/>
  <c r="J249" i="3"/>
  <c r="H250" i="3"/>
  <c r="I250" i="3"/>
  <c r="K250" i="3" s="1"/>
  <c r="J250" i="3"/>
  <c r="H251" i="3"/>
  <c r="I251" i="3"/>
  <c r="K251" i="3" s="1"/>
  <c r="J251" i="3"/>
  <c r="H252" i="3"/>
  <c r="I252" i="3"/>
  <c r="K252" i="3" s="1"/>
  <c r="J252" i="3"/>
  <c r="H253" i="3"/>
  <c r="I253" i="3"/>
  <c r="K253" i="3" s="1"/>
  <c r="J253" i="3"/>
  <c r="H254" i="3"/>
  <c r="I254" i="3"/>
  <c r="K254" i="3" s="1"/>
  <c r="J254" i="3"/>
  <c r="H255" i="3"/>
  <c r="I255" i="3"/>
  <c r="K255" i="3" s="1"/>
  <c r="J255" i="3"/>
  <c r="H256" i="3"/>
  <c r="I256" i="3"/>
  <c r="K256" i="3" s="1"/>
  <c r="J256" i="3"/>
  <c r="H257" i="3"/>
  <c r="I257" i="3"/>
  <c r="K257" i="3" s="1"/>
  <c r="J257" i="3"/>
  <c r="H258" i="3"/>
  <c r="I258" i="3"/>
  <c r="K258" i="3" s="1"/>
  <c r="J258" i="3"/>
  <c r="H259" i="3"/>
  <c r="I259" i="3"/>
  <c r="K259" i="3" s="1"/>
  <c r="J259" i="3"/>
  <c r="H260" i="3"/>
  <c r="I260" i="3"/>
  <c r="K260" i="3" s="1"/>
  <c r="J260" i="3"/>
  <c r="H261" i="3"/>
  <c r="I261" i="3"/>
  <c r="K261" i="3" s="1"/>
  <c r="J261" i="3"/>
  <c r="H262" i="3"/>
  <c r="I262" i="3"/>
  <c r="K262" i="3" s="1"/>
  <c r="J262" i="3"/>
  <c r="H263" i="3"/>
  <c r="I263" i="3"/>
  <c r="K263" i="3" s="1"/>
  <c r="J263" i="3"/>
  <c r="H264" i="3"/>
  <c r="I264" i="3"/>
  <c r="K264" i="3" s="1"/>
  <c r="J264" i="3"/>
  <c r="H265" i="3"/>
  <c r="I265" i="3"/>
  <c r="K265" i="3" s="1"/>
  <c r="J265" i="3"/>
  <c r="H266" i="3"/>
  <c r="I266" i="3"/>
  <c r="K266" i="3" s="1"/>
  <c r="J266" i="3"/>
  <c r="H267" i="3"/>
  <c r="I267" i="3"/>
  <c r="K267" i="3" s="1"/>
  <c r="J267" i="3"/>
  <c r="H268" i="3"/>
  <c r="I268" i="3"/>
  <c r="K268" i="3" s="1"/>
  <c r="J268" i="3"/>
  <c r="H269" i="3"/>
  <c r="I269" i="3"/>
  <c r="K269" i="3" s="1"/>
  <c r="J269" i="3"/>
  <c r="H270" i="3"/>
  <c r="I270" i="3"/>
  <c r="K270" i="3" s="1"/>
  <c r="J270" i="3"/>
  <c r="H271" i="3"/>
  <c r="I271" i="3"/>
  <c r="K271" i="3" s="1"/>
  <c r="J271" i="3"/>
  <c r="H272" i="3"/>
  <c r="I272" i="3"/>
  <c r="K272" i="3" s="1"/>
  <c r="J272" i="3"/>
  <c r="H273" i="3"/>
  <c r="I273" i="3"/>
  <c r="K273" i="3" s="1"/>
  <c r="J273" i="3"/>
  <c r="H274" i="3"/>
  <c r="I274" i="3"/>
  <c r="K274" i="3" s="1"/>
  <c r="J274" i="3"/>
  <c r="H275" i="3"/>
  <c r="I275" i="3"/>
  <c r="K275" i="3" s="1"/>
  <c r="J275" i="3"/>
  <c r="H276" i="3"/>
  <c r="I276" i="3"/>
  <c r="K276" i="3" s="1"/>
  <c r="J276" i="3"/>
  <c r="H277" i="3"/>
  <c r="I277" i="3"/>
  <c r="K277" i="3" s="1"/>
  <c r="J277" i="3"/>
  <c r="H278" i="3"/>
  <c r="I278" i="3"/>
  <c r="K278" i="3" s="1"/>
  <c r="J278" i="3"/>
  <c r="H279" i="3"/>
  <c r="I279" i="3"/>
  <c r="K279" i="3" s="1"/>
  <c r="J279" i="3"/>
  <c r="H280" i="3"/>
  <c r="I280" i="3"/>
  <c r="K280" i="3" s="1"/>
  <c r="J280" i="3"/>
  <c r="H281" i="3"/>
  <c r="I281" i="3"/>
  <c r="K281" i="3" s="1"/>
  <c r="J281" i="3"/>
  <c r="H282" i="3"/>
  <c r="I282" i="3"/>
  <c r="K282" i="3" s="1"/>
  <c r="J282" i="3"/>
  <c r="H283" i="3"/>
  <c r="I283" i="3"/>
  <c r="K283" i="3" s="1"/>
  <c r="J283" i="3"/>
  <c r="H284" i="3"/>
  <c r="I284" i="3"/>
  <c r="K284" i="3" s="1"/>
  <c r="J284" i="3"/>
  <c r="H285" i="3"/>
  <c r="I285" i="3"/>
  <c r="K285" i="3" s="1"/>
  <c r="J285" i="3"/>
  <c r="H286" i="3"/>
  <c r="I286" i="3"/>
  <c r="K286" i="3" s="1"/>
  <c r="J286" i="3"/>
  <c r="H287" i="3"/>
  <c r="I287" i="3"/>
  <c r="K287" i="3" s="1"/>
  <c r="J287" i="3"/>
  <c r="H288" i="3"/>
  <c r="I288" i="3"/>
  <c r="K288" i="3" s="1"/>
  <c r="J288" i="3"/>
  <c r="H289" i="3"/>
  <c r="J289" i="3" s="1"/>
  <c r="I289" i="3"/>
  <c r="K289" i="3" s="1"/>
  <c r="H290" i="3"/>
  <c r="J290" i="3" s="1"/>
  <c r="I290" i="3"/>
  <c r="K290" i="3" s="1"/>
  <c r="H291" i="3"/>
  <c r="I291" i="3"/>
  <c r="K291" i="3" s="1"/>
  <c r="J291" i="3"/>
  <c r="H292" i="3"/>
  <c r="I292" i="3"/>
  <c r="K292" i="3" s="1"/>
  <c r="J292" i="3"/>
  <c r="H293" i="3"/>
  <c r="J293" i="3" s="1"/>
  <c r="I293" i="3"/>
  <c r="K293" i="3"/>
  <c r="H294" i="3"/>
  <c r="J294" i="3" s="1"/>
  <c r="I294" i="3"/>
  <c r="K294" i="3"/>
  <c r="H295" i="3"/>
  <c r="J295" i="3" s="1"/>
  <c r="I295" i="3"/>
  <c r="K295" i="3"/>
  <c r="H296" i="3"/>
  <c r="J296" i="3" s="1"/>
  <c r="I296" i="3"/>
  <c r="K296" i="3"/>
  <c r="H297" i="3"/>
  <c r="J297" i="3" s="1"/>
  <c r="I297" i="3"/>
  <c r="K297" i="3"/>
  <c r="H298" i="3"/>
  <c r="J298" i="3" s="1"/>
  <c r="I298" i="3"/>
  <c r="K298" i="3"/>
  <c r="H299" i="3"/>
  <c r="J299" i="3" s="1"/>
  <c r="I299" i="3"/>
  <c r="K299" i="3"/>
  <c r="H300" i="3"/>
  <c r="J300" i="3" s="1"/>
  <c r="I300" i="3"/>
  <c r="K300" i="3"/>
  <c r="H301" i="3"/>
  <c r="J301" i="3" s="1"/>
  <c r="I301" i="3"/>
  <c r="K301" i="3"/>
  <c r="H302" i="3"/>
  <c r="J302" i="3" s="1"/>
  <c r="I302" i="3"/>
  <c r="K302" i="3"/>
  <c r="H303" i="3"/>
  <c r="J303" i="3" s="1"/>
  <c r="I303" i="3"/>
  <c r="K303" i="3"/>
  <c r="H304" i="3"/>
  <c r="J304" i="3" s="1"/>
  <c r="I304" i="3"/>
  <c r="K304" i="3"/>
  <c r="H305" i="3"/>
  <c r="J305" i="3" s="1"/>
  <c r="I305" i="3"/>
  <c r="K305" i="3"/>
  <c r="H306" i="3"/>
  <c r="J306" i="3" s="1"/>
  <c r="I306" i="3"/>
  <c r="K306" i="3"/>
  <c r="H307" i="3"/>
  <c r="J307" i="3" s="1"/>
  <c r="I307" i="3"/>
  <c r="K307" i="3"/>
  <c r="H308" i="3"/>
  <c r="J308" i="3" s="1"/>
  <c r="I308" i="3"/>
  <c r="K308" i="3"/>
  <c r="H309" i="3"/>
  <c r="J309" i="3" s="1"/>
  <c r="I309" i="3"/>
  <c r="K309" i="3"/>
  <c r="H310" i="3"/>
  <c r="J310" i="3" s="1"/>
  <c r="I310" i="3"/>
  <c r="K310" i="3"/>
  <c r="H311" i="3"/>
  <c r="J311" i="3" s="1"/>
  <c r="I311" i="3"/>
  <c r="K311" i="3"/>
  <c r="H312" i="3"/>
  <c r="J312" i="3" s="1"/>
  <c r="I312" i="3"/>
  <c r="K312" i="3"/>
  <c r="H313" i="3"/>
  <c r="J313" i="3" s="1"/>
  <c r="I313" i="3"/>
  <c r="K313" i="3"/>
  <c r="H314" i="3"/>
  <c r="J314" i="3" s="1"/>
  <c r="I314" i="3"/>
  <c r="K314" i="3"/>
  <c r="H315" i="3"/>
  <c r="J315" i="3" s="1"/>
  <c r="I315" i="3"/>
  <c r="K315" i="3"/>
  <c r="H316" i="3"/>
  <c r="J316" i="3" s="1"/>
  <c r="I316" i="3"/>
  <c r="K316" i="3"/>
  <c r="H317" i="3"/>
  <c r="J317" i="3" s="1"/>
  <c r="I317" i="3"/>
  <c r="K317" i="3"/>
  <c r="H318" i="3"/>
  <c r="J318" i="3" s="1"/>
  <c r="I318" i="3"/>
  <c r="K318" i="3"/>
  <c r="H319" i="3"/>
  <c r="J319" i="3" s="1"/>
  <c r="I319" i="3"/>
  <c r="K319" i="3"/>
  <c r="H320" i="3"/>
  <c r="J320" i="3" s="1"/>
  <c r="I320" i="3"/>
  <c r="K320" i="3"/>
  <c r="H321" i="3"/>
  <c r="J321" i="3" s="1"/>
  <c r="I321" i="3"/>
  <c r="K321" i="3"/>
  <c r="H322" i="3"/>
  <c r="J322" i="3" s="1"/>
  <c r="I322" i="3"/>
  <c r="K322" i="3"/>
  <c r="H323" i="3"/>
  <c r="J323" i="3" s="1"/>
  <c r="I323" i="3"/>
  <c r="K323" i="3"/>
  <c r="H324" i="3"/>
  <c r="J324" i="3" s="1"/>
  <c r="I324" i="3"/>
  <c r="K324" i="3"/>
  <c r="H325" i="3"/>
  <c r="J325" i="3" s="1"/>
  <c r="I325" i="3"/>
  <c r="K325" i="3"/>
  <c r="H326" i="3"/>
  <c r="J326" i="3" s="1"/>
  <c r="I326" i="3"/>
  <c r="K326" i="3"/>
  <c r="H327" i="3"/>
  <c r="J327" i="3" s="1"/>
  <c r="I327" i="3"/>
  <c r="K327" i="3"/>
  <c r="H328" i="3"/>
  <c r="J328" i="3" s="1"/>
  <c r="I328" i="3"/>
  <c r="K328" i="3"/>
  <c r="H329" i="3"/>
  <c r="J329" i="3" s="1"/>
  <c r="I329" i="3"/>
  <c r="K329" i="3"/>
  <c r="H330" i="3"/>
  <c r="J330" i="3" s="1"/>
  <c r="I330" i="3"/>
  <c r="K330" i="3"/>
  <c r="H331" i="3"/>
  <c r="J331" i="3" s="1"/>
  <c r="I331" i="3"/>
  <c r="K331" i="3"/>
  <c r="H332" i="3"/>
  <c r="J332" i="3" s="1"/>
  <c r="I332" i="3"/>
  <c r="K332" i="3"/>
  <c r="H333" i="3"/>
  <c r="J333" i="3" s="1"/>
  <c r="I333" i="3"/>
  <c r="K333" i="3"/>
  <c r="H334" i="3"/>
  <c r="J334" i="3" s="1"/>
  <c r="I334" i="3"/>
  <c r="K334" i="3"/>
  <c r="H335" i="3"/>
  <c r="J335" i="3" s="1"/>
  <c r="I335" i="3"/>
  <c r="K335" i="3"/>
  <c r="H336" i="3"/>
  <c r="J336" i="3" s="1"/>
  <c r="I336" i="3"/>
  <c r="K336" i="3"/>
  <c r="H337" i="3"/>
  <c r="J337" i="3" s="1"/>
  <c r="I337" i="3"/>
  <c r="K337" i="3"/>
  <c r="H338" i="3"/>
  <c r="J338" i="3" s="1"/>
  <c r="I338" i="3"/>
  <c r="K338" i="3"/>
  <c r="H339" i="3"/>
  <c r="J339" i="3" s="1"/>
  <c r="I339" i="3"/>
  <c r="K339" i="3"/>
  <c r="H340" i="3"/>
  <c r="J340" i="3" s="1"/>
  <c r="I340" i="3"/>
  <c r="K340" i="3"/>
  <c r="H341" i="3"/>
  <c r="J341" i="3" s="1"/>
  <c r="I341" i="3"/>
  <c r="K341" i="3"/>
  <c r="H342" i="3"/>
  <c r="J342" i="3" s="1"/>
  <c r="I342" i="3"/>
  <c r="K342" i="3"/>
  <c r="H343" i="3"/>
  <c r="J343" i="3" s="1"/>
  <c r="I343" i="3"/>
  <c r="K343" i="3"/>
  <c r="H344" i="3"/>
  <c r="J344" i="3" s="1"/>
  <c r="I344" i="3"/>
  <c r="K344" i="3"/>
  <c r="H345" i="3"/>
  <c r="J345" i="3" s="1"/>
  <c r="I345" i="3"/>
  <c r="K345" i="3"/>
  <c r="H346" i="3"/>
  <c r="J346" i="3" s="1"/>
  <c r="I346" i="3"/>
  <c r="K346" i="3"/>
  <c r="H347" i="3"/>
  <c r="J347" i="3" s="1"/>
  <c r="I347" i="3"/>
  <c r="K347" i="3"/>
  <c r="H348" i="3"/>
  <c r="J348" i="3" s="1"/>
  <c r="I348" i="3"/>
  <c r="K348" i="3"/>
  <c r="H349" i="3"/>
  <c r="J349" i="3" s="1"/>
  <c r="I349" i="3"/>
  <c r="K349" i="3"/>
  <c r="H350" i="3"/>
  <c r="J350" i="3" s="1"/>
  <c r="I350" i="3"/>
  <c r="K350" i="3"/>
  <c r="H351" i="3"/>
  <c r="J351" i="3" s="1"/>
  <c r="I351" i="3"/>
  <c r="K351" i="3"/>
  <c r="H352" i="3"/>
  <c r="J352" i="3" s="1"/>
  <c r="I352" i="3"/>
  <c r="K352" i="3"/>
  <c r="H353" i="3"/>
  <c r="J353" i="3" s="1"/>
  <c r="I353" i="3"/>
  <c r="K353" i="3"/>
  <c r="H354" i="3"/>
  <c r="J354" i="3" s="1"/>
  <c r="I354" i="3"/>
  <c r="K354" i="3"/>
  <c r="H355" i="3"/>
  <c r="J355" i="3" s="1"/>
  <c r="I355" i="3"/>
  <c r="K355" i="3"/>
  <c r="H356" i="3"/>
  <c r="J356" i="3" s="1"/>
  <c r="I356" i="3"/>
  <c r="K356" i="3"/>
  <c r="H357" i="3"/>
  <c r="J357" i="3" s="1"/>
  <c r="I357" i="3"/>
  <c r="K357" i="3"/>
  <c r="H358" i="3"/>
  <c r="J358" i="3" s="1"/>
  <c r="I358" i="3"/>
  <c r="K358" i="3"/>
  <c r="H359" i="3"/>
  <c r="J359" i="3" s="1"/>
  <c r="I359" i="3"/>
  <c r="K359" i="3"/>
  <c r="H360" i="3"/>
  <c r="J360" i="3" s="1"/>
  <c r="I360" i="3"/>
  <c r="K360" i="3"/>
  <c r="H361" i="3"/>
  <c r="J361" i="3" s="1"/>
  <c r="I361" i="3"/>
  <c r="K361" i="3"/>
  <c r="H362" i="3"/>
  <c r="J362" i="3" s="1"/>
  <c r="I362" i="3"/>
  <c r="K362" i="3"/>
  <c r="H363" i="3"/>
  <c r="J363" i="3" s="1"/>
  <c r="I363" i="3"/>
  <c r="K363" i="3"/>
  <c r="H364" i="3"/>
  <c r="J364" i="3" s="1"/>
  <c r="I364" i="3"/>
  <c r="K364" i="3"/>
  <c r="H365" i="3"/>
  <c r="J365" i="3" s="1"/>
  <c r="I365" i="3"/>
  <c r="K365" i="3"/>
  <c r="H366" i="3"/>
  <c r="J366" i="3" s="1"/>
  <c r="I366" i="3"/>
  <c r="K366" i="3" s="1"/>
  <c r="H367" i="3"/>
  <c r="J367" i="3" s="1"/>
  <c r="I367" i="3"/>
  <c r="K367" i="3" s="1"/>
  <c r="H368" i="3"/>
  <c r="J368" i="3" s="1"/>
  <c r="I368" i="3"/>
  <c r="K368" i="3"/>
  <c r="H369" i="3"/>
  <c r="J369" i="3" s="1"/>
  <c r="I369" i="3"/>
  <c r="K369" i="3"/>
  <c r="H370" i="3"/>
  <c r="J370" i="3" s="1"/>
  <c r="I370" i="3"/>
  <c r="K370" i="3" s="1"/>
  <c r="H371" i="3"/>
  <c r="J371" i="3" s="1"/>
  <c r="I371" i="3"/>
  <c r="K371" i="3" s="1"/>
  <c r="H372" i="3"/>
  <c r="J372" i="3" s="1"/>
  <c r="I372" i="3"/>
  <c r="K372" i="3"/>
  <c r="H373" i="3"/>
  <c r="J373" i="3" s="1"/>
  <c r="I373" i="3"/>
  <c r="K373" i="3"/>
  <c r="H374" i="3"/>
  <c r="J374" i="3" s="1"/>
  <c r="I374" i="3"/>
  <c r="K374" i="3" s="1"/>
  <c r="H375" i="3"/>
  <c r="J375" i="3" s="1"/>
  <c r="I375" i="3"/>
  <c r="K375" i="3" s="1"/>
  <c r="H376" i="3"/>
  <c r="J376" i="3" s="1"/>
  <c r="I376" i="3"/>
  <c r="K376" i="3"/>
  <c r="H377" i="3"/>
  <c r="J377" i="3" s="1"/>
  <c r="I377" i="3"/>
  <c r="K377" i="3"/>
  <c r="H378" i="3"/>
  <c r="J378" i="3" s="1"/>
  <c r="I378" i="3"/>
  <c r="K378" i="3"/>
  <c r="H379" i="3"/>
  <c r="J379" i="3" s="1"/>
  <c r="I379" i="3"/>
  <c r="K379" i="3"/>
  <c r="H380" i="3"/>
  <c r="J380" i="3" s="1"/>
  <c r="I380" i="3"/>
  <c r="K380" i="3"/>
  <c r="H381" i="3"/>
  <c r="J381" i="3" s="1"/>
  <c r="I381" i="3"/>
  <c r="K381" i="3"/>
  <c r="H382" i="3"/>
  <c r="J382" i="3" s="1"/>
  <c r="I382" i="3"/>
  <c r="K382" i="3"/>
  <c r="H383" i="3"/>
  <c r="J383" i="3" s="1"/>
  <c r="I383" i="3"/>
  <c r="K383" i="3"/>
  <c r="H384" i="3"/>
  <c r="J384" i="3" s="1"/>
  <c r="I384" i="3"/>
  <c r="K384" i="3"/>
  <c r="H385" i="3"/>
  <c r="J385" i="3" s="1"/>
  <c r="I385" i="3"/>
  <c r="K385" i="3"/>
  <c r="H386" i="3"/>
  <c r="J386" i="3" s="1"/>
  <c r="I386" i="3"/>
  <c r="K386" i="3"/>
  <c r="H387" i="3"/>
  <c r="J387" i="3" s="1"/>
  <c r="I387" i="3"/>
  <c r="K387" i="3"/>
  <c r="H388" i="3"/>
  <c r="J388" i="3" s="1"/>
  <c r="I388" i="3"/>
  <c r="K388" i="3"/>
  <c r="H389" i="3"/>
  <c r="J389" i="3" s="1"/>
  <c r="I389" i="3"/>
  <c r="K389" i="3"/>
  <c r="H390" i="3"/>
  <c r="J390" i="3" s="1"/>
  <c r="I390" i="3"/>
  <c r="K390" i="3"/>
  <c r="H391" i="3"/>
  <c r="J391" i="3" s="1"/>
  <c r="I391" i="3"/>
  <c r="K391" i="3"/>
  <c r="H392" i="3"/>
  <c r="J392" i="3" s="1"/>
  <c r="I392" i="3"/>
  <c r="K392" i="3"/>
  <c r="H393" i="3"/>
  <c r="J393" i="3" s="1"/>
  <c r="I393" i="3"/>
  <c r="K393" i="3"/>
  <c r="H394" i="3"/>
  <c r="J394" i="3" s="1"/>
  <c r="I394" i="3"/>
  <c r="K394" i="3"/>
  <c r="H395" i="3"/>
  <c r="J395" i="3" s="1"/>
  <c r="I395" i="3"/>
  <c r="K395" i="3"/>
  <c r="H396" i="3"/>
  <c r="J396" i="3" s="1"/>
  <c r="I396" i="3"/>
  <c r="K396" i="3"/>
  <c r="H397" i="3"/>
  <c r="J397" i="3" s="1"/>
  <c r="I397" i="3"/>
  <c r="K397" i="3"/>
  <c r="H398" i="3"/>
  <c r="J398" i="3" s="1"/>
  <c r="I398" i="3"/>
  <c r="K398" i="3"/>
  <c r="H399" i="3"/>
  <c r="J399" i="3" s="1"/>
  <c r="I399" i="3"/>
  <c r="K399" i="3"/>
  <c r="H400" i="3"/>
  <c r="J400" i="3" s="1"/>
  <c r="I400" i="3"/>
  <c r="K400" i="3"/>
  <c r="H401" i="3"/>
  <c r="J401" i="3" s="1"/>
  <c r="I401" i="3"/>
  <c r="K401" i="3"/>
  <c r="H402" i="3"/>
  <c r="J402" i="3" s="1"/>
  <c r="I402" i="3"/>
  <c r="K402" i="3"/>
  <c r="H403" i="3"/>
  <c r="J403" i="3" s="1"/>
  <c r="I403" i="3"/>
  <c r="K403" i="3"/>
  <c r="H404" i="3"/>
  <c r="J404" i="3" s="1"/>
  <c r="I404" i="3"/>
  <c r="K404" i="3"/>
  <c r="H405" i="3"/>
  <c r="J405" i="3" s="1"/>
  <c r="I405" i="3"/>
  <c r="K405" i="3"/>
  <c r="H406" i="3"/>
  <c r="J406" i="3" s="1"/>
  <c r="I406" i="3"/>
  <c r="K406" i="3"/>
  <c r="H407" i="3"/>
  <c r="J407" i="3" s="1"/>
  <c r="I407" i="3"/>
  <c r="K407" i="3"/>
  <c r="H408" i="3"/>
  <c r="J408" i="3" s="1"/>
  <c r="I408" i="3"/>
  <c r="K408" i="3"/>
  <c r="H409" i="3"/>
  <c r="J409" i="3" s="1"/>
  <c r="I409" i="3"/>
  <c r="K409" i="3"/>
  <c r="H410" i="3"/>
  <c r="J410" i="3" s="1"/>
  <c r="I410" i="3"/>
  <c r="K410" i="3"/>
  <c r="H411" i="3"/>
  <c r="J411" i="3" s="1"/>
  <c r="I411" i="3"/>
  <c r="K411" i="3"/>
  <c r="H412" i="3"/>
  <c r="J412" i="3" s="1"/>
  <c r="I412" i="3"/>
  <c r="K412" i="3"/>
  <c r="H413" i="3"/>
  <c r="J413" i="3" s="1"/>
  <c r="I413" i="3"/>
  <c r="K413" i="3"/>
  <c r="H414" i="3"/>
  <c r="J414" i="3" s="1"/>
  <c r="I414" i="3"/>
  <c r="K414" i="3"/>
  <c r="H415" i="3"/>
  <c r="J415" i="3" s="1"/>
  <c r="I415" i="3"/>
  <c r="K415" i="3"/>
  <c r="H416" i="3"/>
  <c r="J416" i="3" s="1"/>
  <c r="I416" i="3"/>
  <c r="K416" i="3"/>
  <c r="H417" i="3"/>
  <c r="J417" i="3" s="1"/>
  <c r="I417" i="3"/>
  <c r="K417" i="3"/>
  <c r="H418" i="3"/>
  <c r="J418" i="3" s="1"/>
  <c r="I418" i="3"/>
  <c r="K418" i="3"/>
  <c r="H419" i="3"/>
  <c r="J419" i="3" s="1"/>
  <c r="I419" i="3"/>
  <c r="K419" i="3"/>
  <c r="H420" i="3"/>
  <c r="J420" i="3" s="1"/>
  <c r="I420" i="3"/>
  <c r="K420" i="3"/>
  <c r="H421" i="3"/>
  <c r="J421" i="3" s="1"/>
  <c r="I421" i="3"/>
  <c r="K421" i="3"/>
  <c r="H422" i="3"/>
  <c r="J422" i="3" s="1"/>
  <c r="I422" i="3"/>
  <c r="K422" i="3"/>
  <c r="H423" i="3"/>
  <c r="J423" i="3" s="1"/>
  <c r="I423" i="3"/>
  <c r="K423" i="3"/>
  <c r="H424" i="3"/>
  <c r="J424" i="3" s="1"/>
  <c r="I424" i="3"/>
  <c r="K424" i="3"/>
  <c r="H425" i="3"/>
  <c r="J425" i="3" s="1"/>
  <c r="I425" i="3"/>
  <c r="K425" i="3"/>
  <c r="H426" i="3"/>
  <c r="J426" i="3" s="1"/>
  <c r="I426" i="3"/>
  <c r="K426" i="3"/>
  <c r="H427" i="3"/>
  <c r="J427" i="3" s="1"/>
  <c r="I427" i="3"/>
  <c r="K427" i="3"/>
  <c r="H428" i="3"/>
  <c r="J428" i="3" s="1"/>
  <c r="I428" i="3"/>
  <c r="K428" i="3"/>
  <c r="H429" i="3"/>
  <c r="J429" i="3" s="1"/>
  <c r="I429" i="3"/>
  <c r="K429" i="3"/>
  <c r="H430" i="3"/>
  <c r="J430" i="3" s="1"/>
  <c r="I430" i="3"/>
  <c r="K430" i="3"/>
  <c r="H431" i="3"/>
  <c r="J431" i="3" s="1"/>
  <c r="I431" i="3"/>
  <c r="K431" i="3"/>
  <c r="H432" i="3"/>
  <c r="J432" i="3" s="1"/>
  <c r="I432" i="3"/>
  <c r="K432" i="3"/>
  <c r="H433" i="3"/>
  <c r="J433" i="3" s="1"/>
  <c r="I433" i="3"/>
  <c r="K433" i="3"/>
  <c r="H434" i="3"/>
  <c r="J434" i="3" s="1"/>
  <c r="I434" i="3"/>
  <c r="K434" i="3"/>
  <c r="H435" i="3"/>
  <c r="J435" i="3" s="1"/>
  <c r="I435" i="3"/>
  <c r="K435" i="3"/>
  <c r="H436" i="3"/>
  <c r="J436" i="3" s="1"/>
  <c r="I436" i="3"/>
  <c r="K436" i="3"/>
  <c r="H437" i="3"/>
  <c r="J437" i="3" s="1"/>
  <c r="I437" i="3"/>
  <c r="K437" i="3"/>
  <c r="H438" i="3"/>
  <c r="J438" i="3" s="1"/>
  <c r="I438" i="3"/>
  <c r="K438" i="3"/>
  <c r="H439" i="3"/>
  <c r="J439" i="3" s="1"/>
  <c r="I439" i="3"/>
  <c r="K439" i="3"/>
  <c r="H440" i="3"/>
  <c r="J440" i="3" s="1"/>
  <c r="I440" i="3"/>
  <c r="K440" i="3"/>
  <c r="H441" i="3"/>
  <c r="J441" i="3" s="1"/>
  <c r="I441" i="3"/>
  <c r="K441" i="3"/>
  <c r="H442" i="3"/>
  <c r="J442" i="3" s="1"/>
  <c r="I442" i="3"/>
  <c r="K442" i="3"/>
  <c r="H443" i="3"/>
  <c r="J443" i="3" s="1"/>
  <c r="I443" i="3"/>
  <c r="K443" i="3"/>
  <c r="H444" i="3"/>
  <c r="J444" i="3" s="1"/>
  <c r="I444" i="3"/>
  <c r="K444" i="3"/>
  <c r="H445" i="3"/>
  <c r="J445" i="3" s="1"/>
  <c r="I445" i="3"/>
  <c r="K445" i="3"/>
  <c r="H446" i="3"/>
  <c r="J446" i="3" s="1"/>
  <c r="I446" i="3"/>
  <c r="K446" i="3"/>
  <c r="H447" i="3"/>
  <c r="J447" i="3" s="1"/>
  <c r="I447" i="3"/>
  <c r="K447" i="3"/>
  <c r="H448" i="3"/>
  <c r="J448" i="3" s="1"/>
  <c r="I448" i="3"/>
  <c r="K448" i="3"/>
  <c r="H449" i="3"/>
  <c r="J449" i="3" s="1"/>
  <c r="I449" i="3"/>
  <c r="K449" i="3"/>
  <c r="H450" i="3"/>
  <c r="J450" i="3" s="1"/>
  <c r="I450" i="3"/>
  <c r="K450" i="3"/>
  <c r="H451" i="3"/>
  <c r="J451" i="3" s="1"/>
  <c r="I451" i="3"/>
  <c r="K451" i="3"/>
  <c r="H452" i="3"/>
  <c r="J452" i="3" s="1"/>
  <c r="I452" i="3"/>
  <c r="K452" i="3"/>
  <c r="H453" i="3"/>
  <c r="J453" i="3" s="1"/>
  <c r="I453" i="3"/>
  <c r="K453" i="3"/>
  <c r="J2" i="3"/>
  <c r="I2" i="3"/>
  <c r="K2" i="3" s="1"/>
  <c r="H2" i="3"/>
  <c r="G3" i="1" l="1"/>
  <c r="I3" i="1" s="1"/>
  <c r="H3" i="1"/>
  <c r="J3" i="1" s="1"/>
  <c r="G4" i="1"/>
  <c r="I4" i="1" s="1"/>
  <c r="H4" i="1"/>
  <c r="J4" i="1" s="1"/>
  <c r="G5" i="1"/>
  <c r="I5" i="1" s="1"/>
  <c r="H5" i="1"/>
  <c r="J5" i="1" s="1"/>
  <c r="G6" i="1"/>
  <c r="I6" i="1" s="1"/>
  <c r="H6" i="1"/>
  <c r="J6" i="1" s="1"/>
  <c r="G7" i="1"/>
  <c r="I7" i="1" s="1"/>
  <c r="H7" i="1"/>
  <c r="J7" i="1" s="1"/>
  <c r="G8" i="1"/>
  <c r="I8" i="1" s="1"/>
  <c r="H8" i="1"/>
  <c r="J8" i="1" s="1"/>
  <c r="G9" i="1"/>
  <c r="I9" i="1" s="1"/>
  <c r="H9" i="1"/>
  <c r="J9" i="1" s="1"/>
  <c r="G10" i="1"/>
  <c r="I10" i="1" s="1"/>
  <c r="H10" i="1"/>
  <c r="J10" i="1" s="1"/>
  <c r="G11" i="1"/>
  <c r="I11" i="1" s="1"/>
  <c r="H11" i="1"/>
  <c r="J11" i="1" s="1"/>
  <c r="G12" i="1"/>
  <c r="I12" i="1" s="1"/>
  <c r="H12" i="1"/>
  <c r="J12" i="1" s="1"/>
  <c r="G13" i="1"/>
  <c r="I13" i="1" s="1"/>
  <c r="H13" i="1"/>
  <c r="J13" i="1" s="1"/>
  <c r="G14" i="1"/>
  <c r="I14" i="1" s="1"/>
  <c r="H14" i="1"/>
  <c r="J14" i="1" s="1"/>
  <c r="G15" i="1"/>
  <c r="I15" i="1" s="1"/>
  <c r="H15" i="1"/>
  <c r="J15" i="1" s="1"/>
  <c r="G16" i="1"/>
  <c r="I16" i="1" s="1"/>
  <c r="H16" i="1"/>
  <c r="J16" i="1" s="1"/>
  <c r="G17" i="1"/>
  <c r="I17" i="1" s="1"/>
  <c r="H17" i="1"/>
  <c r="J17" i="1" s="1"/>
  <c r="G18" i="1"/>
  <c r="I18" i="1" s="1"/>
  <c r="H18" i="1"/>
  <c r="J18" i="1" s="1"/>
  <c r="G19" i="1"/>
  <c r="I19" i="1" s="1"/>
  <c r="H19" i="1"/>
  <c r="J19" i="1" s="1"/>
  <c r="G20" i="1"/>
  <c r="I20" i="1" s="1"/>
  <c r="H20" i="1"/>
  <c r="J20" i="1" s="1"/>
  <c r="G21" i="1"/>
  <c r="I21" i="1" s="1"/>
  <c r="H21" i="1"/>
  <c r="J21" i="1" s="1"/>
  <c r="G22" i="1"/>
  <c r="I22" i="1" s="1"/>
  <c r="H22" i="1"/>
  <c r="J22" i="1" s="1"/>
  <c r="G23" i="1"/>
  <c r="I23" i="1" s="1"/>
  <c r="H23" i="1"/>
  <c r="J23" i="1" s="1"/>
  <c r="G24" i="1"/>
  <c r="I24" i="1" s="1"/>
  <c r="H24" i="1"/>
  <c r="J24" i="1" s="1"/>
  <c r="G25" i="1"/>
  <c r="I25" i="1" s="1"/>
  <c r="H25" i="1"/>
  <c r="J25" i="1" s="1"/>
  <c r="G26" i="1"/>
  <c r="I26" i="1" s="1"/>
  <c r="H26" i="1"/>
  <c r="J26" i="1" s="1"/>
  <c r="G27" i="1"/>
  <c r="I27" i="1" s="1"/>
  <c r="H27" i="1"/>
  <c r="J27" i="1" s="1"/>
  <c r="G28" i="1"/>
  <c r="I28" i="1" s="1"/>
  <c r="H28" i="1"/>
  <c r="J28" i="1" s="1"/>
  <c r="G29" i="1"/>
  <c r="I29" i="1" s="1"/>
  <c r="H29" i="1"/>
  <c r="J29" i="1" s="1"/>
  <c r="G30" i="1"/>
  <c r="I30" i="1" s="1"/>
  <c r="H30" i="1"/>
  <c r="J30" i="1" s="1"/>
  <c r="G31" i="1"/>
  <c r="I31" i="1" s="1"/>
  <c r="H31" i="1"/>
  <c r="J31" i="1" s="1"/>
  <c r="G32" i="1"/>
  <c r="I32" i="1" s="1"/>
  <c r="H32" i="1"/>
  <c r="J32" i="1" s="1"/>
  <c r="G33" i="1"/>
  <c r="I33" i="1" s="1"/>
  <c r="H33" i="1"/>
  <c r="J33" i="1" s="1"/>
  <c r="G34" i="1"/>
  <c r="I34" i="1" s="1"/>
  <c r="H34" i="1"/>
  <c r="J34" i="1" s="1"/>
  <c r="G35" i="1"/>
  <c r="I35" i="1" s="1"/>
  <c r="H35" i="1"/>
  <c r="J35" i="1" s="1"/>
  <c r="G36" i="1"/>
  <c r="I36" i="1" s="1"/>
  <c r="H36" i="1"/>
  <c r="J36" i="1" s="1"/>
  <c r="G37" i="1"/>
  <c r="I37" i="1" s="1"/>
  <c r="H37" i="1"/>
  <c r="J37" i="1" s="1"/>
  <c r="G38" i="1"/>
  <c r="I38" i="1" s="1"/>
  <c r="H38" i="1"/>
  <c r="J38" i="1" s="1"/>
  <c r="G39" i="1"/>
  <c r="I39" i="1" s="1"/>
  <c r="H39" i="1"/>
  <c r="J39" i="1" s="1"/>
  <c r="G40" i="1"/>
  <c r="I40" i="1" s="1"/>
  <c r="H40" i="1"/>
  <c r="J40" i="1" s="1"/>
  <c r="G41" i="1"/>
  <c r="I41" i="1" s="1"/>
  <c r="H41" i="1"/>
  <c r="J41" i="1" s="1"/>
  <c r="G42" i="1"/>
  <c r="I42" i="1" s="1"/>
  <c r="H42" i="1"/>
  <c r="J42" i="1" s="1"/>
  <c r="G43" i="1"/>
  <c r="I43" i="1" s="1"/>
  <c r="H43" i="1"/>
  <c r="J43" i="1" s="1"/>
  <c r="G44" i="1"/>
  <c r="I44" i="1" s="1"/>
  <c r="H44" i="1"/>
  <c r="J44" i="1" s="1"/>
  <c r="G45" i="1"/>
  <c r="I45" i="1" s="1"/>
  <c r="H45" i="1"/>
  <c r="J45" i="1" s="1"/>
  <c r="G46" i="1"/>
  <c r="I46" i="1" s="1"/>
  <c r="H46" i="1"/>
  <c r="J46" i="1" s="1"/>
  <c r="G47" i="1"/>
  <c r="I47" i="1" s="1"/>
  <c r="H47" i="1"/>
  <c r="J47" i="1" s="1"/>
  <c r="G48" i="1"/>
  <c r="I48" i="1" s="1"/>
  <c r="H48" i="1"/>
  <c r="J48" i="1" s="1"/>
  <c r="G49" i="1"/>
  <c r="I49" i="1" s="1"/>
  <c r="H49" i="1"/>
  <c r="J49" i="1" s="1"/>
  <c r="G50" i="1"/>
  <c r="I50" i="1" s="1"/>
  <c r="H50" i="1"/>
  <c r="J50" i="1" s="1"/>
  <c r="H2" i="1"/>
  <c r="J2" i="1" s="1"/>
  <c r="G2" i="1"/>
  <c r="I2" i="1" s="1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J42" i="2"/>
  <c r="J43" i="2"/>
  <c r="J44" i="2"/>
  <c r="J45" i="2"/>
  <c r="J46" i="2"/>
  <c r="J47" i="2"/>
  <c r="J48" i="2"/>
  <c r="J49" i="2"/>
  <c r="J50" i="2"/>
  <c r="J4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5" i="2"/>
</calcChain>
</file>

<file path=xl/sharedStrings.xml><?xml version="1.0" encoding="utf-8"?>
<sst xmlns="http://schemas.openxmlformats.org/spreadsheetml/2006/main" count="1363" uniqueCount="143">
  <si>
    <t>bscr_entity</t>
  </si>
  <si>
    <t>region</t>
  </si>
  <si>
    <t>sum_pml</t>
  </si>
  <si>
    <t>sum_net</t>
  </si>
  <si>
    <t>count_policies</t>
  </si>
  <si>
    <t>is_geocoded</t>
  </si>
  <si>
    <t>ALL</t>
  </si>
  <si>
    <t>HIC</t>
  </si>
  <si>
    <t>HIG</t>
  </si>
  <si>
    <t>HSA</t>
  </si>
  <si>
    <t>is_eu</t>
  </si>
  <si>
    <t>is_jp</t>
  </si>
  <si>
    <t>is_na_eq</t>
  </si>
  <si>
    <t>is_nahu</t>
  </si>
  <si>
    <t>is_us_all</t>
  </si>
  <si>
    <t>Grand Total</t>
  </si>
  <si>
    <t>Values</t>
  </si>
  <si>
    <t>Sum of count_policies</t>
  </si>
  <si>
    <t>Policy Limits</t>
  </si>
  <si>
    <t>Policy Limits without geocode breakout</t>
  </si>
  <si>
    <t>4,5</t>
  </si>
  <si>
    <t>C.</t>
  </si>
  <si>
    <t>E</t>
  </si>
  <si>
    <t>H</t>
  </si>
  <si>
    <t>F.</t>
  </si>
  <si>
    <t>I &amp; J</t>
  </si>
  <si>
    <t>F &amp; G</t>
  </si>
  <si>
    <t>Detailed exposure data</t>
  </si>
  <si>
    <t>Data deficient</t>
  </si>
  <si>
    <t>A. &amp; B. x2</t>
  </si>
  <si>
    <t>sum_pml_usd</t>
  </si>
  <si>
    <t>sum_net_usd</t>
  </si>
  <si>
    <t>sum_pml_usd/1m</t>
  </si>
  <si>
    <t>sum_net_usd/1m</t>
  </si>
  <si>
    <t>Sum of sum_pml_usd/1m</t>
  </si>
  <si>
    <t>Sum of sum_net_usd/1m</t>
  </si>
  <si>
    <t>cntrycode</t>
  </si>
  <si>
    <t>AE</t>
  </si>
  <si>
    <t>AR</t>
  </si>
  <si>
    <t>AT</t>
  </si>
  <si>
    <t>AU</t>
  </si>
  <si>
    <t>BE</t>
  </si>
  <si>
    <t>BM</t>
  </si>
  <si>
    <t>BR</t>
  </si>
  <si>
    <t>BS</t>
  </si>
  <si>
    <t>BW</t>
  </si>
  <si>
    <t>CA</t>
  </si>
  <si>
    <t>CH</t>
  </si>
  <si>
    <t>CI</t>
  </si>
  <si>
    <t>CL</t>
  </si>
  <si>
    <t>CN</t>
  </si>
  <si>
    <t>CO</t>
  </si>
  <si>
    <t>CY</t>
  </si>
  <si>
    <t>CZ</t>
  </si>
  <si>
    <t>DE</t>
  </si>
  <si>
    <t>DO</t>
  </si>
  <si>
    <t>EE</t>
  </si>
  <si>
    <t>ES</t>
  </si>
  <si>
    <t>FR</t>
  </si>
  <si>
    <t>GB</t>
  </si>
  <si>
    <t>GI</t>
  </si>
  <si>
    <t>GR</t>
  </si>
  <si>
    <t>GT</t>
  </si>
  <si>
    <t>HK</t>
  </si>
  <si>
    <t>ID</t>
  </si>
  <si>
    <t>IE</t>
  </si>
  <si>
    <t>IL</t>
  </si>
  <si>
    <t>IN</t>
  </si>
  <si>
    <t>IT</t>
  </si>
  <si>
    <t>JP</t>
  </si>
  <si>
    <t>KE</t>
  </si>
  <si>
    <t>KR</t>
  </si>
  <si>
    <t>KW</t>
  </si>
  <si>
    <t>KY</t>
  </si>
  <si>
    <t>LB</t>
  </si>
  <si>
    <t>LT</t>
  </si>
  <si>
    <t>LU</t>
  </si>
  <si>
    <t>MA</t>
  </si>
  <si>
    <t>MC</t>
  </si>
  <si>
    <t>MT</t>
  </si>
  <si>
    <t>MX</t>
  </si>
  <si>
    <t>MY</t>
  </si>
  <si>
    <t>NG</t>
  </si>
  <si>
    <t>NL</t>
  </si>
  <si>
    <t>NZ</t>
  </si>
  <si>
    <t>OM</t>
  </si>
  <si>
    <t>PA</t>
  </si>
  <si>
    <t>PH</t>
  </si>
  <si>
    <t>PL</t>
  </si>
  <si>
    <t>PT</t>
  </si>
  <si>
    <t>PY</t>
  </si>
  <si>
    <t>QA</t>
  </si>
  <si>
    <t>RO</t>
  </si>
  <si>
    <t>SA</t>
  </si>
  <si>
    <t>SC</t>
  </si>
  <si>
    <t>SE</t>
  </si>
  <si>
    <t>SG</t>
  </si>
  <si>
    <t>SK</t>
  </si>
  <si>
    <t>SN</t>
  </si>
  <si>
    <t>TH</t>
  </si>
  <si>
    <t>TR</t>
  </si>
  <si>
    <t>TW</t>
  </si>
  <si>
    <t>US</t>
  </si>
  <si>
    <t>UY</t>
  </si>
  <si>
    <t>VN</t>
  </si>
  <si>
    <t>ZA</t>
  </si>
  <si>
    <t>CR</t>
  </si>
  <si>
    <t>DK</t>
  </si>
  <si>
    <t>EC</t>
  </si>
  <si>
    <t>FI</t>
  </si>
  <si>
    <t>GG</t>
  </si>
  <si>
    <t>GH</t>
  </si>
  <si>
    <t>HN</t>
  </si>
  <si>
    <t>HU</t>
  </si>
  <si>
    <t>IM</t>
  </si>
  <si>
    <t>IS</t>
  </si>
  <si>
    <t>JO</t>
  </si>
  <si>
    <t>LI</t>
  </si>
  <si>
    <t>NO</t>
  </si>
  <si>
    <t>PE</t>
  </si>
  <si>
    <t>PR</t>
  </si>
  <si>
    <t>SV</t>
  </si>
  <si>
    <t>VC</t>
  </si>
  <si>
    <t>JE</t>
  </si>
  <si>
    <t>PK</t>
  </si>
  <si>
    <t>MK</t>
  </si>
  <si>
    <t>BH</t>
  </si>
  <si>
    <t>BL</t>
  </si>
  <si>
    <t>BN</t>
  </si>
  <si>
    <t>LK</t>
  </si>
  <si>
    <t>MU</t>
  </si>
  <si>
    <t>RS</t>
  </si>
  <si>
    <t>VE</t>
  </si>
  <si>
    <t>VG</t>
  </si>
  <si>
    <t>HR</t>
  </si>
  <si>
    <t>SL</t>
  </si>
  <si>
    <t>AD</t>
  </si>
  <si>
    <t>BG</t>
  </si>
  <si>
    <t>LV</t>
  </si>
  <si>
    <t>RU</t>
  </si>
  <si>
    <t>SI</t>
  </si>
  <si>
    <t>TN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</si>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</sst>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pivotButton="1" applyNumberFormat="1"/>
    <xf numFmtId="0" fontId="16" fillId="0" borderId="0" xfId="0" applyFont="1"/>
    <xf numFmtId="165" fontId="16" fillId="0" borderId="0" xfId="0" applyNumberFormat="1" applyFont="1"/>
    <xf numFmtId="16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1" applyFont="1"/>
    <xf numFmtId="0" fontId="0" fillId="0" borderId="0" xfId="0" applyAlignment="1">
      <alignment horizontal="lef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3">
    <dxf>
      <numFmt numFmtId="170" formatCode="_(* #,##0.0_);_(* \(#,##0.0\);_(* &quot;-&quot;??_);_(@_)"/>
    </dxf>
    <dxf>
      <numFmt numFmtId="164" formatCode="_(* #,##0.00_);_(* \(#,##0.00\);_(* &quot;-&quot;??_);_(@_)"/>
    </dxf>
    <dxf>
      <numFmt numFmtId="170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70" formatCode="_(* #,##0.0_);_(* \(#,##0.0\);_(* &quot;-&quot;??_);_(@_)"/>
    </dxf>
    <dxf>
      <numFmt numFmtId="170" formatCode="_(* #,##0.0_);_(* \(#,##0.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Hampton" refreshedDate="46090.700917708331" createdVersion="8" refreshedVersion="8" minRefreshableVersion="3" recordCount="49" xr:uid="{B1A2DC09-0005-4103-9A04-052000D9B748}">
  <cacheSource type="worksheet">
    <worksheetSource ref="A1:J50" sheet="output"/>
  </cacheSource>
  <cacheFields count="10">
    <cacheField name="bscr_entity" numFmtId="0">
      <sharedItems containsMixedTypes="1" containsNumber="1" containsInteger="1" minValue="33" maxValue="3624" count="5">
        <n v="33"/>
        <n v="3624"/>
        <s v="HIC"/>
        <s v="HIG"/>
        <s v="HSA"/>
      </sharedItems>
    </cacheField>
    <cacheField name="region" numFmtId="0">
      <sharedItems count="6">
        <s v="ALL"/>
        <s v="is_eu"/>
        <s v="is_jp"/>
        <s v="is_na_eq"/>
        <s v="is_nahu"/>
        <s v="is_us_all"/>
      </sharedItems>
    </cacheField>
    <cacheField name="sum_pml" numFmtId="0">
      <sharedItems containsSemiMixedTypes="0" containsString="0" containsNumber="1" minValue="101000" maxValue="121727653503.479"/>
    </cacheField>
    <cacheField name="sum_net" numFmtId="0">
      <sharedItems containsSemiMixedTypes="0" containsString="0" containsNumber="1" minValue="101000" maxValue="121727653503.479"/>
    </cacheField>
    <cacheField name="count_policies" numFmtId="0">
      <sharedItems containsSemiMixedTypes="0" containsString="0" containsNumber="1" containsInteger="1" minValue="1" maxValue="173658"/>
    </cacheField>
    <cacheField name="is_geocoded" numFmtId="0">
      <sharedItems containsSemiMixedTypes="0" containsString="0" containsNumber="1" containsInteger="1" minValue="0" maxValue="1" count="2">
        <n v="0"/>
        <n v="1"/>
      </sharedItems>
    </cacheField>
    <cacheField name="sum_pml_usd" numFmtId="164">
      <sharedItems containsSemiMixedTypes="0" containsString="0" containsNumber="1" minValue="136350" maxValue="164332332229.69666"/>
    </cacheField>
    <cacheField name="sum_net_usd" numFmtId="165">
      <sharedItems containsSemiMixedTypes="0" containsString="0" containsNumber="1" minValue="136350" maxValue="164332332229.69666"/>
    </cacheField>
    <cacheField name="sum_pml_usd/1m" numFmtId="164">
      <sharedItems containsSemiMixedTypes="0" containsString="0" containsNumber="1" minValue="0.13635" maxValue="164332.33222969665" count="46">
        <n v="6272.0043418205014"/>
        <n v="33956.219746285242"/>
        <n v="2.2302"/>
        <n v="27.559570680000004"/>
        <n v="20.835638639999868"/>
        <n v="164332.33222969665"/>
        <n v="943.68686139945362"/>
        <n v="9919.148239181286"/>
        <n v="471.54302374525656"/>
        <n v="104236.07514869954"/>
        <n v="798.93482057235224"/>
        <n v="21088.587653061077"/>
        <n v="7.5303000000000013"/>
        <n v="9.5849271000000016"/>
        <n v="163738.32066848699"/>
        <n v="283.73721044529736"/>
        <n v="3860.8181139635776"/>
        <n v="101.89685250025705"/>
        <n v="75626.786214283507"/>
        <n v="4.1311115680500547"/>
        <n v="112.8424161159523"/>
        <n v="0.37259999999999999"/>
        <n v="247.75931301614054"/>
        <n v="27.271459080000003"/>
        <n v="24.706813826007"/>
        <n v="284.79266290411601"/>
        <n v="0.14849999999999999"/>
        <n v="0.28620000000000001"/>
        <n v="10.203767316443908"/>
        <n v="0.75600000000000001"/>
        <n v="3203.4502205309564"/>
        <n v="1028.2438929715152"/>
        <n v="0.73575000000000002"/>
        <n v="3.5946450000000003"/>
        <n v="0.13635"/>
        <n v="30.707145900000004"/>
        <n v="258.85100366688556"/>
        <n v="1627.6402172526527"/>
        <n v="144.75335204153521"/>
        <n v="3193.8455289272174"/>
        <n v="997.61411342049666"/>
        <n v="0.46575000000000005"/>
        <n v="3.3246449999999999"/>
        <n v="236.64500833640582"/>
        <n v="1223.7851987241859"/>
        <n v="137.39538440153521"/>
      </sharedItems>
    </cacheField>
    <cacheField name="sum_net_usd/1m" numFmtId="164">
      <sharedItems containsSemiMixedTypes="0" containsString="0" containsNumber="1" minValue="0.13635" maxValue="164332.33222969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ye Williams" refreshedDate="46106.622011574073" createdVersion="8" refreshedVersion="8" minRefreshableVersion="3" recordCount="453" xr:uid="{8B38D0A1-59CD-453E-BBD5-7D49D4105093}">
  <cacheSource type="worksheet">
    <worksheetSource ref="A1:K1048576" sheet="Sheet1"/>
  </cacheSource>
  <cacheFields count="11">
    <cacheField name="cntrycode" numFmtId="0">
      <sharedItems containsBlank="1"/>
    </cacheField>
    <cacheField name="bscr_entity" numFmtId="0">
      <sharedItems containsBlank="1" containsMixedTypes="1" containsNumber="1" containsInteger="1" minValue="33" maxValue="3624" count="6">
        <n v="33"/>
        <n v="3624"/>
        <s v="HIC"/>
        <s v="HIG"/>
        <s v="HSA"/>
        <m/>
      </sharedItems>
    </cacheField>
    <cacheField name="region" numFmtId="0">
      <sharedItems containsBlank="1" count="7">
        <s v="ALL"/>
        <s v="is_eu"/>
        <s v="is_jp"/>
        <s v="is_na_eq"/>
        <s v="is_nahu"/>
        <s v="is_us_all"/>
        <m/>
      </sharedItems>
    </cacheField>
    <cacheField name="sum_pml" numFmtId="0">
      <sharedItems containsString="0" containsBlank="1" containsNumber="1" minValue="0" maxValue="121288000000"/>
    </cacheField>
    <cacheField name="sum_net" numFmtId="0">
      <sharedItems containsString="0" containsBlank="1" containsNumber="1" minValue="0" maxValue="121288000000"/>
    </cacheField>
    <cacheField name="count_policies" numFmtId="0">
      <sharedItems containsString="0" containsBlank="1" containsNumber="1" containsInteger="1" minValue="1" maxValue="173171"/>
    </cacheField>
    <cacheField name="is_geocoded" numFmtId="0">
      <sharedItems containsString="0" containsBlank="1" containsNumber="1" containsInteger="1" minValue="0" maxValue="1" count="3">
        <n v="0"/>
        <n v="1"/>
        <m/>
      </sharedItems>
    </cacheField>
    <cacheField name="sum_pml_usd" numFmtId="0">
      <sharedItems containsString="0" containsBlank="1" containsNumber="1" minValue="0" maxValue="163738800000"/>
    </cacheField>
    <cacheField name="sum_net_usd" numFmtId="0">
      <sharedItems containsString="0" containsBlank="1" containsNumber="1" minValue="0" maxValue="163738800000"/>
    </cacheField>
    <cacheField name="sum_pml_usd/1m" numFmtId="0">
      <sharedItems containsString="0" containsBlank="1" containsNumber="1" minValue="0" maxValue="163738.79999999999"/>
    </cacheField>
    <cacheField name="sum_net_usd/1m" numFmtId="0">
      <sharedItems containsString="0" containsBlank="1" containsNumber="1" minValue="0" maxValue="163738.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4645929142.0892601"/>
    <n v="2931952651.35181"/>
    <n v="663"/>
    <x v="0"/>
    <n v="6272004341.8205013"/>
    <n v="3958136079.3249435"/>
    <x v="0"/>
    <n v="3958.1360793249437"/>
  </r>
  <r>
    <x v="0"/>
    <x v="0"/>
    <n v="25152755367.618698"/>
    <n v="18626528497.776199"/>
    <n v="4678"/>
    <x v="1"/>
    <n v="33956219746.285244"/>
    <n v="25145813471.997871"/>
    <x v="1"/>
    <n v="25145.81347199787"/>
  </r>
  <r>
    <x v="1"/>
    <x v="0"/>
    <n v="1652000"/>
    <n v="1652000"/>
    <n v="9"/>
    <x v="0"/>
    <n v="2230200"/>
    <n v="2230200"/>
    <x v="2"/>
    <n v="2.2302"/>
  </r>
  <r>
    <x v="1"/>
    <x v="0"/>
    <n v="20414496.800000001"/>
    <n v="20414496.800000001"/>
    <n v="27"/>
    <x v="1"/>
    <n v="27559570.680000003"/>
    <n v="27559570.680000003"/>
    <x v="3"/>
    <n v="27.559570680000004"/>
  </r>
  <r>
    <x v="2"/>
    <x v="0"/>
    <n v="15433806.3999999"/>
    <n v="15433806.3999999"/>
    <n v="29"/>
    <x v="0"/>
    <n v="20835638.639999866"/>
    <n v="20835638.639999866"/>
    <x v="4"/>
    <n v="20.835638639999868"/>
  </r>
  <r>
    <x v="2"/>
    <x v="0"/>
    <n v="121727653503.479"/>
    <n v="121727653503.479"/>
    <n v="173658"/>
    <x v="1"/>
    <n v="164332332229.69666"/>
    <n v="164332332229.69666"/>
    <x v="5"/>
    <n v="164332.33222969665"/>
  </r>
  <r>
    <x v="3"/>
    <x v="0"/>
    <n v="699027304.74033594"/>
    <n v="406962151.02545899"/>
    <n v="55"/>
    <x v="0"/>
    <n v="943686861.39945364"/>
    <n v="549398903.88436973"/>
    <x v="6"/>
    <n v="549.3989038843697"/>
  </r>
  <r>
    <x v="3"/>
    <x v="0"/>
    <n v="7347517214.2083597"/>
    <n v="5831772777.3838902"/>
    <n v="1915"/>
    <x v="1"/>
    <n v="9919148239.1812859"/>
    <n v="7872893249.4682522"/>
    <x v="7"/>
    <n v="7872.8932494682522"/>
  </r>
  <r>
    <x v="4"/>
    <x v="0"/>
    <n v="349291128.70019001"/>
    <n v="349291128.70019001"/>
    <n v="201"/>
    <x v="0"/>
    <n v="471543023.74525654"/>
    <n v="471543023.74525654"/>
    <x v="8"/>
    <n v="471.54302374525656"/>
  </r>
  <r>
    <x v="4"/>
    <x v="0"/>
    <n v="77211907517.555206"/>
    <n v="75515308379.152496"/>
    <n v="89851"/>
    <x v="1"/>
    <n v="104236075148.69954"/>
    <n v="101945666311.85588"/>
    <x v="9"/>
    <n v="101945.66631185588"/>
  </r>
  <r>
    <x v="0"/>
    <x v="1"/>
    <n v="591803570.79433501"/>
    <n v="395404009.10095602"/>
    <n v="46"/>
    <x v="0"/>
    <n v="798934820.57235229"/>
    <n v="533795412.28629065"/>
    <x v="10"/>
    <n v="533.79541228629068"/>
  </r>
  <r>
    <x v="0"/>
    <x v="1"/>
    <n v="15621176039.304501"/>
    <n v="12132651704.075899"/>
    <n v="2767"/>
    <x v="1"/>
    <n v="21088587653.061077"/>
    <n v="16379079800.502464"/>
    <x v="11"/>
    <n v="16379.079800502464"/>
  </r>
  <r>
    <x v="1"/>
    <x v="1"/>
    <n v="5578000"/>
    <n v="5578000"/>
    <n v="5"/>
    <x v="1"/>
    <n v="7530300.0000000009"/>
    <n v="7530300.0000000009"/>
    <x v="12"/>
    <n v="7.5303000000000013"/>
  </r>
  <r>
    <x v="2"/>
    <x v="1"/>
    <n v="7099946"/>
    <n v="7099946"/>
    <n v="15"/>
    <x v="0"/>
    <n v="9584927.1000000015"/>
    <n v="9584927.1000000015"/>
    <x v="13"/>
    <n v="9.5849271000000016"/>
  </r>
  <r>
    <x v="2"/>
    <x v="1"/>
    <n v="121287644939.62"/>
    <n v="121287644939.62"/>
    <n v="173171"/>
    <x v="1"/>
    <n v="163738320668.487"/>
    <n v="163738320668.487"/>
    <x v="14"/>
    <n v="163738.32066848699"/>
  </r>
  <r>
    <x v="3"/>
    <x v="1"/>
    <n v="210175711.440961"/>
    <n v="112614669.916677"/>
    <n v="11"/>
    <x v="0"/>
    <n v="283737210.44529736"/>
    <n v="152029804.38751397"/>
    <x v="15"/>
    <n v="152.02980438751396"/>
  </r>
  <r>
    <x v="3"/>
    <x v="1"/>
    <n v="2859865269.6026502"/>
    <n v="2193629057.13695"/>
    <n v="612"/>
    <x v="1"/>
    <n v="3860818113.9635777"/>
    <n v="2961399227.1348829"/>
    <x v="16"/>
    <n v="2961.3992271348829"/>
  </r>
  <r>
    <x v="4"/>
    <x v="1"/>
    <n v="75479150.000190407"/>
    <n v="75479150.000190407"/>
    <n v="112"/>
    <x v="0"/>
    <n v="101896852.50025706"/>
    <n v="101896852.50025706"/>
    <x v="17"/>
    <n v="101.89685250025705"/>
  </r>
  <r>
    <x v="4"/>
    <x v="1"/>
    <n v="56019841640.209999"/>
    <n v="54739890725.055099"/>
    <n v="67520"/>
    <x v="1"/>
    <n v="75626786214.283508"/>
    <n v="73898852478.824387"/>
    <x v="18"/>
    <n v="73898.852478824381"/>
  </r>
  <r>
    <x v="0"/>
    <x v="2"/>
    <n v="3060082.6430000402"/>
    <n v="1599407.4673806699"/>
    <n v="3"/>
    <x v="0"/>
    <n v="4131111.5680500544"/>
    <n v="2159200.0809639045"/>
    <x v="19"/>
    <n v="2.1592000809639047"/>
  </r>
  <r>
    <x v="0"/>
    <x v="2"/>
    <n v="83586974.900705397"/>
    <n v="47547710.997818798"/>
    <n v="10"/>
    <x v="1"/>
    <n v="112842416.1159523"/>
    <n v="64189409.847055383"/>
    <x v="20"/>
    <n v="64.189409847055387"/>
  </r>
  <r>
    <x v="2"/>
    <x v="2"/>
    <n v="276000"/>
    <n v="276000"/>
    <n v="2"/>
    <x v="1"/>
    <n v="372600"/>
    <n v="372600"/>
    <x v="21"/>
    <n v="0.37259999999999999"/>
  </r>
  <r>
    <x v="3"/>
    <x v="2"/>
    <n v="183525417.04899299"/>
    <n v="107035050.91833501"/>
    <n v="42"/>
    <x v="1"/>
    <n v="247759313.01614055"/>
    <n v="144497318.73975226"/>
    <x v="22"/>
    <n v="144.49731873975227"/>
  </r>
  <r>
    <x v="4"/>
    <x v="2"/>
    <n v="20201080.800000001"/>
    <n v="20201080.800000001"/>
    <n v="23"/>
    <x v="1"/>
    <n v="27271459.080000002"/>
    <n v="27271459.080000002"/>
    <x v="23"/>
    <n v="27.271459080000003"/>
  </r>
  <r>
    <x v="0"/>
    <x v="3"/>
    <n v="18301343.574820001"/>
    <n v="16479715.6923308"/>
    <n v="4"/>
    <x v="0"/>
    <n v="24706813.826007001"/>
    <n v="22247616.18464658"/>
    <x v="24"/>
    <n v="22.247616184646581"/>
  </r>
  <r>
    <x v="0"/>
    <x v="3"/>
    <n v="210957528.07712299"/>
    <n v="106631319.724132"/>
    <n v="18"/>
    <x v="1"/>
    <n v="284792662.90411603"/>
    <n v="143952281.6275782"/>
    <x v="25"/>
    <n v="143.9522816275782"/>
  </r>
  <r>
    <x v="1"/>
    <x v="3"/>
    <n v="110000"/>
    <n v="110000"/>
    <n v="1"/>
    <x v="0"/>
    <n v="148500"/>
    <n v="148500"/>
    <x v="26"/>
    <n v="0.14849999999999999"/>
  </r>
  <r>
    <x v="1"/>
    <x v="3"/>
    <n v="110000"/>
    <n v="110000"/>
    <n v="1"/>
    <x v="1"/>
    <n v="148500"/>
    <n v="148500"/>
    <x v="26"/>
    <n v="0.14849999999999999"/>
  </r>
  <r>
    <x v="2"/>
    <x v="3"/>
    <n v="212000"/>
    <n v="212000"/>
    <n v="1"/>
    <x v="1"/>
    <n v="286200"/>
    <n v="286200"/>
    <x v="27"/>
    <n v="0.28620000000000001"/>
  </r>
  <r>
    <x v="3"/>
    <x v="3"/>
    <n v="7558346.1603288203"/>
    <n v="7558346.1603288203"/>
    <n v="4"/>
    <x v="1"/>
    <n v="10203767.316443909"/>
    <n v="10203767.316443909"/>
    <x v="28"/>
    <n v="10.203767316443908"/>
  </r>
  <r>
    <x v="4"/>
    <x v="3"/>
    <n v="560000"/>
    <n v="560000"/>
    <n v="2"/>
    <x v="1"/>
    <n v="756000"/>
    <n v="756000"/>
    <x v="29"/>
    <n v="0.75600000000000001"/>
  </r>
  <r>
    <x v="0"/>
    <x v="4"/>
    <n v="2372926089.2821898"/>
    <n v="1420410551.7284601"/>
    <n v="328"/>
    <x v="0"/>
    <n v="3203450220.5309563"/>
    <n v="1917554244.8334212"/>
    <x v="30"/>
    <n v="1917.5542448334213"/>
  </r>
  <r>
    <x v="0"/>
    <x v="4"/>
    <n v="761662142.94186294"/>
    <n v="448941035.41101199"/>
    <n v="119"/>
    <x v="1"/>
    <n v="1028243892.9715151"/>
    <n v="606070397.80486619"/>
    <x v="31"/>
    <n v="606.07039780486616"/>
  </r>
  <r>
    <x v="1"/>
    <x v="4"/>
    <n v="545000"/>
    <n v="545000"/>
    <n v="2"/>
    <x v="0"/>
    <n v="735750"/>
    <n v="735750"/>
    <x v="32"/>
    <n v="0.73575000000000002"/>
  </r>
  <r>
    <x v="1"/>
    <x v="4"/>
    <n v="2662700"/>
    <n v="2662700"/>
    <n v="4"/>
    <x v="1"/>
    <n v="3594645.0000000005"/>
    <n v="3594645.0000000005"/>
    <x v="33"/>
    <n v="3.5946450000000003"/>
  </r>
  <r>
    <x v="2"/>
    <x v="4"/>
    <n v="101000"/>
    <n v="101000"/>
    <n v="1"/>
    <x v="0"/>
    <n v="136350"/>
    <n v="136350"/>
    <x v="34"/>
    <n v="0.13635"/>
  </r>
  <r>
    <x v="2"/>
    <x v="4"/>
    <n v="22746034"/>
    <n v="22746034"/>
    <n v="32"/>
    <x v="1"/>
    <n v="30707145.900000002"/>
    <n v="30707145.900000002"/>
    <x v="35"/>
    <n v="30.707145900000004"/>
  </r>
  <r>
    <x v="3"/>
    <x v="4"/>
    <n v="191741484.19769299"/>
    <n v="103722848.999153"/>
    <n v="23"/>
    <x v="0"/>
    <n v="258851003.66688555"/>
    <n v="140025846.14885655"/>
    <x v="36"/>
    <n v="140.02584614885654"/>
  </r>
  <r>
    <x v="3"/>
    <x v="4"/>
    <n v="1205659420.18715"/>
    <n v="924487181.75075197"/>
    <n v="318"/>
    <x v="1"/>
    <n v="1627640217.2526526"/>
    <n v="1248057695.3635151"/>
    <x v="37"/>
    <n v="1248.0576953635152"/>
  </r>
  <r>
    <x v="4"/>
    <x v="4"/>
    <n v="107224705.21595199"/>
    <n v="106417749.21595199"/>
    <n v="86"/>
    <x v="1"/>
    <n v="144753352.0415352"/>
    <n v="143663961.4415352"/>
    <x v="38"/>
    <n v="143.66396144153521"/>
  </r>
  <r>
    <x v="0"/>
    <x v="5"/>
    <n v="2365811502.90905"/>
    <n v="1413295965.35532"/>
    <n v="326"/>
    <x v="0"/>
    <n v="3193845528.9272175"/>
    <n v="1907949553.2296822"/>
    <x v="39"/>
    <n v="1907.9495532296821"/>
  </r>
  <r>
    <x v="0"/>
    <x v="5"/>
    <n v="738973417.34851599"/>
    <n v="426252309.81766498"/>
    <n v="106"/>
    <x v="1"/>
    <n v="997614113.4204967"/>
    <n v="575440618.25384772"/>
    <x v="40"/>
    <n v="575.44061825384767"/>
  </r>
  <r>
    <x v="1"/>
    <x v="5"/>
    <n v="345000"/>
    <n v="345000"/>
    <n v="1"/>
    <x v="0"/>
    <n v="465750.00000000006"/>
    <n v="465750.00000000006"/>
    <x v="41"/>
    <n v="0.46575000000000005"/>
  </r>
  <r>
    <x v="1"/>
    <x v="5"/>
    <n v="2462700"/>
    <n v="2462700"/>
    <n v="3"/>
    <x v="1"/>
    <n v="3324645"/>
    <n v="3324645"/>
    <x v="42"/>
    <n v="3.3246449999999999"/>
  </r>
  <r>
    <x v="2"/>
    <x v="5"/>
    <n v="101000"/>
    <n v="101000"/>
    <n v="1"/>
    <x v="0"/>
    <n v="136350"/>
    <n v="136350"/>
    <x v="34"/>
    <n v="0.13635"/>
  </r>
  <r>
    <x v="2"/>
    <x v="5"/>
    <n v="22746034"/>
    <n v="22746034"/>
    <n v="32"/>
    <x v="1"/>
    <n v="30707145.900000002"/>
    <n v="30707145.900000002"/>
    <x v="35"/>
    <n v="30.707145900000004"/>
  </r>
  <r>
    <x v="3"/>
    <x v="5"/>
    <n v="175292598.767708"/>
    <n v="87273963.569168001"/>
    <n v="20"/>
    <x v="0"/>
    <n v="236645008.33640581"/>
    <n v="117819850.81837681"/>
    <x v="43"/>
    <n v="117.81985081837681"/>
  </r>
  <r>
    <x v="3"/>
    <x v="5"/>
    <n v="906507554.61050797"/>
    <n v="666539312.39975405"/>
    <n v="227"/>
    <x v="1"/>
    <n v="1223785198.7241859"/>
    <n v="899828071.73966801"/>
    <x v="44"/>
    <n v="899.82807173966796"/>
  </r>
  <r>
    <x v="4"/>
    <x v="5"/>
    <n v="101774358.815952"/>
    <n v="100967402.815952"/>
    <n v="76"/>
    <x v="1"/>
    <n v="137395384.40153521"/>
    <n v="136305993.80153522"/>
    <x v="45"/>
    <n v="136.305993801535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s v="AE"/>
    <x v="0"/>
    <x v="0"/>
    <n v="13444442.07"/>
    <n v="10874902.25"/>
    <n v="5"/>
    <x v="0"/>
    <n v="18149996.794500001"/>
    <n v="14681118.037500001"/>
    <n v="18.149996794500002"/>
    <n v="14.681118037500001"/>
  </r>
  <r>
    <s v="AR"/>
    <x v="0"/>
    <x v="0"/>
    <n v="1280103.4909999999"/>
    <n v="1280103.4909999999"/>
    <n v="2"/>
    <x v="0"/>
    <n v="1728139.71285"/>
    <n v="1728139.71285"/>
    <n v="1.72813971285"/>
    <n v="1.72813971285"/>
  </r>
  <r>
    <s v="AT"/>
    <x v="0"/>
    <x v="0"/>
    <n v="721312.71429999999"/>
    <n v="440490.42099999997"/>
    <n v="4"/>
    <x v="0"/>
    <n v="973772.1643050001"/>
    <n v="594662.06834999996"/>
    <n v="0.97377216430500013"/>
    <n v="0.59466206834999991"/>
  </r>
  <r>
    <s v="AU"/>
    <x v="0"/>
    <x v="0"/>
    <n v="25890584.559999999"/>
    <n v="20120637.850000001"/>
    <n v="9"/>
    <x v="0"/>
    <n v="34952289.156000003"/>
    <n v="27162861.097500004"/>
    <n v="34.952289156000006"/>
    <n v="27.162861097500002"/>
  </r>
  <r>
    <s v="BE"/>
    <x v="0"/>
    <x v="0"/>
    <n v="15747994.66"/>
    <n v="8286041.568"/>
    <n v="5"/>
    <x v="0"/>
    <n v="21259792.791000001"/>
    <n v="11186156.116800001"/>
    <n v="21.259792791000002"/>
    <n v="11.186156116800001"/>
  </r>
  <r>
    <s v="BM"/>
    <x v="0"/>
    <x v="0"/>
    <n v="4196482.9340000004"/>
    <n v="4196482.9340000004"/>
    <n v="3"/>
    <x v="0"/>
    <n v="5665251.9609000012"/>
    <n v="5665251.9609000012"/>
    <n v="5.6652519609000009"/>
    <n v="5.6652519609000009"/>
  </r>
  <r>
    <s v="BR"/>
    <x v="0"/>
    <x v="0"/>
    <n v="96654148.180000007"/>
    <n v="62620844.43"/>
    <n v="4"/>
    <x v="0"/>
    <n v="130483100.04300001"/>
    <n v="84538139.980499998"/>
    <n v="130.48310004300001"/>
    <n v="84.538139980499992"/>
  </r>
  <r>
    <s v="BS"/>
    <x v="0"/>
    <x v="0"/>
    <n v="3238733.284"/>
    <n v="1653587.9750000001"/>
    <n v="4"/>
    <x v="0"/>
    <n v="4372289.9334000004"/>
    <n v="2232343.7662500003"/>
    <n v="4.3722899334000003"/>
    <n v="2.2323437662500005"/>
  </r>
  <r>
    <s v="BW"/>
    <x v="0"/>
    <x v="0"/>
    <n v="819000"/>
    <n v="819000"/>
    <n v="1"/>
    <x v="0"/>
    <n v="1105650"/>
    <n v="1105650"/>
    <n v="1.10565"/>
    <n v="1.10565"/>
  </r>
  <r>
    <s v="CA"/>
    <x v="0"/>
    <x v="0"/>
    <n v="18301343.57"/>
    <n v="16479715.689999999"/>
    <n v="4"/>
    <x v="0"/>
    <n v="24706813.819500003"/>
    <n v="22247616.181499999"/>
    <n v="24.706813819500002"/>
    <n v="22.2476161815"/>
  </r>
  <r>
    <s v="CH"/>
    <x v="0"/>
    <x v="0"/>
    <n v="567471554.10000002"/>
    <n v="316798265.69999999"/>
    <n v="37"/>
    <x v="0"/>
    <n v="766086598.03500009"/>
    <n v="427677658.69499999"/>
    <n v="766.08659803500007"/>
    <n v="427.67765869499999"/>
  </r>
  <r>
    <s v="CI"/>
    <x v="0"/>
    <x v="0"/>
    <n v="2841840"/>
    <n v="1420920"/>
    <n v="1"/>
    <x v="0"/>
    <n v="3836484.0000000005"/>
    <n v="1918242.0000000002"/>
    <n v="3.8364840000000004"/>
    <n v="1.9182420000000002"/>
  </r>
  <r>
    <s v="CL"/>
    <x v="0"/>
    <x v="0"/>
    <n v="13778406.460000001"/>
    <n v="13778406.460000001"/>
    <n v="11"/>
    <x v="0"/>
    <n v="18600848.721000001"/>
    <n v="18600848.721000001"/>
    <n v="18.600848721000002"/>
    <n v="18.600848721000002"/>
  </r>
  <r>
    <s v="CN"/>
    <x v="0"/>
    <x v="0"/>
    <n v="65415404.640000001"/>
    <n v="46728236.219999999"/>
    <n v="16"/>
    <x v="0"/>
    <n v="88310796.264000013"/>
    <n v="63083118.897"/>
    <n v="88.310796264000018"/>
    <n v="63.083118896999999"/>
  </r>
  <r>
    <s v="CO"/>
    <x v="0"/>
    <x v="0"/>
    <n v="11968513.26"/>
    <n v="10758732.73"/>
    <n v="8"/>
    <x v="0"/>
    <n v="16157492.901000001"/>
    <n v="14524289.185500002"/>
    <n v="16.157492901000001"/>
    <n v="14.524289185500001"/>
  </r>
  <r>
    <s v="CY"/>
    <x v="0"/>
    <x v="0"/>
    <n v="9480466.5"/>
    <n v="9480466.5"/>
    <n v="3"/>
    <x v="0"/>
    <n v="12798629.775"/>
    <n v="12798629.775"/>
    <n v="12.798629775"/>
    <n v="12.798629775"/>
  </r>
  <r>
    <s v="CZ"/>
    <x v="0"/>
    <x v="0"/>
    <n v="17156131.440000001"/>
    <n v="17156131.440000001"/>
    <n v="1"/>
    <x v="0"/>
    <n v="23160777.444000002"/>
    <n v="23160777.444000002"/>
    <n v="23.160777444000001"/>
    <n v="23.160777444000001"/>
  </r>
  <r>
    <s v="DE"/>
    <x v="0"/>
    <x v="0"/>
    <n v="5733618.0860000001"/>
    <n v="5522417.4330000002"/>
    <n v="4"/>
    <x v="0"/>
    <n v="7740384.416100001"/>
    <n v="7455263.5345500009"/>
    <n v="7.7403844161000013"/>
    <n v="7.4552635345500011"/>
  </r>
  <r>
    <s v="DO"/>
    <x v="0"/>
    <x v="0"/>
    <n v="538678.71059999999"/>
    <n v="538678.71059999999"/>
    <n v="1"/>
    <x v="0"/>
    <n v="727216.25930999999"/>
    <n v="727216.25930999999"/>
    <n v="0.72721625931"/>
    <n v="0.72721625931"/>
  </r>
  <r>
    <s v="EE"/>
    <x v="0"/>
    <x v="0"/>
    <n v="56000"/>
    <n v="56000"/>
    <n v="1"/>
    <x v="0"/>
    <n v="75600"/>
    <n v="75600"/>
    <n v="7.5600000000000001E-2"/>
    <n v="7.5600000000000001E-2"/>
  </r>
  <r>
    <s v="ES"/>
    <x v="0"/>
    <x v="0"/>
    <n v="159239457.09999999"/>
    <n v="89793522.370000005"/>
    <n v="6"/>
    <x v="0"/>
    <n v="214973267.08500001"/>
    <n v="121221255.19950001"/>
    <n v="214.973267085"/>
    <n v="121.22125519950001"/>
  </r>
  <r>
    <s v="FR"/>
    <x v="0"/>
    <x v="0"/>
    <n v="269694076.19999999"/>
    <n v="128815325.59999999"/>
    <n v="21"/>
    <x v="0"/>
    <n v="364087002.87"/>
    <n v="173900689.56"/>
    <n v="364.08700286999999"/>
    <n v="173.90068955999999"/>
  </r>
  <r>
    <s v="GB"/>
    <x v="0"/>
    <x v="0"/>
    <n v="152000"/>
    <n v="152000"/>
    <n v="1"/>
    <x v="0"/>
    <n v="205200"/>
    <n v="205200"/>
    <n v="0.20519999999999999"/>
    <n v="0.20519999999999999"/>
  </r>
  <r>
    <s v="GI"/>
    <x v="0"/>
    <x v="0"/>
    <n v="2714095"/>
    <n v="2714095"/>
    <n v="1"/>
    <x v="0"/>
    <n v="3664028.2500000005"/>
    <n v="3664028.2500000005"/>
    <n v="3.6640282500000003"/>
    <n v="3.6640282500000003"/>
  </r>
  <r>
    <s v="GR"/>
    <x v="0"/>
    <x v="0"/>
    <n v="121154640.90000001"/>
    <n v="95061619.359999999"/>
    <n v="22"/>
    <x v="0"/>
    <n v="163558765.21500003"/>
    <n v="128333186.13600001"/>
    <n v="163.55876521500002"/>
    <n v="128.33318613599999"/>
  </r>
  <r>
    <s v="GT"/>
    <x v="0"/>
    <x v="0"/>
    <n v="5197163.0889999997"/>
    <n v="5197163.0889999997"/>
    <n v="4"/>
    <x v="0"/>
    <n v="7016170.1701499997"/>
    <n v="7016170.1701499997"/>
    <n v="7.0161701701499997"/>
    <n v="7.0161701701499997"/>
  </r>
  <r>
    <s v="HK"/>
    <x v="0"/>
    <x v="0"/>
    <n v="69928150.650000006"/>
    <n v="50023445.729999997"/>
    <n v="20"/>
    <x v="0"/>
    <n v="94403003.377500013"/>
    <n v="67531651.735499993"/>
    <n v="94.403003377500013"/>
    <n v="67.531651735499992"/>
  </r>
  <r>
    <s v="ID"/>
    <x v="0"/>
    <x v="0"/>
    <n v="0"/>
    <n v="0"/>
    <n v="1"/>
    <x v="0"/>
    <n v="0"/>
    <n v="0"/>
    <n v="0"/>
    <n v="0"/>
  </r>
  <r>
    <s v="IE"/>
    <x v="0"/>
    <x v="0"/>
    <n v="59424635.859999999"/>
    <n v="42828507.560000002"/>
    <n v="11"/>
    <x v="0"/>
    <n v="80223258.410999998"/>
    <n v="57818485.206000008"/>
    <n v="80.223258411000003"/>
    <n v="57.818485206000005"/>
  </r>
  <r>
    <s v="IL"/>
    <x v="0"/>
    <x v="0"/>
    <n v="77873629.510000005"/>
    <n v="49272739.649999999"/>
    <n v="19"/>
    <x v="0"/>
    <n v="105129399.83850001"/>
    <n v="66518198.527500004"/>
    <n v="105.12939983850001"/>
    <n v="66.518198527500005"/>
  </r>
  <r>
    <s v="IN"/>
    <x v="0"/>
    <x v="0"/>
    <n v="15613768.34"/>
    <n v="7862072.3159999996"/>
    <n v="2"/>
    <x v="0"/>
    <n v="21078587.259"/>
    <n v="10613797.626600001"/>
    <n v="21.078587258999999"/>
    <n v="10.6137976266"/>
  </r>
  <r>
    <s v="IT"/>
    <x v="0"/>
    <x v="0"/>
    <n v="26059506.93"/>
    <n v="24828728.93"/>
    <n v="8"/>
    <x v="0"/>
    <n v="35180334.355500005"/>
    <n v="33518784.055500001"/>
    <n v="35.180334355500008"/>
    <n v="33.518784055499999"/>
  </r>
  <r>
    <s v="JP"/>
    <x v="0"/>
    <x v="0"/>
    <n v="3060082.6430000002"/>
    <n v="1599407.4669999999"/>
    <n v="3"/>
    <x v="0"/>
    <n v="4131111.5680500004"/>
    <n v="2159200.0804500002"/>
    <n v="4.1311115680500006"/>
    <n v="2.1592000804500002"/>
  </r>
  <r>
    <s v="KE"/>
    <x v="0"/>
    <x v="0"/>
    <n v="507679.11670000001"/>
    <n v="253839.55840000001"/>
    <n v="1"/>
    <x v="0"/>
    <n v="685366.80754500011"/>
    <n v="342683.40384000004"/>
    <n v="0.68536680754500012"/>
    <n v="0.34268340384000007"/>
  </r>
  <r>
    <s v="KR"/>
    <x v="0"/>
    <x v="0"/>
    <n v="146853.97640000001"/>
    <n v="128615.1341"/>
    <n v="2"/>
    <x v="0"/>
    <n v="198252.86814000004"/>
    <n v="173630.43103500002"/>
    <n v="0.19825286814000004"/>
    <n v="0.173630431035"/>
  </r>
  <r>
    <s v="KW"/>
    <x v="0"/>
    <x v="0"/>
    <n v="129332.57120000001"/>
    <n v="129332.57120000001"/>
    <n v="1"/>
    <x v="0"/>
    <n v="174598.97112000003"/>
    <n v="174598.97112000003"/>
    <n v="0.17459897112000003"/>
    <n v="0.17459897112000003"/>
  </r>
  <r>
    <s v="KY"/>
    <x v="0"/>
    <x v="0"/>
    <n v="3716311.9180000001"/>
    <n v="3614964.1239999998"/>
    <n v="2"/>
    <x v="0"/>
    <n v="5017021.0893000001"/>
    <n v="4880201.5674000001"/>
    <n v="5.0170210893"/>
    <n v="4.8802015674000003"/>
  </r>
  <r>
    <s v="LB"/>
    <x v="0"/>
    <x v="0"/>
    <n v="36233826.270000003"/>
    <n v="32540321.550000001"/>
    <n v="9"/>
    <x v="0"/>
    <n v="48915665.46450001"/>
    <n v="43929434.092500001"/>
    <n v="48.915665464500009"/>
    <n v="43.929434092500003"/>
  </r>
  <r>
    <s v="LT"/>
    <x v="0"/>
    <x v="0"/>
    <n v="3950744.8"/>
    <n v="3950744.8"/>
    <n v="2"/>
    <x v="0"/>
    <n v="5333505.4800000004"/>
    <n v="5333505.4800000004"/>
    <n v="5.3335054800000004"/>
    <n v="5.3335054800000004"/>
  </r>
  <r>
    <s v="LU"/>
    <x v="0"/>
    <x v="0"/>
    <n v="2723"/>
    <n v="2723"/>
    <n v="1"/>
    <x v="0"/>
    <n v="3676.05"/>
    <n v="3676.05"/>
    <n v="3.6760500000000002E-3"/>
    <n v="3.6760500000000002E-3"/>
  </r>
  <r>
    <s v="MA"/>
    <x v="0"/>
    <x v="0"/>
    <n v="160000"/>
    <n v="160000"/>
    <n v="1"/>
    <x v="0"/>
    <n v="216000"/>
    <n v="216000"/>
    <n v="0.216"/>
    <n v="0.216"/>
  </r>
  <r>
    <s v="MC"/>
    <x v="0"/>
    <x v="0"/>
    <n v="70175004.680000007"/>
    <n v="37352524.270000003"/>
    <n v="14"/>
    <x v="0"/>
    <n v="94736256.318000019"/>
    <n v="50425907.764500007"/>
    <n v="94.736256318000017"/>
    <n v="50.42590776450001"/>
  </r>
  <r>
    <s v="MT"/>
    <x v="0"/>
    <x v="0"/>
    <n v="2000"/>
    <n v="2000"/>
    <n v="1"/>
    <x v="0"/>
    <n v="2700"/>
    <n v="2700"/>
    <n v="2.7000000000000001E-3"/>
    <n v="2.7000000000000001E-3"/>
  </r>
  <r>
    <s v="MX"/>
    <x v="0"/>
    <x v="0"/>
    <n v="7114586.3729999997"/>
    <n v="7114586.3729999997"/>
    <n v="2"/>
    <x v="0"/>
    <n v="9604691.6035500001"/>
    <n v="9604691.6035500001"/>
    <n v="9.6046916035500001"/>
    <n v="9.6046916035500001"/>
  </r>
  <r>
    <s v="MY"/>
    <x v="0"/>
    <x v="0"/>
    <n v="3683494.0359999998"/>
    <n v="1841747.0179999999"/>
    <n v="1"/>
    <x v="0"/>
    <n v="4972716.9485999998"/>
    <n v="2486358.4742999999"/>
    <n v="4.9727169485999996"/>
    <n v="2.4863584742999998"/>
  </r>
  <r>
    <s v="NG"/>
    <x v="0"/>
    <x v="0"/>
    <n v="1504234.42"/>
    <n v="752117.20990000002"/>
    <n v="1"/>
    <x v="0"/>
    <n v="2030716.4669999999"/>
    <n v="1015358.2333650001"/>
    <n v="2.030716467"/>
    <n v="1.0153582333650002"/>
  </r>
  <r>
    <s v="NL"/>
    <x v="0"/>
    <x v="0"/>
    <n v="18020966.539999999"/>
    <n v="18020966.539999999"/>
    <n v="4"/>
    <x v="0"/>
    <n v="24328304.829"/>
    <n v="24328304.829"/>
    <n v="24.328304829"/>
    <n v="24.328304829"/>
  </r>
  <r>
    <s v="NZ"/>
    <x v="0"/>
    <x v="0"/>
    <n v="1258181.0919999999"/>
    <n v="1258181.0919999999"/>
    <n v="4"/>
    <x v="0"/>
    <n v="1698544.4742000001"/>
    <n v="1698544.4742000001"/>
    <n v="1.6985444742"/>
    <n v="1.6985444742"/>
  </r>
  <r>
    <s v="OM"/>
    <x v="0"/>
    <x v="0"/>
    <n v="2500"/>
    <n v="2500"/>
    <n v="1"/>
    <x v="0"/>
    <n v="3375"/>
    <n v="3375"/>
    <n v="3.375E-3"/>
    <n v="3.375E-3"/>
  </r>
  <r>
    <s v="PA"/>
    <x v="0"/>
    <x v="0"/>
    <n v="1009571.444"/>
    <n v="1009571.444"/>
    <n v="1"/>
    <x v="0"/>
    <n v="1362921.4494"/>
    <n v="1362921.4494"/>
    <n v="1.3629214494000002"/>
    <n v="1.3629214494000002"/>
  </r>
  <r>
    <s v="PH"/>
    <x v="0"/>
    <x v="0"/>
    <n v="169226.37220000001"/>
    <n v="84613.186119999998"/>
    <n v="1"/>
    <x v="0"/>
    <n v="228455.60247000004"/>
    <n v="114227.80126200001"/>
    <n v="0.22845560247000005"/>
    <n v="0.11422780126200001"/>
  </r>
  <r>
    <s v="PL"/>
    <x v="0"/>
    <x v="0"/>
    <n v="229138"/>
    <n v="229138"/>
    <n v="1"/>
    <x v="0"/>
    <n v="309336.30000000005"/>
    <n v="309336.30000000005"/>
    <n v="0.30933630000000006"/>
    <n v="0.30933630000000006"/>
  </r>
  <r>
    <s v="PT"/>
    <x v="0"/>
    <x v="0"/>
    <n v="7151550.608"/>
    <n v="7151550.608"/>
    <n v="2"/>
    <x v="0"/>
    <n v="9654593.3208000008"/>
    <n v="9654593.3208000008"/>
    <n v="9.6545933208000001"/>
    <n v="9.6545933208000001"/>
  </r>
  <r>
    <s v="PY"/>
    <x v="0"/>
    <x v="0"/>
    <n v="6421396.2300000004"/>
    <n v="6421396.2300000004"/>
    <n v="1"/>
    <x v="0"/>
    <n v="8668884.9105000012"/>
    <n v="8668884.9105000012"/>
    <n v="8.668884910500001"/>
    <n v="8.668884910500001"/>
  </r>
  <r>
    <s v="QA"/>
    <x v="0"/>
    <x v="0"/>
    <n v="2237.9556510000002"/>
    <n v="1118.9778260000001"/>
    <n v="1"/>
    <x v="0"/>
    <n v="3021.2401288500005"/>
    <n v="1510.6200651000001"/>
    <n v="3.0212401288500007E-3"/>
    <n v="1.5106200651000001E-3"/>
  </r>
  <r>
    <s v="RO"/>
    <x v="0"/>
    <x v="0"/>
    <n v="4000"/>
    <n v="4000"/>
    <n v="1"/>
    <x v="0"/>
    <n v="5400"/>
    <n v="5400"/>
    <n v="5.4000000000000003E-3"/>
    <n v="5.4000000000000003E-3"/>
  </r>
  <r>
    <s v="SA"/>
    <x v="0"/>
    <x v="0"/>
    <n v="12947615.859999999"/>
    <n v="6483807.932"/>
    <n v="2"/>
    <x v="0"/>
    <n v="17479281.411000002"/>
    <n v="8753140.7082000002"/>
    <n v="17.479281411000002"/>
    <n v="8.7531407082000001"/>
  </r>
  <r>
    <s v="SC"/>
    <x v="0"/>
    <x v="0"/>
    <n v="4054620.6320000002"/>
    <n v="2572200.432"/>
    <n v="3"/>
    <x v="0"/>
    <n v="5473737.8532000007"/>
    <n v="3472470.5832000002"/>
    <n v="5.4737378532000003"/>
    <n v="3.4724705832000002"/>
  </r>
  <r>
    <s v="SE"/>
    <x v="0"/>
    <x v="0"/>
    <n v="264348333.09999999"/>
    <n v="216781498.09999999"/>
    <n v="5"/>
    <x v="0"/>
    <n v="356870249.685"/>
    <n v="292655022.435"/>
    <n v="356.87024968499998"/>
    <n v="292.65502243499998"/>
  </r>
  <r>
    <s v="SG"/>
    <x v="0"/>
    <x v="0"/>
    <n v="21556194.920000002"/>
    <n v="10975771.470000001"/>
    <n v="7"/>
    <x v="0"/>
    <n v="29100863.142000005"/>
    <n v="14817291.484500002"/>
    <n v="29.100863142000005"/>
    <n v="14.817291484500002"/>
  </r>
  <r>
    <s v="SK"/>
    <x v="0"/>
    <x v="0"/>
    <n v="4200"/>
    <n v="4200"/>
    <n v="1"/>
    <x v="0"/>
    <n v="5670"/>
    <n v="5670"/>
    <n v="5.6699999999999997E-3"/>
    <n v="5.6699999999999997E-3"/>
  </r>
  <r>
    <s v="SN"/>
    <x v="0"/>
    <x v="0"/>
    <n v="683280"/>
    <n v="341640"/>
    <n v="1"/>
    <x v="0"/>
    <n v="922428.00000000012"/>
    <n v="461214.00000000006"/>
    <n v="0.92242800000000014"/>
    <n v="0.46121400000000007"/>
  </r>
  <r>
    <s v="TH"/>
    <x v="0"/>
    <x v="0"/>
    <n v="131620.5117"/>
    <n v="65810.255869999994"/>
    <n v="1"/>
    <x v="0"/>
    <n v="177687.690795"/>
    <n v="88843.845424500003"/>
    <n v="0.17768769079499999"/>
    <n v="8.8843845424500009E-2"/>
  </r>
  <r>
    <s v="TR"/>
    <x v="0"/>
    <x v="0"/>
    <n v="6637471.608"/>
    <n v="3318735.804"/>
    <n v="1"/>
    <x v="0"/>
    <n v="8960586.6708000004"/>
    <n v="4480293.3354000002"/>
    <n v="8.9605866707999997"/>
    <n v="4.4802933353999999"/>
  </r>
  <r>
    <s v="TW"/>
    <x v="0"/>
    <x v="0"/>
    <n v="2572431.9789999998"/>
    <n v="1341404.135"/>
    <n v="2"/>
    <x v="0"/>
    <n v="3472783.1716499999"/>
    <n v="1810895.5822500002"/>
    <n v="3.4727831716499997"/>
    <n v="1.8108955822500001"/>
  </r>
  <r>
    <s v="US"/>
    <x v="0"/>
    <x v="0"/>
    <n v="2365811503"/>
    <n v="1413295965"/>
    <n v="326"/>
    <x v="0"/>
    <n v="3193845529.0500002"/>
    <n v="1907949552.7500002"/>
    <n v="3193.8455290500001"/>
    <n v="1907.9495527500003"/>
  </r>
  <r>
    <s v="UY"/>
    <x v="0"/>
    <x v="0"/>
    <n v="26957835.559999999"/>
    <n v="17031956.710000001"/>
    <n v="4"/>
    <x v="0"/>
    <n v="36393078.005999997"/>
    <n v="22993141.558500003"/>
    <n v="36.393078005999996"/>
    <n v="22.993141558500003"/>
  </r>
  <r>
    <s v="VN"/>
    <x v="0"/>
    <x v="0"/>
    <n v="11322"/>
    <n v="11322"/>
    <n v="1"/>
    <x v="0"/>
    <n v="15284.7"/>
    <n v="15284.7"/>
    <n v="1.52847E-2"/>
    <n v="1.52847E-2"/>
  </r>
  <r>
    <s v="ZA"/>
    <x v="0"/>
    <x v="0"/>
    <n v="93771188.579999998"/>
    <n v="90543098.620000005"/>
    <n v="11"/>
    <x v="0"/>
    <n v="126591104.583"/>
    <n v="122233183.13700001"/>
    <n v="126.591104583"/>
    <n v="122.23318313700001"/>
  </r>
  <r>
    <s v="AE"/>
    <x v="0"/>
    <x v="0"/>
    <n v="88675015.959999993"/>
    <n v="53579580.43"/>
    <n v="13"/>
    <x v="1"/>
    <n v="119711271.546"/>
    <n v="72332433.580500007"/>
    <n v="119.71127154600001"/>
    <n v="72.332433580500009"/>
  </r>
  <r>
    <s v="AR"/>
    <x v="0"/>
    <x v="0"/>
    <n v="43058200.420000002"/>
    <n v="43058200.420000002"/>
    <n v="18"/>
    <x v="1"/>
    <n v="58128570.567000009"/>
    <n v="58128570.567000009"/>
    <n v="58.128570567000011"/>
    <n v="58.128570567000011"/>
  </r>
  <r>
    <s v="AT"/>
    <x v="0"/>
    <x v="0"/>
    <n v="117299776.09999999"/>
    <n v="59699152.009999998"/>
    <n v="12"/>
    <x v="1"/>
    <n v="158354697.73500001"/>
    <n v="80593855.213500008"/>
    <n v="158.354697735"/>
    <n v="80.593855213500007"/>
  </r>
  <r>
    <s v="AU"/>
    <x v="0"/>
    <x v="0"/>
    <n v="334471885.19999999"/>
    <n v="170352245.80000001"/>
    <n v="28"/>
    <x v="1"/>
    <n v="451537045.02000004"/>
    <n v="229975531.83000004"/>
    <n v="451.53704502000005"/>
    <n v="229.97553183000005"/>
  </r>
  <r>
    <s v="BE"/>
    <x v="0"/>
    <x v="0"/>
    <n v="280411812.10000002"/>
    <n v="203677116.40000001"/>
    <n v="57"/>
    <x v="1"/>
    <n v="378555946.33500004"/>
    <n v="274964107.14000005"/>
    <n v="378.55594633500004"/>
    <n v="274.96410714000007"/>
  </r>
  <r>
    <s v="BM"/>
    <x v="0"/>
    <x v="0"/>
    <n v="7305574.8219999997"/>
    <n v="7305574.8219999997"/>
    <n v="5"/>
    <x v="1"/>
    <n v="9862526.0097000003"/>
    <n v="9862526.0097000003"/>
    <n v="9.8625260096999998"/>
    <n v="9.8625260096999998"/>
  </r>
  <r>
    <s v="BR"/>
    <x v="0"/>
    <x v="0"/>
    <n v="129080595.59999999"/>
    <n v="93901441.290000007"/>
    <n v="11"/>
    <x v="1"/>
    <n v="174258804.06"/>
    <n v="126766945.74150002"/>
    <n v="174.25880405999999"/>
    <n v="126.76694574150002"/>
  </r>
  <r>
    <s v="BS"/>
    <x v="0"/>
    <x v="0"/>
    <n v="10107545.449999999"/>
    <n v="8522400.1429999992"/>
    <n v="7"/>
    <x v="1"/>
    <n v="13645186.3575"/>
    <n v="11505240.193049999"/>
    <n v="13.6451863575"/>
    <n v="11.50524019305"/>
  </r>
  <r>
    <s v="CA"/>
    <x v="0"/>
    <x v="0"/>
    <n v="210957528.09999999"/>
    <n v="106631319.7"/>
    <n v="18"/>
    <x v="1"/>
    <n v="284792662.935"/>
    <n v="143952281.595"/>
    <n v="284.79266293500001"/>
    <n v="143.95228159499999"/>
  </r>
  <r>
    <s v="CH"/>
    <x v="0"/>
    <x v="0"/>
    <n v="3452284902"/>
    <n v="2433750640"/>
    <n v="827"/>
    <x v="1"/>
    <n v="4660584617.7000008"/>
    <n v="3285563364"/>
    <n v="4660.5846177000012"/>
    <n v="3285.5633640000001"/>
  </r>
  <r>
    <s v="CI"/>
    <x v="0"/>
    <x v="0"/>
    <n v="2841840"/>
    <n v="1420920"/>
    <n v="1"/>
    <x v="1"/>
    <n v="3836484.0000000005"/>
    <n v="1918242.0000000002"/>
    <n v="3.8364840000000004"/>
    <n v="1.9182420000000002"/>
  </r>
  <r>
    <s v="CL"/>
    <x v="0"/>
    <x v="0"/>
    <n v="104253862.2"/>
    <n v="79488495.519999996"/>
    <n v="40"/>
    <x v="1"/>
    <n v="140742713.97"/>
    <n v="107309468.95200001"/>
    <n v="140.74271397000001"/>
    <n v="107.309468952"/>
  </r>
  <r>
    <s v="CN"/>
    <x v="0"/>
    <x v="0"/>
    <n v="106172177.8"/>
    <n v="44299276.509999998"/>
    <n v="14"/>
    <x v="1"/>
    <n v="143332440.03"/>
    <n v="59804023.288500004"/>
    <n v="143.33244003000001"/>
    <n v="59.804023288500005"/>
  </r>
  <r>
    <s v="CO"/>
    <x v="0"/>
    <x v="0"/>
    <n v="151583328.40000001"/>
    <n v="92511615.640000001"/>
    <n v="28"/>
    <x v="1"/>
    <n v="204637493.34000003"/>
    <n v="124890681.11400001"/>
    <n v="204.63749334000002"/>
    <n v="124.890681114"/>
  </r>
  <r>
    <s v="CR"/>
    <x v="0"/>
    <x v="0"/>
    <n v="1932798.1170000001"/>
    <n v="1932798.1170000001"/>
    <n v="2"/>
    <x v="1"/>
    <n v="2609277.4579500002"/>
    <n v="2609277.4579500002"/>
    <n v="2.6092774579500002"/>
    <n v="2.6092774579500002"/>
  </r>
  <r>
    <s v="CY"/>
    <x v="0"/>
    <x v="0"/>
    <n v="41104787.130000003"/>
    <n v="39213212.350000001"/>
    <n v="6"/>
    <x v="1"/>
    <n v="55491462.625500008"/>
    <n v="52937836.672500007"/>
    <n v="55.491462625500006"/>
    <n v="52.937836672500005"/>
  </r>
  <r>
    <s v="CZ"/>
    <x v="0"/>
    <x v="0"/>
    <n v="17725731.440000001"/>
    <n v="17725731.440000001"/>
    <n v="4"/>
    <x v="1"/>
    <n v="23929737.444000002"/>
    <n v="23929737.444000002"/>
    <n v="23.929737444000001"/>
    <n v="23.929737444000001"/>
  </r>
  <r>
    <s v="DE"/>
    <x v="0"/>
    <x v="0"/>
    <n v="183792082.09999999"/>
    <n v="115503381.3"/>
    <n v="33"/>
    <x v="1"/>
    <n v="248119310.83500001"/>
    <n v="155929564.755"/>
    <n v="248.11931083500002"/>
    <n v="155.929564755"/>
  </r>
  <r>
    <s v="DK"/>
    <x v="0"/>
    <x v="0"/>
    <n v="618592460.79999995"/>
    <n v="568389716.20000005"/>
    <n v="154"/>
    <x v="1"/>
    <n v="835099822.08000004"/>
    <n v="767326116.87000012"/>
    <n v="835.09982208000008"/>
    <n v="767.32611687000008"/>
  </r>
  <r>
    <s v="DO"/>
    <x v="0"/>
    <x v="0"/>
    <n v="23167430.690000001"/>
    <n v="23167430.690000001"/>
    <n v="10"/>
    <x v="1"/>
    <n v="31276031.431500003"/>
    <n v="31276031.431500003"/>
    <n v="31.276031431500002"/>
    <n v="31.276031431500002"/>
  </r>
  <r>
    <s v="EC"/>
    <x v="0"/>
    <x v="0"/>
    <n v="6112118.1119999997"/>
    <n v="6112118.1119999997"/>
    <n v="3"/>
    <x v="1"/>
    <n v="8251359.4512"/>
    <n v="8251359.4512"/>
    <n v="8.2513594512000008"/>
    <n v="8.2513594512000008"/>
  </r>
  <r>
    <s v="ES"/>
    <x v="0"/>
    <x v="0"/>
    <n v="614384058"/>
    <n v="420289442.80000001"/>
    <n v="81"/>
    <x v="1"/>
    <n v="829418478.30000007"/>
    <n v="567390747.78000009"/>
    <n v="829.41847830000006"/>
    <n v="567.39074778000008"/>
  </r>
  <r>
    <s v="FI"/>
    <x v="0"/>
    <x v="0"/>
    <n v="178626629.40000001"/>
    <n v="141265503.40000001"/>
    <n v="32"/>
    <x v="1"/>
    <n v="241145949.69000003"/>
    <n v="190708429.59000003"/>
    <n v="241.14594969000004"/>
    <n v="190.70842959000004"/>
  </r>
  <r>
    <s v="FR"/>
    <x v="0"/>
    <x v="0"/>
    <n v="2275085169"/>
    <n v="1498937035"/>
    <n v="333"/>
    <x v="1"/>
    <n v="3071364978.1500001"/>
    <n v="2023564997.2500002"/>
    <n v="3071.3649781500003"/>
    <n v="2023.5649972500003"/>
  </r>
  <r>
    <s v="GB"/>
    <x v="0"/>
    <x v="0"/>
    <n v="9371114847"/>
    <n v="7182976180"/>
    <n v="1683"/>
    <x v="1"/>
    <n v="12651005043.450001"/>
    <n v="9697017843"/>
    <n v="12651.005043450001"/>
    <n v="9697.0178429999996"/>
  </r>
  <r>
    <s v="GG"/>
    <x v="0"/>
    <x v="0"/>
    <n v="5437249.7920000004"/>
    <n v="5174549.8959999997"/>
    <n v="2"/>
    <x v="1"/>
    <n v="7340287.2192000011"/>
    <n v="6985642.3596000001"/>
    <n v="7.3402872192000013"/>
    <n v="6.9856423595999999"/>
  </r>
  <r>
    <s v="GH"/>
    <x v="0"/>
    <x v="0"/>
    <n v="911500"/>
    <n v="911500"/>
    <n v="2"/>
    <x v="1"/>
    <n v="1230525"/>
    <n v="1230525"/>
    <n v="1.2305250000000001"/>
    <n v="1.2305250000000001"/>
  </r>
  <r>
    <s v="GI"/>
    <x v="0"/>
    <x v="0"/>
    <n v="3760926.736"/>
    <n v="3760926.736"/>
    <n v="1"/>
    <x v="1"/>
    <n v="5077251.0936000003"/>
    <n v="5077251.0936000003"/>
    <n v="5.0772510936000002"/>
    <n v="5.0772510936000002"/>
  </r>
  <r>
    <s v="GR"/>
    <x v="0"/>
    <x v="0"/>
    <n v="281652901.30000001"/>
    <n v="209271148.09999999"/>
    <n v="43"/>
    <x v="1"/>
    <n v="380231416.75500005"/>
    <n v="282516049.935"/>
    <n v="380.23141675500005"/>
    <n v="282.51604993500001"/>
  </r>
  <r>
    <s v="GT"/>
    <x v="0"/>
    <x v="0"/>
    <n v="13445853.439999999"/>
    <n v="13445853.439999999"/>
    <n v="10"/>
    <x v="1"/>
    <n v="18151902.144000001"/>
    <n v="18151902.144000001"/>
    <n v="18.151902144000001"/>
    <n v="18.151902144000001"/>
  </r>
  <r>
    <s v="HK"/>
    <x v="0"/>
    <x v="0"/>
    <n v="103903349.8"/>
    <n v="83998644.920000002"/>
    <n v="31"/>
    <x v="1"/>
    <n v="140269522.23000002"/>
    <n v="113398170.642"/>
    <n v="140.26952223000001"/>
    <n v="113.39817064200001"/>
  </r>
  <r>
    <s v="HN"/>
    <x v="0"/>
    <x v="0"/>
    <n v="2133373.7659999998"/>
    <n v="2133373.7659999998"/>
    <n v="1"/>
    <x v="1"/>
    <n v="2880054.5841000001"/>
    <n v="2880054.5841000001"/>
    <n v="2.8800545841000003"/>
    <n v="2.8800545841000003"/>
  </r>
  <r>
    <s v="HU"/>
    <x v="0"/>
    <x v="0"/>
    <n v="4368800"/>
    <n v="4368800"/>
    <n v="1"/>
    <x v="1"/>
    <n v="5897880"/>
    <n v="5897880"/>
    <n v="5.8978799999999998"/>
    <n v="5.8978799999999998"/>
  </r>
  <r>
    <s v="ID"/>
    <x v="0"/>
    <x v="0"/>
    <n v="6355328.2379999999"/>
    <n v="3497181.3969999999"/>
    <n v="3"/>
    <x v="1"/>
    <n v="8579693.1213000007"/>
    <n v="4721194.88595"/>
    <n v="8.5796931213000001"/>
    <n v="4.7211948859500001"/>
  </r>
  <r>
    <s v="IE"/>
    <x v="0"/>
    <x v="0"/>
    <n v="310615190.89999998"/>
    <n v="210109419.40000001"/>
    <n v="60"/>
    <x v="1"/>
    <n v="419330507.71499997"/>
    <n v="283647716.19"/>
    <n v="419.33050771499995"/>
    <n v="283.64771618999998"/>
  </r>
  <r>
    <s v="IL"/>
    <x v="0"/>
    <x v="0"/>
    <n v="118255692.5"/>
    <n v="88344175.709999993"/>
    <n v="38"/>
    <x v="1"/>
    <n v="159645184.875"/>
    <n v="119264637.2085"/>
    <n v="159.64518487500001"/>
    <n v="119.26463720849999"/>
  </r>
  <r>
    <s v="IM"/>
    <x v="0"/>
    <x v="0"/>
    <n v="712941"/>
    <n v="712941"/>
    <n v="1"/>
    <x v="1"/>
    <n v="962470.35000000009"/>
    <n v="962470.35000000009"/>
    <n v="0.96247035000000014"/>
    <n v="0.96247035000000014"/>
  </r>
  <r>
    <s v="IN"/>
    <x v="0"/>
    <x v="0"/>
    <n v="15613768.34"/>
    <n v="7862072.3159999996"/>
    <n v="2"/>
    <x v="1"/>
    <n v="21078587.259"/>
    <n v="10613797.626600001"/>
    <n v="21.078587258999999"/>
    <n v="10.6137976266"/>
  </r>
  <r>
    <s v="IS"/>
    <x v="0"/>
    <x v="0"/>
    <n v="5543424.1880000001"/>
    <n v="5543424.1880000001"/>
    <n v="4"/>
    <x v="1"/>
    <n v="7483622.6538000004"/>
    <n v="7483622.6538000004"/>
    <n v="7.4836226538000004"/>
    <n v="7.4836226538000004"/>
  </r>
  <r>
    <s v="IT"/>
    <x v="0"/>
    <x v="0"/>
    <n v="1171699364"/>
    <n v="824655516.10000002"/>
    <n v="206"/>
    <x v="1"/>
    <n v="1581794141.4000001"/>
    <n v="1113284946.7350001"/>
    <n v="1581.7941414000002"/>
    <n v="1113.2849467350002"/>
  </r>
  <r>
    <s v="JO"/>
    <x v="0"/>
    <x v="0"/>
    <n v="5001"/>
    <n v="5001"/>
    <n v="1"/>
    <x v="1"/>
    <n v="6751.35"/>
    <n v="6751.35"/>
    <n v="6.7513500000000006E-3"/>
    <n v="6.7513500000000006E-3"/>
  </r>
  <r>
    <s v="JP"/>
    <x v="0"/>
    <x v="0"/>
    <n v="83586974.900000006"/>
    <n v="47547711"/>
    <n v="10"/>
    <x v="1"/>
    <n v="112842416.11500001"/>
    <n v="64189409.850000001"/>
    <n v="112.84241611500001"/>
    <n v="64.189409850000004"/>
  </r>
  <r>
    <s v="KE"/>
    <x v="0"/>
    <x v="0"/>
    <n v="507679.11670000001"/>
    <n v="253839.55840000001"/>
    <n v="1"/>
    <x v="1"/>
    <n v="685366.80754500011"/>
    <n v="342683.40384000004"/>
    <n v="0.68536680754500012"/>
    <n v="0.34268340384000007"/>
  </r>
  <r>
    <s v="KR"/>
    <x v="0"/>
    <x v="0"/>
    <n v="146853.97640000001"/>
    <n v="128615.1341"/>
    <n v="2"/>
    <x v="1"/>
    <n v="198252.86814000004"/>
    <n v="173630.43103500002"/>
    <n v="0.19825286814000004"/>
    <n v="0.173630431035"/>
  </r>
  <r>
    <s v="KY"/>
    <x v="0"/>
    <x v="0"/>
    <n v="3716311.9180000001"/>
    <n v="3614964.1239999998"/>
    <n v="2"/>
    <x v="1"/>
    <n v="5017021.0893000001"/>
    <n v="4880201.5674000001"/>
    <n v="5.0170210893"/>
    <n v="4.8802015674000003"/>
  </r>
  <r>
    <s v="LB"/>
    <x v="0"/>
    <x v="0"/>
    <n v="25253041.309999999"/>
    <n v="21559536.600000001"/>
    <n v="9"/>
    <x v="1"/>
    <n v="34091605.7685"/>
    <n v="29105374.410000004"/>
    <n v="34.091605768500003"/>
    <n v="29.105374410000003"/>
  </r>
  <r>
    <s v="LI"/>
    <x v="0"/>
    <x v="0"/>
    <n v="11747642.029999999"/>
    <n v="11747642.029999999"/>
    <n v="4"/>
    <x v="1"/>
    <n v="15859316.740499999"/>
    <n v="15859316.740499999"/>
    <n v="15.859316740499999"/>
    <n v="15.859316740499999"/>
  </r>
  <r>
    <s v="LT"/>
    <x v="0"/>
    <x v="0"/>
    <n v="3637140"/>
    <n v="3637140"/>
    <n v="4"/>
    <x v="1"/>
    <n v="4910139"/>
    <n v="4910139"/>
    <n v="4.910139"/>
    <n v="4.910139"/>
  </r>
  <r>
    <s v="LU"/>
    <x v="0"/>
    <x v="0"/>
    <n v="15425010.84"/>
    <n v="15425010.84"/>
    <n v="4"/>
    <x v="1"/>
    <n v="20823764.634"/>
    <n v="20823764.634"/>
    <n v="20.823764634"/>
    <n v="20.823764634"/>
  </r>
  <r>
    <s v="MA"/>
    <x v="0"/>
    <x v="0"/>
    <n v="636050.80550000002"/>
    <n v="636050.80550000002"/>
    <n v="2"/>
    <x v="1"/>
    <n v="858668.58742500003"/>
    <n v="858668.58742500003"/>
    <n v="0.85866858742500007"/>
    <n v="0.85866858742500007"/>
  </r>
  <r>
    <s v="MC"/>
    <x v="0"/>
    <x v="0"/>
    <n v="338920050.39999998"/>
    <n v="202397157.59999999"/>
    <n v="43"/>
    <x v="1"/>
    <n v="457542068.04000002"/>
    <n v="273236162.75999999"/>
    <n v="457.54206804"/>
    <n v="273.23616276000001"/>
  </r>
  <r>
    <s v="MT"/>
    <x v="0"/>
    <x v="0"/>
    <n v="1199276"/>
    <n v="1199276"/>
    <n v="2"/>
    <x v="1"/>
    <n v="1619022.6"/>
    <n v="1619022.6"/>
    <n v="1.6190226000000001"/>
    <n v="1.6190226000000001"/>
  </r>
  <r>
    <s v="MX"/>
    <x v="0"/>
    <x v="0"/>
    <n v="22688725.59"/>
    <n v="22688725.59"/>
    <n v="13"/>
    <x v="1"/>
    <n v="30629779.546500001"/>
    <n v="30629779.546500001"/>
    <n v="30.6297795465"/>
    <n v="30.6297795465"/>
  </r>
  <r>
    <s v="MY"/>
    <x v="0"/>
    <x v="0"/>
    <n v="3683494.0359999998"/>
    <n v="1841747.0179999999"/>
    <n v="1"/>
    <x v="1"/>
    <n v="4972716.9485999998"/>
    <n v="2486358.4742999999"/>
    <n v="4.9727169485999996"/>
    <n v="2.4863584742999998"/>
  </r>
  <r>
    <s v="NG"/>
    <x v="0"/>
    <x v="0"/>
    <n v="1542234.42"/>
    <n v="790117.20990000002"/>
    <n v="2"/>
    <x v="1"/>
    <n v="2082016.4669999999"/>
    <n v="1066658.233365"/>
    <n v="2.0820164669999999"/>
    <n v="1.0666582333650001"/>
  </r>
  <r>
    <s v="NL"/>
    <x v="0"/>
    <x v="0"/>
    <n v="51013102.479999997"/>
    <n v="43391627.579999998"/>
    <n v="23"/>
    <x v="1"/>
    <n v="68867688.348000005"/>
    <n v="58578697.233000003"/>
    <n v="68.867688348000001"/>
    <n v="58.578697233"/>
  </r>
  <r>
    <s v="NO"/>
    <x v="0"/>
    <x v="0"/>
    <n v="161170551.5"/>
    <n v="93631415.329999998"/>
    <n v="17"/>
    <x v="1"/>
    <n v="217580244.52500001"/>
    <n v="126402410.6955"/>
    <n v="217.58024452500001"/>
    <n v="126.4024106955"/>
  </r>
  <r>
    <s v="NZ"/>
    <x v="0"/>
    <x v="0"/>
    <n v="9412113.3819999993"/>
    <n v="9412113.3819999993"/>
    <n v="11"/>
    <x v="1"/>
    <n v="12706353.0657"/>
    <n v="12706353.0657"/>
    <n v="12.7063530657"/>
    <n v="12.7063530657"/>
  </r>
  <r>
    <s v="PA"/>
    <x v="0"/>
    <x v="0"/>
    <n v="8016098.6179999998"/>
    <n v="8016098.6179999998"/>
    <n v="7"/>
    <x v="1"/>
    <n v="10821733.134300001"/>
    <n v="10821733.134300001"/>
    <n v="10.821733134300001"/>
    <n v="10.821733134300001"/>
  </r>
  <r>
    <s v="PE"/>
    <x v="0"/>
    <x v="0"/>
    <n v="147443397.5"/>
    <n v="114492018.5"/>
    <n v="40"/>
    <x v="1"/>
    <n v="199048586.625"/>
    <n v="154564224.97500002"/>
    <n v="199.04858662500001"/>
    <n v="154.56422497500003"/>
  </r>
  <r>
    <s v="PH"/>
    <x v="0"/>
    <x v="0"/>
    <n v="169226.37220000001"/>
    <n v="84613.186119999998"/>
    <n v="1"/>
    <x v="1"/>
    <n v="228455.60247000004"/>
    <n v="114227.80126200001"/>
    <n v="0.22845560247000005"/>
    <n v="0.11422780126200001"/>
  </r>
  <r>
    <s v="PL"/>
    <x v="0"/>
    <x v="0"/>
    <n v="11831807.32"/>
    <n v="11831807.32"/>
    <n v="6"/>
    <x v="1"/>
    <n v="15972939.882000001"/>
    <n v="15972939.882000001"/>
    <n v="15.972939882"/>
    <n v="15.972939882"/>
  </r>
  <r>
    <s v="PR"/>
    <x v="0"/>
    <x v="0"/>
    <n v="5830505.3020000001"/>
    <n v="5830505.3020000001"/>
    <n v="2"/>
    <x v="1"/>
    <n v="7871182.1577000003"/>
    <n v="7871182.1577000003"/>
    <n v="7.8711821577000007"/>
    <n v="7.8711821577000007"/>
  </r>
  <r>
    <s v="PT"/>
    <x v="0"/>
    <x v="0"/>
    <n v="115973936.59999999"/>
    <n v="49767654.609999999"/>
    <n v="12"/>
    <x v="1"/>
    <n v="156564814.41"/>
    <n v="67186333.723499998"/>
    <n v="156.56481441"/>
    <n v="67.186333723499999"/>
  </r>
  <r>
    <s v="QA"/>
    <x v="0"/>
    <x v="0"/>
    <n v="389545.22560000001"/>
    <n v="388426.24780000001"/>
    <n v="2"/>
    <x v="1"/>
    <n v="525886.05456000008"/>
    <n v="524375.43453000009"/>
    <n v="0.52588605456000004"/>
    <n v="0.52437543453000013"/>
  </r>
  <r>
    <s v="RO"/>
    <x v="0"/>
    <x v="0"/>
    <n v="4000"/>
    <n v="4000"/>
    <n v="1"/>
    <x v="1"/>
    <n v="5400"/>
    <n v="5400"/>
    <n v="5.4000000000000003E-3"/>
    <n v="5.4000000000000003E-3"/>
  </r>
  <r>
    <s v="SA"/>
    <x v="0"/>
    <x v="0"/>
    <n v="12947615.859999999"/>
    <n v="6483807.932"/>
    <n v="2"/>
    <x v="1"/>
    <n v="17479281.411000002"/>
    <n v="8753140.7082000002"/>
    <n v="17.479281411000002"/>
    <n v="8.7531407082000001"/>
  </r>
  <r>
    <s v="SC"/>
    <x v="0"/>
    <x v="0"/>
    <n v="485674.04739999998"/>
    <n v="242837.02369999999"/>
    <n v="1"/>
    <x v="1"/>
    <n v="655659.96398999996"/>
    <n v="327829.98199499998"/>
    <n v="0.65565996398999993"/>
    <n v="0.32782998199499996"/>
  </r>
  <r>
    <s v="SE"/>
    <x v="0"/>
    <x v="0"/>
    <n v="2694309251"/>
    <n v="2430519957"/>
    <n v="462"/>
    <x v="1"/>
    <n v="3637317488.8500004"/>
    <n v="3281201941.9500003"/>
    <n v="3637.3174888500002"/>
    <n v="3281.2019419500002"/>
  </r>
  <r>
    <s v="SG"/>
    <x v="0"/>
    <x v="0"/>
    <n v="75340142.260000005"/>
    <n v="42846654.590000004"/>
    <n v="15"/>
    <x v="1"/>
    <n v="101709192.05100001"/>
    <n v="57842983.696500011"/>
    <n v="101.70919205100002"/>
    <n v="57.842983696500013"/>
  </r>
  <r>
    <s v="SK"/>
    <x v="0"/>
    <x v="0"/>
    <n v="7055894.3320000004"/>
    <n v="7055894.3320000004"/>
    <n v="2"/>
    <x v="1"/>
    <n v="9525457.3482000008"/>
    <n v="9525457.3482000008"/>
    <n v="9.5254573482000016"/>
    <n v="9.5254573482000016"/>
  </r>
  <r>
    <s v="SN"/>
    <x v="0"/>
    <x v="0"/>
    <n v="683280"/>
    <n v="341640"/>
    <n v="1"/>
    <x v="1"/>
    <n v="922428.00000000012"/>
    <n v="461214.00000000006"/>
    <n v="0.92242800000000014"/>
    <n v="0.46121400000000007"/>
  </r>
  <r>
    <s v="SV"/>
    <x v="0"/>
    <x v="0"/>
    <n v="2896398.3059999999"/>
    <n v="2896398.3059999999"/>
    <n v="4"/>
    <x v="1"/>
    <n v="3910137.7131000003"/>
    <n v="3910137.7131000003"/>
    <n v="3.9101377131000001"/>
    <n v="3.9101377131000001"/>
  </r>
  <r>
    <s v="TH"/>
    <x v="0"/>
    <x v="0"/>
    <n v="131620.5117"/>
    <n v="65810.255869999994"/>
    <n v="1"/>
    <x v="1"/>
    <n v="177687.690795"/>
    <n v="88843.845424500003"/>
    <n v="0.17768769079499999"/>
    <n v="8.8843845424500009E-2"/>
  </r>
  <r>
    <s v="TR"/>
    <x v="0"/>
    <x v="0"/>
    <n v="11289232.18"/>
    <n v="7970496.3760000002"/>
    <n v="3"/>
    <x v="1"/>
    <n v="15240463.443"/>
    <n v="10760170.107600002"/>
    <n v="15.240463442999999"/>
    <n v="10.760170107600002"/>
  </r>
  <r>
    <s v="TW"/>
    <x v="0"/>
    <x v="0"/>
    <n v="2583834.2749999999"/>
    <n v="1352806.4310000001"/>
    <n v="3"/>
    <x v="1"/>
    <n v="3488176.2712500002"/>
    <n v="1826288.6818500003"/>
    <n v="3.4881762712500004"/>
    <n v="1.8262886818500004"/>
  </r>
  <r>
    <s v="US"/>
    <x v="0"/>
    <x v="0"/>
    <n v="738973417.29999995"/>
    <n v="426252309.80000001"/>
    <n v="106"/>
    <x v="1"/>
    <n v="997614113.35500002"/>
    <n v="575440618.23000002"/>
    <n v="997.61411335499997"/>
    <n v="575.44061823000004"/>
  </r>
  <r>
    <s v="UY"/>
    <x v="0"/>
    <x v="0"/>
    <n v="4723077.2120000003"/>
    <n v="4723077.2120000003"/>
    <n v="3"/>
    <x v="1"/>
    <n v="6376154.2362000011"/>
    <n v="6376154.2362000011"/>
    <n v="6.3761542362000014"/>
    <n v="6.3761542362000014"/>
  </r>
  <r>
    <s v="VC"/>
    <x v="0"/>
    <x v="0"/>
    <n v="1800000"/>
    <n v="1800000"/>
    <n v="1"/>
    <x v="1"/>
    <n v="2430000"/>
    <n v="2430000"/>
    <n v="2.4300000000000002"/>
    <n v="2.4300000000000002"/>
  </r>
  <r>
    <s v="VN"/>
    <x v="0"/>
    <x v="0"/>
    <n v="11322"/>
    <n v="11322"/>
    <n v="1"/>
    <x v="1"/>
    <n v="15284.7"/>
    <n v="15284.7"/>
    <n v="1.52847E-2"/>
    <n v="1.52847E-2"/>
  </r>
  <r>
    <s v="ZA"/>
    <x v="0"/>
    <x v="0"/>
    <n v="161023016.80000001"/>
    <n v="146142616.40000001"/>
    <n v="26"/>
    <x v="1"/>
    <n v="217381072.68000004"/>
    <n v="197292532.14000002"/>
    <n v="217.38107268000005"/>
    <n v="197.29253214000002"/>
  </r>
  <r>
    <s v="AE"/>
    <x v="1"/>
    <x v="0"/>
    <n v="36000"/>
    <n v="36000"/>
    <n v="1"/>
    <x v="0"/>
    <n v="48600"/>
    <n v="48600"/>
    <n v="4.8599999999999997E-2"/>
    <n v="4.8599999999999997E-2"/>
  </r>
  <r>
    <s v="AU"/>
    <x v="1"/>
    <x v="0"/>
    <n v="108000"/>
    <n v="108000"/>
    <n v="1"/>
    <x v="0"/>
    <n v="145800"/>
    <n v="145800"/>
    <n v="0.14580000000000001"/>
    <n v="0.14580000000000001"/>
  </r>
  <r>
    <s v="CA"/>
    <x v="1"/>
    <x v="0"/>
    <n v="110000"/>
    <n v="110000"/>
    <n v="1"/>
    <x v="0"/>
    <n v="148500"/>
    <n v="148500"/>
    <n v="0.14849999999999999"/>
    <n v="0.14849999999999999"/>
  </r>
  <r>
    <s v="CO"/>
    <x v="1"/>
    <x v="0"/>
    <n v="185000"/>
    <n v="185000"/>
    <n v="1"/>
    <x v="0"/>
    <n v="249750.00000000003"/>
    <n v="249750.00000000003"/>
    <n v="0.24975000000000003"/>
    <n v="0.24975000000000003"/>
  </r>
  <r>
    <s v="IN"/>
    <x v="1"/>
    <x v="0"/>
    <n v="8000"/>
    <n v="8000"/>
    <n v="1"/>
    <x v="0"/>
    <n v="10800"/>
    <n v="10800"/>
    <n v="1.0800000000000001E-2"/>
    <n v="1.0800000000000001E-2"/>
  </r>
  <r>
    <s v="MX"/>
    <x v="1"/>
    <x v="0"/>
    <n v="200000"/>
    <n v="200000"/>
    <n v="1"/>
    <x v="0"/>
    <n v="270000"/>
    <n v="270000"/>
    <n v="0.27"/>
    <n v="0.27"/>
  </r>
  <r>
    <s v="SG"/>
    <x v="1"/>
    <x v="0"/>
    <n v="140000"/>
    <n v="140000"/>
    <n v="1"/>
    <x v="0"/>
    <n v="189000"/>
    <n v="189000"/>
    <n v="0.189"/>
    <n v="0.189"/>
  </r>
  <r>
    <s v="US"/>
    <x v="1"/>
    <x v="0"/>
    <n v="345000"/>
    <n v="345000"/>
    <n v="1"/>
    <x v="0"/>
    <n v="465750.00000000006"/>
    <n v="465750.00000000006"/>
    <n v="0.46575000000000005"/>
    <n v="0.46575000000000005"/>
  </r>
  <r>
    <s v="ZA"/>
    <x v="1"/>
    <x v="0"/>
    <n v="520000"/>
    <n v="520000"/>
    <n v="1"/>
    <x v="0"/>
    <n v="702000"/>
    <n v="702000"/>
    <n v="0.70199999999999996"/>
    <n v="0.70199999999999996"/>
  </r>
  <r>
    <s v="AE"/>
    <x v="1"/>
    <x v="0"/>
    <n v="36000"/>
    <n v="36000"/>
    <n v="1"/>
    <x v="1"/>
    <n v="48600"/>
    <n v="48600"/>
    <n v="4.8599999999999997E-2"/>
    <n v="4.8599999999999997E-2"/>
  </r>
  <r>
    <s v="AU"/>
    <x v="1"/>
    <x v="0"/>
    <n v="108000"/>
    <n v="108000"/>
    <n v="1"/>
    <x v="1"/>
    <n v="145800"/>
    <n v="145800"/>
    <n v="0.14580000000000001"/>
    <n v="0.14580000000000001"/>
  </r>
  <r>
    <s v="CA"/>
    <x v="1"/>
    <x v="0"/>
    <n v="110000"/>
    <n v="110000"/>
    <n v="1"/>
    <x v="1"/>
    <n v="148500"/>
    <n v="148500"/>
    <n v="0.14849999999999999"/>
    <n v="0.14849999999999999"/>
  </r>
  <r>
    <s v="CH"/>
    <x v="1"/>
    <x v="0"/>
    <n v="10994796.800000001"/>
    <n v="10994796.800000001"/>
    <n v="10"/>
    <x v="1"/>
    <n v="14842975.680000002"/>
    <n v="14842975.680000002"/>
    <n v="14.842975680000002"/>
    <n v="14.842975680000002"/>
  </r>
  <r>
    <s v="CO"/>
    <x v="1"/>
    <x v="0"/>
    <n v="185000"/>
    <n v="185000"/>
    <n v="1"/>
    <x v="1"/>
    <n v="249750.00000000003"/>
    <n v="249750.00000000003"/>
    <n v="0.24975000000000003"/>
    <n v="0.24975000000000003"/>
  </r>
  <r>
    <s v="GB"/>
    <x v="1"/>
    <x v="0"/>
    <n v="5578000"/>
    <n v="5578000"/>
    <n v="5"/>
    <x v="1"/>
    <n v="7530300.0000000009"/>
    <n v="7530300.0000000009"/>
    <n v="7.5303000000000013"/>
    <n v="7.5303000000000013"/>
  </r>
  <r>
    <s v="IN"/>
    <x v="1"/>
    <x v="0"/>
    <n v="8000"/>
    <n v="8000"/>
    <n v="1"/>
    <x v="1"/>
    <n v="10800"/>
    <n v="10800"/>
    <n v="1.0800000000000001E-2"/>
    <n v="1.0800000000000001E-2"/>
  </r>
  <r>
    <s v="MX"/>
    <x v="1"/>
    <x v="0"/>
    <n v="200000"/>
    <n v="200000"/>
    <n v="1"/>
    <x v="1"/>
    <n v="270000"/>
    <n v="270000"/>
    <n v="0.27"/>
    <n v="0.27"/>
  </r>
  <r>
    <s v="SG"/>
    <x v="1"/>
    <x v="0"/>
    <n v="212000"/>
    <n v="212000"/>
    <n v="2"/>
    <x v="1"/>
    <n v="286200"/>
    <n v="286200"/>
    <n v="0.28620000000000001"/>
    <n v="0.28620000000000001"/>
  </r>
  <r>
    <s v="US"/>
    <x v="1"/>
    <x v="0"/>
    <n v="2462700"/>
    <n v="2462700"/>
    <n v="3"/>
    <x v="1"/>
    <n v="3324645"/>
    <n v="3324645"/>
    <n v="3.3246449999999999"/>
    <n v="3.3246449999999999"/>
  </r>
  <r>
    <s v="ZA"/>
    <x v="1"/>
    <x v="0"/>
    <n v="520000"/>
    <n v="520000"/>
    <n v="1"/>
    <x v="1"/>
    <n v="702000"/>
    <n v="702000"/>
    <n v="0.70199999999999996"/>
    <n v="0.70199999999999996"/>
  </r>
  <r>
    <s v="AE"/>
    <x v="2"/>
    <x v="0"/>
    <n v="55056"/>
    <n v="55056"/>
    <n v="1"/>
    <x v="0"/>
    <n v="74325.600000000006"/>
    <n v="74325.600000000006"/>
    <n v="7.4325600000000006E-2"/>
    <n v="7.4325600000000006E-2"/>
  </r>
  <r>
    <s v="GB"/>
    <x v="2"/>
    <x v="0"/>
    <n v="7099946"/>
    <n v="7099946"/>
    <n v="15"/>
    <x v="0"/>
    <n v="9584927.1000000015"/>
    <n v="9584927.1000000015"/>
    <n v="9.5849271000000016"/>
    <n v="9.5849271000000016"/>
  </r>
  <r>
    <s v="GI"/>
    <x v="2"/>
    <x v="0"/>
    <n v="1314558"/>
    <n v="1314558"/>
    <n v="3"/>
    <x v="0"/>
    <n v="1774653.3"/>
    <n v="1774653.3"/>
    <n v="1.7746533"/>
    <n v="1.7746533"/>
  </r>
  <r>
    <s v="IM"/>
    <x v="2"/>
    <x v="0"/>
    <n v="4434700"/>
    <n v="4434700"/>
    <n v="1"/>
    <x v="0"/>
    <n v="5986845"/>
    <n v="5986845"/>
    <n v="5.9868449999999998"/>
    <n v="5.9868449999999998"/>
  </r>
  <r>
    <s v="JE"/>
    <x v="2"/>
    <x v="0"/>
    <n v="2156533.2000000002"/>
    <n v="2156533.2000000002"/>
    <n v="6"/>
    <x v="0"/>
    <n v="2911319.8200000003"/>
    <n v="2911319.8200000003"/>
    <n v="2.9113198200000001"/>
    <n v="2.9113198200000001"/>
  </r>
  <r>
    <s v="PK"/>
    <x v="2"/>
    <x v="0"/>
    <n v="17013.2"/>
    <n v="17013.2"/>
    <n v="1"/>
    <x v="0"/>
    <n v="22967.820000000003"/>
    <n v="22967.820000000003"/>
    <n v="2.2967820000000003E-2"/>
    <n v="2.2967820000000003E-2"/>
  </r>
  <r>
    <s v="SG"/>
    <x v="2"/>
    <x v="0"/>
    <n v="255000"/>
    <n v="255000"/>
    <n v="1"/>
    <x v="0"/>
    <n v="344250"/>
    <n v="344250"/>
    <n v="0.34425"/>
    <n v="0.34425"/>
  </r>
  <r>
    <s v="US"/>
    <x v="2"/>
    <x v="0"/>
    <n v="101000"/>
    <n v="101000"/>
    <n v="1"/>
    <x v="0"/>
    <n v="136350"/>
    <n v="136350"/>
    <n v="0.13635"/>
    <n v="0.13635"/>
  </r>
  <r>
    <s v="AU"/>
    <x v="2"/>
    <x v="0"/>
    <n v="151000"/>
    <n v="151000"/>
    <n v="3"/>
    <x v="1"/>
    <n v="203850"/>
    <n v="203850"/>
    <n v="0.20385"/>
    <n v="0.20385"/>
  </r>
  <r>
    <s v="CA"/>
    <x v="2"/>
    <x v="0"/>
    <n v="212000"/>
    <n v="212000"/>
    <n v="1"/>
    <x v="1"/>
    <n v="286200"/>
    <n v="286200"/>
    <n v="0.28620000000000001"/>
    <n v="0.28620000000000001"/>
  </r>
  <r>
    <s v="CH"/>
    <x v="2"/>
    <x v="0"/>
    <n v="218400"/>
    <n v="218400"/>
    <n v="1"/>
    <x v="1"/>
    <n v="294840"/>
    <n v="294840"/>
    <n v="0.29483999999999999"/>
    <n v="0.29483999999999999"/>
  </r>
  <r>
    <s v="GB"/>
    <x v="2"/>
    <x v="0"/>
    <n v="121288000000"/>
    <n v="121288000000"/>
    <n v="173171"/>
    <x v="1"/>
    <n v="163738800000"/>
    <n v="163738800000"/>
    <n v="163738.79999999999"/>
    <n v="163738.79999999999"/>
  </r>
  <r>
    <s v="GG"/>
    <x v="2"/>
    <x v="0"/>
    <n v="88198734.980000004"/>
    <n v="88198734.980000004"/>
    <n v="67"/>
    <x v="1"/>
    <n v="119068292.22300002"/>
    <n v="119068292.22300002"/>
    <n v="119.06829222300001"/>
    <n v="119.06829222300001"/>
  </r>
  <r>
    <s v="GI"/>
    <x v="2"/>
    <x v="0"/>
    <n v="2806992"/>
    <n v="2806992"/>
    <n v="4"/>
    <x v="1"/>
    <n v="3789439.2"/>
    <n v="3789439.2"/>
    <n v="3.7894392000000003"/>
    <n v="3.7894392000000003"/>
  </r>
  <r>
    <s v="HK"/>
    <x v="2"/>
    <x v="0"/>
    <n v="96000"/>
    <n v="96000"/>
    <n v="2"/>
    <x v="1"/>
    <n v="129600.00000000001"/>
    <n v="129600.00000000001"/>
    <n v="0.12960000000000002"/>
    <n v="0.12960000000000002"/>
  </r>
  <r>
    <s v="IM"/>
    <x v="2"/>
    <x v="0"/>
    <n v="198726910.09999999"/>
    <n v="198726910.09999999"/>
    <n v="184"/>
    <x v="1"/>
    <n v="268281328.63500002"/>
    <n v="268281328.63500002"/>
    <n v="268.28132863500002"/>
    <n v="268.28132863500002"/>
  </r>
  <r>
    <s v="IN"/>
    <x v="2"/>
    <x v="0"/>
    <n v="94000"/>
    <n v="94000"/>
    <n v="1"/>
    <x v="1"/>
    <n v="126900.00000000001"/>
    <n v="126900.00000000001"/>
    <n v="0.12690000000000001"/>
    <n v="0.12690000000000001"/>
  </r>
  <r>
    <s v="JE"/>
    <x v="2"/>
    <x v="0"/>
    <n v="123050348.8"/>
    <n v="123050348.8"/>
    <n v="179"/>
    <x v="1"/>
    <n v="166117970.88"/>
    <n v="166117970.88"/>
    <n v="166.11797088"/>
    <n v="166.11797088"/>
  </r>
  <r>
    <s v="JP"/>
    <x v="2"/>
    <x v="0"/>
    <n v="276000"/>
    <n v="276000"/>
    <n v="2"/>
    <x v="1"/>
    <n v="372600"/>
    <n v="372600"/>
    <n v="0.37259999999999999"/>
    <n v="0.37259999999999999"/>
  </r>
  <r>
    <s v="MK"/>
    <x v="2"/>
    <x v="0"/>
    <n v="109000"/>
    <n v="109000"/>
    <n v="1"/>
    <x v="1"/>
    <n v="147150"/>
    <n v="147150"/>
    <n v="0.14715"/>
    <n v="0.14715"/>
  </r>
  <r>
    <s v="SG"/>
    <x v="2"/>
    <x v="0"/>
    <n v="952584"/>
    <n v="952584"/>
    <n v="5"/>
    <x v="1"/>
    <n v="1285988.4000000001"/>
    <n v="1285988.4000000001"/>
    <n v="1.2859884000000001"/>
    <n v="1.2859884000000001"/>
  </r>
  <r>
    <s v="TH"/>
    <x v="2"/>
    <x v="0"/>
    <n v="20000"/>
    <n v="20000"/>
    <n v="1"/>
    <x v="1"/>
    <n v="27000"/>
    <n v="27000"/>
    <n v="2.7E-2"/>
    <n v="2.7E-2"/>
  </r>
  <r>
    <s v="TW"/>
    <x v="2"/>
    <x v="0"/>
    <n v="275000"/>
    <n v="275000"/>
    <n v="1"/>
    <x v="1"/>
    <n v="371250"/>
    <n v="371250"/>
    <n v="0.37125000000000002"/>
    <n v="0.37125000000000002"/>
  </r>
  <r>
    <s v="US"/>
    <x v="2"/>
    <x v="0"/>
    <n v="22746034"/>
    <n v="22746034"/>
    <n v="32"/>
    <x v="1"/>
    <n v="30707145.900000002"/>
    <n v="30707145.900000002"/>
    <n v="30.707145900000004"/>
    <n v="30.707145900000004"/>
  </r>
  <r>
    <s v="ZA"/>
    <x v="2"/>
    <x v="0"/>
    <n v="2075560"/>
    <n v="2075560"/>
    <n v="3"/>
    <x v="1"/>
    <n v="2802006"/>
    <n v="2802006"/>
    <n v="2.802006"/>
    <n v="2.802006"/>
  </r>
  <r>
    <s v="AE"/>
    <x v="3"/>
    <x v="0"/>
    <n v="719040.53020000004"/>
    <n v="719040.53020000004"/>
    <n v="1"/>
    <x v="0"/>
    <n v="970704.71577000013"/>
    <n v="970704.71577000013"/>
    <n v="0.97070471577000017"/>
    <n v="0.97070471577000017"/>
  </r>
  <r>
    <s v="BE"/>
    <x v="3"/>
    <x v="0"/>
    <n v="5588088.6780000003"/>
    <n v="5588088.6780000003"/>
    <n v="2"/>
    <x v="0"/>
    <n v="7543919.7153000012"/>
    <n v="7543919.7153000012"/>
    <n v="7.5439197153000013"/>
    <n v="7.5439197153000013"/>
  </r>
  <r>
    <s v="BR"/>
    <x v="3"/>
    <x v="0"/>
    <n v="28548158.059999999"/>
    <n v="27781750.629999999"/>
    <n v="3"/>
    <x v="0"/>
    <n v="38540013.380999997"/>
    <n v="37505363.350500003"/>
    <n v="38.540013380999994"/>
    <n v="37.505363350500005"/>
  </r>
  <r>
    <s v="CH"/>
    <x v="3"/>
    <x v="0"/>
    <n v="143985858.40000001"/>
    <n v="75833109.030000001"/>
    <n v="5"/>
    <x v="0"/>
    <n v="194380908.84000003"/>
    <n v="102374697.19050001"/>
    <n v="194.38090884000005"/>
    <n v="102.3746971905"/>
  </r>
  <r>
    <s v="CO"/>
    <x v="3"/>
    <x v="0"/>
    <n v="1016712.044"/>
    <n v="1016712.044"/>
    <n v="1"/>
    <x v="0"/>
    <n v="1372561.2594000001"/>
    <n v="1372561.2594000001"/>
    <n v="1.3725612594000001"/>
    <n v="1.3725612594000001"/>
  </r>
  <r>
    <s v="ES"/>
    <x v="3"/>
    <x v="0"/>
    <n v="24551141.809999999"/>
    <n v="24551141.809999999"/>
    <n v="2"/>
    <x v="0"/>
    <n v="33144041.443500001"/>
    <n v="33144041.443500001"/>
    <n v="33.144041443500001"/>
    <n v="33.144041443500001"/>
  </r>
  <r>
    <s v="FR"/>
    <x v="3"/>
    <x v="0"/>
    <n v="55746827.549999997"/>
    <n v="31311598"/>
    <n v="4"/>
    <x v="0"/>
    <n v="75258217.192499995"/>
    <n v="42270657.300000004"/>
    <n v="75.258217192499998"/>
    <n v="42.270657300000003"/>
  </r>
  <r>
    <s v="GB"/>
    <x v="3"/>
    <x v="0"/>
    <n v="148840795.19999999"/>
    <n v="75714983.239999995"/>
    <n v="5"/>
    <x v="0"/>
    <n v="200935073.52000001"/>
    <n v="102215227.374"/>
    <n v="200.93507352"/>
    <n v="102.21522737399999"/>
  </r>
  <r>
    <s v="GR"/>
    <x v="3"/>
    <x v="0"/>
    <n v="18549221.219999999"/>
    <n v="18549221.219999999"/>
    <n v="1"/>
    <x v="0"/>
    <n v="25041448.647"/>
    <n v="25041448.647"/>
    <n v="25.041448646999999"/>
    <n v="25.041448646999999"/>
  </r>
  <r>
    <s v="IL"/>
    <x v="3"/>
    <x v="0"/>
    <n v="973635.31149999995"/>
    <n v="973635.31149999995"/>
    <n v="1"/>
    <x v="0"/>
    <n v="1314407.670525"/>
    <n v="1314407.670525"/>
    <n v="1.3144076705250001"/>
    <n v="1.3144076705250001"/>
  </r>
  <r>
    <s v="IT"/>
    <x v="3"/>
    <x v="0"/>
    <n v="20857103.550000001"/>
    <n v="11670743.939999999"/>
    <n v="3"/>
    <x v="0"/>
    <n v="28157089.792500004"/>
    <n v="15755504.319"/>
    <n v="28.157089792500003"/>
    <n v="15.755504319"/>
  </r>
  <r>
    <s v="LB"/>
    <x v="3"/>
    <x v="0"/>
    <n v="1127054.3330000001"/>
    <n v="1127054.3330000001"/>
    <n v="2"/>
    <x v="0"/>
    <n v="1521523.3495500002"/>
    <n v="1521523.3495500002"/>
    <n v="1.5215233495500002"/>
    <n v="1.5215233495500002"/>
  </r>
  <r>
    <s v="MC"/>
    <x v="3"/>
    <x v="0"/>
    <n v="56759921.18"/>
    <n v="28379960.59"/>
    <n v="1"/>
    <x v="0"/>
    <n v="76625893.59300001"/>
    <n v="38312946.796500005"/>
    <n v="76.625893593000015"/>
    <n v="38.312946796500007"/>
  </r>
  <r>
    <s v="MX"/>
    <x v="3"/>
    <x v="0"/>
    <n v="16448885.43"/>
    <n v="16448885.43"/>
    <n v="3"/>
    <x v="0"/>
    <n v="22205995.330499999"/>
    <n v="22205995.330499999"/>
    <n v="22.205995330499999"/>
    <n v="22.205995330499999"/>
  </r>
  <r>
    <s v="PA"/>
    <x v="3"/>
    <x v="0"/>
    <n v="22262.669409999999"/>
    <n v="22262.669409999999"/>
    <n v="1"/>
    <x v="0"/>
    <n v="30054.603703500001"/>
    <n v="30054.603703500001"/>
    <n v="3.00546037035E-2"/>
    <n v="3.00546037035E-2"/>
  </r>
  <r>
    <s v="US"/>
    <x v="3"/>
    <x v="0"/>
    <n v="175292598.80000001"/>
    <n v="87273963.569999993"/>
    <n v="20"/>
    <x v="0"/>
    <n v="236645008.38000003"/>
    <n v="117819850.8195"/>
    <n v="236.64500838000004"/>
    <n v="117.8198508195"/>
  </r>
  <r>
    <s v="AE"/>
    <x v="3"/>
    <x v="0"/>
    <n v="787078520.10000002"/>
    <n v="787078520.10000002"/>
    <n v="279"/>
    <x v="1"/>
    <n v="1062556002.1350001"/>
    <n v="1062556002.1350001"/>
    <n v="1062.5560021350002"/>
    <n v="1062.5560021350002"/>
  </r>
  <r>
    <s v="AR"/>
    <x v="3"/>
    <x v="0"/>
    <n v="220017634.19999999"/>
    <n v="140477801.90000001"/>
    <n v="43"/>
    <x v="1"/>
    <n v="297023806.17000002"/>
    <n v="189645032.56500003"/>
    <n v="297.02380617"/>
    <n v="189.64503256500004"/>
  </r>
  <r>
    <s v="AT"/>
    <x v="3"/>
    <x v="0"/>
    <n v="10975035.949999999"/>
    <n v="10975035.949999999"/>
    <n v="5"/>
    <x v="1"/>
    <n v="14816298.532500001"/>
    <n v="14816298.532500001"/>
    <n v="14.816298532500001"/>
    <n v="14.816298532500001"/>
  </r>
  <r>
    <s v="BE"/>
    <x v="3"/>
    <x v="0"/>
    <n v="178447830.59999999"/>
    <n v="166364677.90000001"/>
    <n v="46"/>
    <x v="1"/>
    <n v="240904571.31"/>
    <n v="224592315.16500002"/>
    <n v="240.90457130999999"/>
    <n v="224.59231516500003"/>
  </r>
  <r>
    <s v="BH"/>
    <x v="3"/>
    <x v="0"/>
    <n v="36117049.75"/>
    <n v="18058524.870000001"/>
    <n v="1"/>
    <x v="1"/>
    <n v="48758017.162500001"/>
    <n v="24379008.574500002"/>
    <n v="48.758017162500003"/>
    <n v="24.379008574500002"/>
  </r>
  <r>
    <s v="BL"/>
    <x v="3"/>
    <x v="0"/>
    <n v="63704.327680000002"/>
    <n v="63704.327680000002"/>
    <n v="1"/>
    <x v="1"/>
    <n v="86000.842368000012"/>
    <n v="86000.842368000012"/>
    <n v="8.6000842368000013E-2"/>
    <n v="8.6000842368000013E-2"/>
  </r>
  <r>
    <s v="BM"/>
    <x v="3"/>
    <x v="0"/>
    <n v="1854336.6370000001"/>
    <n v="1854336.6370000001"/>
    <n v="3"/>
    <x v="1"/>
    <n v="2503354.4599500005"/>
    <n v="2503354.4599500005"/>
    <n v="2.5033544599500006"/>
    <n v="2.5033544599500006"/>
  </r>
  <r>
    <s v="BN"/>
    <x v="3"/>
    <x v="0"/>
    <n v="510902.81140000001"/>
    <n v="510902.81140000001"/>
    <n v="1"/>
    <x v="1"/>
    <n v="689718.7953900001"/>
    <n v="689718.7953900001"/>
    <n v="0.68971879539000014"/>
    <n v="0.68971879539000014"/>
  </r>
  <r>
    <s v="BR"/>
    <x v="3"/>
    <x v="0"/>
    <n v="104350136.5"/>
    <n v="90186641.260000005"/>
    <n v="34"/>
    <x v="1"/>
    <n v="140872684.27500001"/>
    <n v="121751965.70100002"/>
    <n v="140.87268427500001"/>
    <n v="121.75196570100002"/>
  </r>
  <r>
    <s v="BS"/>
    <x v="3"/>
    <x v="0"/>
    <n v="307121.1447"/>
    <n v="307121.1447"/>
    <n v="4"/>
    <x v="1"/>
    <n v="414613.54534500005"/>
    <n v="414613.54534500005"/>
    <n v="0.41461354534500006"/>
    <n v="0.41461354534500006"/>
  </r>
  <r>
    <s v="CA"/>
    <x v="3"/>
    <x v="0"/>
    <n v="7558346.1600000001"/>
    <n v="7558346.1600000001"/>
    <n v="4"/>
    <x v="1"/>
    <n v="10203767.316000002"/>
    <n v="10203767.316000002"/>
    <n v="10.203767316000002"/>
    <n v="10.203767316000002"/>
  </r>
  <r>
    <s v="CH"/>
    <x v="3"/>
    <x v="0"/>
    <n v="647581192.39999998"/>
    <n v="477046169"/>
    <n v="128"/>
    <x v="1"/>
    <n v="874234609.74000001"/>
    <n v="644012328.1500001"/>
    <n v="874.23460974"/>
    <n v="644.01232815000014"/>
  </r>
  <r>
    <s v="CL"/>
    <x v="3"/>
    <x v="0"/>
    <n v="33744152.289999999"/>
    <n v="19865822.289999999"/>
    <n v="7"/>
    <x v="1"/>
    <n v="45554605.591499999"/>
    <n v="26818860.091499999"/>
    <n v="45.5546055915"/>
    <n v="26.818860091499999"/>
  </r>
  <r>
    <s v="CN"/>
    <x v="3"/>
    <x v="0"/>
    <n v="2901471.1409999998"/>
    <n v="2901471.1409999998"/>
    <n v="10"/>
    <x v="1"/>
    <n v="3916986.0403499999"/>
    <n v="3916986.0403499999"/>
    <n v="3.9169860403499999"/>
    <n v="3.9169860403499999"/>
  </r>
  <r>
    <s v="CO"/>
    <x v="3"/>
    <x v="0"/>
    <n v="26631650.899999999"/>
    <n v="26631650.899999999"/>
    <n v="20"/>
    <x v="1"/>
    <n v="35952728.715000004"/>
    <n v="35952728.715000004"/>
    <n v="35.952728715000006"/>
    <n v="35.952728715000006"/>
  </r>
  <r>
    <s v="CR"/>
    <x v="3"/>
    <x v="0"/>
    <n v="4187036.5079999999"/>
    <n v="4187036.5079999999"/>
    <n v="3"/>
    <x v="1"/>
    <n v="5652499.2858000007"/>
    <n v="5652499.2858000007"/>
    <n v="5.6524992858000003"/>
    <n v="5.6524992858000003"/>
  </r>
  <r>
    <s v="CY"/>
    <x v="3"/>
    <x v="0"/>
    <n v="13452560.01"/>
    <n v="13452560.01"/>
    <n v="3"/>
    <x v="1"/>
    <n v="18160956.013500001"/>
    <n v="18160956.013500001"/>
    <n v="18.160956013500002"/>
    <n v="18.160956013500002"/>
  </r>
  <r>
    <s v="CZ"/>
    <x v="3"/>
    <x v="0"/>
    <n v="2316867.8930000002"/>
    <n v="2316867.8930000002"/>
    <n v="2"/>
    <x v="1"/>
    <n v="3127771.6555500003"/>
    <n v="3127771.6555500003"/>
    <n v="3.1277716555500001"/>
    <n v="3.1277716555500001"/>
  </r>
  <r>
    <s v="DE"/>
    <x v="3"/>
    <x v="0"/>
    <n v="78023232.819999993"/>
    <n v="63972400.979999997"/>
    <n v="25"/>
    <x v="1"/>
    <n v="105331364.307"/>
    <n v="86362741.322999999"/>
    <n v="105.331364307"/>
    <n v="86.362741322999995"/>
  </r>
  <r>
    <s v="DK"/>
    <x v="3"/>
    <x v="0"/>
    <n v="915059.83490000002"/>
    <n v="915059.83490000002"/>
    <n v="2"/>
    <x v="1"/>
    <n v="1235330.7771150002"/>
    <n v="1235330.7771150002"/>
    <n v="1.2353307771150002"/>
    <n v="1.2353307771150002"/>
  </r>
  <r>
    <s v="DO"/>
    <x v="3"/>
    <x v="0"/>
    <n v="31309524.300000001"/>
    <n v="31309524.300000001"/>
    <n v="4"/>
    <x v="1"/>
    <n v="42267857.805000007"/>
    <n v="42267857.805000007"/>
    <n v="42.267857805000006"/>
    <n v="42.267857805000006"/>
  </r>
  <r>
    <s v="EC"/>
    <x v="3"/>
    <x v="0"/>
    <n v="2710341.912"/>
    <n v="2710341.912"/>
    <n v="5"/>
    <x v="1"/>
    <n v="3658961.5812000004"/>
    <n v="3658961.5812000004"/>
    <n v="3.6589615812000003"/>
    <n v="3.6589615812000003"/>
  </r>
  <r>
    <s v="ES"/>
    <x v="3"/>
    <x v="0"/>
    <n v="140190949.69999999"/>
    <n v="132146400.40000001"/>
    <n v="53"/>
    <x v="1"/>
    <n v="189257782.095"/>
    <n v="178397640.54000002"/>
    <n v="189.25778209500001"/>
    <n v="178.39764054000003"/>
  </r>
  <r>
    <s v="FI"/>
    <x v="3"/>
    <x v="0"/>
    <n v="311280.25390000001"/>
    <n v="311280.25390000001"/>
    <n v="2"/>
    <x v="1"/>
    <n v="420228.34276500007"/>
    <n v="420228.34276500007"/>
    <n v="0.42022834276500004"/>
    <n v="0.42022834276500004"/>
  </r>
  <r>
    <s v="FR"/>
    <x v="3"/>
    <x v="0"/>
    <n v="1194735298"/>
    <n v="899813220.70000005"/>
    <n v="242"/>
    <x v="1"/>
    <n v="1612892652.3000002"/>
    <n v="1214747847.9450002"/>
    <n v="1612.8926523000002"/>
    <n v="1214.7478479450001"/>
  </r>
  <r>
    <s v="GB"/>
    <x v="3"/>
    <x v="0"/>
    <n v="1251298742"/>
    <n v="989829977.20000005"/>
    <n v="267"/>
    <x v="1"/>
    <n v="1689253301.7"/>
    <n v="1336270469.2200003"/>
    <n v="1689.2533017000001"/>
    <n v="1336.2704692200002"/>
  </r>
  <r>
    <s v="GI"/>
    <x v="3"/>
    <x v="0"/>
    <n v="64893037.649999999"/>
    <n v="32446518.829999998"/>
    <n v="1"/>
    <x v="1"/>
    <n v="87605600.827500001"/>
    <n v="43802800.420500003"/>
    <n v="87.605600827499998"/>
    <n v="43.802800420500006"/>
  </r>
  <r>
    <s v="GR"/>
    <x v="3"/>
    <x v="0"/>
    <n v="137250550.59999999"/>
    <n v="118380197"/>
    <n v="29"/>
    <x v="1"/>
    <n v="185288243.31"/>
    <n v="159813265.95000002"/>
    <n v="185.28824331000001"/>
    <n v="159.81326595000002"/>
  </r>
  <r>
    <s v="GT"/>
    <x v="3"/>
    <x v="0"/>
    <n v="31380321.609999999"/>
    <n v="31380321.609999999"/>
    <n v="4"/>
    <x v="1"/>
    <n v="42363434.173500001"/>
    <n v="42363434.173500001"/>
    <n v="42.363434173500004"/>
    <n v="42.363434173500004"/>
  </r>
  <r>
    <s v="HK"/>
    <x v="3"/>
    <x v="0"/>
    <n v="39769245.259999998"/>
    <n v="30005127.27"/>
    <n v="13"/>
    <x v="1"/>
    <n v="53688481.101000004"/>
    <n v="40506921.814500004"/>
    <n v="53.688481101000001"/>
    <n v="40.506921814500004"/>
  </r>
  <r>
    <s v="HU"/>
    <x v="3"/>
    <x v="0"/>
    <n v="3708462.3429999999"/>
    <n v="3708462.3429999999"/>
    <n v="2"/>
    <x v="1"/>
    <n v="5006424.1630500006"/>
    <n v="5006424.1630500006"/>
    <n v="5.0064241630500002"/>
    <n v="5.0064241630500002"/>
  </r>
  <r>
    <s v="IE"/>
    <x v="3"/>
    <x v="0"/>
    <n v="9256595.0069999993"/>
    <n v="9256595.0069999993"/>
    <n v="3"/>
    <x v="1"/>
    <n v="12496403.25945"/>
    <n v="12496403.25945"/>
    <n v="12.49640325945"/>
    <n v="12.49640325945"/>
  </r>
  <r>
    <s v="IL"/>
    <x v="3"/>
    <x v="0"/>
    <n v="23608335.440000001"/>
    <n v="23608335.440000001"/>
    <n v="23"/>
    <x v="1"/>
    <n v="31871252.844000004"/>
    <n v="31871252.844000004"/>
    <n v="31.871252844000004"/>
    <n v="31.871252844000004"/>
  </r>
  <r>
    <s v="IN"/>
    <x v="3"/>
    <x v="0"/>
    <n v="113009.3714"/>
    <n v="113009.3714"/>
    <n v="1"/>
    <x v="1"/>
    <n v="152562.65139000001"/>
    <n v="152562.65139000001"/>
    <n v="0.15256265139000003"/>
    <n v="0.15256265139000003"/>
  </r>
  <r>
    <s v="IS"/>
    <x v="3"/>
    <x v="0"/>
    <n v="220671.1894"/>
    <n v="220671.1894"/>
    <n v="1"/>
    <x v="1"/>
    <n v="297906.10569"/>
    <n v="297906.10569"/>
    <n v="0.29790610568999998"/>
    <n v="0.29790610568999998"/>
  </r>
  <r>
    <s v="IT"/>
    <x v="3"/>
    <x v="0"/>
    <n v="324243751.60000002"/>
    <n v="233175880.19999999"/>
    <n v="84"/>
    <x v="1"/>
    <n v="437729064.66000009"/>
    <n v="314787438.26999998"/>
    <n v="437.72906466000006"/>
    <n v="314.78743827"/>
  </r>
  <r>
    <s v="JE"/>
    <x v="3"/>
    <x v="0"/>
    <n v="8328826.5470000003"/>
    <n v="8328826.5470000003"/>
    <n v="2"/>
    <x v="1"/>
    <n v="11243915.838450002"/>
    <n v="11243915.838450002"/>
    <n v="11.243915838450002"/>
    <n v="11.243915838450002"/>
  </r>
  <r>
    <s v="JO"/>
    <x v="3"/>
    <x v="0"/>
    <n v="25251.31493"/>
    <n v="25251.31493"/>
    <n v="1"/>
    <x v="1"/>
    <n v="34089.2751555"/>
    <n v="34089.2751555"/>
    <n v="3.4089275155499997E-2"/>
    <n v="3.4089275155499997E-2"/>
  </r>
  <r>
    <s v="JP"/>
    <x v="3"/>
    <x v="0"/>
    <n v="183525417"/>
    <n v="107035050.90000001"/>
    <n v="42"/>
    <x v="1"/>
    <n v="247759312.95000002"/>
    <n v="144497318.715"/>
    <n v="247.75931295000001"/>
    <n v="144.49731871500001"/>
  </r>
  <r>
    <s v="KE"/>
    <x v="3"/>
    <x v="0"/>
    <n v="200905.5491"/>
    <n v="200905.5491"/>
    <n v="1"/>
    <x v="1"/>
    <n v="271222.491285"/>
    <n v="271222.491285"/>
    <n v="0.27122249128499998"/>
    <n v="0.27122249128499998"/>
  </r>
  <r>
    <s v="KR"/>
    <x v="3"/>
    <x v="0"/>
    <n v="13972198.74"/>
    <n v="13972198.74"/>
    <n v="22"/>
    <x v="1"/>
    <n v="18862468.299000002"/>
    <n v="18862468.299000002"/>
    <n v="18.862468299000003"/>
    <n v="18.862468299000003"/>
  </r>
  <r>
    <s v="LB"/>
    <x v="3"/>
    <x v="0"/>
    <n v="25744511.739999998"/>
    <n v="25744511.739999998"/>
    <n v="8"/>
    <x v="1"/>
    <n v="34755090.848999999"/>
    <n v="34755090.848999999"/>
    <n v="34.755090848999998"/>
    <n v="34.755090848999998"/>
  </r>
  <r>
    <s v="LK"/>
    <x v="3"/>
    <x v="0"/>
    <n v="83045.021739999996"/>
    <n v="83045.021739999996"/>
    <n v="1"/>
    <x v="1"/>
    <n v="112110.779349"/>
    <n v="112110.779349"/>
    <n v="0.112110779349"/>
    <n v="0.112110779349"/>
  </r>
  <r>
    <s v="LU"/>
    <x v="3"/>
    <x v="0"/>
    <n v="5471783.9230000004"/>
    <n v="5471783.9230000004"/>
    <n v="2"/>
    <x v="1"/>
    <n v="7386908.2960500009"/>
    <n v="7386908.2960500009"/>
    <n v="7.3869082960500005"/>
    <n v="7.3869082960500005"/>
  </r>
  <r>
    <s v="MA"/>
    <x v="3"/>
    <x v="0"/>
    <n v="77594712.230000004"/>
    <n v="77380982.920000002"/>
    <n v="9"/>
    <x v="1"/>
    <n v="104752861.51050001"/>
    <n v="104464326.94200002"/>
    <n v="104.75286151050001"/>
    <n v="104.46432694200001"/>
  </r>
  <r>
    <s v="MC"/>
    <x v="3"/>
    <x v="0"/>
    <n v="79939924.409999996"/>
    <n v="51559963.82"/>
    <n v="12"/>
    <x v="1"/>
    <n v="107918897.9535"/>
    <n v="69605951.157000005"/>
    <n v="107.91889795350001"/>
    <n v="69.605951157000007"/>
  </r>
  <r>
    <s v="MU"/>
    <x v="3"/>
    <x v="0"/>
    <n v="2066021.5260000001"/>
    <n v="2066021.5260000001"/>
    <n v="1"/>
    <x v="1"/>
    <n v="2789129.0601000004"/>
    <n v="2789129.0601000004"/>
    <n v="2.7891290601000005"/>
    <n v="2.7891290601000005"/>
  </r>
  <r>
    <s v="MX"/>
    <x v="3"/>
    <x v="0"/>
    <n v="263034815.80000001"/>
    <n v="239889344.5"/>
    <n v="90"/>
    <x v="1"/>
    <n v="355097001.33000004"/>
    <n v="323850615.07500005"/>
    <n v="355.09700133000007"/>
    <n v="323.85061507500006"/>
  </r>
  <r>
    <s v="MY"/>
    <x v="3"/>
    <x v="0"/>
    <n v="353495.08870000002"/>
    <n v="353495.08870000002"/>
    <n v="1"/>
    <x v="1"/>
    <n v="477218.36974500003"/>
    <n v="477218.36974500003"/>
    <n v="0.47721836974500004"/>
    <n v="0.47721836974500004"/>
  </r>
  <r>
    <s v="NL"/>
    <x v="3"/>
    <x v="0"/>
    <n v="22920435.969999999"/>
    <n v="17046919.489999998"/>
    <n v="13"/>
    <x v="1"/>
    <n v="30942588.559500001"/>
    <n v="23013341.311499998"/>
    <n v="30.942588559500003"/>
    <n v="23.0133413115"/>
  </r>
  <r>
    <s v="NO"/>
    <x v="3"/>
    <x v="0"/>
    <n v="761095.80920000002"/>
    <n v="761095.80920000002"/>
    <n v="2"/>
    <x v="1"/>
    <n v="1027479.3424200001"/>
    <n v="1027479.3424200001"/>
    <n v="1.0274793424200002"/>
    <n v="1.0274793424200002"/>
  </r>
  <r>
    <s v="NZ"/>
    <x v="3"/>
    <x v="0"/>
    <n v="5695863.3550000004"/>
    <n v="5695863.3550000004"/>
    <n v="5"/>
    <x v="1"/>
    <n v="7689415.5292500015"/>
    <n v="7689415.5292500015"/>
    <n v="7.6894155292500015"/>
    <n v="7.6894155292500015"/>
  </r>
  <r>
    <s v="OM"/>
    <x v="3"/>
    <x v="0"/>
    <n v="3570559.5759999999"/>
    <n v="3570559.5759999999"/>
    <n v="2"/>
    <x v="1"/>
    <n v="4820255.4276000001"/>
    <n v="4820255.4276000001"/>
    <n v="4.8202554276000003"/>
    <n v="4.8202554276000003"/>
  </r>
  <r>
    <s v="PA"/>
    <x v="3"/>
    <x v="0"/>
    <n v="8624915.8000000007"/>
    <n v="8624915.8000000007"/>
    <n v="10"/>
    <x v="1"/>
    <n v="11643636.330000002"/>
    <n v="11643636.330000002"/>
    <n v="11.643636330000001"/>
    <n v="11.643636330000001"/>
  </r>
  <r>
    <s v="PE"/>
    <x v="3"/>
    <x v="0"/>
    <n v="21195725.719999999"/>
    <n v="21195725.719999999"/>
    <n v="11"/>
    <x v="1"/>
    <n v="28614229.721999999"/>
    <n v="28614229.721999999"/>
    <n v="28.614229721999997"/>
    <n v="28.614229721999997"/>
  </r>
  <r>
    <s v="PH"/>
    <x v="3"/>
    <x v="0"/>
    <n v="126666.0148"/>
    <n v="126666.0148"/>
    <n v="2"/>
    <x v="1"/>
    <n v="170999.11998000002"/>
    <n v="170999.11998000002"/>
    <n v="0.17099911998000003"/>
    <n v="0.17099911998000003"/>
  </r>
  <r>
    <s v="PL"/>
    <x v="3"/>
    <x v="0"/>
    <n v="962933.94819999998"/>
    <n v="962933.94819999998"/>
    <n v="1"/>
    <x v="1"/>
    <n v="1299960.8300700001"/>
    <n v="1299960.8300700001"/>
    <n v="1.2999608300700001"/>
    <n v="1.2999608300700001"/>
  </r>
  <r>
    <s v="PR"/>
    <x v="3"/>
    <x v="0"/>
    <n v="1849998.075"/>
    <n v="1849998.075"/>
    <n v="3"/>
    <x v="1"/>
    <n v="2497497.4012500001"/>
    <n v="2497497.4012500001"/>
    <n v="2.49749740125"/>
    <n v="2.49749740125"/>
  </r>
  <r>
    <s v="PT"/>
    <x v="3"/>
    <x v="0"/>
    <n v="70042765.730000004"/>
    <n v="45383301.700000003"/>
    <n v="12"/>
    <x v="1"/>
    <n v="94557733.735500008"/>
    <n v="61267457.295000009"/>
    <n v="94.557733735500008"/>
    <n v="61.267457295000007"/>
  </r>
  <r>
    <s v="QA"/>
    <x v="3"/>
    <x v="0"/>
    <n v="4789663.1229999997"/>
    <n v="4789663.1229999997"/>
    <n v="3"/>
    <x v="1"/>
    <n v="6466045.2160499999"/>
    <n v="6466045.2160499999"/>
    <n v="6.4660452160499995"/>
    <n v="6.4660452160499995"/>
  </r>
  <r>
    <s v="RS"/>
    <x v="3"/>
    <x v="0"/>
    <n v="143647.4676"/>
    <n v="143647.4676"/>
    <n v="1"/>
    <x v="1"/>
    <n v="193924.08126000001"/>
    <n v="193924.08126000001"/>
    <n v="0.19392408126000002"/>
    <n v="0.19392408126000002"/>
  </r>
  <r>
    <s v="SA"/>
    <x v="3"/>
    <x v="0"/>
    <n v="24501192.550000001"/>
    <n v="24501192.550000001"/>
    <n v="9"/>
    <x v="1"/>
    <n v="33076609.942500003"/>
    <n v="33076609.942500003"/>
    <n v="33.076609942499999"/>
    <n v="33.076609942499999"/>
  </r>
  <r>
    <s v="SE"/>
    <x v="3"/>
    <x v="0"/>
    <n v="119269832.5"/>
    <n v="41431963.189999998"/>
    <n v="9"/>
    <x v="1"/>
    <n v="161014273.875"/>
    <n v="55933150.306500003"/>
    <n v="161.01427387499999"/>
    <n v="55.933150306500004"/>
  </r>
  <r>
    <s v="SG"/>
    <x v="3"/>
    <x v="0"/>
    <n v="32484666.48"/>
    <n v="32484666.48"/>
    <n v="8"/>
    <x v="1"/>
    <n v="43854299.748000003"/>
    <n v="43854299.748000003"/>
    <n v="43.854299748000003"/>
    <n v="43.854299748000003"/>
  </r>
  <r>
    <s v="SK"/>
    <x v="3"/>
    <x v="0"/>
    <n v="2137293.0759999999"/>
    <n v="2137293.0759999999"/>
    <n v="1"/>
    <x v="1"/>
    <n v="2885345.6526000001"/>
    <n v="2885345.6526000001"/>
    <n v="2.8853456526000003"/>
    <n v="2.8853456526000003"/>
  </r>
  <r>
    <s v="SV"/>
    <x v="3"/>
    <x v="0"/>
    <n v="1380511.139"/>
    <n v="1380511.139"/>
    <n v="1"/>
    <x v="1"/>
    <n v="1863690.0376500001"/>
    <n v="1863690.0376500001"/>
    <n v="1.8636900376500001"/>
    <n v="1.8636900376500001"/>
  </r>
  <r>
    <s v="TH"/>
    <x v="3"/>
    <x v="0"/>
    <n v="12562160.689999999"/>
    <n v="12279786.93"/>
    <n v="6"/>
    <x v="1"/>
    <n v="16958916.931499999"/>
    <n v="16577712.355500001"/>
    <n v="16.958916931499999"/>
    <n v="16.577712355500001"/>
  </r>
  <r>
    <s v="TR"/>
    <x v="3"/>
    <x v="0"/>
    <n v="362127.66440000001"/>
    <n v="362127.66440000001"/>
    <n v="2"/>
    <x v="1"/>
    <n v="488872.34694000002"/>
    <n v="488872.34694000002"/>
    <n v="0.48887234694000004"/>
    <n v="0.48887234694000004"/>
  </r>
  <r>
    <s v="TW"/>
    <x v="3"/>
    <x v="0"/>
    <n v="9125966.1909999996"/>
    <n v="9125966.1909999996"/>
    <n v="16"/>
    <x v="1"/>
    <n v="12320054.35785"/>
    <n v="12320054.35785"/>
    <n v="12.320054357850001"/>
    <n v="12.320054357850001"/>
  </r>
  <r>
    <s v="US"/>
    <x v="3"/>
    <x v="0"/>
    <n v="906507554.60000002"/>
    <n v="666539312.39999998"/>
    <n v="227"/>
    <x v="1"/>
    <n v="1223785198.71"/>
    <n v="899828071.74000001"/>
    <n v="1223.78519871"/>
    <n v="899.82807174000004"/>
  </r>
  <r>
    <s v="UY"/>
    <x v="3"/>
    <x v="0"/>
    <n v="18373346.469999999"/>
    <n v="18373346.469999999"/>
    <n v="13"/>
    <x v="1"/>
    <n v="24804017.734499998"/>
    <n v="24804017.734499998"/>
    <n v="24.804017734499997"/>
    <n v="24.804017734499997"/>
  </r>
  <r>
    <s v="VE"/>
    <x v="3"/>
    <x v="0"/>
    <n v="6914832.5029999996"/>
    <n v="6914832.5029999996"/>
    <n v="6"/>
    <x v="1"/>
    <n v="9335023.8790499996"/>
    <n v="9335023.8790499996"/>
    <n v="9.3350238790500004"/>
    <n v="9.3350238790500004"/>
  </r>
  <r>
    <s v="VG"/>
    <x v="3"/>
    <x v="0"/>
    <n v="200403.28520000001"/>
    <n v="200403.28520000001"/>
    <n v="1"/>
    <x v="1"/>
    <n v="270544.43502000003"/>
    <n v="270544.43502000003"/>
    <n v="0.27054443502000003"/>
    <n v="0.27054443502000003"/>
  </r>
  <r>
    <s v="VN"/>
    <x v="3"/>
    <x v="0"/>
    <n v="37605.860500000003"/>
    <n v="37605.860500000003"/>
    <n v="1"/>
    <x v="1"/>
    <n v="50767.91167500001"/>
    <n v="50767.91167500001"/>
    <n v="5.0767911675000013E-2"/>
    <n v="5.0767911675000013E-2"/>
  </r>
  <r>
    <s v="ZA"/>
    <x v="3"/>
    <x v="0"/>
    <n v="600583.34210000001"/>
    <n v="600583.34210000001"/>
    <n v="3"/>
    <x v="1"/>
    <n v="810787.51183500001"/>
    <n v="810787.51183500001"/>
    <n v="0.81078751183499997"/>
    <n v="0.81078751183499997"/>
  </r>
  <r>
    <s v="AT"/>
    <x v="4"/>
    <x v="0"/>
    <n v="965000"/>
    <n v="965000"/>
    <n v="1"/>
    <x v="0"/>
    <n v="1302750"/>
    <n v="1302750"/>
    <n v="1.3027500000000001"/>
    <n v="1.3027500000000001"/>
  </r>
  <r>
    <s v="BE"/>
    <x v="4"/>
    <x v="0"/>
    <n v="647970"/>
    <n v="647970"/>
    <n v="4"/>
    <x v="0"/>
    <n v="874759.5"/>
    <n v="874759.5"/>
    <n v="0.87475950000000002"/>
    <n v="0.87475950000000002"/>
  </r>
  <r>
    <s v="CY"/>
    <x v="4"/>
    <x v="0"/>
    <n v="570972"/>
    <n v="570972"/>
    <n v="1"/>
    <x v="0"/>
    <n v="770812.20000000007"/>
    <n v="770812.20000000007"/>
    <n v="0.77081220000000006"/>
    <n v="0.77081220000000006"/>
  </r>
  <r>
    <s v="DE"/>
    <x v="4"/>
    <x v="0"/>
    <n v="11303190"/>
    <n v="11303190"/>
    <n v="2"/>
    <x v="0"/>
    <n v="15259306.500000002"/>
    <n v="15259306.500000002"/>
    <n v="15.259306500000001"/>
    <n v="15.259306500000001"/>
  </r>
  <r>
    <s v="DK"/>
    <x v="4"/>
    <x v="0"/>
    <n v="78660"/>
    <n v="78660"/>
    <n v="1"/>
    <x v="0"/>
    <n v="106191"/>
    <n v="106191"/>
    <n v="0.10619099999999999"/>
    <n v="0.10619099999999999"/>
  </r>
  <r>
    <s v="ES"/>
    <x v="4"/>
    <x v="0"/>
    <n v="92939537"/>
    <n v="92939537"/>
    <n v="11"/>
    <x v="0"/>
    <n v="125468374.95"/>
    <n v="125468374.95"/>
    <n v="125.46837495"/>
    <n v="125.46837495"/>
  </r>
  <r>
    <s v="FR"/>
    <x v="4"/>
    <x v="0"/>
    <n v="61582623.200000003"/>
    <n v="61582623.200000003"/>
    <n v="97"/>
    <x v="0"/>
    <n v="83136541.320000008"/>
    <n v="83136541.320000008"/>
    <n v="83.136541320000006"/>
    <n v="83.136541320000006"/>
  </r>
  <r>
    <s v="GR"/>
    <x v="4"/>
    <x v="0"/>
    <n v="19052763.800000001"/>
    <n v="19052763.800000001"/>
    <n v="9"/>
    <x v="0"/>
    <n v="25721231.130000003"/>
    <n v="25721231.130000003"/>
    <n v="25.721231130000003"/>
    <n v="25.721231130000003"/>
  </r>
  <r>
    <s v="HR"/>
    <x v="4"/>
    <x v="0"/>
    <n v="102856"/>
    <n v="102856"/>
    <n v="1"/>
    <x v="0"/>
    <n v="138855.6"/>
    <n v="138855.6"/>
    <n v="0.1388556"/>
    <n v="0.1388556"/>
  </r>
  <r>
    <s v="IE"/>
    <x v="4"/>
    <x v="0"/>
    <n v="65258663.100000001"/>
    <n v="65258663.100000001"/>
    <n v="52"/>
    <x v="0"/>
    <n v="88099195.185000002"/>
    <n v="88099195.185000002"/>
    <n v="88.099195184999999"/>
    <n v="88.099195184999999"/>
  </r>
  <r>
    <s v="IT"/>
    <x v="4"/>
    <x v="0"/>
    <n v="29905790"/>
    <n v="29905790"/>
    <n v="6"/>
    <x v="0"/>
    <n v="40372816.5"/>
    <n v="40372816.5"/>
    <n v="40.372816499999999"/>
    <n v="40.372816499999999"/>
  </r>
  <r>
    <s v="LI"/>
    <x v="4"/>
    <x v="0"/>
    <n v="2761322"/>
    <n v="2761322"/>
    <n v="2"/>
    <x v="0"/>
    <n v="3727784.7"/>
    <n v="3727784.7"/>
    <n v="3.7277847000000004"/>
    <n v="3.7277847000000004"/>
  </r>
  <r>
    <s v="MC"/>
    <x v="4"/>
    <x v="0"/>
    <n v="1023468.8"/>
    <n v="1023468.8"/>
    <n v="1"/>
    <x v="0"/>
    <n v="1381682.8800000001"/>
    <n v="1381682.8800000001"/>
    <n v="1.3816828800000001"/>
    <n v="1.3816828800000001"/>
  </r>
  <r>
    <s v="PL"/>
    <x v="4"/>
    <x v="0"/>
    <n v="10000"/>
    <n v="10000"/>
    <n v="1"/>
    <x v="0"/>
    <n v="13500"/>
    <n v="13500"/>
    <n v="1.35E-2"/>
    <n v="1.35E-2"/>
  </r>
  <r>
    <s v="PT"/>
    <x v="4"/>
    <x v="0"/>
    <n v="62080493"/>
    <n v="62080493"/>
    <n v="4"/>
    <x v="0"/>
    <n v="83808665.550000012"/>
    <n v="83808665.550000012"/>
    <n v="83.808665550000015"/>
    <n v="83.808665550000015"/>
  </r>
  <r>
    <s v="RO"/>
    <x v="4"/>
    <x v="0"/>
    <n v="85713"/>
    <n v="85713"/>
    <n v="1"/>
    <x v="0"/>
    <n v="115712.55"/>
    <n v="115712.55"/>
    <n v="0.11571255"/>
    <n v="0.11571255"/>
  </r>
  <r>
    <s v="SE"/>
    <x v="4"/>
    <x v="0"/>
    <n v="891706.8"/>
    <n v="891706.8"/>
    <n v="6"/>
    <x v="0"/>
    <n v="1203804.1800000002"/>
    <n v="1203804.1800000002"/>
    <n v="1.2038041800000001"/>
    <n v="1.2038041800000001"/>
  </r>
  <r>
    <s v="SL"/>
    <x v="4"/>
    <x v="0"/>
    <n v="30400"/>
    <n v="30400"/>
    <n v="1"/>
    <x v="0"/>
    <n v="41040"/>
    <n v="41040"/>
    <n v="4.104E-2"/>
    <n v="4.104E-2"/>
  </r>
  <r>
    <s v="AD"/>
    <x v="4"/>
    <x v="0"/>
    <n v="9412556"/>
    <n v="9412556"/>
    <n v="5"/>
    <x v="1"/>
    <n v="12706950.600000001"/>
    <n v="12706950.600000001"/>
    <n v="12.706950600000001"/>
    <n v="12.706950600000001"/>
  </r>
  <r>
    <s v="AE"/>
    <x v="4"/>
    <x v="0"/>
    <n v="9164806.4000000004"/>
    <n v="7538297.2000000002"/>
    <n v="9"/>
    <x v="1"/>
    <n v="12372488.640000001"/>
    <n v="10176701.220000001"/>
    <n v="12.37248864"/>
    <n v="10.17670122"/>
  </r>
  <r>
    <s v="AT"/>
    <x v="4"/>
    <x v="0"/>
    <n v="1593469942"/>
    <n v="1569310028"/>
    <n v="2497"/>
    <x v="1"/>
    <n v="2151184421.7000003"/>
    <n v="2118568537.8000002"/>
    <n v="2151.1844217000003"/>
    <n v="2118.5685378000003"/>
  </r>
  <r>
    <s v="AU"/>
    <x v="4"/>
    <x v="0"/>
    <n v="1463282.4"/>
    <n v="1463282.4"/>
    <n v="12"/>
    <x v="1"/>
    <n v="1975431.24"/>
    <n v="1975431.24"/>
    <n v="1.97543124"/>
    <n v="1.97543124"/>
  </r>
  <r>
    <s v="BE"/>
    <x v="4"/>
    <x v="0"/>
    <n v="9409929763"/>
    <n v="8909949616"/>
    <n v="6013"/>
    <x v="1"/>
    <n v="12703405180.050001"/>
    <n v="12028431981.6"/>
    <n v="12703.405180050002"/>
    <n v="12028.431981600001"/>
  </r>
  <r>
    <s v="BG"/>
    <x v="4"/>
    <x v="0"/>
    <n v="5408820"/>
    <n v="5408820"/>
    <n v="6"/>
    <x v="1"/>
    <n v="7301907.0000000009"/>
    <n v="7301907.0000000009"/>
    <n v="7.3019070000000008"/>
    <n v="7.3019070000000008"/>
  </r>
  <r>
    <s v="BH"/>
    <x v="4"/>
    <x v="0"/>
    <n v="185600"/>
    <n v="185600"/>
    <n v="1"/>
    <x v="1"/>
    <n v="250560.00000000003"/>
    <n v="250560.00000000003"/>
    <n v="0.25056"/>
    <n v="0.25056"/>
  </r>
  <r>
    <s v="BR"/>
    <x v="4"/>
    <x v="0"/>
    <n v="37120360"/>
    <n v="19120360"/>
    <n v="2"/>
    <x v="1"/>
    <n v="50112486"/>
    <n v="25812486"/>
    <n v="50.112485999999997"/>
    <n v="25.812486"/>
  </r>
  <r>
    <s v="CA"/>
    <x v="4"/>
    <x v="0"/>
    <n v="560000"/>
    <n v="560000"/>
    <n v="2"/>
    <x v="1"/>
    <n v="756000"/>
    <n v="756000"/>
    <n v="0.75600000000000001"/>
    <n v="0.75600000000000001"/>
  </r>
  <r>
    <s v="CH"/>
    <x v="4"/>
    <x v="0"/>
    <n v="358036.8"/>
    <n v="358036.8"/>
    <n v="4"/>
    <x v="1"/>
    <n v="483349.68"/>
    <n v="483349.68"/>
    <n v="0.48334968"/>
    <n v="0.48334968"/>
  </r>
  <r>
    <s v="CL"/>
    <x v="4"/>
    <x v="0"/>
    <n v="151336"/>
    <n v="151336"/>
    <n v="1"/>
    <x v="1"/>
    <n v="204303.6"/>
    <n v="204303.6"/>
    <n v="0.2043036"/>
    <n v="0.2043036"/>
  </r>
  <r>
    <s v="CN"/>
    <x v="4"/>
    <x v="0"/>
    <n v="926.4"/>
    <n v="926.4"/>
    <n v="1"/>
    <x v="1"/>
    <n v="1250.6400000000001"/>
    <n v="1250.6400000000001"/>
    <n v="1.2506400000000001E-3"/>
    <n v="1.2506400000000001E-3"/>
  </r>
  <r>
    <s v="CO"/>
    <x v="4"/>
    <x v="0"/>
    <n v="29828"/>
    <n v="29828"/>
    <n v="1"/>
    <x v="1"/>
    <n v="40267.800000000003"/>
    <n v="40267.800000000003"/>
    <n v="4.0267800000000006E-2"/>
    <n v="4.0267800000000006E-2"/>
  </r>
  <r>
    <s v="CR"/>
    <x v="4"/>
    <x v="0"/>
    <n v="58786.400000000001"/>
    <n v="58786.400000000001"/>
    <n v="1"/>
    <x v="1"/>
    <n v="79361.640000000014"/>
    <n v="79361.640000000014"/>
    <n v="7.9361640000000011E-2"/>
    <n v="7.9361640000000011E-2"/>
  </r>
  <r>
    <s v="CY"/>
    <x v="4"/>
    <x v="0"/>
    <n v="3929326"/>
    <n v="3929326"/>
    <n v="5"/>
    <x v="1"/>
    <n v="5304590.1000000006"/>
    <n v="5304590.1000000006"/>
    <n v="5.3045901000000004"/>
    <n v="5.3045901000000004"/>
  </r>
  <r>
    <s v="CZ"/>
    <x v="4"/>
    <x v="0"/>
    <n v="33669781.600000001"/>
    <n v="33669781.600000001"/>
    <n v="42"/>
    <x v="1"/>
    <n v="45454205.160000004"/>
    <n v="45454205.160000004"/>
    <n v="45.454205160000001"/>
    <n v="45.454205160000001"/>
  </r>
  <r>
    <s v="DE"/>
    <x v="4"/>
    <x v="0"/>
    <n v="12604811141"/>
    <n v="12542945497"/>
    <n v="21741"/>
    <x v="1"/>
    <n v="17016495040.35"/>
    <n v="16932976420.950001"/>
    <n v="17016.495040350001"/>
    <n v="16932.976420949999"/>
  </r>
  <r>
    <s v="DK"/>
    <x v="4"/>
    <x v="0"/>
    <n v="24492760.440000001"/>
    <n v="23901642.440000001"/>
    <n v="91"/>
    <x v="1"/>
    <n v="33065226.594000004"/>
    <n v="32267217.294000003"/>
    <n v="33.065226594000002"/>
    <n v="32.267217294000005"/>
  </r>
  <r>
    <s v="ES"/>
    <x v="4"/>
    <x v="0"/>
    <n v="9182639102"/>
    <n v="8993955714"/>
    <n v="6535"/>
    <x v="1"/>
    <n v="12396562787.700001"/>
    <n v="12141840213.900002"/>
    <n v="12396.562787700001"/>
    <n v="12141.840213900001"/>
  </r>
  <r>
    <s v="FI"/>
    <x v="4"/>
    <x v="0"/>
    <n v="10916559.199999999"/>
    <n v="10916559.199999999"/>
    <n v="64"/>
    <x v="1"/>
    <n v="14737354.92"/>
    <n v="14737354.92"/>
    <n v="14.73735492"/>
    <n v="14.73735492"/>
  </r>
  <r>
    <s v="FR"/>
    <x v="4"/>
    <x v="0"/>
    <n v="20646599039"/>
    <n v="20218412585"/>
    <n v="27517"/>
    <x v="1"/>
    <n v="27872908702.650002"/>
    <n v="27294856989.75"/>
    <n v="27872.908702650002"/>
    <n v="27294.856989749998"/>
  </r>
  <r>
    <s v="GB"/>
    <x v="4"/>
    <x v="0"/>
    <n v="954681405.5"/>
    <n v="937681405.5"/>
    <n v="526"/>
    <x v="1"/>
    <n v="1288819897.4250002"/>
    <n v="1265869897.4250002"/>
    <n v="1288.8198974250001"/>
    <n v="1265.8698974250001"/>
  </r>
  <r>
    <s v="GR"/>
    <x v="4"/>
    <x v="0"/>
    <n v="51640059.700000003"/>
    <n v="51640059.700000003"/>
    <n v="43"/>
    <x v="1"/>
    <n v="69714080.595000014"/>
    <n v="69714080.595000014"/>
    <n v="69.714080595000013"/>
    <n v="69.714080595000013"/>
  </r>
  <r>
    <s v="HK"/>
    <x v="4"/>
    <x v="0"/>
    <n v="125613043.2"/>
    <n v="67166521.599999994"/>
    <n v="4"/>
    <x v="1"/>
    <n v="169577608.32000002"/>
    <n v="90674804.159999996"/>
    <n v="169.57760832000002"/>
    <n v="90.674804159999994"/>
  </r>
  <r>
    <s v="HR"/>
    <x v="4"/>
    <x v="0"/>
    <n v="214527712.59999999"/>
    <n v="214527712.59999999"/>
    <n v="629"/>
    <x v="1"/>
    <n v="289612412.00999999"/>
    <n v="289612412.00999999"/>
    <n v="289.61241201000001"/>
    <n v="289.61241201000001"/>
  </r>
  <r>
    <s v="HU"/>
    <x v="4"/>
    <x v="0"/>
    <n v="24783260.800000001"/>
    <n v="24783260.800000001"/>
    <n v="116"/>
    <x v="1"/>
    <n v="33457402.080000002"/>
    <n v="33457402.080000002"/>
    <n v="33.457402080000001"/>
    <n v="33.457402080000001"/>
  </r>
  <r>
    <s v="IE"/>
    <x v="4"/>
    <x v="0"/>
    <n v="5237425155"/>
    <n v="5237425155"/>
    <n v="9243"/>
    <x v="1"/>
    <n v="7070523959.25"/>
    <n v="7070523959.25"/>
    <n v="7070.5239592500002"/>
    <n v="7070.5239592500002"/>
  </r>
  <r>
    <s v="IL"/>
    <x v="4"/>
    <x v="0"/>
    <n v="3880302.4"/>
    <n v="3880302.4"/>
    <n v="3"/>
    <x v="1"/>
    <n v="5238408.24"/>
    <n v="5238408.24"/>
    <n v="5.23840824"/>
    <n v="5.23840824"/>
  </r>
  <r>
    <s v="IN"/>
    <x v="4"/>
    <x v="0"/>
    <n v="236400"/>
    <n v="236400"/>
    <n v="2"/>
    <x v="1"/>
    <n v="319140"/>
    <n v="319140"/>
    <n v="0.31913999999999998"/>
    <n v="0.31913999999999998"/>
  </r>
  <r>
    <s v="IS"/>
    <x v="4"/>
    <x v="0"/>
    <n v="1486287.2"/>
    <n v="1486287.2"/>
    <n v="1"/>
    <x v="1"/>
    <n v="2006487.72"/>
    <n v="2006487.72"/>
    <n v="2.00648772"/>
    <n v="2.00648772"/>
  </r>
  <r>
    <s v="IT"/>
    <x v="4"/>
    <x v="0"/>
    <n v="473456211.60000002"/>
    <n v="455808138.5"/>
    <n v="745"/>
    <x v="1"/>
    <n v="639165885.66000009"/>
    <n v="615340986.97500002"/>
    <n v="639.16588566000007"/>
    <n v="615.34098697500008"/>
  </r>
  <r>
    <s v="JP"/>
    <x v="4"/>
    <x v="0"/>
    <n v="20201080.800000001"/>
    <n v="20201080.800000001"/>
    <n v="23"/>
    <x v="1"/>
    <n v="27271459.080000002"/>
    <n v="27271459.080000002"/>
    <n v="27.271459080000003"/>
    <n v="27.271459080000003"/>
  </r>
  <r>
    <s v="LI"/>
    <x v="4"/>
    <x v="0"/>
    <n v="2821322"/>
    <n v="2821322"/>
    <n v="3"/>
    <x v="1"/>
    <n v="3808784.7"/>
    <n v="3808784.7"/>
    <n v="3.8087847000000004"/>
    <n v="3.8087847000000004"/>
  </r>
  <r>
    <s v="LT"/>
    <x v="4"/>
    <x v="0"/>
    <n v="48000"/>
    <n v="24000"/>
    <n v="1"/>
    <x v="1"/>
    <n v="64800.000000000007"/>
    <n v="32400.000000000004"/>
    <n v="6.480000000000001E-2"/>
    <n v="3.2400000000000005E-2"/>
  </r>
  <r>
    <s v="LU"/>
    <x v="4"/>
    <x v="0"/>
    <n v="364116653.60000002"/>
    <n v="364116653.60000002"/>
    <n v="592"/>
    <x v="1"/>
    <n v="491557482.36000007"/>
    <n v="491557482.36000007"/>
    <n v="491.55748236000005"/>
    <n v="491.55748236000005"/>
  </r>
  <r>
    <s v="LV"/>
    <x v="4"/>
    <x v="0"/>
    <n v="4000"/>
    <n v="4000"/>
    <n v="1"/>
    <x v="1"/>
    <n v="5400"/>
    <n v="5400"/>
    <n v="5.4000000000000003E-3"/>
    <n v="5.4000000000000003E-3"/>
  </r>
  <r>
    <s v="MA"/>
    <x v="4"/>
    <x v="0"/>
    <n v="23171460.579999998"/>
    <n v="23171460.579999998"/>
    <n v="4"/>
    <x v="1"/>
    <n v="31281471.783"/>
    <n v="31281471.783"/>
    <n v="31.281471783000001"/>
    <n v="31.281471783000001"/>
  </r>
  <r>
    <s v="MC"/>
    <x v="4"/>
    <x v="0"/>
    <n v="1050712997"/>
    <n v="993449291.29999995"/>
    <n v="634"/>
    <x v="1"/>
    <n v="1418462545.95"/>
    <n v="1341156543.2550001"/>
    <n v="1418.46254595"/>
    <n v="1341.1565432550001"/>
  </r>
  <r>
    <s v="MT"/>
    <x v="4"/>
    <x v="0"/>
    <n v="4325600.1220000004"/>
    <n v="4325600.1220000004"/>
    <n v="13"/>
    <x v="1"/>
    <n v="5839560.1647000005"/>
    <n v="5839560.1647000005"/>
    <n v="5.8395601647000008"/>
    <n v="5.8395601647000008"/>
  </r>
  <r>
    <s v="MX"/>
    <x v="4"/>
    <x v="0"/>
    <n v="5264746.4000000004"/>
    <n v="5264746.4000000004"/>
    <n v="9"/>
    <x v="1"/>
    <n v="7107407.6400000006"/>
    <n v="7107407.6400000006"/>
    <n v="7.1074076400000008"/>
    <n v="7.1074076400000008"/>
  </r>
  <r>
    <s v="NL"/>
    <x v="4"/>
    <x v="0"/>
    <n v="10656038934"/>
    <n v="10407871297"/>
    <n v="8631"/>
    <x v="1"/>
    <n v="14385652560.900002"/>
    <n v="14050626250.950001"/>
    <n v="14385.652560900002"/>
    <n v="14050.626250950001"/>
  </r>
  <r>
    <s v="NO"/>
    <x v="4"/>
    <x v="0"/>
    <n v="43241820"/>
    <n v="43241820"/>
    <n v="161"/>
    <x v="1"/>
    <n v="58376457.000000007"/>
    <n v="58376457.000000007"/>
    <n v="58.376457000000009"/>
    <n v="58.376457000000009"/>
  </r>
  <r>
    <s v="NZ"/>
    <x v="4"/>
    <x v="0"/>
    <n v="284541.59999999998"/>
    <n v="284541.59999999998"/>
    <n v="1"/>
    <x v="1"/>
    <n v="384131.16"/>
    <n v="384131.16"/>
    <n v="0.38413115999999997"/>
    <n v="0.38413115999999997"/>
  </r>
  <r>
    <s v="PE"/>
    <x v="4"/>
    <x v="0"/>
    <n v="494000"/>
    <n v="494000"/>
    <n v="1"/>
    <x v="1"/>
    <n v="666900"/>
    <n v="666900"/>
    <n v="0.66690000000000005"/>
    <n v="0.66690000000000005"/>
  </r>
  <r>
    <s v="PL"/>
    <x v="4"/>
    <x v="0"/>
    <n v="5573336.4000000004"/>
    <n v="5573336.4000000004"/>
    <n v="126"/>
    <x v="1"/>
    <n v="7524004.1400000006"/>
    <n v="7524004.1400000006"/>
    <n v="7.5240041400000006"/>
    <n v="7.5240041400000006"/>
  </r>
  <r>
    <s v="PT"/>
    <x v="4"/>
    <x v="0"/>
    <n v="4166310549"/>
    <n v="4093631329"/>
    <n v="3338"/>
    <x v="1"/>
    <n v="5624519241.1500006"/>
    <n v="5526402294.1500006"/>
    <n v="5624.5192411500002"/>
    <n v="5526.4022941500007"/>
  </r>
  <r>
    <s v="RO"/>
    <x v="4"/>
    <x v="0"/>
    <n v="6003751.4000000004"/>
    <n v="6003751.4000000004"/>
    <n v="13"/>
    <x v="1"/>
    <n v="8105064.3900000006"/>
    <n v="8105064.3900000006"/>
    <n v="8.1050643900000008"/>
    <n v="8.1050643900000008"/>
  </r>
  <r>
    <s v="RS"/>
    <x v="4"/>
    <x v="0"/>
    <n v="56000"/>
    <n v="56000"/>
    <n v="1"/>
    <x v="1"/>
    <n v="75600"/>
    <n v="75600"/>
    <n v="7.5600000000000001E-2"/>
    <n v="7.5600000000000001E-2"/>
  </r>
  <r>
    <s v="RU"/>
    <x v="4"/>
    <x v="0"/>
    <n v="2307360"/>
    <n v="2307360"/>
    <n v="1"/>
    <x v="1"/>
    <n v="3114936"/>
    <n v="3114936"/>
    <n v="3.1149360000000001"/>
    <n v="3.1149360000000001"/>
  </r>
  <r>
    <s v="SA"/>
    <x v="4"/>
    <x v="0"/>
    <n v="2939697.6"/>
    <n v="1469848.8"/>
    <n v="1"/>
    <x v="1"/>
    <n v="3968591.7600000002"/>
    <n v="1984295.8800000001"/>
    <n v="3.9685917600000002"/>
    <n v="1.9842958800000001"/>
  </r>
  <r>
    <s v="SE"/>
    <x v="4"/>
    <x v="0"/>
    <n v="90575537.400000006"/>
    <n v="90575537.400000006"/>
    <n v="336"/>
    <x v="1"/>
    <n v="122276975.49000001"/>
    <n v="122276975.49000001"/>
    <n v="122.27697549000001"/>
    <n v="122.27697549000001"/>
  </r>
  <r>
    <s v="SG"/>
    <x v="4"/>
    <x v="0"/>
    <n v="221300"/>
    <n v="221300"/>
    <n v="3"/>
    <x v="1"/>
    <n v="298755"/>
    <n v="298755"/>
    <n v="0.29875499999999999"/>
    <n v="0.29875499999999999"/>
  </r>
  <r>
    <s v="SI"/>
    <x v="4"/>
    <x v="0"/>
    <n v="2382800.7999999998"/>
    <n v="2382800.7999999998"/>
    <n v="12"/>
    <x v="1"/>
    <n v="3216781.08"/>
    <n v="3216781.08"/>
    <n v="3.2167810800000001"/>
    <n v="3.2167810800000001"/>
  </r>
  <r>
    <s v="SK"/>
    <x v="4"/>
    <x v="0"/>
    <n v="81600"/>
    <n v="81600"/>
    <n v="3"/>
    <x v="1"/>
    <n v="110160"/>
    <n v="110160"/>
    <n v="0.11015999999999999"/>
    <n v="0.11015999999999999"/>
  </r>
  <r>
    <s v="TN"/>
    <x v="4"/>
    <x v="0"/>
    <n v="163200"/>
    <n v="163200"/>
    <n v="1"/>
    <x v="1"/>
    <n v="220320"/>
    <n v="220320"/>
    <n v="0.22031999999999999"/>
    <n v="0.22031999999999999"/>
  </r>
  <r>
    <s v="TR"/>
    <x v="4"/>
    <x v="0"/>
    <n v="691280"/>
    <n v="691280"/>
    <n v="4"/>
    <x v="1"/>
    <n v="933228.00000000012"/>
    <n v="933228.00000000012"/>
    <n v="0.93322800000000017"/>
    <n v="0.93322800000000017"/>
  </r>
  <r>
    <s v="US"/>
    <x v="4"/>
    <x v="0"/>
    <n v="101774358.8"/>
    <n v="100967402.8"/>
    <n v="76"/>
    <x v="1"/>
    <n v="137395384.38"/>
    <n v="136305993.78"/>
    <n v="137.39538438"/>
    <n v="136.30599377999999"/>
  </r>
  <r>
    <s v="AT"/>
    <x v="0"/>
    <x v="1"/>
    <n v="721312.71429999999"/>
    <n v="440490.42099999997"/>
    <n v="4"/>
    <x v="0"/>
    <n v="973772.1643050001"/>
    <n v="594662.06834999996"/>
    <n v="0.97377216430500013"/>
    <n v="0.59466206834999991"/>
  </r>
  <r>
    <s v="BE"/>
    <x v="0"/>
    <x v="1"/>
    <n v="15747994.66"/>
    <n v="8286041.568"/>
    <n v="5"/>
    <x v="0"/>
    <n v="21259792.791000001"/>
    <n v="11186156.116800001"/>
    <n v="21.259792791000002"/>
    <n v="11.186156116800001"/>
  </r>
  <r>
    <s v="CZ"/>
    <x v="0"/>
    <x v="1"/>
    <n v="17156131.440000001"/>
    <n v="17156131.440000001"/>
    <n v="1"/>
    <x v="0"/>
    <n v="23160777.444000002"/>
    <n v="23160777.444000002"/>
    <n v="23.160777444000001"/>
    <n v="23.160777444000001"/>
  </r>
  <r>
    <s v="DE"/>
    <x v="0"/>
    <x v="1"/>
    <n v="5733618.0860000001"/>
    <n v="5522417.4330000002"/>
    <n v="4"/>
    <x v="0"/>
    <n v="7740384.416100001"/>
    <n v="7455263.5345500009"/>
    <n v="7.7403844161000013"/>
    <n v="7.4552635345500011"/>
  </r>
  <r>
    <s v="FR"/>
    <x v="0"/>
    <x v="1"/>
    <n v="269694076.19999999"/>
    <n v="128815325.59999999"/>
    <n v="21"/>
    <x v="0"/>
    <n v="364087002.87"/>
    <n v="173900689.56"/>
    <n v="364.08700286999999"/>
    <n v="173.90068955999999"/>
  </r>
  <r>
    <s v="GB"/>
    <x v="0"/>
    <x v="1"/>
    <n v="152000"/>
    <n v="152000"/>
    <n v="1"/>
    <x v="0"/>
    <n v="205200"/>
    <n v="205200"/>
    <n v="0.20519999999999999"/>
    <n v="0.20519999999999999"/>
  </r>
  <r>
    <s v="NL"/>
    <x v="0"/>
    <x v="1"/>
    <n v="18020966.539999999"/>
    <n v="18020966.539999999"/>
    <n v="4"/>
    <x v="0"/>
    <n v="24328304.829"/>
    <n v="24328304.829"/>
    <n v="24.328304829"/>
    <n v="24.328304829"/>
  </r>
  <r>
    <s v="PL"/>
    <x v="0"/>
    <x v="1"/>
    <n v="229138"/>
    <n v="229138"/>
    <n v="1"/>
    <x v="0"/>
    <n v="309336.30000000005"/>
    <n v="309336.30000000005"/>
    <n v="0.30933630000000006"/>
    <n v="0.30933630000000006"/>
  </r>
  <r>
    <s v="SE"/>
    <x v="0"/>
    <x v="1"/>
    <n v="264348333.09999999"/>
    <n v="216781498.09999999"/>
    <n v="5"/>
    <x v="0"/>
    <n v="356870249.685"/>
    <n v="292655022.435"/>
    <n v="356.87024968499998"/>
    <n v="292.65502243499998"/>
  </r>
  <r>
    <s v="AT"/>
    <x v="0"/>
    <x v="1"/>
    <n v="117299776.09999999"/>
    <n v="59699152.009999998"/>
    <n v="12"/>
    <x v="1"/>
    <n v="158354697.73500001"/>
    <n v="80593855.213500008"/>
    <n v="158.354697735"/>
    <n v="80.593855213500007"/>
  </r>
  <r>
    <s v="BE"/>
    <x v="0"/>
    <x v="1"/>
    <n v="280411812.10000002"/>
    <n v="203677116.40000001"/>
    <n v="57"/>
    <x v="1"/>
    <n v="378555946.33500004"/>
    <n v="274964107.14000005"/>
    <n v="378.55594633500004"/>
    <n v="274.96410714000007"/>
  </r>
  <r>
    <s v="CZ"/>
    <x v="0"/>
    <x v="1"/>
    <n v="17725731.440000001"/>
    <n v="17725731.440000001"/>
    <n v="4"/>
    <x v="1"/>
    <n v="23929737.444000002"/>
    <n v="23929737.444000002"/>
    <n v="23.929737444000001"/>
    <n v="23.929737444000001"/>
  </r>
  <r>
    <s v="DE"/>
    <x v="0"/>
    <x v="1"/>
    <n v="183792082.09999999"/>
    <n v="115503381.3"/>
    <n v="33"/>
    <x v="1"/>
    <n v="248119310.83500001"/>
    <n v="155929564.755"/>
    <n v="248.11931083500002"/>
    <n v="155.929564755"/>
  </r>
  <r>
    <s v="DK"/>
    <x v="0"/>
    <x v="1"/>
    <n v="618592460.79999995"/>
    <n v="568389716.20000005"/>
    <n v="154"/>
    <x v="1"/>
    <n v="835099822.08000004"/>
    <n v="767326116.87000012"/>
    <n v="835.09982208000008"/>
    <n v="767.32611687000008"/>
  </r>
  <r>
    <s v="FR"/>
    <x v="0"/>
    <x v="1"/>
    <n v="2275085169"/>
    <n v="1498937035"/>
    <n v="333"/>
    <x v="1"/>
    <n v="3071364978.1500001"/>
    <n v="2023564997.2500002"/>
    <n v="3071.3649781500003"/>
    <n v="2023.5649972500003"/>
  </r>
  <r>
    <s v="GB"/>
    <x v="0"/>
    <x v="1"/>
    <n v="9371114847"/>
    <n v="7182976180"/>
    <n v="1683"/>
    <x v="1"/>
    <n v="12651005043.450001"/>
    <n v="9697017843"/>
    <n v="12651.005043450001"/>
    <n v="9697.0178429999996"/>
  </r>
  <r>
    <s v="NL"/>
    <x v="0"/>
    <x v="1"/>
    <n v="51013102.479999997"/>
    <n v="43391627.579999998"/>
    <n v="23"/>
    <x v="1"/>
    <n v="68867688.348000005"/>
    <n v="58578697.233000003"/>
    <n v="68.867688348000001"/>
    <n v="58.578697233"/>
  </r>
  <r>
    <s v="PL"/>
    <x v="0"/>
    <x v="1"/>
    <n v="11831807.32"/>
    <n v="11831807.32"/>
    <n v="6"/>
    <x v="1"/>
    <n v="15972939.882000001"/>
    <n v="15972939.882000001"/>
    <n v="15.972939882"/>
    <n v="15.972939882"/>
  </r>
  <r>
    <s v="SE"/>
    <x v="0"/>
    <x v="1"/>
    <n v="2694309251"/>
    <n v="2430519957"/>
    <n v="462"/>
    <x v="1"/>
    <n v="3637317488.8500004"/>
    <n v="3281201941.9500003"/>
    <n v="3637.3174888500002"/>
    <n v="3281.2019419500002"/>
  </r>
  <r>
    <s v="GB"/>
    <x v="1"/>
    <x v="1"/>
    <n v="5578000"/>
    <n v="5578000"/>
    <n v="5"/>
    <x v="1"/>
    <n v="7530300.0000000009"/>
    <n v="7530300.0000000009"/>
    <n v="7.5303000000000013"/>
    <n v="7.5303000000000013"/>
  </r>
  <r>
    <s v="GB"/>
    <x v="2"/>
    <x v="1"/>
    <n v="7099946"/>
    <n v="7099946"/>
    <n v="15"/>
    <x v="0"/>
    <n v="9584927.1000000015"/>
    <n v="9584927.1000000015"/>
    <n v="9.5849271000000016"/>
    <n v="9.5849271000000016"/>
  </r>
  <r>
    <s v="GB"/>
    <x v="2"/>
    <x v="1"/>
    <n v="121288000000"/>
    <n v="121288000000"/>
    <n v="173171"/>
    <x v="1"/>
    <n v="163738800000"/>
    <n v="163738800000"/>
    <n v="163738.79999999999"/>
    <n v="163738.79999999999"/>
  </r>
  <r>
    <s v="BE"/>
    <x v="3"/>
    <x v="1"/>
    <n v="5588088.6780000003"/>
    <n v="5588088.6780000003"/>
    <n v="2"/>
    <x v="0"/>
    <n v="7543919.7153000012"/>
    <n v="7543919.7153000012"/>
    <n v="7.5439197153000013"/>
    <n v="7.5439197153000013"/>
  </r>
  <r>
    <s v="FR"/>
    <x v="3"/>
    <x v="1"/>
    <n v="55746827.549999997"/>
    <n v="31311598"/>
    <n v="4"/>
    <x v="0"/>
    <n v="75258217.192499995"/>
    <n v="42270657.300000004"/>
    <n v="75.258217192499998"/>
    <n v="42.270657300000003"/>
  </r>
  <r>
    <s v="GB"/>
    <x v="3"/>
    <x v="1"/>
    <n v="148840795.19999999"/>
    <n v="75714983.239999995"/>
    <n v="5"/>
    <x v="0"/>
    <n v="200935073.52000001"/>
    <n v="102215227.374"/>
    <n v="200.93507352"/>
    <n v="102.21522737399999"/>
  </r>
  <r>
    <s v="AT"/>
    <x v="3"/>
    <x v="1"/>
    <n v="10975035.949999999"/>
    <n v="10975035.949999999"/>
    <n v="5"/>
    <x v="1"/>
    <n v="14816298.532500001"/>
    <n v="14816298.532500001"/>
    <n v="14.816298532500001"/>
    <n v="14.816298532500001"/>
  </r>
  <r>
    <s v="BE"/>
    <x v="3"/>
    <x v="1"/>
    <n v="178447830.59999999"/>
    <n v="166364677.90000001"/>
    <n v="46"/>
    <x v="1"/>
    <n v="240904571.31"/>
    <n v="224592315.16500002"/>
    <n v="240.90457130999999"/>
    <n v="224.59231516500003"/>
  </r>
  <r>
    <s v="CZ"/>
    <x v="3"/>
    <x v="1"/>
    <n v="2316867.8930000002"/>
    <n v="2316867.8930000002"/>
    <n v="2"/>
    <x v="1"/>
    <n v="3127771.6555500003"/>
    <n v="3127771.6555500003"/>
    <n v="3.1277716555500001"/>
    <n v="3.1277716555500001"/>
  </r>
  <r>
    <s v="DE"/>
    <x v="3"/>
    <x v="1"/>
    <n v="78023232.819999993"/>
    <n v="63972400.979999997"/>
    <n v="25"/>
    <x v="1"/>
    <n v="105331364.307"/>
    <n v="86362741.322999999"/>
    <n v="105.331364307"/>
    <n v="86.362741322999995"/>
  </r>
  <r>
    <s v="DK"/>
    <x v="3"/>
    <x v="1"/>
    <n v="915059.83490000002"/>
    <n v="915059.83490000002"/>
    <n v="2"/>
    <x v="1"/>
    <n v="1235330.7771150002"/>
    <n v="1235330.7771150002"/>
    <n v="1.2353307771150002"/>
    <n v="1.2353307771150002"/>
  </r>
  <r>
    <s v="FR"/>
    <x v="3"/>
    <x v="1"/>
    <n v="1194735298"/>
    <n v="899813220.70000005"/>
    <n v="242"/>
    <x v="1"/>
    <n v="1612892652.3000002"/>
    <n v="1214747847.9450002"/>
    <n v="1612.8926523000002"/>
    <n v="1214.7478479450001"/>
  </r>
  <r>
    <s v="GB"/>
    <x v="3"/>
    <x v="1"/>
    <n v="1251298742"/>
    <n v="989829977.20000005"/>
    <n v="267"/>
    <x v="1"/>
    <n v="1689253301.7"/>
    <n v="1336270469.2200003"/>
    <n v="1689.2533017000001"/>
    <n v="1336.2704692200002"/>
  </r>
  <r>
    <s v="NL"/>
    <x v="3"/>
    <x v="1"/>
    <n v="22920435.969999999"/>
    <n v="17046919.489999998"/>
    <n v="13"/>
    <x v="1"/>
    <n v="30942588.559500001"/>
    <n v="23013341.311499998"/>
    <n v="30.942588559500003"/>
    <n v="23.0133413115"/>
  </r>
  <r>
    <s v="PL"/>
    <x v="3"/>
    <x v="1"/>
    <n v="962933.94819999998"/>
    <n v="962933.94819999998"/>
    <n v="1"/>
    <x v="1"/>
    <n v="1299960.8300700001"/>
    <n v="1299960.8300700001"/>
    <n v="1.2999608300700001"/>
    <n v="1.2999608300700001"/>
  </r>
  <r>
    <s v="SE"/>
    <x v="3"/>
    <x v="1"/>
    <n v="119269832.5"/>
    <n v="41431963.189999998"/>
    <n v="9"/>
    <x v="1"/>
    <n v="161014273.875"/>
    <n v="55933150.306500003"/>
    <n v="161.01427387499999"/>
    <n v="55.933150306500004"/>
  </r>
  <r>
    <s v="AT"/>
    <x v="4"/>
    <x v="1"/>
    <n v="965000"/>
    <n v="965000"/>
    <n v="1"/>
    <x v="0"/>
    <n v="1302750"/>
    <n v="1302750"/>
    <n v="1.3027500000000001"/>
    <n v="1.3027500000000001"/>
  </r>
  <r>
    <s v="BE"/>
    <x v="4"/>
    <x v="1"/>
    <n v="647970"/>
    <n v="647970"/>
    <n v="4"/>
    <x v="0"/>
    <n v="874759.5"/>
    <n v="874759.5"/>
    <n v="0.87475950000000002"/>
    <n v="0.87475950000000002"/>
  </r>
  <r>
    <s v="DE"/>
    <x v="4"/>
    <x v="1"/>
    <n v="11303190"/>
    <n v="11303190"/>
    <n v="2"/>
    <x v="0"/>
    <n v="15259306.500000002"/>
    <n v="15259306.500000002"/>
    <n v="15.259306500000001"/>
    <n v="15.259306500000001"/>
  </r>
  <r>
    <s v="DK"/>
    <x v="4"/>
    <x v="1"/>
    <n v="78660"/>
    <n v="78660"/>
    <n v="1"/>
    <x v="0"/>
    <n v="106191"/>
    <n v="106191"/>
    <n v="0.10619099999999999"/>
    <n v="0.10619099999999999"/>
  </r>
  <r>
    <s v="FR"/>
    <x v="4"/>
    <x v="1"/>
    <n v="61582623.200000003"/>
    <n v="61582623.200000003"/>
    <n v="97"/>
    <x v="0"/>
    <n v="83136541.320000008"/>
    <n v="83136541.320000008"/>
    <n v="83.136541320000006"/>
    <n v="83.136541320000006"/>
  </r>
  <r>
    <s v="PL"/>
    <x v="4"/>
    <x v="1"/>
    <n v="10000"/>
    <n v="10000"/>
    <n v="1"/>
    <x v="0"/>
    <n v="13500"/>
    <n v="13500"/>
    <n v="1.35E-2"/>
    <n v="1.35E-2"/>
  </r>
  <r>
    <s v="SE"/>
    <x v="4"/>
    <x v="1"/>
    <n v="891706.8"/>
    <n v="891706.8"/>
    <n v="6"/>
    <x v="0"/>
    <n v="1203804.1800000002"/>
    <n v="1203804.1800000002"/>
    <n v="1.2038041800000001"/>
    <n v="1.2038041800000001"/>
  </r>
  <r>
    <s v="AT"/>
    <x v="4"/>
    <x v="1"/>
    <n v="1593469942"/>
    <n v="1569310028"/>
    <n v="2497"/>
    <x v="1"/>
    <n v="2151184421.7000003"/>
    <n v="2118568537.8000002"/>
    <n v="2151.1844217000003"/>
    <n v="2118.5685378000003"/>
  </r>
  <r>
    <s v="BE"/>
    <x v="4"/>
    <x v="1"/>
    <n v="9409929763"/>
    <n v="8909949616"/>
    <n v="6013"/>
    <x v="1"/>
    <n v="12703405180.050001"/>
    <n v="12028431981.6"/>
    <n v="12703.405180050002"/>
    <n v="12028.431981600001"/>
  </r>
  <r>
    <s v="CZ"/>
    <x v="4"/>
    <x v="1"/>
    <n v="33669781.600000001"/>
    <n v="33669781.600000001"/>
    <n v="42"/>
    <x v="1"/>
    <n v="45454205.160000004"/>
    <n v="45454205.160000004"/>
    <n v="45.454205160000001"/>
    <n v="45.454205160000001"/>
  </r>
  <r>
    <s v="DE"/>
    <x v="4"/>
    <x v="1"/>
    <n v="12604811141"/>
    <n v="12542945497"/>
    <n v="21741"/>
    <x v="1"/>
    <n v="17016495040.35"/>
    <n v="16932976420.950001"/>
    <n v="17016.495040350001"/>
    <n v="16932.976420949999"/>
  </r>
  <r>
    <s v="DK"/>
    <x v="4"/>
    <x v="1"/>
    <n v="24492760.440000001"/>
    <n v="23901642.440000001"/>
    <n v="91"/>
    <x v="1"/>
    <n v="33065226.594000004"/>
    <n v="32267217.294000003"/>
    <n v="33.065226594000002"/>
    <n v="32.267217294000005"/>
  </r>
  <r>
    <s v="FR"/>
    <x v="4"/>
    <x v="1"/>
    <n v="20646599039"/>
    <n v="20218412585"/>
    <n v="27517"/>
    <x v="1"/>
    <n v="27872908702.650002"/>
    <n v="27294856989.75"/>
    <n v="27872.908702650002"/>
    <n v="27294.856989749998"/>
  </r>
  <r>
    <s v="GB"/>
    <x v="4"/>
    <x v="1"/>
    <n v="954681405.5"/>
    <n v="937681405.5"/>
    <n v="526"/>
    <x v="1"/>
    <n v="1288819897.4250002"/>
    <n v="1265869897.4250002"/>
    <n v="1288.8198974250001"/>
    <n v="1265.8698974250001"/>
  </r>
  <r>
    <s v="NL"/>
    <x v="4"/>
    <x v="1"/>
    <n v="10656038934"/>
    <n v="10407871297"/>
    <n v="8631"/>
    <x v="1"/>
    <n v="14385652560.900002"/>
    <n v="14050626250.950001"/>
    <n v="14385.652560900002"/>
    <n v="14050.626250950001"/>
  </r>
  <r>
    <s v="PL"/>
    <x v="4"/>
    <x v="1"/>
    <n v="5573336.4000000004"/>
    <n v="5573336.4000000004"/>
    <n v="126"/>
    <x v="1"/>
    <n v="7524004.1400000006"/>
    <n v="7524004.1400000006"/>
    <n v="7.5240041400000006"/>
    <n v="7.5240041400000006"/>
  </r>
  <r>
    <s v="SE"/>
    <x v="4"/>
    <x v="1"/>
    <n v="90575537.400000006"/>
    <n v="90575537.400000006"/>
    <n v="336"/>
    <x v="1"/>
    <n v="122276975.49000001"/>
    <n v="122276975.49000001"/>
    <n v="122.27697549000001"/>
    <n v="122.27697549000001"/>
  </r>
  <r>
    <s v="JP"/>
    <x v="0"/>
    <x v="2"/>
    <n v="3060082.6430000002"/>
    <n v="1599407.4669999999"/>
    <n v="3"/>
    <x v="0"/>
    <n v="4131111.5680500004"/>
    <n v="2159200.0804500002"/>
    <n v="4.1311115680500006"/>
    <n v="2.1592000804500002"/>
  </r>
  <r>
    <s v="JP"/>
    <x v="0"/>
    <x v="2"/>
    <n v="83586974.900000006"/>
    <n v="47547711"/>
    <n v="10"/>
    <x v="1"/>
    <n v="112842416.11500001"/>
    <n v="64189409.850000001"/>
    <n v="112.84241611500001"/>
    <n v="64.189409850000004"/>
  </r>
  <r>
    <s v="JP"/>
    <x v="2"/>
    <x v="2"/>
    <n v="276000"/>
    <n v="276000"/>
    <n v="2"/>
    <x v="1"/>
    <n v="372600"/>
    <n v="372600"/>
    <n v="0.37259999999999999"/>
    <n v="0.37259999999999999"/>
  </r>
  <r>
    <s v="JP"/>
    <x v="3"/>
    <x v="2"/>
    <n v="183525417"/>
    <n v="107035050.90000001"/>
    <n v="42"/>
    <x v="1"/>
    <n v="247759312.95000002"/>
    <n v="144497318.715"/>
    <n v="247.75931295000001"/>
    <n v="144.49731871500001"/>
  </r>
  <r>
    <s v="JP"/>
    <x v="4"/>
    <x v="2"/>
    <n v="20201080.800000001"/>
    <n v="20201080.800000001"/>
    <n v="23"/>
    <x v="1"/>
    <n v="27271459.080000002"/>
    <n v="27271459.080000002"/>
    <n v="27.271459080000003"/>
    <n v="27.271459080000003"/>
  </r>
  <r>
    <s v="CA"/>
    <x v="0"/>
    <x v="3"/>
    <n v="18301343.57"/>
    <n v="16479715.689999999"/>
    <n v="4"/>
    <x v="0"/>
    <n v="24706813.819500003"/>
    <n v="22247616.181499999"/>
    <n v="24.706813819500002"/>
    <n v="22.2476161815"/>
  </r>
  <r>
    <s v="CA"/>
    <x v="0"/>
    <x v="3"/>
    <n v="210957528.09999999"/>
    <n v="106631319.7"/>
    <n v="18"/>
    <x v="1"/>
    <n v="284792662.935"/>
    <n v="143952281.595"/>
    <n v="284.79266293500001"/>
    <n v="143.95228159499999"/>
  </r>
  <r>
    <s v="CA"/>
    <x v="1"/>
    <x v="3"/>
    <n v="110000"/>
    <n v="110000"/>
    <n v="1"/>
    <x v="0"/>
    <n v="148500"/>
    <n v="148500"/>
    <n v="0.14849999999999999"/>
    <n v="0.14849999999999999"/>
  </r>
  <r>
    <s v="CA"/>
    <x v="1"/>
    <x v="3"/>
    <n v="110000"/>
    <n v="110000"/>
    <n v="1"/>
    <x v="1"/>
    <n v="148500"/>
    <n v="148500"/>
    <n v="0.14849999999999999"/>
    <n v="0.14849999999999999"/>
  </r>
  <r>
    <s v="CA"/>
    <x v="2"/>
    <x v="3"/>
    <n v="212000"/>
    <n v="212000"/>
    <n v="1"/>
    <x v="1"/>
    <n v="286200"/>
    <n v="286200"/>
    <n v="0.28620000000000001"/>
    <n v="0.28620000000000001"/>
  </r>
  <r>
    <s v="CA"/>
    <x v="3"/>
    <x v="3"/>
    <n v="7558346.1600000001"/>
    <n v="7558346.1600000001"/>
    <n v="4"/>
    <x v="1"/>
    <n v="10203767.316000002"/>
    <n v="10203767.316000002"/>
    <n v="10.203767316000002"/>
    <n v="10.203767316000002"/>
  </r>
  <r>
    <s v="CA"/>
    <x v="4"/>
    <x v="3"/>
    <n v="560000"/>
    <n v="560000"/>
    <n v="2"/>
    <x v="1"/>
    <n v="756000"/>
    <n v="756000"/>
    <n v="0.75600000000000001"/>
    <n v="0.75600000000000001"/>
  </r>
  <r>
    <s v="MX"/>
    <x v="0"/>
    <x v="4"/>
    <n v="7114586.3729999997"/>
    <n v="7114586.3729999997"/>
    <n v="2"/>
    <x v="0"/>
    <n v="9604691.6035500001"/>
    <n v="9604691.6035500001"/>
    <n v="9.6046916035500001"/>
    <n v="9.6046916035500001"/>
  </r>
  <r>
    <s v="US"/>
    <x v="0"/>
    <x v="4"/>
    <n v="2365811503"/>
    <n v="1413295965"/>
    <n v="326"/>
    <x v="0"/>
    <n v="3193845529.0500002"/>
    <n v="1907949552.7500002"/>
    <n v="3193.8455290500001"/>
    <n v="1907.9495527500003"/>
  </r>
  <r>
    <s v="MX"/>
    <x v="0"/>
    <x v="4"/>
    <n v="22688725.59"/>
    <n v="22688725.59"/>
    <n v="13"/>
    <x v="1"/>
    <n v="30629779.546500001"/>
    <n v="30629779.546500001"/>
    <n v="30.6297795465"/>
    <n v="30.6297795465"/>
  </r>
  <r>
    <s v="US"/>
    <x v="0"/>
    <x v="4"/>
    <n v="738973417.29999995"/>
    <n v="426252309.80000001"/>
    <n v="106"/>
    <x v="1"/>
    <n v="997614113.35500002"/>
    <n v="575440618.23000002"/>
    <n v="997.61411335499997"/>
    <n v="575.44061823000004"/>
  </r>
  <r>
    <s v="MX"/>
    <x v="1"/>
    <x v="4"/>
    <n v="200000"/>
    <n v="200000"/>
    <n v="1"/>
    <x v="0"/>
    <n v="270000"/>
    <n v="270000"/>
    <n v="0.27"/>
    <n v="0.27"/>
  </r>
  <r>
    <s v="US"/>
    <x v="1"/>
    <x v="4"/>
    <n v="345000"/>
    <n v="345000"/>
    <n v="1"/>
    <x v="0"/>
    <n v="465750.00000000006"/>
    <n v="465750.00000000006"/>
    <n v="0.46575000000000005"/>
    <n v="0.46575000000000005"/>
  </r>
  <r>
    <s v="MX"/>
    <x v="1"/>
    <x v="4"/>
    <n v="200000"/>
    <n v="200000"/>
    <n v="1"/>
    <x v="1"/>
    <n v="270000"/>
    <n v="270000"/>
    <n v="0.27"/>
    <n v="0.27"/>
  </r>
  <r>
    <s v="US"/>
    <x v="1"/>
    <x v="4"/>
    <n v="2462700"/>
    <n v="2462700"/>
    <n v="3"/>
    <x v="1"/>
    <n v="3324645"/>
    <n v="3324645"/>
    <n v="3.3246449999999999"/>
    <n v="3.3246449999999999"/>
  </r>
  <r>
    <s v="US"/>
    <x v="2"/>
    <x v="4"/>
    <n v="101000"/>
    <n v="101000"/>
    <n v="1"/>
    <x v="0"/>
    <n v="136350"/>
    <n v="136350"/>
    <n v="0.13635"/>
    <n v="0.13635"/>
  </r>
  <r>
    <s v="US"/>
    <x v="2"/>
    <x v="4"/>
    <n v="22746034"/>
    <n v="22746034"/>
    <n v="32"/>
    <x v="1"/>
    <n v="30707145.900000002"/>
    <n v="30707145.900000002"/>
    <n v="30.707145900000004"/>
    <n v="30.707145900000004"/>
  </r>
  <r>
    <s v="MX"/>
    <x v="3"/>
    <x v="4"/>
    <n v="16448885.43"/>
    <n v="16448885.43"/>
    <n v="3"/>
    <x v="0"/>
    <n v="22205995.330499999"/>
    <n v="22205995.330499999"/>
    <n v="22.205995330499999"/>
    <n v="22.205995330499999"/>
  </r>
  <r>
    <s v="US"/>
    <x v="3"/>
    <x v="4"/>
    <n v="175292598.80000001"/>
    <n v="87273963.569999993"/>
    <n v="20"/>
    <x v="0"/>
    <n v="236645008.38000003"/>
    <n v="117819850.8195"/>
    <n v="236.64500838000004"/>
    <n v="117.8198508195"/>
  </r>
  <r>
    <s v="BH"/>
    <x v="3"/>
    <x v="4"/>
    <n v="36117049.75"/>
    <n v="18058524.870000001"/>
    <n v="1"/>
    <x v="1"/>
    <n v="48758017.162500001"/>
    <n v="24379008.574500002"/>
    <n v="48.758017162500003"/>
    <n v="24.379008574500002"/>
  </r>
  <r>
    <s v="MX"/>
    <x v="3"/>
    <x v="4"/>
    <n v="263034815.80000001"/>
    <n v="239889344.5"/>
    <n v="90"/>
    <x v="1"/>
    <n v="355097001.33000004"/>
    <n v="323850615.07500005"/>
    <n v="355.09700133000007"/>
    <n v="323.85061507500006"/>
  </r>
  <r>
    <s v="US"/>
    <x v="3"/>
    <x v="4"/>
    <n v="906507554.60000002"/>
    <n v="666539312.39999998"/>
    <n v="227"/>
    <x v="1"/>
    <n v="1223785198.71"/>
    <n v="899828071.74000001"/>
    <n v="1223.78519871"/>
    <n v="899.82807174000004"/>
  </r>
  <r>
    <s v="BH"/>
    <x v="4"/>
    <x v="4"/>
    <n v="185600"/>
    <n v="185600"/>
    <n v="1"/>
    <x v="1"/>
    <n v="250560.00000000003"/>
    <n v="250560.00000000003"/>
    <n v="0.25056"/>
    <n v="0.25056"/>
  </r>
  <r>
    <s v="MX"/>
    <x v="4"/>
    <x v="4"/>
    <n v="5264746.4000000004"/>
    <n v="5264746.4000000004"/>
    <n v="9"/>
    <x v="1"/>
    <n v="7107407.6400000006"/>
    <n v="7107407.6400000006"/>
    <n v="7.1074076400000008"/>
    <n v="7.1074076400000008"/>
  </r>
  <r>
    <s v="US"/>
    <x v="4"/>
    <x v="4"/>
    <n v="101774358.8"/>
    <n v="100967402.8"/>
    <n v="76"/>
    <x v="1"/>
    <n v="137395384.38"/>
    <n v="136305993.78"/>
    <n v="137.39538438"/>
    <n v="136.30599377999999"/>
  </r>
  <r>
    <s v="US"/>
    <x v="0"/>
    <x v="5"/>
    <n v="2365811503"/>
    <n v="1413295965"/>
    <n v="326"/>
    <x v="0"/>
    <n v="3193845529.0500002"/>
    <n v="1907949552.7500002"/>
    <n v="3193.8455290500001"/>
    <n v="1907.9495527500003"/>
  </r>
  <r>
    <s v="US"/>
    <x v="0"/>
    <x v="5"/>
    <n v="738973417.29999995"/>
    <n v="426252309.80000001"/>
    <n v="106"/>
    <x v="1"/>
    <n v="997614113.35500002"/>
    <n v="575440618.23000002"/>
    <n v="997.61411335499997"/>
    <n v="575.44061823000004"/>
  </r>
  <r>
    <s v="US"/>
    <x v="1"/>
    <x v="5"/>
    <n v="345000"/>
    <n v="345000"/>
    <n v="1"/>
    <x v="0"/>
    <n v="465750.00000000006"/>
    <n v="465750.00000000006"/>
    <n v="0.46575000000000005"/>
    <n v="0.46575000000000005"/>
  </r>
  <r>
    <s v="US"/>
    <x v="1"/>
    <x v="5"/>
    <n v="2462700"/>
    <n v="2462700"/>
    <n v="3"/>
    <x v="1"/>
    <n v="3324645"/>
    <n v="3324645"/>
    <n v="3.3246449999999999"/>
    <n v="3.3246449999999999"/>
  </r>
  <r>
    <s v="US"/>
    <x v="2"/>
    <x v="5"/>
    <n v="101000"/>
    <n v="101000"/>
    <n v="1"/>
    <x v="0"/>
    <n v="136350"/>
    <n v="136350"/>
    <n v="0.13635"/>
    <n v="0.13635"/>
  </r>
  <r>
    <s v="US"/>
    <x v="2"/>
    <x v="5"/>
    <n v="22746034"/>
    <n v="22746034"/>
    <n v="32"/>
    <x v="1"/>
    <n v="30707145.900000002"/>
    <n v="30707145.900000002"/>
    <n v="30.707145900000004"/>
    <n v="30.707145900000004"/>
  </r>
  <r>
    <s v="US"/>
    <x v="3"/>
    <x v="5"/>
    <n v="175292598.80000001"/>
    <n v="87273963.569999993"/>
    <n v="20"/>
    <x v="0"/>
    <n v="236645008.38000003"/>
    <n v="117819850.8195"/>
    <n v="236.64500838000004"/>
    <n v="117.8198508195"/>
  </r>
  <r>
    <s v="US"/>
    <x v="3"/>
    <x v="5"/>
    <n v="906507554.60000002"/>
    <n v="666539312.39999998"/>
    <n v="227"/>
    <x v="1"/>
    <n v="1223785198.71"/>
    <n v="899828071.74000001"/>
    <n v="1223.78519871"/>
    <n v="899.82807174000004"/>
  </r>
  <r>
    <s v="US"/>
    <x v="4"/>
    <x v="5"/>
    <n v="101774358.8"/>
    <n v="100967402.8"/>
    <n v="76"/>
    <x v="1"/>
    <n v="137395384.38"/>
    <n v="136305993.78"/>
    <n v="137.39538438"/>
    <n v="136.30599377999999"/>
  </r>
  <r>
    <m/>
    <x v="5"/>
    <x v="6"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E0215-1212-4581-BAB9-115323399CB2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J24" firstHeaderRow="1" firstDataRow="2" firstDataCol="3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dataField="1" compact="0" numFmtId="164" outline="0" subtotalTop="0" showAll="0" defaultSubtotal="0"/>
    <pivotField dataField="1" compact="0" numFmtId="164" outline="0" subtotalTop="0" showAll="0" defaultSubtotal="0"/>
  </pivotFields>
  <rowFields count="3">
    <field x="0"/>
    <field x="5"/>
    <field x="-2"/>
  </rowFields>
  <rowItems count="20">
    <i>
      <x/>
      <x/>
      <x/>
    </i>
    <i r="2" i="1">
      <x v="1"/>
    </i>
    <i r="1">
      <x v="1"/>
      <x/>
    </i>
    <i r="2" i="1">
      <x v="1"/>
    </i>
    <i>
      <x v="1"/>
      <x/>
      <x/>
    </i>
    <i r="2" i="1">
      <x v="1"/>
    </i>
    <i r="1">
      <x v="1"/>
      <x/>
    </i>
    <i r="2" i="1">
      <x v="1"/>
    </i>
    <i>
      <x v="2"/>
      <x/>
      <x/>
    </i>
    <i r="2" i="1">
      <x v="1"/>
    </i>
    <i r="1">
      <x v="1"/>
      <x/>
    </i>
    <i r="2" i="1">
      <x v="1"/>
    </i>
    <i>
      <x v="3"/>
      <x/>
      <x/>
    </i>
    <i r="2" i="1">
      <x v="1"/>
    </i>
    <i r="1">
      <x v="1"/>
      <x/>
    </i>
    <i r="2" i="1">
      <x v="1"/>
    </i>
    <i>
      <x v="4"/>
      <x/>
      <x/>
    </i>
    <i r="2" i="1">
      <x v="1"/>
    </i>
    <i r="1">
      <x v="1"/>
      <x/>
    </i>
    <i r="2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sum_pml_usd/1m" fld="8" baseField="0" baseItem="0" numFmtId="164"/>
    <dataField name="Sum of sum_net_usd/1m" fld="9" baseField="0" baseItem="0" numFmtId="164"/>
  </dataFields>
  <formats count="14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-2" type="button" dataOnly="0" labelOnly="1" outline="0" axis="axisRow" fieldPosition="2"/>
    </format>
    <format dxfId="20">
      <pivotArea field="5" type="button" dataOnly="0" labelOnly="1" outline="0" axis="axisRow" fieldPosition="1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4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13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12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11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B8F12-97D4-4B0F-B0FB-993461BD7CF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9:I50" firstHeaderRow="1" firstDataRow="2" firstDataCol="2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compact="0" numFmtId="164" outline="0" subtotalTop="0" showAll="0" defaultSubtotal="0"/>
    <pivotField compact="0" numFmtId="164" outline="0" subtotalTop="0" showAll="0" defaultSubtotal="0"/>
  </pivotFields>
  <rowFields count="2">
    <field x="0"/>
    <field x="5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_policies" fld="4" baseField="0" baseItem="0"/>
  </dataFields>
  <formats count="14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-2" type="button" dataOnly="0" labelOnly="1" outline="0" axis="axisValues" fieldPosition="0"/>
    </format>
    <format dxfId="34">
      <pivotArea field="5" type="button" dataOnly="0" labelOnly="1" outline="0" axis="axisRow" fieldPosition="1"/>
    </format>
    <format dxfId="33">
      <pivotArea type="topRight" dataOnly="0" labelOnly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8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27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26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5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0CF95-4F9A-41FB-9513-0ECFA6DDB5EC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57:I68" firstHeaderRow="1" firstDataRow="2" firstDataCol="2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dataField="1" compact="0" numFmtId="164" outline="0" subtotalTop="0" showAll="0" defaultSubtotal="0"/>
    <pivotField dataField="1" compact="0" numFmtId="164" outline="0" subtotalTop="0" showAll="0" defaultSubtotal="0"/>
  </pivotFields>
  <rowFields count="2">
    <field x="0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sum_pml_usd/1m" fld="8" baseField="0" baseItem="0" numFmtId="164"/>
    <dataField name="Sum of sum_net_usd/1m" fld="9" baseField="0" baseItem="0" numFmtId="164"/>
  </dataFields>
  <formats count="14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-2" type="button" dataOnly="0" labelOnly="1" outline="0" axis="axisRow" fieldPosition="1"/>
    </format>
    <format dxfId="48">
      <pivotArea field="5" type="button" dataOnly="0" labelOnly="1" outline="0"/>
    </format>
    <format dxfId="47">
      <pivotArea type="topRight" dataOnly="0" labelOnly="1" outline="0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42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41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40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39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C3441-9A1B-4C61-9716-9F9033EC5285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Q23" firstHeaderRow="0" firstDataRow="1" firstDataCol="1" rowPageCount="1" colPageCount="1"/>
  <pivotFields count="11">
    <pivotField showAll="0"/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</pivotFields>
  <rowFields count="2">
    <field x="2"/>
    <field x="6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count_policies" fld="5" baseField="0" baseItem="0"/>
    <dataField name="Sum of sum_pml_usd/1m" fld="9" baseField="0" baseItem="0" numFmtId="164"/>
    <dataField name="Sum of sum_net_usd/1m" fld="10" baseField="0" baseItem="0" numFmtId="164"/>
  </dataFields>
  <formats count="1"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FC09-4CC0-4002-99FA-D17E9D27A4C7}">
  <dimension ref="A2:L78"/>
  <sheetViews>
    <sheetView zoomScaleNormal="100" workbookViewId="0">
      <selection activeCell="A32" sqref="A32"/>
    </sheetView>
  </sheetViews>
  <sheetFormatPr defaultRowHeight="12.75" x14ac:dyDescent="0.2"/>
  <cols>
    <col min="1" max="1" width="23.42578125" bestFit="1" customWidth="1"/>
    <col min="2" max="2" width="22" bestFit="1" customWidth="1"/>
    <col min="3" max="3" width="23.28515625" customWidth="1"/>
    <col min="4" max="8" width="9.5703125" bestFit="1" customWidth="1"/>
    <col min="9" max="10" width="11.85546875" bestFit="1" customWidth="1"/>
    <col min="11" max="11" width="12.5703125" customWidth="1"/>
    <col min="12" max="13" width="15.7109375" bestFit="1" customWidth="1"/>
    <col min="14" max="14" width="12.7109375" bestFit="1" customWidth="1"/>
    <col min="15" max="24" width="20.140625" bestFit="1" customWidth="1"/>
    <col min="25" max="25" width="22.28515625" bestFit="1" customWidth="1"/>
    <col min="26" max="26" width="25.28515625" bestFit="1" customWidth="1"/>
  </cols>
  <sheetData>
    <row r="2" spans="1:12" x14ac:dyDescent="0.2">
      <c r="A2" s="5" t="s">
        <v>18</v>
      </c>
    </row>
    <row r="3" spans="1:12" x14ac:dyDescent="0.2">
      <c r="A3" s="3"/>
      <c r="B3" s="3"/>
      <c r="C3" s="3"/>
      <c r="D3" s="4" t="s">
        <v>1</v>
      </c>
      <c r="E3" s="3"/>
      <c r="F3" s="3"/>
      <c r="G3" s="3"/>
      <c r="H3" s="3"/>
      <c r="I3" s="3"/>
      <c r="J3" s="3"/>
    </row>
    <row r="4" spans="1:12" x14ac:dyDescent="0.2">
      <c r="A4" s="4" t="s">
        <v>0</v>
      </c>
      <c r="B4" s="4" t="s">
        <v>5</v>
      </c>
      <c r="C4" s="4" t="s">
        <v>16</v>
      </c>
      <c r="D4" s="3" t="s">
        <v>6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2" x14ac:dyDescent="0.2">
      <c r="A5" s="3">
        <v>33</v>
      </c>
      <c r="B5" s="3">
        <v>1</v>
      </c>
      <c r="C5" s="3" t="s">
        <v>34</v>
      </c>
      <c r="D5" s="3">
        <v>33956.219746285242</v>
      </c>
      <c r="E5" s="3">
        <v>21088.587653061077</v>
      </c>
      <c r="F5" s="3">
        <v>112.8424161159523</v>
      </c>
      <c r="G5" s="3">
        <v>284.79266290411601</v>
      </c>
      <c r="H5" s="3">
        <v>1028.2438929715152</v>
      </c>
      <c r="I5" s="3">
        <v>997.61411342049666</v>
      </c>
      <c r="J5" s="3">
        <v>57468.300484758394</v>
      </c>
      <c r="K5" s="3">
        <f>D5-I5</f>
        <v>32958.605632864746</v>
      </c>
      <c r="L5" t="s">
        <v>27</v>
      </c>
    </row>
    <row r="6" spans="1:12" x14ac:dyDescent="0.2">
      <c r="A6" s="3"/>
      <c r="B6" s="3"/>
      <c r="C6" s="3" t="s">
        <v>35</v>
      </c>
      <c r="D6" s="3">
        <v>25145.81347199787</v>
      </c>
      <c r="E6" s="3">
        <v>16379.079800502464</v>
      </c>
      <c r="F6" s="3">
        <v>64.189409847055387</v>
      </c>
      <c r="G6" s="3">
        <v>143.9522816275782</v>
      </c>
      <c r="H6" s="3">
        <v>606.07039780486616</v>
      </c>
      <c r="I6" s="3">
        <v>575.44061825384767</v>
      </c>
      <c r="J6" s="3">
        <v>42914.545980033683</v>
      </c>
      <c r="K6" s="3">
        <f t="shared" ref="K6:K24" si="0">D6-I6</f>
        <v>24570.372853744022</v>
      </c>
      <c r="L6" t="s">
        <v>28</v>
      </c>
    </row>
    <row r="7" spans="1:12" x14ac:dyDescent="0.2">
      <c r="A7" s="3"/>
      <c r="B7" s="3">
        <v>0</v>
      </c>
      <c r="C7" s="3" t="s">
        <v>34</v>
      </c>
      <c r="D7" s="3">
        <v>6272.0043418205014</v>
      </c>
      <c r="E7" s="3">
        <v>798.93482057235224</v>
      </c>
      <c r="F7" s="3">
        <v>4.1311115680500547</v>
      </c>
      <c r="G7" s="3">
        <v>24.706813826007</v>
      </c>
      <c r="H7" s="3">
        <v>3203.4502205309564</v>
      </c>
      <c r="I7" s="3">
        <v>3193.8455289272174</v>
      </c>
      <c r="J7" s="3">
        <v>13497.072837245083</v>
      </c>
      <c r="K7" s="3">
        <f t="shared" si="0"/>
        <v>3078.158812893284</v>
      </c>
    </row>
    <row r="8" spans="1:12" x14ac:dyDescent="0.2">
      <c r="A8" s="3"/>
      <c r="B8" s="3"/>
      <c r="C8" s="3" t="s">
        <v>35</v>
      </c>
      <c r="D8" s="3">
        <v>3958.1360793249437</v>
      </c>
      <c r="E8" s="3">
        <v>533.79541228629068</v>
      </c>
      <c r="F8" s="3">
        <v>2.1592000809639047</v>
      </c>
      <c r="G8" s="3">
        <v>22.247616184646581</v>
      </c>
      <c r="H8" s="3">
        <v>1917.5542448334213</v>
      </c>
      <c r="I8" s="3">
        <v>1907.9495532296821</v>
      </c>
      <c r="J8" s="3">
        <v>8341.8421059399479</v>
      </c>
      <c r="K8" s="3">
        <f t="shared" si="0"/>
        <v>2050.1865260952618</v>
      </c>
    </row>
    <row r="9" spans="1:12" x14ac:dyDescent="0.2">
      <c r="A9" s="3">
        <v>3624</v>
      </c>
      <c r="B9" s="3">
        <v>1</v>
      </c>
      <c r="C9" s="3" t="s">
        <v>34</v>
      </c>
      <c r="D9" s="3">
        <v>27.559570680000004</v>
      </c>
      <c r="E9" s="3">
        <v>7.5303000000000013</v>
      </c>
      <c r="F9" s="3"/>
      <c r="G9" s="3">
        <v>0.14849999999999999</v>
      </c>
      <c r="H9" s="3">
        <v>3.5946450000000003</v>
      </c>
      <c r="I9" s="3">
        <v>3.3246449999999999</v>
      </c>
      <c r="J9" s="3">
        <v>42.157660679999999</v>
      </c>
      <c r="K9" s="3">
        <f t="shared" si="0"/>
        <v>24.234925680000003</v>
      </c>
    </row>
    <row r="10" spans="1:12" x14ac:dyDescent="0.2">
      <c r="A10" s="3"/>
      <c r="B10" s="3"/>
      <c r="C10" s="3" t="s">
        <v>35</v>
      </c>
      <c r="D10" s="3">
        <v>27.559570680000004</v>
      </c>
      <c r="E10" s="3">
        <v>7.5303000000000013</v>
      </c>
      <c r="F10" s="3"/>
      <c r="G10" s="3">
        <v>0.14849999999999999</v>
      </c>
      <c r="H10" s="3">
        <v>3.5946450000000003</v>
      </c>
      <c r="I10" s="3">
        <v>3.3246449999999999</v>
      </c>
      <c r="J10" s="3">
        <v>42.157660679999999</v>
      </c>
      <c r="K10" s="3">
        <f t="shared" si="0"/>
        <v>24.234925680000003</v>
      </c>
    </row>
    <row r="11" spans="1:12" x14ac:dyDescent="0.2">
      <c r="A11" s="3"/>
      <c r="B11" s="3">
        <v>0</v>
      </c>
      <c r="C11" s="3" t="s">
        <v>34</v>
      </c>
      <c r="D11" s="3">
        <v>2.2302</v>
      </c>
      <c r="E11" s="3"/>
      <c r="F11" s="3"/>
      <c r="G11" s="3">
        <v>0.14849999999999999</v>
      </c>
      <c r="H11" s="3">
        <v>0.73575000000000002</v>
      </c>
      <c r="I11" s="3">
        <v>0.46575000000000005</v>
      </c>
      <c r="J11" s="3">
        <v>3.5801999999999996</v>
      </c>
      <c r="K11" s="3">
        <f t="shared" si="0"/>
        <v>1.7644499999999999</v>
      </c>
    </row>
    <row r="12" spans="1:12" x14ac:dyDescent="0.2">
      <c r="A12" s="3"/>
      <c r="B12" s="3"/>
      <c r="C12" s="3" t="s">
        <v>35</v>
      </c>
      <c r="D12" s="3">
        <v>2.2302</v>
      </c>
      <c r="E12" s="3"/>
      <c r="F12" s="3"/>
      <c r="G12" s="3">
        <v>0.14849999999999999</v>
      </c>
      <c r="H12" s="3">
        <v>0.73575000000000002</v>
      </c>
      <c r="I12" s="3">
        <v>0.46575000000000005</v>
      </c>
      <c r="J12" s="3">
        <v>3.5801999999999996</v>
      </c>
      <c r="K12" s="3">
        <f t="shared" si="0"/>
        <v>1.7644499999999999</v>
      </c>
    </row>
    <row r="13" spans="1:12" x14ac:dyDescent="0.2">
      <c r="A13" s="3" t="s">
        <v>7</v>
      </c>
      <c r="B13" s="3">
        <v>1</v>
      </c>
      <c r="C13" s="3" t="s">
        <v>34</v>
      </c>
      <c r="D13" s="3">
        <v>164332.33222969665</v>
      </c>
      <c r="E13" s="3">
        <v>163738.32066848699</v>
      </c>
      <c r="F13" s="3">
        <v>0.37259999999999999</v>
      </c>
      <c r="G13" s="3">
        <v>0.28620000000000001</v>
      </c>
      <c r="H13" s="3">
        <v>30.707145900000004</v>
      </c>
      <c r="I13" s="3">
        <v>30.707145900000004</v>
      </c>
      <c r="J13" s="3">
        <v>328132.72598998365</v>
      </c>
      <c r="K13" s="3">
        <f t="shared" si="0"/>
        <v>164301.62508379665</v>
      </c>
    </row>
    <row r="14" spans="1:12" x14ac:dyDescent="0.2">
      <c r="A14" s="3"/>
      <c r="B14" s="3"/>
      <c r="C14" s="3" t="s">
        <v>35</v>
      </c>
      <c r="D14" s="3">
        <v>164332.33222969665</v>
      </c>
      <c r="E14" s="3">
        <v>163738.32066848699</v>
      </c>
      <c r="F14" s="3">
        <v>0.37259999999999999</v>
      </c>
      <c r="G14" s="3">
        <v>0.28620000000000001</v>
      </c>
      <c r="H14" s="3">
        <v>30.707145900000004</v>
      </c>
      <c r="I14" s="3">
        <v>30.707145900000004</v>
      </c>
      <c r="J14" s="3">
        <v>328132.72598998365</v>
      </c>
      <c r="K14" s="3">
        <f t="shared" si="0"/>
        <v>164301.62508379665</v>
      </c>
    </row>
    <row r="15" spans="1:12" x14ac:dyDescent="0.2">
      <c r="A15" s="3"/>
      <c r="B15" s="3">
        <v>0</v>
      </c>
      <c r="C15" s="3" t="s">
        <v>34</v>
      </c>
      <c r="D15" s="3">
        <v>20.835638639999868</v>
      </c>
      <c r="E15" s="3">
        <v>9.5849271000000016</v>
      </c>
      <c r="F15" s="3"/>
      <c r="G15" s="3"/>
      <c r="H15" s="3">
        <v>0.13635</v>
      </c>
      <c r="I15" s="3">
        <v>0.13635</v>
      </c>
      <c r="J15" s="3">
        <v>30.69326573999987</v>
      </c>
      <c r="K15" s="3">
        <f t="shared" si="0"/>
        <v>20.699288639999867</v>
      </c>
    </row>
    <row r="16" spans="1:12" x14ac:dyDescent="0.2">
      <c r="A16" s="3"/>
      <c r="B16" s="3"/>
      <c r="C16" s="3" t="s">
        <v>35</v>
      </c>
      <c r="D16" s="3">
        <v>20.835638639999868</v>
      </c>
      <c r="E16" s="3">
        <v>9.5849271000000016</v>
      </c>
      <c r="F16" s="3"/>
      <c r="G16" s="3"/>
      <c r="H16" s="3">
        <v>0.13635</v>
      </c>
      <c r="I16" s="3">
        <v>0.13635</v>
      </c>
      <c r="J16" s="3">
        <v>30.69326573999987</v>
      </c>
      <c r="K16" s="3">
        <f t="shared" si="0"/>
        <v>20.699288639999867</v>
      </c>
    </row>
    <row r="17" spans="1:11" x14ac:dyDescent="0.2">
      <c r="A17" s="3" t="s">
        <v>8</v>
      </c>
      <c r="B17" s="3">
        <v>1</v>
      </c>
      <c r="C17" s="3" t="s">
        <v>34</v>
      </c>
      <c r="D17" s="3">
        <v>9919.148239181286</v>
      </c>
      <c r="E17" s="3">
        <v>3860.8181139635776</v>
      </c>
      <c r="F17" s="3">
        <v>247.75931301614054</v>
      </c>
      <c r="G17" s="3">
        <v>10.203767316443908</v>
      </c>
      <c r="H17" s="3">
        <v>1627.6402172526527</v>
      </c>
      <c r="I17" s="3">
        <v>1223.7851987241859</v>
      </c>
      <c r="J17" s="3">
        <v>16889.354849454285</v>
      </c>
      <c r="K17" s="3">
        <f t="shared" si="0"/>
        <v>8695.3630404570995</v>
      </c>
    </row>
    <row r="18" spans="1:11" x14ac:dyDescent="0.2">
      <c r="A18" s="3"/>
      <c r="B18" s="3"/>
      <c r="C18" s="3" t="s">
        <v>35</v>
      </c>
      <c r="D18" s="3">
        <v>7872.8932494682522</v>
      </c>
      <c r="E18" s="3">
        <v>2961.3992271348829</v>
      </c>
      <c r="F18" s="3">
        <v>144.49731873975227</v>
      </c>
      <c r="G18" s="3">
        <v>10.203767316443908</v>
      </c>
      <c r="H18" s="3">
        <v>1248.0576953635152</v>
      </c>
      <c r="I18" s="3">
        <v>899.82807173966796</v>
      </c>
      <c r="J18" s="3">
        <v>13136.879329762514</v>
      </c>
      <c r="K18" s="3">
        <f t="shared" si="0"/>
        <v>6973.0651777285839</v>
      </c>
    </row>
    <row r="19" spans="1:11" x14ac:dyDescent="0.2">
      <c r="A19" s="3"/>
      <c r="B19" s="3">
        <v>0</v>
      </c>
      <c r="C19" s="3" t="s">
        <v>34</v>
      </c>
      <c r="D19" s="3">
        <v>943.68686139945362</v>
      </c>
      <c r="E19" s="3">
        <v>283.73721044529736</v>
      </c>
      <c r="F19" s="3"/>
      <c r="G19" s="3"/>
      <c r="H19" s="3">
        <v>258.85100366688556</v>
      </c>
      <c r="I19" s="3">
        <v>236.64500833640582</v>
      </c>
      <c r="J19" s="3">
        <v>1722.9200838480424</v>
      </c>
      <c r="K19" s="3">
        <f t="shared" si="0"/>
        <v>707.04185306304782</v>
      </c>
    </row>
    <row r="20" spans="1:11" x14ac:dyDescent="0.2">
      <c r="A20" s="3"/>
      <c r="B20" s="3"/>
      <c r="C20" s="3" t="s">
        <v>35</v>
      </c>
      <c r="D20" s="3">
        <v>549.3989038843697</v>
      </c>
      <c r="E20" s="3">
        <v>152.02980438751396</v>
      </c>
      <c r="F20" s="3"/>
      <c r="G20" s="3"/>
      <c r="H20" s="3">
        <v>140.02584614885654</v>
      </c>
      <c r="I20" s="3">
        <v>117.81985081837681</v>
      </c>
      <c r="J20" s="3">
        <v>959.27440523911707</v>
      </c>
      <c r="K20" s="3">
        <f t="shared" si="0"/>
        <v>431.57905306599287</v>
      </c>
    </row>
    <row r="21" spans="1:11" x14ac:dyDescent="0.2">
      <c r="A21" s="3" t="s">
        <v>9</v>
      </c>
      <c r="B21" s="3">
        <v>1</v>
      </c>
      <c r="C21" s="3" t="s">
        <v>34</v>
      </c>
      <c r="D21" s="3">
        <v>104236.07514869954</v>
      </c>
      <c r="E21" s="3">
        <v>75626.786214283507</v>
      </c>
      <c r="F21" s="3">
        <v>27.271459080000003</v>
      </c>
      <c r="G21" s="3">
        <v>0.75600000000000001</v>
      </c>
      <c r="H21" s="3">
        <v>144.75335204153521</v>
      </c>
      <c r="I21" s="3">
        <v>137.39538440153521</v>
      </c>
      <c r="J21" s="3">
        <v>180173.03755850613</v>
      </c>
      <c r="K21" s="3">
        <f t="shared" si="0"/>
        <v>104098.67976429801</v>
      </c>
    </row>
    <row r="22" spans="1:11" x14ac:dyDescent="0.2">
      <c r="A22" s="3"/>
      <c r="B22" s="3"/>
      <c r="C22" s="3" t="s">
        <v>35</v>
      </c>
      <c r="D22" s="3">
        <v>101945.66631185588</v>
      </c>
      <c r="E22" s="3">
        <v>73898.852478824381</v>
      </c>
      <c r="F22" s="3">
        <v>27.271459080000003</v>
      </c>
      <c r="G22" s="3">
        <v>0.75600000000000001</v>
      </c>
      <c r="H22" s="3">
        <v>143.66396144153521</v>
      </c>
      <c r="I22" s="3">
        <v>136.30599380153521</v>
      </c>
      <c r="J22" s="3">
        <v>176152.51620500334</v>
      </c>
      <c r="K22" s="3">
        <f t="shared" si="0"/>
        <v>101809.36031805434</v>
      </c>
    </row>
    <row r="23" spans="1:11" x14ac:dyDescent="0.2">
      <c r="A23" s="3"/>
      <c r="B23" s="3">
        <v>0</v>
      </c>
      <c r="C23" s="3" t="s">
        <v>34</v>
      </c>
      <c r="D23" s="3">
        <v>471.54302374525656</v>
      </c>
      <c r="E23" s="3">
        <v>101.89685250025705</v>
      </c>
      <c r="F23" s="3"/>
      <c r="G23" s="3"/>
      <c r="H23" s="3"/>
      <c r="I23" s="3"/>
      <c r="J23" s="3">
        <v>573.43987624551357</v>
      </c>
      <c r="K23" s="3">
        <f t="shared" si="0"/>
        <v>471.54302374525656</v>
      </c>
    </row>
    <row r="24" spans="1:11" x14ac:dyDescent="0.2">
      <c r="A24" s="3"/>
      <c r="B24" s="3"/>
      <c r="C24" s="3" t="s">
        <v>35</v>
      </c>
      <c r="D24" s="3">
        <v>471.54302374525656</v>
      </c>
      <c r="E24" s="3">
        <v>101.89685250025705</v>
      </c>
      <c r="F24" s="3"/>
      <c r="G24" s="3"/>
      <c r="H24" s="3"/>
      <c r="I24" s="3"/>
      <c r="J24" s="3">
        <v>573.43987624551357</v>
      </c>
      <c r="K24" s="3">
        <f t="shared" si="0"/>
        <v>471.54302374525656</v>
      </c>
    </row>
    <row r="25" spans="1:11" x14ac:dyDescent="0.2">
      <c r="D25" s="5" t="s">
        <v>29</v>
      </c>
      <c r="I25" s="5" t="s">
        <v>26</v>
      </c>
      <c r="K25" s="5" t="s">
        <v>25</v>
      </c>
    </row>
    <row r="39" spans="1:10" x14ac:dyDescent="0.2">
      <c r="A39" s="4" t="s">
        <v>17</v>
      </c>
      <c r="B39" s="3"/>
      <c r="C39" s="4" t="s">
        <v>1</v>
      </c>
      <c r="D39" s="3"/>
      <c r="E39" s="3"/>
      <c r="F39" s="3"/>
      <c r="G39" s="3"/>
      <c r="H39" s="3"/>
      <c r="I39" s="3"/>
    </row>
    <row r="40" spans="1:10" x14ac:dyDescent="0.2">
      <c r="A40" s="4" t="s">
        <v>0</v>
      </c>
      <c r="B40" s="4" t="s">
        <v>5</v>
      </c>
      <c r="C40" s="3" t="s">
        <v>6</v>
      </c>
      <c r="D40" s="3" t="s">
        <v>10</v>
      </c>
      <c r="E40" s="3" t="s">
        <v>11</v>
      </c>
      <c r="F40" s="3" t="s">
        <v>12</v>
      </c>
      <c r="G40" s="3" t="s">
        <v>13</v>
      </c>
      <c r="H40" s="3" t="s">
        <v>14</v>
      </c>
      <c r="I40" s="3" t="s">
        <v>15</v>
      </c>
    </row>
    <row r="41" spans="1:10" x14ac:dyDescent="0.2">
      <c r="A41" s="3">
        <v>33</v>
      </c>
      <c r="B41" s="3">
        <v>1</v>
      </c>
      <c r="C41" s="3">
        <v>4678</v>
      </c>
      <c r="D41" s="3">
        <v>2767</v>
      </c>
      <c r="E41" s="3">
        <v>10</v>
      </c>
      <c r="F41" s="3">
        <v>18</v>
      </c>
      <c r="G41" s="3">
        <v>119</v>
      </c>
      <c r="H41" s="3">
        <v>106</v>
      </c>
      <c r="I41" s="3">
        <v>7698</v>
      </c>
      <c r="J41" s="3">
        <f>C41-H41</f>
        <v>4572</v>
      </c>
    </row>
    <row r="42" spans="1:10" x14ac:dyDescent="0.2">
      <c r="A42" s="3"/>
      <c r="B42" s="3">
        <v>0</v>
      </c>
      <c r="C42" s="3">
        <v>663</v>
      </c>
      <c r="D42" s="3">
        <v>46</v>
      </c>
      <c r="E42" s="3">
        <v>3</v>
      </c>
      <c r="F42" s="3">
        <v>4</v>
      </c>
      <c r="G42" s="3">
        <v>328</v>
      </c>
      <c r="H42" s="3">
        <v>326</v>
      </c>
      <c r="I42" s="3">
        <v>1370</v>
      </c>
      <c r="J42" s="3">
        <f t="shared" ref="J42:J50" si="1">C42-H42</f>
        <v>337</v>
      </c>
    </row>
    <row r="43" spans="1:10" x14ac:dyDescent="0.2">
      <c r="A43" s="3">
        <v>3624</v>
      </c>
      <c r="B43" s="3">
        <v>1</v>
      </c>
      <c r="C43" s="3">
        <v>27</v>
      </c>
      <c r="D43" s="3">
        <v>5</v>
      </c>
      <c r="E43" s="3"/>
      <c r="F43" s="3">
        <v>1</v>
      </c>
      <c r="G43" s="3">
        <v>4</v>
      </c>
      <c r="H43" s="3">
        <v>3</v>
      </c>
      <c r="I43" s="3">
        <v>40</v>
      </c>
      <c r="J43" s="3">
        <f t="shared" si="1"/>
        <v>24</v>
      </c>
    </row>
    <row r="44" spans="1:10" x14ac:dyDescent="0.2">
      <c r="A44" s="3"/>
      <c r="B44" s="3">
        <v>0</v>
      </c>
      <c r="C44" s="3">
        <v>9</v>
      </c>
      <c r="D44" s="3"/>
      <c r="E44" s="3"/>
      <c r="F44" s="3">
        <v>1</v>
      </c>
      <c r="G44" s="3">
        <v>2</v>
      </c>
      <c r="H44" s="3">
        <v>1</v>
      </c>
      <c r="I44" s="3">
        <v>13</v>
      </c>
      <c r="J44" s="3">
        <f t="shared" si="1"/>
        <v>8</v>
      </c>
    </row>
    <row r="45" spans="1:10" x14ac:dyDescent="0.2">
      <c r="A45" s="3" t="s">
        <v>7</v>
      </c>
      <c r="B45" s="3">
        <v>1</v>
      </c>
      <c r="C45" s="3">
        <v>173658</v>
      </c>
      <c r="D45" s="3">
        <v>173171</v>
      </c>
      <c r="E45" s="3">
        <v>2</v>
      </c>
      <c r="F45" s="3">
        <v>1</v>
      </c>
      <c r="G45" s="3">
        <v>32</v>
      </c>
      <c r="H45" s="3">
        <v>32</v>
      </c>
      <c r="I45" s="3">
        <v>346896</v>
      </c>
      <c r="J45" s="3">
        <f t="shared" si="1"/>
        <v>173626</v>
      </c>
    </row>
    <row r="46" spans="1:10" x14ac:dyDescent="0.2">
      <c r="A46" s="3"/>
      <c r="B46" s="3">
        <v>0</v>
      </c>
      <c r="C46" s="3">
        <v>29</v>
      </c>
      <c r="D46" s="3">
        <v>15</v>
      </c>
      <c r="E46" s="3"/>
      <c r="F46" s="3"/>
      <c r="G46" s="3">
        <v>1</v>
      </c>
      <c r="H46" s="3">
        <v>1</v>
      </c>
      <c r="I46" s="3">
        <v>46</v>
      </c>
      <c r="J46" s="3">
        <f t="shared" si="1"/>
        <v>28</v>
      </c>
    </row>
    <row r="47" spans="1:10" x14ac:dyDescent="0.2">
      <c r="A47" s="3" t="s">
        <v>8</v>
      </c>
      <c r="B47" s="3">
        <v>1</v>
      </c>
      <c r="C47" s="3">
        <v>1915</v>
      </c>
      <c r="D47" s="3">
        <v>612</v>
      </c>
      <c r="E47" s="3">
        <v>42</v>
      </c>
      <c r="F47" s="3">
        <v>4</v>
      </c>
      <c r="G47" s="3">
        <v>318</v>
      </c>
      <c r="H47" s="3">
        <v>227</v>
      </c>
      <c r="I47" s="3">
        <v>3118</v>
      </c>
      <c r="J47" s="3">
        <f t="shared" si="1"/>
        <v>1688</v>
      </c>
    </row>
    <row r="48" spans="1:10" x14ac:dyDescent="0.2">
      <c r="A48" s="3"/>
      <c r="B48" s="3">
        <v>0</v>
      </c>
      <c r="C48" s="3">
        <v>55</v>
      </c>
      <c r="D48" s="3">
        <v>11</v>
      </c>
      <c r="E48" s="3"/>
      <c r="F48" s="3"/>
      <c r="G48" s="3">
        <v>23</v>
      </c>
      <c r="H48" s="3">
        <v>20</v>
      </c>
      <c r="I48" s="3">
        <v>109</v>
      </c>
      <c r="J48" s="3">
        <f t="shared" si="1"/>
        <v>35</v>
      </c>
    </row>
    <row r="49" spans="1:11" x14ac:dyDescent="0.2">
      <c r="A49" s="3" t="s">
        <v>9</v>
      </c>
      <c r="B49" s="3">
        <v>1</v>
      </c>
      <c r="C49" s="3">
        <v>89851</v>
      </c>
      <c r="D49" s="3">
        <v>67520</v>
      </c>
      <c r="E49" s="3">
        <v>23</v>
      </c>
      <c r="F49" s="3">
        <v>2</v>
      </c>
      <c r="G49" s="3">
        <v>86</v>
      </c>
      <c r="H49" s="3">
        <v>76</v>
      </c>
      <c r="I49" s="3">
        <v>157558</v>
      </c>
      <c r="J49" s="3">
        <f t="shared" si="1"/>
        <v>89775</v>
      </c>
    </row>
    <row r="50" spans="1:11" x14ac:dyDescent="0.2">
      <c r="A50" s="3"/>
      <c r="B50" s="3">
        <v>0</v>
      </c>
      <c r="C50" s="3">
        <v>201</v>
      </c>
      <c r="D50" s="3">
        <v>112</v>
      </c>
      <c r="E50" s="3"/>
      <c r="F50" s="3"/>
      <c r="G50" s="3"/>
      <c r="H50" s="3"/>
      <c r="I50" s="3">
        <v>313</v>
      </c>
      <c r="J50" s="3">
        <f t="shared" si="1"/>
        <v>201</v>
      </c>
    </row>
    <row r="51" spans="1:11" x14ac:dyDescent="0.2">
      <c r="A51" s="5" t="s">
        <v>24</v>
      </c>
      <c r="H51" s="5" t="s">
        <v>22</v>
      </c>
      <c r="J51" s="5" t="s">
        <v>23</v>
      </c>
    </row>
    <row r="56" spans="1:11" x14ac:dyDescent="0.2">
      <c r="A56" s="5" t="s">
        <v>19</v>
      </c>
    </row>
    <row r="57" spans="1:11" x14ac:dyDescent="0.2">
      <c r="A57" s="3"/>
      <c r="B57" s="3"/>
      <c r="C57" s="4" t="s">
        <v>1</v>
      </c>
      <c r="D57" s="3"/>
      <c r="E57" s="3"/>
      <c r="F57" s="3"/>
      <c r="G57" s="3"/>
      <c r="H57" s="3"/>
      <c r="I57" s="3"/>
    </row>
    <row r="58" spans="1:11" x14ac:dyDescent="0.2">
      <c r="A58" s="4" t="s">
        <v>0</v>
      </c>
      <c r="B58" s="4" t="s">
        <v>16</v>
      </c>
      <c r="C58" s="3" t="s">
        <v>6</v>
      </c>
      <c r="D58" s="3" t="s">
        <v>10</v>
      </c>
      <c r="E58" s="3" t="s">
        <v>11</v>
      </c>
      <c r="F58" s="3" t="s">
        <v>12</v>
      </c>
      <c r="G58" s="3" t="s">
        <v>13</v>
      </c>
      <c r="H58" s="3" t="s">
        <v>14</v>
      </c>
      <c r="I58" s="3" t="s">
        <v>15</v>
      </c>
    </row>
    <row r="59" spans="1:11" x14ac:dyDescent="0.2">
      <c r="A59" s="3">
        <v>33</v>
      </c>
      <c r="B59" s="3" t="s">
        <v>34</v>
      </c>
      <c r="C59" s="3">
        <v>40228.224088105744</v>
      </c>
      <c r="D59" s="3">
        <v>21887.522473633428</v>
      </c>
      <c r="E59" s="3">
        <v>116.97352768400236</v>
      </c>
      <c r="F59" s="3">
        <v>309.49947673012304</v>
      </c>
      <c r="G59" s="3">
        <v>4231.6941135024717</v>
      </c>
      <c r="H59" s="3">
        <v>4191.4596423477142</v>
      </c>
      <c r="I59" s="3">
        <v>70965.373322003492</v>
      </c>
      <c r="K59" s="3">
        <f>D59-I59</f>
        <v>-49077.850848370064</v>
      </c>
    </row>
    <row r="60" spans="1:11" x14ac:dyDescent="0.2">
      <c r="A60" s="3"/>
      <c r="B60" s="3" t="s">
        <v>35</v>
      </c>
      <c r="C60" s="3">
        <v>29103.949551322814</v>
      </c>
      <c r="D60" s="3">
        <v>16912.875212788756</v>
      </c>
      <c r="E60" s="3">
        <v>66.348609928019286</v>
      </c>
      <c r="F60" s="3">
        <v>166.19989781222478</v>
      </c>
      <c r="G60" s="3">
        <v>2523.6246426382877</v>
      </c>
      <c r="H60" s="3">
        <v>2483.3901714835297</v>
      </c>
      <c r="I60" s="3">
        <v>51256.388085973638</v>
      </c>
      <c r="K60" s="3">
        <f t="shared" ref="K60:K78" si="2">D60-I60</f>
        <v>-34343.512873184882</v>
      </c>
    </row>
    <row r="61" spans="1:11" x14ac:dyDescent="0.2">
      <c r="A61" s="3">
        <v>3624</v>
      </c>
      <c r="B61" s="3" t="s">
        <v>34</v>
      </c>
      <c r="C61" s="3">
        <v>29.789770680000004</v>
      </c>
      <c r="D61" s="3">
        <v>7.5303000000000013</v>
      </c>
      <c r="E61" s="3"/>
      <c r="F61" s="3">
        <v>0.29699999999999999</v>
      </c>
      <c r="G61" s="3">
        <v>4.3303950000000002</v>
      </c>
      <c r="H61" s="3">
        <v>3.7903949999999997</v>
      </c>
      <c r="I61" s="3">
        <v>45.737860680000004</v>
      </c>
      <c r="K61" s="3">
        <f t="shared" si="2"/>
        <v>-38.20756068</v>
      </c>
    </row>
    <row r="62" spans="1:11" x14ac:dyDescent="0.2">
      <c r="A62" s="3"/>
      <c r="B62" s="3" t="s">
        <v>35</v>
      </c>
      <c r="C62" s="3">
        <v>29.789770680000004</v>
      </c>
      <c r="D62" s="3">
        <v>7.5303000000000013</v>
      </c>
      <c r="E62" s="3"/>
      <c r="F62" s="3">
        <v>0.29699999999999999</v>
      </c>
      <c r="G62" s="3">
        <v>4.3303950000000002</v>
      </c>
      <c r="H62" s="3">
        <v>3.7903949999999997</v>
      </c>
      <c r="I62" s="3">
        <v>45.737860680000004</v>
      </c>
      <c r="K62" s="3">
        <f t="shared" si="2"/>
        <v>-38.20756068</v>
      </c>
    </row>
    <row r="63" spans="1:11" x14ac:dyDescent="0.2">
      <c r="A63" s="3" t="s">
        <v>7</v>
      </c>
      <c r="B63" s="3" t="s">
        <v>34</v>
      </c>
      <c r="C63" s="3">
        <v>164353.16786833666</v>
      </c>
      <c r="D63" s="3">
        <v>163747.90559558698</v>
      </c>
      <c r="E63" s="3">
        <v>0.37259999999999999</v>
      </c>
      <c r="F63" s="3">
        <v>0.28620000000000001</v>
      </c>
      <c r="G63" s="3">
        <v>30.843495900000004</v>
      </c>
      <c r="H63" s="3">
        <v>30.843495900000004</v>
      </c>
      <c r="I63" s="3">
        <v>328163.41925572359</v>
      </c>
      <c r="K63" s="3">
        <f t="shared" si="2"/>
        <v>-164415.51366013661</v>
      </c>
    </row>
    <row r="64" spans="1:11" x14ac:dyDescent="0.2">
      <c r="A64" s="3"/>
      <c r="B64" s="3" t="s">
        <v>35</v>
      </c>
      <c r="C64" s="3">
        <v>164353.16786833666</v>
      </c>
      <c r="D64" s="3">
        <v>163747.90559558698</v>
      </c>
      <c r="E64" s="3">
        <v>0.37259999999999999</v>
      </c>
      <c r="F64" s="3">
        <v>0.28620000000000001</v>
      </c>
      <c r="G64" s="3">
        <v>30.843495900000004</v>
      </c>
      <c r="H64" s="3">
        <v>30.843495900000004</v>
      </c>
      <c r="I64" s="3">
        <v>328163.41925572359</v>
      </c>
      <c r="K64" s="3">
        <f t="shared" si="2"/>
        <v>-164415.51366013661</v>
      </c>
    </row>
    <row r="65" spans="1:11" x14ac:dyDescent="0.2">
      <c r="A65" s="3" t="s">
        <v>8</v>
      </c>
      <c r="B65" s="3" t="s">
        <v>34</v>
      </c>
      <c r="C65" s="3">
        <v>10862.83510058074</v>
      </c>
      <c r="D65" s="3">
        <v>4144.5553244088751</v>
      </c>
      <c r="E65" s="3">
        <v>247.75931301614054</v>
      </c>
      <c r="F65" s="3">
        <v>10.203767316443908</v>
      </c>
      <c r="G65" s="3">
        <v>1886.4912209195384</v>
      </c>
      <c r="H65" s="3">
        <v>1460.4302070605918</v>
      </c>
      <c r="I65" s="3">
        <v>18612.274933302328</v>
      </c>
      <c r="K65" s="3">
        <f t="shared" si="2"/>
        <v>-14467.719608893452</v>
      </c>
    </row>
    <row r="66" spans="1:11" x14ac:dyDescent="0.2">
      <c r="A66" s="3"/>
      <c r="B66" s="3" t="s">
        <v>35</v>
      </c>
      <c r="C66" s="3">
        <v>8422.2921533526223</v>
      </c>
      <c r="D66" s="3">
        <v>3113.4290315223971</v>
      </c>
      <c r="E66" s="3">
        <v>144.49731873975227</v>
      </c>
      <c r="F66" s="3">
        <v>10.203767316443908</v>
      </c>
      <c r="G66" s="3">
        <v>1388.0835415123718</v>
      </c>
      <c r="H66" s="3">
        <v>1017.6479225580448</v>
      </c>
      <c r="I66" s="3">
        <v>14096.15373500163</v>
      </c>
      <c r="K66" s="3">
        <f t="shared" si="2"/>
        <v>-10982.724703479233</v>
      </c>
    </row>
    <row r="67" spans="1:11" x14ac:dyDescent="0.2">
      <c r="A67" s="3" t="s">
        <v>9</v>
      </c>
      <c r="B67" s="3" t="s">
        <v>34</v>
      </c>
      <c r="C67" s="3">
        <v>104707.6181724448</v>
      </c>
      <c r="D67" s="3">
        <v>75728.683066783764</v>
      </c>
      <c r="E67" s="3">
        <v>27.271459080000003</v>
      </c>
      <c r="F67" s="3">
        <v>0.75600000000000001</v>
      </c>
      <c r="G67" s="3">
        <v>144.75335204153521</v>
      </c>
      <c r="H67" s="3">
        <v>137.39538440153521</v>
      </c>
      <c r="I67" s="3">
        <v>180746.47743475164</v>
      </c>
      <c r="K67" s="3">
        <f t="shared" si="2"/>
        <v>-105017.79436796787</v>
      </c>
    </row>
    <row r="68" spans="1:11" x14ac:dyDescent="0.2">
      <c r="A68" s="3"/>
      <c r="B68" s="3" t="s">
        <v>35</v>
      </c>
      <c r="C68" s="3">
        <v>102417.20933560113</v>
      </c>
      <c r="D68" s="3">
        <v>74000.749331324638</v>
      </c>
      <c r="E68" s="3">
        <v>27.271459080000003</v>
      </c>
      <c r="F68" s="3">
        <v>0.75600000000000001</v>
      </c>
      <c r="G68" s="3">
        <v>143.66396144153521</v>
      </c>
      <c r="H68" s="3">
        <v>136.30599380153521</v>
      </c>
      <c r="I68" s="3">
        <v>176725.95608124885</v>
      </c>
      <c r="K68" s="3">
        <f t="shared" si="2"/>
        <v>-102725.20674992421</v>
      </c>
    </row>
    <row r="69" spans="1:11" x14ac:dyDescent="0.2">
      <c r="C69" s="5" t="s">
        <v>21</v>
      </c>
      <c r="D69" s="6">
        <v>3</v>
      </c>
      <c r="E69" s="6" t="s">
        <v>20</v>
      </c>
      <c r="F69" s="6">
        <v>2</v>
      </c>
      <c r="G69" s="6">
        <v>1</v>
      </c>
      <c r="K69" s="3">
        <f t="shared" si="2"/>
        <v>3</v>
      </c>
    </row>
    <row r="70" spans="1:11" x14ac:dyDescent="0.2">
      <c r="K70" s="3">
        <f t="shared" si="2"/>
        <v>0</v>
      </c>
    </row>
    <row r="71" spans="1:11" x14ac:dyDescent="0.2">
      <c r="K71" s="3">
        <f t="shared" si="2"/>
        <v>0</v>
      </c>
    </row>
    <row r="72" spans="1:11" x14ac:dyDescent="0.2">
      <c r="K72" s="3">
        <f t="shared" si="2"/>
        <v>0</v>
      </c>
    </row>
    <row r="73" spans="1:11" x14ac:dyDescent="0.2">
      <c r="K73" s="3">
        <f t="shared" si="2"/>
        <v>0</v>
      </c>
    </row>
    <row r="74" spans="1:11" x14ac:dyDescent="0.2">
      <c r="K74" s="3">
        <f t="shared" si="2"/>
        <v>0</v>
      </c>
    </row>
    <row r="75" spans="1:11" x14ac:dyDescent="0.2">
      <c r="K75" s="3">
        <f t="shared" si="2"/>
        <v>0</v>
      </c>
    </row>
    <row r="76" spans="1:11" x14ac:dyDescent="0.2">
      <c r="K76" s="3">
        <f t="shared" si="2"/>
        <v>0</v>
      </c>
    </row>
    <row r="77" spans="1:11" x14ac:dyDescent="0.2">
      <c r="K77" s="3">
        <f t="shared" si="2"/>
        <v>0</v>
      </c>
    </row>
    <row r="78" spans="1:11" x14ac:dyDescent="0.2">
      <c r="K78" s="3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88F1-4B47-421A-9EF9-440A877182E4}">
  <sheetPr filterMode="1"/>
  <dimension ref="A1:J82"/>
  <sheetViews>
    <sheetView workbookViewId="0">
      <selection activeCell="G2" sqref="G1:J2"/>
    </sheetView>
  </sheetViews>
  <sheetFormatPr defaultRowHeight="12.75" x14ac:dyDescent="0.2"/>
  <cols>
    <col min="1" max="1" width="9.42578125" style="2" bestFit="1" customWidth="1"/>
    <col min="3" max="4" width="15" style="1" bestFit="1" customWidth="1"/>
    <col min="5" max="5" width="16.42578125" bestFit="1" customWidth="1"/>
    <col min="6" max="6" width="14.85546875" bestFit="1" customWidth="1"/>
    <col min="7" max="7" width="18.7109375" bestFit="1" customWidth="1"/>
    <col min="8" max="8" width="16" bestFit="1" customWidth="1"/>
    <col min="9" max="9" width="17" bestFit="1" customWidth="1"/>
    <col min="10" max="10" width="16.57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">
      <c r="A2">
        <v>33</v>
      </c>
      <c r="B2" t="s">
        <v>6</v>
      </c>
      <c r="C2" s="1">
        <v>4645929142.0892601</v>
      </c>
      <c r="D2" s="1">
        <v>2931952651.35181</v>
      </c>
      <c r="E2">
        <v>663</v>
      </c>
      <c r="F2">
        <v>0</v>
      </c>
      <c r="G2" s="7">
        <f>C2*1.35</f>
        <v>6272004341.8205013</v>
      </c>
      <c r="H2" s="1">
        <f>D2*1.35</f>
        <v>3958136079.3249435</v>
      </c>
      <c r="I2" s="7">
        <f>G2/1000000</f>
        <v>6272.0043418205014</v>
      </c>
      <c r="J2" s="7">
        <f>H2/1000000</f>
        <v>3958.1360793249437</v>
      </c>
    </row>
    <row r="3" spans="1:10" x14ac:dyDescent="0.2">
      <c r="A3">
        <v>33</v>
      </c>
      <c r="B3" t="s">
        <v>6</v>
      </c>
      <c r="C3" s="1">
        <v>25152755367.618698</v>
      </c>
      <c r="D3" s="1">
        <v>18626528497.776199</v>
      </c>
      <c r="E3">
        <v>4678</v>
      </c>
      <c r="F3">
        <v>1</v>
      </c>
      <c r="G3" s="7">
        <f t="shared" ref="G3:G50" si="0">C3*1.35</f>
        <v>33956219746.285244</v>
      </c>
      <c r="H3" s="1">
        <f t="shared" ref="H3:H50" si="1">D3*1.35</f>
        <v>25145813471.997871</v>
      </c>
      <c r="I3" s="7">
        <f t="shared" ref="I3:I50" si="2">G3/1000000</f>
        <v>33956.219746285242</v>
      </c>
      <c r="J3" s="7">
        <f t="shared" ref="J3:J50" si="3">H3/1000000</f>
        <v>25145.81347199787</v>
      </c>
    </row>
    <row r="4" spans="1:10" hidden="1" x14ac:dyDescent="0.2">
      <c r="A4">
        <v>3624</v>
      </c>
      <c r="B4" t="s">
        <v>6</v>
      </c>
      <c r="C4">
        <v>1652000</v>
      </c>
      <c r="D4">
        <v>1652000</v>
      </c>
      <c r="E4">
        <v>9</v>
      </c>
      <c r="F4">
        <v>0</v>
      </c>
      <c r="G4" s="7">
        <f t="shared" si="0"/>
        <v>2230200</v>
      </c>
      <c r="H4" s="1">
        <f t="shared" si="1"/>
        <v>2230200</v>
      </c>
      <c r="I4" s="7">
        <f t="shared" si="2"/>
        <v>2.2302</v>
      </c>
      <c r="J4" s="7">
        <f t="shared" si="3"/>
        <v>2.2302</v>
      </c>
    </row>
    <row r="5" spans="1:10" hidden="1" x14ac:dyDescent="0.2">
      <c r="A5">
        <v>3624</v>
      </c>
      <c r="B5" t="s">
        <v>6</v>
      </c>
      <c r="C5">
        <v>20414496.800000001</v>
      </c>
      <c r="D5">
        <v>20414496.800000001</v>
      </c>
      <c r="E5">
        <v>27</v>
      </c>
      <c r="F5">
        <v>1</v>
      </c>
      <c r="G5" s="7">
        <f t="shared" si="0"/>
        <v>27559570.680000003</v>
      </c>
      <c r="H5" s="1">
        <f t="shared" si="1"/>
        <v>27559570.680000003</v>
      </c>
      <c r="I5" s="7">
        <f t="shared" si="2"/>
        <v>27.559570680000004</v>
      </c>
      <c r="J5" s="7">
        <f t="shared" si="3"/>
        <v>27.559570680000004</v>
      </c>
    </row>
    <row r="6" spans="1:10" hidden="1" x14ac:dyDescent="0.2">
      <c r="A6" t="s">
        <v>7</v>
      </c>
      <c r="B6" t="s">
        <v>6</v>
      </c>
      <c r="C6">
        <v>15433806.3999999</v>
      </c>
      <c r="D6">
        <v>15433806.3999999</v>
      </c>
      <c r="E6">
        <v>29</v>
      </c>
      <c r="F6">
        <v>0</v>
      </c>
      <c r="G6" s="7">
        <f t="shared" si="0"/>
        <v>20835638.639999866</v>
      </c>
      <c r="H6" s="1">
        <f t="shared" si="1"/>
        <v>20835638.639999866</v>
      </c>
      <c r="I6" s="7">
        <f t="shared" si="2"/>
        <v>20.835638639999868</v>
      </c>
      <c r="J6" s="7">
        <f t="shared" si="3"/>
        <v>20.835638639999868</v>
      </c>
    </row>
    <row r="7" spans="1:10" hidden="1" x14ac:dyDescent="0.2">
      <c r="A7" t="s">
        <v>7</v>
      </c>
      <c r="B7" t="s">
        <v>6</v>
      </c>
      <c r="C7">
        <v>121727653503.479</v>
      </c>
      <c r="D7">
        <v>121727653503.479</v>
      </c>
      <c r="E7">
        <v>173658</v>
      </c>
      <c r="F7">
        <v>1</v>
      </c>
      <c r="G7" s="7">
        <f t="shared" si="0"/>
        <v>164332332229.69666</v>
      </c>
      <c r="H7" s="1">
        <f t="shared" si="1"/>
        <v>164332332229.69666</v>
      </c>
      <c r="I7" s="7">
        <f t="shared" si="2"/>
        <v>164332.33222969665</v>
      </c>
      <c r="J7" s="7">
        <f t="shared" si="3"/>
        <v>164332.33222969665</v>
      </c>
    </row>
    <row r="8" spans="1:10" hidden="1" x14ac:dyDescent="0.2">
      <c r="A8" t="s">
        <v>8</v>
      </c>
      <c r="B8" t="s">
        <v>6</v>
      </c>
      <c r="C8">
        <v>699027304.74033594</v>
      </c>
      <c r="D8">
        <v>406962151.02545899</v>
      </c>
      <c r="E8">
        <v>55</v>
      </c>
      <c r="F8">
        <v>0</v>
      </c>
      <c r="G8" s="7">
        <f t="shared" si="0"/>
        <v>943686861.39945364</v>
      </c>
      <c r="H8" s="1">
        <f t="shared" si="1"/>
        <v>549398903.88436973</v>
      </c>
      <c r="I8" s="7">
        <f t="shared" si="2"/>
        <v>943.68686139945362</v>
      </c>
      <c r="J8" s="7">
        <f t="shared" si="3"/>
        <v>549.3989038843697</v>
      </c>
    </row>
    <row r="9" spans="1:10" hidden="1" x14ac:dyDescent="0.2">
      <c r="A9" t="s">
        <v>8</v>
      </c>
      <c r="B9" t="s">
        <v>6</v>
      </c>
      <c r="C9">
        <v>7347517214.2083597</v>
      </c>
      <c r="D9">
        <v>5831772777.3838902</v>
      </c>
      <c r="E9">
        <v>1915</v>
      </c>
      <c r="F9">
        <v>1</v>
      </c>
      <c r="G9" s="7">
        <f t="shared" si="0"/>
        <v>9919148239.1812859</v>
      </c>
      <c r="H9" s="1">
        <f t="shared" si="1"/>
        <v>7872893249.4682522</v>
      </c>
      <c r="I9" s="7">
        <f t="shared" si="2"/>
        <v>9919.148239181286</v>
      </c>
      <c r="J9" s="7">
        <f t="shared" si="3"/>
        <v>7872.8932494682522</v>
      </c>
    </row>
    <row r="10" spans="1:10" hidden="1" x14ac:dyDescent="0.2">
      <c r="A10" t="s">
        <v>9</v>
      </c>
      <c r="B10" t="s">
        <v>6</v>
      </c>
      <c r="C10">
        <v>349291128.70019001</v>
      </c>
      <c r="D10">
        <v>349291128.70019001</v>
      </c>
      <c r="E10">
        <v>201</v>
      </c>
      <c r="F10">
        <v>0</v>
      </c>
      <c r="G10" s="7">
        <f t="shared" si="0"/>
        <v>471543023.74525654</v>
      </c>
      <c r="H10" s="1">
        <f t="shared" si="1"/>
        <v>471543023.74525654</v>
      </c>
      <c r="I10" s="7">
        <f t="shared" si="2"/>
        <v>471.54302374525656</v>
      </c>
      <c r="J10" s="7">
        <f t="shared" si="3"/>
        <v>471.54302374525656</v>
      </c>
    </row>
    <row r="11" spans="1:10" hidden="1" x14ac:dyDescent="0.2">
      <c r="A11" t="s">
        <v>9</v>
      </c>
      <c r="B11" t="s">
        <v>6</v>
      </c>
      <c r="C11">
        <v>77211907517.555206</v>
      </c>
      <c r="D11">
        <v>75515308379.152496</v>
      </c>
      <c r="E11">
        <v>89851</v>
      </c>
      <c r="F11">
        <v>1</v>
      </c>
      <c r="G11" s="7">
        <f t="shared" si="0"/>
        <v>104236075148.69954</v>
      </c>
      <c r="H11" s="1">
        <f t="shared" si="1"/>
        <v>101945666311.85588</v>
      </c>
      <c r="I11" s="7">
        <f t="shared" si="2"/>
        <v>104236.07514869954</v>
      </c>
      <c r="J11" s="7">
        <f t="shared" si="3"/>
        <v>101945.66631185588</v>
      </c>
    </row>
    <row r="12" spans="1:10" x14ac:dyDescent="0.2">
      <c r="A12">
        <v>33</v>
      </c>
      <c r="B12" t="s">
        <v>10</v>
      </c>
      <c r="C12" s="1">
        <v>591803570.79433501</v>
      </c>
      <c r="D12" s="1">
        <v>395404009.10095602</v>
      </c>
      <c r="E12">
        <v>46</v>
      </c>
      <c r="F12">
        <v>0</v>
      </c>
      <c r="G12" s="7">
        <f t="shared" si="0"/>
        <v>798934820.57235229</v>
      </c>
      <c r="H12" s="1">
        <f t="shared" si="1"/>
        <v>533795412.28629065</v>
      </c>
      <c r="I12" s="7">
        <f t="shared" si="2"/>
        <v>798.93482057235224</v>
      </c>
      <c r="J12" s="7">
        <f t="shared" si="3"/>
        <v>533.79541228629068</v>
      </c>
    </row>
    <row r="13" spans="1:10" x14ac:dyDescent="0.2">
      <c r="A13">
        <v>33</v>
      </c>
      <c r="B13" t="s">
        <v>10</v>
      </c>
      <c r="C13" s="1">
        <v>15621176039.304501</v>
      </c>
      <c r="D13" s="1">
        <v>12132651704.075899</v>
      </c>
      <c r="E13">
        <v>2767</v>
      </c>
      <c r="F13">
        <v>1</v>
      </c>
      <c r="G13" s="7">
        <f t="shared" si="0"/>
        <v>21088587653.061077</v>
      </c>
      <c r="H13" s="1">
        <f t="shared" si="1"/>
        <v>16379079800.502464</v>
      </c>
      <c r="I13" s="7">
        <f t="shared" si="2"/>
        <v>21088.587653061077</v>
      </c>
      <c r="J13" s="7">
        <f t="shared" si="3"/>
        <v>16379.079800502464</v>
      </c>
    </row>
    <row r="14" spans="1:10" hidden="1" x14ac:dyDescent="0.2">
      <c r="A14">
        <v>3624</v>
      </c>
      <c r="B14" t="s">
        <v>10</v>
      </c>
      <c r="C14">
        <v>5578000</v>
      </c>
      <c r="D14">
        <v>5578000</v>
      </c>
      <c r="E14">
        <v>5</v>
      </c>
      <c r="F14">
        <v>1</v>
      </c>
      <c r="G14" s="7">
        <f t="shared" si="0"/>
        <v>7530300.0000000009</v>
      </c>
      <c r="H14" s="1">
        <f t="shared" si="1"/>
        <v>7530300.0000000009</v>
      </c>
      <c r="I14" s="7">
        <f t="shared" si="2"/>
        <v>7.5303000000000013</v>
      </c>
      <c r="J14" s="7">
        <f t="shared" si="3"/>
        <v>7.5303000000000013</v>
      </c>
    </row>
    <row r="15" spans="1:10" hidden="1" x14ac:dyDescent="0.2">
      <c r="A15" t="s">
        <v>7</v>
      </c>
      <c r="B15" t="s">
        <v>10</v>
      </c>
      <c r="C15">
        <v>7099946</v>
      </c>
      <c r="D15">
        <v>7099946</v>
      </c>
      <c r="E15">
        <v>15</v>
      </c>
      <c r="F15">
        <v>0</v>
      </c>
      <c r="G15" s="7">
        <f t="shared" si="0"/>
        <v>9584927.1000000015</v>
      </c>
      <c r="H15" s="1">
        <f t="shared" si="1"/>
        <v>9584927.1000000015</v>
      </c>
      <c r="I15" s="7">
        <f t="shared" si="2"/>
        <v>9.5849271000000016</v>
      </c>
      <c r="J15" s="7">
        <f t="shared" si="3"/>
        <v>9.5849271000000016</v>
      </c>
    </row>
    <row r="16" spans="1:10" hidden="1" x14ac:dyDescent="0.2">
      <c r="A16" t="s">
        <v>7</v>
      </c>
      <c r="B16" t="s">
        <v>10</v>
      </c>
      <c r="C16">
        <v>121287644939.62</v>
      </c>
      <c r="D16">
        <v>121287644939.62</v>
      </c>
      <c r="E16">
        <v>173171</v>
      </c>
      <c r="F16">
        <v>1</v>
      </c>
      <c r="G16" s="7">
        <f t="shared" si="0"/>
        <v>163738320668.487</v>
      </c>
      <c r="H16" s="1">
        <f t="shared" si="1"/>
        <v>163738320668.487</v>
      </c>
      <c r="I16" s="7">
        <f t="shared" si="2"/>
        <v>163738.32066848699</v>
      </c>
      <c r="J16" s="7">
        <f t="shared" si="3"/>
        <v>163738.32066848699</v>
      </c>
    </row>
    <row r="17" spans="1:10" hidden="1" x14ac:dyDescent="0.2">
      <c r="A17" t="s">
        <v>8</v>
      </c>
      <c r="B17" t="s">
        <v>10</v>
      </c>
      <c r="C17">
        <v>210175711.440961</v>
      </c>
      <c r="D17">
        <v>112614669.916677</v>
      </c>
      <c r="E17">
        <v>11</v>
      </c>
      <c r="F17">
        <v>0</v>
      </c>
      <c r="G17" s="7">
        <f t="shared" si="0"/>
        <v>283737210.44529736</v>
      </c>
      <c r="H17" s="1">
        <f t="shared" si="1"/>
        <v>152029804.38751397</v>
      </c>
      <c r="I17" s="7">
        <f t="shared" si="2"/>
        <v>283.73721044529736</v>
      </c>
      <c r="J17" s="7">
        <f t="shared" si="3"/>
        <v>152.02980438751396</v>
      </c>
    </row>
    <row r="18" spans="1:10" hidden="1" x14ac:dyDescent="0.2">
      <c r="A18" t="s">
        <v>8</v>
      </c>
      <c r="B18" t="s">
        <v>10</v>
      </c>
      <c r="C18">
        <v>2859865269.6026502</v>
      </c>
      <c r="D18">
        <v>2193629057.13695</v>
      </c>
      <c r="E18">
        <v>612</v>
      </c>
      <c r="F18">
        <v>1</v>
      </c>
      <c r="G18" s="7">
        <f t="shared" si="0"/>
        <v>3860818113.9635777</v>
      </c>
      <c r="H18" s="1">
        <f t="shared" si="1"/>
        <v>2961399227.1348829</v>
      </c>
      <c r="I18" s="7">
        <f t="shared" si="2"/>
        <v>3860.8181139635776</v>
      </c>
      <c r="J18" s="7">
        <f t="shared" si="3"/>
        <v>2961.3992271348829</v>
      </c>
    </row>
    <row r="19" spans="1:10" hidden="1" x14ac:dyDescent="0.2">
      <c r="A19" t="s">
        <v>9</v>
      </c>
      <c r="B19" t="s">
        <v>10</v>
      </c>
      <c r="C19">
        <v>75479150.000190407</v>
      </c>
      <c r="D19">
        <v>75479150.000190407</v>
      </c>
      <c r="E19">
        <v>112</v>
      </c>
      <c r="F19">
        <v>0</v>
      </c>
      <c r="G19" s="7">
        <f t="shared" si="0"/>
        <v>101896852.50025706</v>
      </c>
      <c r="H19" s="1">
        <f t="shared" si="1"/>
        <v>101896852.50025706</v>
      </c>
      <c r="I19" s="7">
        <f t="shared" si="2"/>
        <v>101.89685250025705</v>
      </c>
      <c r="J19" s="7">
        <f t="shared" si="3"/>
        <v>101.89685250025705</v>
      </c>
    </row>
    <row r="20" spans="1:10" hidden="1" x14ac:dyDescent="0.2">
      <c r="A20" t="s">
        <v>9</v>
      </c>
      <c r="B20" t="s">
        <v>10</v>
      </c>
      <c r="C20">
        <v>56019841640.209999</v>
      </c>
      <c r="D20">
        <v>54739890725.055099</v>
      </c>
      <c r="E20">
        <v>67520</v>
      </c>
      <c r="F20">
        <v>1</v>
      </c>
      <c r="G20" s="7">
        <f t="shared" si="0"/>
        <v>75626786214.283508</v>
      </c>
      <c r="H20" s="1">
        <f t="shared" si="1"/>
        <v>73898852478.824387</v>
      </c>
      <c r="I20" s="7">
        <f t="shared" si="2"/>
        <v>75626.786214283507</v>
      </c>
      <c r="J20" s="7">
        <f t="shared" si="3"/>
        <v>73898.852478824381</v>
      </c>
    </row>
    <row r="21" spans="1:10" x14ac:dyDescent="0.2">
      <c r="A21">
        <v>33</v>
      </c>
      <c r="B21" t="s">
        <v>11</v>
      </c>
      <c r="C21" s="1">
        <v>3060082.6430000402</v>
      </c>
      <c r="D21" s="1">
        <v>1599407.4673806699</v>
      </c>
      <c r="E21">
        <v>3</v>
      </c>
      <c r="F21">
        <v>0</v>
      </c>
      <c r="G21" s="7">
        <f t="shared" si="0"/>
        <v>4131111.5680500544</v>
      </c>
      <c r="H21" s="1">
        <f t="shared" si="1"/>
        <v>2159200.0809639045</v>
      </c>
      <c r="I21" s="7">
        <f t="shared" si="2"/>
        <v>4.1311115680500547</v>
      </c>
      <c r="J21" s="7">
        <f t="shared" si="3"/>
        <v>2.1592000809639047</v>
      </c>
    </row>
    <row r="22" spans="1:10" x14ac:dyDescent="0.2">
      <c r="A22">
        <v>33</v>
      </c>
      <c r="B22" t="s">
        <v>11</v>
      </c>
      <c r="C22" s="1">
        <v>83586974.900705397</v>
      </c>
      <c r="D22" s="1">
        <v>47547710.997818798</v>
      </c>
      <c r="E22">
        <v>10</v>
      </c>
      <c r="F22">
        <v>1</v>
      </c>
      <c r="G22" s="7">
        <f t="shared" si="0"/>
        <v>112842416.1159523</v>
      </c>
      <c r="H22" s="1">
        <f t="shared" si="1"/>
        <v>64189409.847055383</v>
      </c>
      <c r="I22" s="7">
        <f t="shared" si="2"/>
        <v>112.8424161159523</v>
      </c>
      <c r="J22" s="7">
        <f t="shared" si="3"/>
        <v>64.189409847055387</v>
      </c>
    </row>
    <row r="23" spans="1:10" hidden="1" x14ac:dyDescent="0.2">
      <c r="A23" t="s">
        <v>7</v>
      </c>
      <c r="B23" t="s">
        <v>11</v>
      </c>
      <c r="C23">
        <v>276000</v>
      </c>
      <c r="D23">
        <v>276000</v>
      </c>
      <c r="E23">
        <v>2</v>
      </c>
      <c r="F23">
        <v>1</v>
      </c>
      <c r="G23" s="7">
        <f t="shared" si="0"/>
        <v>372600</v>
      </c>
      <c r="H23" s="1">
        <f t="shared" si="1"/>
        <v>372600</v>
      </c>
      <c r="I23" s="7">
        <f t="shared" si="2"/>
        <v>0.37259999999999999</v>
      </c>
      <c r="J23" s="7">
        <f t="shared" si="3"/>
        <v>0.37259999999999999</v>
      </c>
    </row>
    <row r="24" spans="1:10" hidden="1" x14ac:dyDescent="0.2">
      <c r="A24" t="s">
        <v>8</v>
      </c>
      <c r="B24" t="s">
        <v>11</v>
      </c>
      <c r="C24">
        <v>183525417.04899299</v>
      </c>
      <c r="D24">
        <v>107035050.91833501</v>
      </c>
      <c r="E24">
        <v>42</v>
      </c>
      <c r="F24">
        <v>1</v>
      </c>
      <c r="G24" s="7">
        <f t="shared" si="0"/>
        <v>247759313.01614055</v>
      </c>
      <c r="H24" s="1">
        <f t="shared" si="1"/>
        <v>144497318.73975226</v>
      </c>
      <c r="I24" s="7">
        <f t="shared" si="2"/>
        <v>247.75931301614054</v>
      </c>
      <c r="J24" s="7">
        <f t="shared" si="3"/>
        <v>144.49731873975227</v>
      </c>
    </row>
    <row r="25" spans="1:10" hidden="1" x14ac:dyDescent="0.2">
      <c r="A25" t="s">
        <v>9</v>
      </c>
      <c r="B25" t="s">
        <v>11</v>
      </c>
      <c r="C25">
        <v>20201080.800000001</v>
      </c>
      <c r="D25">
        <v>20201080.800000001</v>
      </c>
      <c r="E25">
        <v>23</v>
      </c>
      <c r="F25">
        <v>1</v>
      </c>
      <c r="G25" s="7">
        <f t="shared" si="0"/>
        <v>27271459.080000002</v>
      </c>
      <c r="H25" s="1">
        <f t="shared" si="1"/>
        <v>27271459.080000002</v>
      </c>
      <c r="I25" s="7">
        <f t="shared" si="2"/>
        <v>27.271459080000003</v>
      </c>
      <c r="J25" s="7">
        <f t="shared" si="3"/>
        <v>27.271459080000003</v>
      </c>
    </row>
    <row r="26" spans="1:10" x14ac:dyDescent="0.2">
      <c r="A26">
        <v>33</v>
      </c>
      <c r="B26" t="s">
        <v>12</v>
      </c>
      <c r="C26" s="1">
        <v>18301343.574820001</v>
      </c>
      <c r="D26" s="1">
        <v>16479715.6923308</v>
      </c>
      <c r="E26">
        <v>4</v>
      </c>
      <c r="F26">
        <v>0</v>
      </c>
      <c r="G26" s="7">
        <f t="shared" si="0"/>
        <v>24706813.826007001</v>
      </c>
      <c r="H26" s="1">
        <f t="shared" si="1"/>
        <v>22247616.18464658</v>
      </c>
      <c r="I26" s="7">
        <f t="shared" si="2"/>
        <v>24.706813826007</v>
      </c>
      <c r="J26" s="7">
        <f t="shared" si="3"/>
        <v>22.247616184646581</v>
      </c>
    </row>
    <row r="27" spans="1:10" x14ac:dyDescent="0.2">
      <c r="A27">
        <v>33</v>
      </c>
      <c r="B27" t="s">
        <v>12</v>
      </c>
      <c r="C27" s="1">
        <v>210957528.07712299</v>
      </c>
      <c r="D27" s="1">
        <v>106631319.724132</v>
      </c>
      <c r="E27">
        <v>18</v>
      </c>
      <c r="F27">
        <v>1</v>
      </c>
      <c r="G27" s="7">
        <f t="shared" si="0"/>
        <v>284792662.90411603</v>
      </c>
      <c r="H27" s="1">
        <f t="shared" si="1"/>
        <v>143952281.6275782</v>
      </c>
      <c r="I27" s="7">
        <f t="shared" si="2"/>
        <v>284.79266290411601</v>
      </c>
      <c r="J27" s="7">
        <f t="shared" si="3"/>
        <v>143.9522816275782</v>
      </c>
    </row>
    <row r="28" spans="1:10" hidden="1" x14ac:dyDescent="0.2">
      <c r="A28">
        <v>3624</v>
      </c>
      <c r="B28" t="s">
        <v>12</v>
      </c>
      <c r="C28">
        <v>110000</v>
      </c>
      <c r="D28">
        <v>110000</v>
      </c>
      <c r="E28">
        <v>1</v>
      </c>
      <c r="F28">
        <v>0</v>
      </c>
      <c r="G28" s="7">
        <f t="shared" si="0"/>
        <v>148500</v>
      </c>
      <c r="H28" s="1">
        <f t="shared" si="1"/>
        <v>148500</v>
      </c>
      <c r="I28" s="7">
        <f t="shared" si="2"/>
        <v>0.14849999999999999</v>
      </c>
      <c r="J28" s="7">
        <f t="shared" si="3"/>
        <v>0.14849999999999999</v>
      </c>
    </row>
    <row r="29" spans="1:10" hidden="1" x14ac:dyDescent="0.2">
      <c r="A29">
        <v>3624</v>
      </c>
      <c r="B29" t="s">
        <v>12</v>
      </c>
      <c r="C29">
        <v>110000</v>
      </c>
      <c r="D29">
        <v>110000</v>
      </c>
      <c r="E29">
        <v>1</v>
      </c>
      <c r="F29">
        <v>1</v>
      </c>
      <c r="G29" s="7">
        <f t="shared" si="0"/>
        <v>148500</v>
      </c>
      <c r="H29" s="1">
        <f t="shared" si="1"/>
        <v>148500</v>
      </c>
      <c r="I29" s="7">
        <f t="shared" si="2"/>
        <v>0.14849999999999999</v>
      </c>
      <c r="J29" s="7">
        <f t="shared" si="3"/>
        <v>0.14849999999999999</v>
      </c>
    </row>
    <row r="30" spans="1:10" hidden="1" x14ac:dyDescent="0.2">
      <c r="A30" t="s">
        <v>7</v>
      </c>
      <c r="B30" t="s">
        <v>12</v>
      </c>
      <c r="C30">
        <v>212000</v>
      </c>
      <c r="D30">
        <v>212000</v>
      </c>
      <c r="E30">
        <v>1</v>
      </c>
      <c r="F30">
        <v>1</v>
      </c>
      <c r="G30" s="7">
        <f t="shared" si="0"/>
        <v>286200</v>
      </c>
      <c r="H30" s="1">
        <f t="shared" si="1"/>
        <v>286200</v>
      </c>
      <c r="I30" s="7">
        <f t="shared" si="2"/>
        <v>0.28620000000000001</v>
      </c>
      <c r="J30" s="7">
        <f t="shared" si="3"/>
        <v>0.28620000000000001</v>
      </c>
    </row>
    <row r="31" spans="1:10" hidden="1" x14ac:dyDescent="0.2">
      <c r="A31" t="s">
        <v>8</v>
      </c>
      <c r="B31" t="s">
        <v>12</v>
      </c>
      <c r="C31">
        <v>7558346.1603288203</v>
      </c>
      <c r="D31">
        <v>7558346.1603288203</v>
      </c>
      <c r="E31">
        <v>4</v>
      </c>
      <c r="F31">
        <v>1</v>
      </c>
      <c r="G31" s="7">
        <f t="shared" si="0"/>
        <v>10203767.316443909</v>
      </c>
      <c r="H31" s="1">
        <f t="shared" si="1"/>
        <v>10203767.316443909</v>
      </c>
      <c r="I31" s="7">
        <f t="shared" si="2"/>
        <v>10.203767316443908</v>
      </c>
      <c r="J31" s="7">
        <f t="shared" si="3"/>
        <v>10.203767316443908</v>
      </c>
    </row>
    <row r="32" spans="1:10" hidden="1" x14ac:dyDescent="0.2">
      <c r="A32" t="s">
        <v>9</v>
      </c>
      <c r="B32" t="s">
        <v>12</v>
      </c>
      <c r="C32">
        <v>560000</v>
      </c>
      <c r="D32">
        <v>560000</v>
      </c>
      <c r="E32">
        <v>2</v>
      </c>
      <c r="F32">
        <v>1</v>
      </c>
      <c r="G32" s="7">
        <f t="shared" si="0"/>
        <v>756000</v>
      </c>
      <c r="H32" s="1">
        <f t="shared" si="1"/>
        <v>756000</v>
      </c>
      <c r="I32" s="7">
        <f t="shared" si="2"/>
        <v>0.75600000000000001</v>
      </c>
      <c r="J32" s="7">
        <f t="shared" si="3"/>
        <v>0.75600000000000001</v>
      </c>
    </row>
    <row r="33" spans="1:10" x14ac:dyDescent="0.2">
      <c r="A33">
        <v>33</v>
      </c>
      <c r="B33" t="s">
        <v>13</v>
      </c>
      <c r="C33" s="1">
        <v>2372926089.2821898</v>
      </c>
      <c r="D33" s="1">
        <v>1420410551.7284601</v>
      </c>
      <c r="E33">
        <v>328</v>
      </c>
      <c r="F33">
        <v>0</v>
      </c>
      <c r="G33" s="7">
        <f t="shared" si="0"/>
        <v>3203450220.5309563</v>
      </c>
      <c r="H33" s="1">
        <f t="shared" si="1"/>
        <v>1917554244.8334212</v>
      </c>
      <c r="I33" s="7">
        <f t="shared" si="2"/>
        <v>3203.4502205309564</v>
      </c>
      <c r="J33" s="7">
        <f t="shared" si="3"/>
        <v>1917.5542448334213</v>
      </c>
    </row>
    <row r="34" spans="1:10" x14ac:dyDescent="0.2">
      <c r="A34">
        <v>33</v>
      </c>
      <c r="B34" t="s">
        <v>13</v>
      </c>
      <c r="C34" s="1">
        <v>761662142.94186294</v>
      </c>
      <c r="D34" s="1">
        <v>448941035.41101199</v>
      </c>
      <c r="E34">
        <v>119</v>
      </c>
      <c r="F34">
        <v>1</v>
      </c>
      <c r="G34" s="7">
        <f t="shared" si="0"/>
        <v>1028243892.9715151</v>
      </c>
      <c r="H34" s="1">
        <f t="shared" si="1"/>
        <v>606070397.80486619</v>
      </c>
      <c r="I34" s="7">
        <f t="shared" si="2"/>
        <v>1028.2438929715152</v>
      </c>
      <c r="J34" s="7">
        <f t="shared" si="3"/>
        <v>606.07039780486616</v>
      </c>
    </row>
    <row r="35" spans="1:10" hidden="1" x14ac:dyDescent="0.2">
      <c r="A35">
        <v>3624</v>
      </c>
      <c r="B35" t="s">
        <v>13</v>
      </c>
      <c r="C35">
        <v>545000</v>
      </c>
      <c r="D35">
        <v>545000</v>
      </c>
      <c r="E35">
        <v>2</v>
      </c>
      <c r="F35">
        <v>0</v>
      </c>
      <c r="G35" s="7">
        <f t="shared" si="0"/>
        <v>735750</v>
      </c>
      <c r="H35" s="1">
        <f t="shared" si="1"/>
        <v>735750</v>
      </c>
      <c r="I35" s="7">
        <f t="shared" si="2"/>
        <v>0.73575000000000002</v>
      </c>
      <c r="J35" s="7">
        <f t="shared" si="3"/>
        <v>0.73575000000000002</v>
      </c>
    </row>
    <row r="36" spans="1:10" hidden="1" x14ac:dyDescent="0.2">
      <c r="A36">
        <v>3624</v>
      </c>
      <c r="B36" t="s">
        <v>13</v>
      </c>
      <c r="C36">
        <v>2662700</v>
      </c>
      <c r="D36">
        <v>2662700</v>
      </c>
      <c r="E36">
        <v>4</v>
      </c>
      <c r="F36">
        <v>1</v>
      </c>
      <c r="G36" s="7">
        <f t="shared" si="0"/>
        <v>3594645.0000000005</v>
      </c>
      <c r="H36" s="1">
        <f t="shared" si="1"/>
        <v>3594645.0000000005</v>
      </c>
      <c r="I36" s="7">
        <f t="shared" si="2"/>
        <v>3.5946450000000003</v>
      </c>
      <c r="J36" s="7">
        <f t="shared" si="3"/>
        <v>3.5946450000000003</v>
      </c>
    </row>
    <row r="37" spans="1:10" hidden="1" x14ac:dyDescent="0.2">
      <c r="A37" t="s">
        <v>7</v>
      </c>
      <c r="B37" t="s">
        <v>13</v>
      </c>
      <c r="C37">
        <v>101000</v>
      </c>
      <c r="D37">
        <v>101000</v>
      </c>
      <c r="E37">
        <v>1</v>
      </c>
      <c r="F37">
        <v>0</v>
      </c>
      <c r="G37" s="7">
        <f t="shared" si="0"/>
        <v>136350</v>
      </c>
      <c r="H37" s="1">
        <f t="shared" si="1"/>
        <v>136350</v>
      </c>
      <c r="I37" s="7">
        <f t="shared" si="2"/>
        <v>0.13635</v>
      </c>
      <c r="J37" s="7">
        <f t="shared" si="3"/>
        <v>0.13635</v>
      </c>
    </row>
    <row r="38" spans="1:10" hidden="1" x14ac:dyDescent="0.2">
      <c r="A38" t="s">
        <v>7</v>
      </c>
      <c r="B38" t="s">
        <v>13</v>
      </c>
      <c r="C38">
        <v>22746034</v>
      </c>
      <c r="D38">
        <v>22746034</v>
      </c>
      <c r="E38">
        <v>32</v>
      </c>
      <c r="F38">
        <v>1</v>
      </c>
      <c r="G38" s="7">
        <f t="shared" si="0"/>
        <v>30707145.900000002</v>
      </c>
      <c r="H38" s="1">
        <f t="shared" si="1"/>
        <v>30707145.900000002</v>
      </c>
      <c r="I38" s="7">
        <f t="shared" si="2"/>
        <v>30.707145900000004</v>
      </c>
      <c r="J38" s="7">
        <f t="shared" si="3"/>
        <v>30.707145900000004</v>
      </c>
    </row>
    <row r="39" spans="1:10" hidden="1" x14ac:dyDescent="0.2">
      <c r="A39" t="s">
        <v>8</v>
      </c>
      <c r="B39" t="s">
        <v>13</v>
      </c>
      <c r="C39">
        <v>191741484.19769299</v>
      </c>
      <c r="D39">
        <v>103722848.999153</v>
      </c>
      <c r="E39">
        <v>23</v>
      </c>
      <c r="F39">
        <v>0</v>
      </c>
      <c r="G39" s="7">
        <f t="shared" si="0"/>
        <v>258851003.66688555</v>
      </c>
      <c r="H39" s="1">
        <f t="shared" si="1"/>
        <v>140025846.14885655</v>
      </c>
      <c r="I39" s="7">
        <f t="shared" si="2"/>
        <v>258.85100366688556</v>
      </c>
      <c r="J39" s="7">
        <f t="shared" si="3"/>
        <v>140.02584614885654</v>
      </c>
    </row>
    <row r="40" spans="1:10" hidden="1" x14ac:dyDescent="0.2">
      <c r="A40" t="s">
        <v>8</v>
      </c>
      <c r="B40" t="s">
        <v>13</v>
      </c>
      <c r="C40">
        <v>1205659420.18715</v>
      </c>
      <c r="D40">
        <v>924487181.75075197</v>
      </c>
      <c r="E40">
        <v>318</v>
      </c>
      <c r="F40">
        <v>1</v>
      </c>
      <c r="G40" s="7">
        <f t="shared" si="0"/>
        <v>1627640217.2526526</v>
      </c>
      <c r="H40" s="1">
        <f t="shared" si="1"/>
        <v>1248057695.3635151</v>
      </c>
      <c r="I40" s="7">
        <f t="shared" si="2"/>
        <v>1627.6402172526527</v>
      </c>
      <c r="J40" s="7">
        <f t="shared" si="3"/>
        <v>1248.0576953635152</v>
      </c>
    </row>
    <row r="41" spans="1:10" hidden="1" x14ac:dyDescent="0.2">
      <c r="A41" t="s">
        <v>9</v>
      </c>
      <c r="B41" t="s">
        <v>13</v>
      </c>
      <c r="C41">
        <v>107224705.21595199</v>
      </c>
      <c r="D41">
        <v>106417749.21595199</v>
      </c>
      <c r="E41">
        <v>86</v>
      </c>
      <c r="F41">
        <v>1</v>
      </c>
      <c r="G41" s="7">
        <f t="shared" si="0"/>
        <v>144753352.0415352</v>
      </c>
      <c r="H41" s="1">
        <f t="shared" si="1"/>
        <v>143663961.4415352</v>
      </c>
      <c r="I41" s="7">
        <f t="shared" si="2"/>
        <v>144.75335204153521</v>
      </c>
      <c r="J41" s="7">
        <f t="shared" si="3"/>
        <v>143.66396144153521</v>
      </c>
    </row>
    <row r="42" spans="1:10" x14ac:dyDescent="0.2">
      <c r="A42">
        <v>33</v>
      </c>
      <c r="B42" t="s">
        <v>14</v>
      </c>
      <c r="C42" s="1">
        <v>2365811502.90905</v>
      </c>
      <c r="D42" s="1">
        <v>1413295965.35532</v>
      </c>
      <c r="E42">
        <v>326</v>
      </c>
      <c r="F42">
        <v>0</v>
      </c>
      <c r="G42" s="7">
        <f t="shared" si="0"/>
        <v>3193845528.9272175</v>
      </c>
      <c r="H42" s="1">
        <f t="shared" si="1"/>
        <v>1907949553.2296822</v>
      </c>
      <c r="I42" s="7">
        <f t="shared" si="2"/>
        <v>3193.8455289272174</v>
      </c>
      <c r="J42" s="7">
        <f t="shared" si="3"/>
        <v>1907.9495532296821</v>
      </c>
    </row>
    <row r="43" spans="1:10" x14ac:dyDescent="0.2">
      <c r="A43">
        <v>33</v>
      </c>
      <c r="B43" t="s">
        <v>14</v>
      </c>
      <c r="C43" s="1">
        <v>738973417.34851599</v>
      </c>
      <c r="D43" s="1">
        <v>426252309.81766498</v>
      </c>
      <c r="E43">
        <v>106</v>
      </c>
      <c r="F43">
        <v>1</v>
      </c>
      <c r="G43" s="7">
        <f t="shared" si="0"/>
        <v>997614113.4204967</v>
      </c>
      <c r="H43" s="1">
        <f t="shared" si="1"/>
        <v>575440618.25384772</v>
      </c>
      <c r="I43" s="7">
        <f t="shared" si="2"/>
        <v>997.61411342049666</v>
      </c>
      <c r="J43" s="7">
        <f t="shared" si="3"/>
        <v>575.44061825384767</v>
      </c>
    </row>
    <row r="44" spans="1:10" hidden="1" x14ac:dyDescent="0.2">
      <c r="A44">
        <v>3624</v>
      </c>
      <c r="B44" t="s">
        <v>14</v>
      </c>
      <c r="C44">
        <v>345000</v>
      </c>
      <c r="D44">
        <v>345000</v>
      </c>
      <c r="E44">
        <v>1</v>
      </c>
      <c r="F44">
        <v>0</v>
      </c>
      <c r="G44" s="7">
        <f t="shared" si="0"/>
        <v>465750.00000000006</v>
      </c>
      <c r="H44" s="1">
        <f t="shared" si="1"/>
        <v>465750.00000000006</v>
      </c>
      <c r="I44" s="7">
        <f t="shared" si="2"/>
        <v>0.46575000000000005</v>
      </c>
      <c r="J44" s="7">
        <f t="shared" si="3"/>
        <v>0.46575000000000005</v>
      </c>
    </row>
    <row r="45" spans="1:10" hidden="1" x14ac:dyDescent="0.2">
      <c r="A45">
        <v>3624</v>
      </c>
      <c r="B45" t="s">
        <v>14</v>
      </c>
      <c r="C45">
        <v>2462700</v>
      </c>
      <c r="D45">
        <v>2462700</v>
      </c>
      <c r="E45">
        <v>3</v>
      </c>
      <c r="F45">
        <v>1</v>
      </c>
      <c r="G45" s="7">
        <f t="shared" si="0"/>
        <v>3324645</v>
      </c>
      <c r="H45" s="1">
        <f t="shared" si="1"/>
        <v>3324645</v>
      </c>
      <c r="I45" s="7">
        <f t="shared" si="2"/>
        <v>3.3246449999999999</v>
      </c>
      <c r="J45" s="7">
        <f t="shared" si="3"/>
        <v>3.3246449999999999</v>
      </c>
    </row>
    <row r="46" spans="1:10" hidden="1" x14ac:dyDescent="0.2">
      <c r="A46" t="s">
        <v>7</v>
      </c>
      <c r="B46" t="s">
        <v>14</v>
      </c>
      <c r="C46">
        <v>101000</v>
      </c>
      <c r="D46">
        <v>101000</v>
      </c>
      <c r="E46">
        <v>1</v>
      </c>
      <c r="F46">
        <v>0</v>
      </c>
      <c r="G46" s="7">
        <f t="shared" si="0"/>
        <v>136350</v>
      </c>
      <c r="H46" s="1">
        <f t="shared" si="1"/>
        <v>136350</v>
      </c>
      <c r="I46" s="7">
        <f t="shared" si="2"/>
        <v>0.13635</v>
      </c>
      <c r="J46" s="7">
        <f t="shared" si="3"/>
        <v>0.13635</v>
      </c>
    </row>
    <row r="47" spans="1:10" hidden="1" x14ac:dyDescent="0.2">
      <c r="A47" t="s">
        <v>7</v>
      </c>
      <c r="B47" t="s">
        <v>14</v>
      </c>
      <c r="C47">
        <v>22746034</v>
      </c>
      <c r="D47">
        <v>22746034</v>
      </c>
      <c r="E47">
        <v>32</v>
      </c>
      <c r="F47">
        <v>1</v>
      </c>
      <c r="G47" s="7">
        <f t="shared" si="0"/>
        <v>30707145.900000002</v>
      </c>
      <c r="H47" s="1">
        <f t="shared" si="1"/>
        <v>30707145.900000002</v>
      </c>
      <c r="I47" s="7">
        <f t="shared" si="2"/>
        <v>30.707145900000004</v>
      </c>
      <c r="J47" s="7">
        <f t="shared" si="3"/>
        <v>30.707145900000004</v>
      </c>
    </row>
    <row r="48" spans="1:10" hidden="1" x14ac:dyDescent="0.2">
      <c r="A48" t="s">
        <v>8</v>
      </c>
      <c r="B48" t="s">
        <v>14</v>
      </c>
      <c r="C48">
        <v>175292598.767708</v>
      </c>
      <c r="D48">
        <v>87273963.569168001</v>
      </c>
      <c r="E48">
        <v>20</v>
      </c>
      <c r="F48">
        <v>0</v>
      </c>
      <c r="G48" s="7">
        <f t="shared" si="0"/>
        <v>236645008.33640581</v>
      </c>
      <c r="H48" s="1">
        <f t="shared" si="1"/>
        <v>117819850.81837681</v>
      </c>
      <c r="I48" s="7">
        <f t="shared" si="2"/>
        <v>236.64500833640582</v>
      </c>
      <c r="J48" s="7">
        <f t="shared" si="3"/>
        <v>117.81985081837681</v>
      </c>
    </row>
    <row r="49" spans="1:10" hidden="1" x14ac:dyDescent="0.2">
      <c r="A49" t="s">
        <v>8</v>
      </c>
      <c r="B49" t="s">
        <v>14</v>
      </c>
      <c r="C49">
        <v>906507554.61050797</v>
      </c>
      <c r="D49">
        <v>666539312.39975405</v>
      </c>
      <c r="E49">
        <v>227</v>
      </c>
      <c r="F49">
        <v>1</v>
      </c>
      <c r="G49" s="7">
        <f t="shared" si="0"/>
        <v>1223785198.7241859</v>
      </c>
      <c r="H49" s="1">
        <f t="shared" si="1"/>
        <v>899828071.73966801</v>
      </c>
      <c r="I49" s="7">
        <f t="shared" si="2"/>
        <v>1223.7851987241859</v>
      </c>
      <c r="J49" s="7">
        <f t="shared" si="3"/>
        <v>899.82807173966796</v>
      </c>
    </row>
    <row r="50" spans="1:10" hidden="1" x14ac:dyDescent="0.2">
      <c r="A50" t="s">
        <v>9</v>
      </c>
      <c r="B50" t="s">
        <v>14</v>
      </c>
      <c r="C50">
        <v>101774358.815952</v>
      </c>
      <c r="D50">
        <v>100967402.815952</v>
      </c>
      <c r="E50">
        <v>76</v>
      </c>
      <c r="F50">
        <v>1</v>
      </c>
      <c r="G50" s="7">
        <f t="shared" si="0"/>
        <v>137395384.40153521</v>
      </c>
      <c r="H50" s="1">
        <f t="shared" si="1"/>
        <v>136305993.80153522</v>
      </c>
      <c r="I50" s="7">
        <f t="shared" si="2"/>
        <v>137.39538440153521</v>
      </c>
      <c r="J50" s="7">
        <f t="shared" si="3"/>
        <v>136.30599380153521</v>
      </c>
    </row>
    <row r="51" spans="1:10" x14ac:dyDescent="0.2">
      <c r="I51" s="7"/>
      <c r="J51" s="7"/>
    </row>
    <row r="52" spans="1:10" x14ac:dyDescent="0.2">
      <c r="I52" s="7"/>
      <c r="J52" s="7"/>
    </row>
    <row r="53" spans="1:10" x14ac:dyDescent="0.2">
      <c r="I53" s="7"/>
      <c r="J53" s="7"/>
    </row>
    <row r="54" spans="1:10" x14ac:dyDescent="0.2">
      <c r="I54" s="7"/>
      <c r="J54" s="7"/>
    </row>
    <row r="55" spans="1:10" x14ac:dyDescent="0.2">
      <c r="I55" s="7"/>
      <c r="J55" s="7"/>
    </row>
    <row r="56" spans="1:10" x14ac:dyDescent="0.2">
      <c r="I56" s="7"/>
      <c r="J56" s="7"/>
    </row>
    <row r="57" spans="1:10" x14ac:dyDescent="0.2">
      <c r="I57" s="7"/>
      <c r="J57" s="7"/>
    </row>
    <row r="58" spans="1:10" x14ac:dyDescent="0.2">
      <c r="I58" s="7"/>
      <c r="J58" s="7"/>
    </row>
    <row r="59" spans="1:10" x14ac:dyDescent="0.2">
      <c r="I59" s="7"/>
      <c r="J59" s="7"/>
    </row>
    <row r="60" spans="1:10" x14ac:dyDescent="0.2">
      <c r="I60" s="7"/>
      <c r="J60" s="7"/>
    </row>
    <row r="61" spans="1:10" x14ac:dyDescent="0.2">
      <c r="I61" s="7"/>
      <c r="J61" s="7"/>
    </row>
    <row r="62" spans="1:10" x14ac:dyDescent="0.2">
      <c r="I62" s="7"/>
      <c r="J62" s="7"/>
    </row>
    <row r="63" spans="1:10" x14ac:dyDescent="0.2">
      <c r="I63" s="7"/>
      <c r="J63" s="7"/>
    </row>
    <row r="64" spans="1:10" x14ac:dyDescent="0.2">
      <c r="I64" s="7"/>
      <c r="J64" s="7"/>
    </row>
    <row r="65" spans="9:10" x14ac:dyDescent="0.2">
      <c r="I65" s="7"/>
      <c r="J65" s="7"/>
    </row>
    <row r="66" spans="9:10" x14ac:dyDescent="0.2">
      <c r="I66" s="7"/>
      <c r="J66" s="7"/>
    </row>
    <row r="67" spans="9:10" x14ac:dyDescent="0.2">
      <c r="I67" s="7"/>
      <c r="J67" s="7"/>
    </row>
    <row r="68" spans="9:10" x14ac:dyDescent="0.2">
      <c r="I68" s="7"/>
      <c r="J68" s="7"/>
    </row>
    <row r="69" spans="9:10" x14ac:dyDescent="0.2">
      <c r="I69" s="7"/>
      <c r="J69" s="7"/>
    </row>
    <row r="70" spans="9:10" x14ac:dyDescent="0.2">
      <c r="I70" s="7"/>
      <c r="J70" s="7"/>
    </row>
    <row r="71" spans="9:10" x14ac:dyDescent="0.2">
      <c r="I71" s="7"/>
      <c r="J71" s="7"/>
    </row>
    <row r="72" spans="9:10" x14ac:dyDescent="0.2">
      <c r="I72" s="7"/>
      <c r="J72" s="7"/>
    </row>
    <row r="73" spans="9:10" x14ac:dyDescent="0.2">
      <c r="I73" s="7"/>
      <c r="J73" s="7"/>
    </row>
    <row r="74" spans="9:10" x14ac:dyDescent="0.2">
      <c r="I74" s="7"/>
      <c r="J74" s="7"/>
    </row>
    <row r="75" spans="9:10" x14ac:dyDescent="0.2">
      <c r="I75" s="7"/>
      <c r="J75" s="7"/>
    </row>
    <row r="76" spans="9:10" x14ac:dyDescent="0.2">
      <c r="I76" s="7"/>
      <c r="J76" s="7"/>
    </row>
    <row r="77" spans="9:10" x14ac:dyDescent="0.2">
      <c r="I77" s="7"/>
      <c r="J77" s="7"/>
    </row>
    <row r="78" spans="9:10" x14ac:dyDescent="0.2">
      <c r="I78" s="7"/>
      <c r="J78" s="7"/>
    </row>
    <row r="79" spans="9:10" x14ac:dyDescent="0.2">
      <c r="I79" s="7"/>
      <c r="J79" s="7"/>
    </row>
    <row r="80" spans="9:10" x14ac:dyDescent="0.2">
      <c r="I80" s="7"/>
      <c r="J80" s="7"/>
    </row>
    <row r="81" spans="9:10" x14ac:dyDescent="0.2">
      <c r="I81" s="7"/>
      <c r="J81" s="7"/>
    </row>
    <row r="82" spans="9:10" x14ac:dyDescent="0.2">
      <c r="I82" s="7"/>
      <c r="J82" s="7"/>
    </row>
  </sheetData>
  <autoFilter ref="A1:F50" xr:uid="{FD6788F1-4B47-421A-9EF9-440A877182E4}">
    <filterColumn colId="0">
      <filters>
        <filter val="33"/>
      </filters>
    </filterColumn>
    <sortState xmlns:xlrd2="http://schemas.microsoft.com/office/spreadsheetml/2017/richdata2" ref="A2:F47">
      <sortCondition ref="F1:F4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8D1C-8141-46BC-BBA6-9DC9DE3AA0B9}">
  <dimension ref="A1:W453"/>
  <sheetViews>
    <sheetView tabSelected="1" topLeftCell="J1" workbookViewId="0">
      <selection activeCell="R17" sqref="R17"/>
    </sheetView>
  </sheetViews>
  <sheetFormatPr defaultRowHeight="12.75" x14ac:dyDescent="0.2"/>
  <cols>
    <col min="4" max="5" width="12" bestFit="1" customWidth="1"/>
    <col min="8" max="8" width="18.7109375" bestFit="1" customWidth="1"/>
    <col min="9" max="9" width="16" bestFit="1" customWidth="1"/>
    <col min="14" max="14" width="13.85546875" bestFit="1" customWidth="1"/>
    <col min="15" max="15" width="21.42578125" bestFit="1" customWidth="1"/>
    <col min="16" max="16" width="24" bestFit="1" customWidth="1"/>
    <col min="17" max="17" width="23.42578125" bestFit="1" customWidth="1"/>
    <col min="18" max="18" width="12" bestFit="1" customWidth="1"/>
    <col min="19" max="19" width="11.42578125" bestFit="1" customWidth="1"/>
    <col min="20" max="21" width="17.7109375" bestFit="1" customWidth="1"/>
    <col min="22" max="22" width="15.85546875" bestFit="1" customWidth="1"/>
    <col min="23" max="23" width="15.42578125" bestFit="1" customWidth="1"/>
  </cols>
  <sheetData>
    <row r="1" spans="1:17" x14ac:dyDescent="0.2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7" x14ac:dyDescent="0.2">
      <c r="A2" t="s">
        <v>37</v>
      </c>
      <c r="B2">
        <v>33</v>
      </c>
      <c r="C2" t="s">
        <v>6</v>
      </c>
      <c r="D2">
        <v>13444442.07</v>
      </c>
      <c r="E2">
        <v>10874902.25</v>
      </c>
      <c r="F2">
        <v>5</v>
      </c>
      <c r="G2">
        <v>0</v>
      </c>
      <c r="H2" s="7">
        <f>D2*1.35</f>
        <v>18149996.794500001</v>
      </c>
      <c r="I2" s="1">
        <f>E2*1.35</f>
        <v>14681118.037500001</v>
      </c>
      <c r="J2" s="7">
        <f>H2/1000000</f>
        <v>18.149996794500002</v>
      </c>
      <c r="K2" s="7">
        <f>I2/1000000</f>
        <v>14.681118037500001</v>
      </c>
      <c r="N2" s="9" t="s">
        <v>0</v>
      </c>
      <c r="O2" s="2">
        <v>33</v>
      </c>
    </row>
    <row r="3" spans="1:17" x14ac:dyDescent="0.2">
      <c r="A3" t="s">
        <v>38</v>
      </c>
      <c r="B3">
        <v>33</v>
      </c>
      <c r="C3" t="s">
        <v>6</v>
      </c>
      <c r="D3">
        <v>1280103.4909999999</v>
      </c>
      <c r="E3">
        <v>1280103.4909999999</v>
      </c>
      <c r="F3">
        <v>2</v>
      </c>
      <c r="G3">
        <v>0</v>
      </c>
      <c r="H3" s="7">
        <f t="shared" ref="H3:H66" si="0">D3*1.35</f>
        <v>1728139.71285</v>
      </c>
      <c r="I3" s="1">
        <f t="shared" ref="I3:I66" si="1">E3*1.35</f>
        <v>1728139.71285</v>
      </c>
      <c r="J3" s="7">
        <f t="shared" ref="J3:J66" si="2">H3/1000000</f>
        <v>1.72813971285</v>
      </c>
      <c r="K3" s="7">
        <f t="shared" ref="K3:K66" si="3">I3/1000000</f>
        <v>1.72813971285</v>
      </c>
    </row>
    <row r="4" spans="1:17" x14ac:dyDescent="0.2">
      <c r="A4" t="s">
        <v>39</v>
      </c>
      <c r="B4">
        <v>33</v>
      </c>
      <c r="C4" t="s">
        <v>6</v>
      </c>
      <c r="D4">
        <v>721312.71429999999</v>
      </c>
      <c r="E4">
        <v>440490.42099999997</v>
      </c>
      <c r="F4">
        <v>4</v>
      </c>
      <c r="G4">
        <v>0</v>
      </c>
      <c r="H4" s="7">
        <f t="shared" si="0"/>
        <v>973772.1643050001</v>
      </c>
      <c r="I4" s="1">
        <f t="shared" si="1"/>
        <v>594662.06834999996</v>
      </c>
      <c r="J4" s="7">
        <f t="shared" si="2"/>
        <v>0.97377216430500013</v>
      </c>
      <c r="K4" s="7">
        <f t="shared" si="3"/>
        <v>0.59466206834999991</v>
      </c>
      <c r="N4" s="9" t="s">
        <v>142</v>
      </c>
      <c r="O4" t="s">
        <v>17</v>
      </c>
      <c r="P4" t="s">
        <v>34</v>
      </c>
      <c r="Q4" t="s">
        <v>35</v>
      </c>
    </row>
    <row r="5" spans="1:17" x14ac:dyDescent="0.2">
      <c r="A5" t="s">
        <v>40</v>
      </c>
      <c r="B5">
        <v>33</v>
      </c>
      <c r="C5" t="s">
        <v>6</v>
      </c>
      <c r="D5">
        <v>25890584.559999999</v>
      </c>
      <c r="E5">
        <v>20120637.850000001</v>
      </c>
      <c r="F5">
        <v>9</v>
      </c>
      <c r="G5">
        <v>0</v>
      </c>
      <c r="H5" s="7">
        <f t="shared" si="0"/>
        <v>34952289.156000003</v>
      </c>
      <c r="I5" s="1">
        <f t="shared" si="1"/>
        <v>27162861.097500004</v>
      </c>
      <c r="J5" s="7">
        <f t="shared" si="2"/>
        <v>34.952289156000006</v>
      </c>
      <c r="K5" s="7">
        <f t="shared" si="3"/>
        <v>27.162861097500002</v>
      </c>
      <c r="N5" s="2" t="s">
        <v>6</v>
      </c>
      <c r="O5" s="10">
        <v>5341</v>
      </c>
      <c r="P5" s="7">
        <v>40228.224086749389</v>
      </c>
      <c r="Q5" s="7">
        <v>29103.949550242003</v>
      </c>
    </row>
    <row r="6" spans="1:17" x14ac:dyDescent="0.2">
      <c r="A6" t="s">
        <v>41</v>
      </c>
      <c r="B6">
        <v>33</v>
      </c>
      <c r="C6" t="s">
        <v>6</v>
      </c>
      <c r="D6">
        <v>15747994.66</v>
      </c>
      <c r="E6">
        <v>8286041.568</v>
      </c>
      <c r="F6">
        <v>5</v>
      </c>
      <c r="G6">
        <v>0</v>
      </c>
      <c r="H6" s="7">
        <f t="shared" si="0"/>
        <v>21259792.791000001</v>
      </c>
      <c r="I6" s="1">
        <f t="shared" si="1"/>
        <v>11186156.116800001</v>
      </c>
      <c r="J6" s="7">
        <f t="shared" si="2"/>
        <v>21.259792791000002</v>
      </c>
      <c r="K6" s="7">
        <f t="shared" si="3"/>
        <v>11.186156116800001</v>
      </c>
      <c r="N6" s="12">
        <v>0</v>
      </c>
      <c r="O6" s="10">
        <v>663</v>
      </c>
      <c r="P6" s="7">
        <v>6272.004341748262</v>
      </c>
      <c r="Q6" s="7">
        <v>3958.1360788770221</v>
      </c>
    </row>
    <row r="7" spans="1:17" x14ac:dyDescent="0.2">
      <c r="A7" t="s">
        <v>42</v>
      </c>
      <c r="B7">
        <v>33</v>
      </c>
      <c r="C7" t="s">
        <v>6</v>
      </c>
      <c r="D7">
        <v>4196482.9340000004</v>
      </c>
      <c r="E7">
        <v>4196482.9340000004</v>
      </c>
      <c r="F7">
        <v>3</v>
      </c>
      <c r="G7">
        <v>0</v>
      </c>
      <c r="H7" s="7">
        <f t="shared" si="0"/>
        <v>5665251.9609000012</v>
      </c>
      <c r="I7" s="1">
        <f t="shared" si="1"/>
        <v>5665251.9609000012</v>
      </c>
      <c r="J7" s="7">
        <f t="shared" si="2"/>
        <v>5.6652519609000009</v>
      </c>
      <c r="K7" s="7">
        <f t="shared" si="3"/>
        <v>5.6652519609000009</v>
      </c>
      <c r="N7" s="12">
        <v>1</v>
      </c>
      <c r="O7" s="10">
        <v>4678</v>
      </c>
      <c r="P7" s="7">
        <v>33956.21974500113</v>
      </c>
      <c r="Q7" s="7">
        <v>25145.813471364982</v>
      </c>
    </row>
    <row r="8" spans="1:17" x14ac:dyDescent="0.2">
      <c r="A8" t="s">
        <v>43</v>
      </c>
      <c r="B8">
        <v>33</v>
      </c>
      <c r="C8" t="s">
        <v>6</v>
      </c>
      <c r="D8">
        <v>96654148.180000007</v>
      </c>
      <c r="E8">
        <v>62620844.43</v>
      </c>
      <c r="F8">
        <v>4</v>
      </c>
      <c r="G8">
        <v>0</v>
      </c>
      <c r="H8" s="7">
        <f t="shared" si="0"/>
        <v>130483100.04300001</v>
      </c>
      <c r="I8" s="1">
        <f t="shared" si="1"/>
        <v>84538139.980499998</v>
      </c>
      <c r="J8" s="7">
        <f t="shared" si="2"/>
        <v>130.48310004300001</v>
      </c>
      <c r="K8" s="7">
        <f t="shared" si="3"/>
        <v>84.538139980499992</v>
      </c>
      <c r="N8" s="2" t="s">
        <v>10</v>
      </c>
      <c r="O8" s="10">
        <v>2813</v>
      </c>
      <c r="P8" s="7">
        <v>21887.522473608409</v>
      </c>
      <c r="Q8" s="7">
        <v>16912.875213025196</v>
      </c>
    </row>
    <row r="9" spans="1:17" x14ac:dyDescent="0.2">
      <c r="A9" t="s">
        <v>44</v>
      </c>
      <c r="B9">
        <v>33</v>
      </c>
      <c r="C9" t="s">
        <v>6</v>
      </c>
      <c r="D9">
        <v>3238733.284</v>
      </c>
      <c r="E9">
        <v>1653587.9750000001</v>
      </c>
      <c r="F9">
        <v>4</v>
      </c>
      <c r="G9">
        <v>0</v>
      </c>
      <c r="H9" s="7">
        <f t="shared" si="0"/>
        <v>4372289.9334000004</v>
      </c>
      <c r="I9" s="1">
        <f t="shared" si="1"/>
        <v>2232343.7662500003</v>
      </c>
      <c r="J9" s="7">
        <f t="shared" si="2"/>
        <v>4.3722899334000003</v>
      </c>
      <c r="K9" s="7">
        <f t="shared" si="3"/>
        <v>2.2323437662500005</v>
      </c>
      <c r="N9" s="12">
        <v>0</v>
      </c>
      <c r="O9" s="10">
        <v>46</v>
      </c>
      <c r="P9" s="7">
        <v>798.93482049940496</v>
      </c>
      <c r="Q9" s="7">
        <v>533.79541228769995</v>
      </c>
    </row>
    <row r="10" spans="1:17" x14ac:dyDescent="0.2">
      <c r="A10" t="s">
        <v>45</v>
      </c>
      <c r="B10">
        <v>33</v>
      </c>
      <c r="C10" t="s">
        <v>6</v>
      </c>
      <c r="D10">
        <v>819000</v>
      </c>
      <c r="E10">
        <v>819000</v>
      </c>
      <c r="F10">
        <v>1</v>
      </c>
      <c r="G10">
        <v>0</v>
      </c>
      <c r="H10" s="7">
        <f t="shared" si="0"/>
        <v>1105650</v>
      </c>
      <c r="I10" s="1">
        <f t="shared" si="1"/>
        <v>1105650</v>
      </c>
      <c r="J10" s="7">
        <f t="shared" si="2"/>
        <v>1.10565</v>
      </c>
      <c r="K10" s="7">
        <f t="shared" si="3"/>
        <v>1.10565</v>
      </c>
      <c r="N10" s="12">
        <v>1</v>
      </c>
      <c r="O10" s="10">
        <v>2767</v>
      </c>
      <c r="P10" s="7">
        <v>21088.587653109003</v>
      </c>
      <c r="Q10" s="7">
        <v>16379.079800737498</v>
      </c>
    </row>
    <row r="11" spans="1:17" x14ac:dyDescent="0.2">
      <c r="A11" t="s">
        <v>46</v>
      </c>
      <c r="B11">
        <v>33</v>
      </c>
      <c r="C11" t="s">
        <v>6</v>
      </c>
      <c r="D11">
        <v>18301343.57</v>
      </c>
      <c r="E11">
        <v>16479715.689999999</v>
      </c>
      <c r="F11">
        <v>4</v>
      </c>
      <c r="G11">
        <v>0</v>
      </c>
      <c r="H11" s="7">
        <f t="shared" si="0"/>
        <v>24706813.819500003</v>
      </c>
      <c r="I11" s="1">
        <f t="shared" si="1"/>
        <v>22247616.181499999</v>
      </c>
      <c r="J11" s="7">
        <f t="shared" si="2"/>
        <v>24.706813819500002</v>
      </c>
      <c r="K11" s="7">
        <f t="shared" si="3"/>
        <v>22.2476161815</v>
      </c>
      <c r="N11" s="2" t="s">
        <v>11</v>
      </c>
      <c r="O11" s="10">
        <v>13</v>
      </c>
      <c r="P11" s="7">
        <v>116.97352768305001</v>
      </c>
      <c r="Q11" s="7">
        <v>66.34860993045001</v>
      </c>
    </row>
    <row r="12" spans="1:17" x14ac:dyDescent="0.2">
      <c r="A12" t="s">
        <v>47</v>
      </c>
      <c r="B12">
        <v>33</v>
      </c>
      <c r="C12" t="s">
        <v>6</v>
      </c>
      <c r="D12">
        <v>567471554.10000002</v>
      </c>
      <c r="E12">
        <v>316798265.69999999</v>
      </c>
      <c r="F12">
        <v>37</v>
      </c>
      <c r="G12">
        <v>0</v>
      </c>
      <c r="H12" s="7">
        <f t="shared" si="0"/>
        <v>766086598.03500009</v>
      </c>
      <c r="I12" s="1">
        <f t="shared" si="1"/>
        <v>427677658.69499999</v>
      </c>
      <c r="J12" s="7">
        <f t="shared" si="2"/>
        <v>766.08659803500007</v>
      </c>
      <c r="K12" s="7">
        <f t="shared" si="3"/>
        <v>427.67765869499999</v>
      </c>
      <c r="N12" s="12">
        <v>0</v>
      </c>
      <c r="O12" s="10">
        <v>3</v>
      </c>
      <c r="P12" s="7">
        <v>4.1311115680500006</v>
      </c>
      <c r="Q12" s="7">
        <v>2.1592000804500002</v>
      </c>
    </row>
    <row r="13" spans="1:17" x14ac:dyDescent="0.2">
      <c r="A13" t="s">
        <v>48</v>
      </c>
      <c r="B13">
        <v>33</v>
      </c>
      <c r="C13" t="s">
        <v>6</v>
      </c>
      <c r="D13">
        <v>2841840</v>
      </c>
      <c r="E13">
        <v>1420920</v>
      </c>
      <c r="F13">
        <v>1</v>
      </c>
      <c r="G13">
        <v>0</v>
      </c>
      <c r="H13" s="7">
        <f t="shared" si="0"/>
        <v>3836484.0000000005</v>
      </c>
      <c r="I13" s="1">
        <f t="shared" si="1"/>
        <v>1918242.0000000002</v>
      </c>
      <c r="J13" s="7">
        <f t="shared" si="2"/>
        <v>3.8364840000000004</v>
      </c>
      <c r="K13" s="7">
        <f t="shared" si="3"/>
        <v>1.9182420000000002</v>
      </c>
      <c r="N13" s="12">
        <v>1</v>
      </c>
      <c r="O13" s="10">
        <v>10</v>
      </c>
      <c r="P13" s="7">
        <v>112.84241611500001</v>
      </c>
      <c r="Q13" s="7">
        <v>64.189409850000004</v>
      </c>
    </row>
    <row r="14" spans="1:17" x14ac:dyDescent="0.2">
      <c r="A14" t="s">
        <v>49</v>
      </c>
      <c r="B14">
        <v>33</v>
      </c>
      <c r="C14" t="s">
        <v>6</v>
      </c>
      <c r="D14">
        <v>13778406.460000001</v>
      </c>
      <c r="E14">
        <v>13778406.460000001</v>
      </c>
      <c r="F14">
        <v>11</v>
      </c>
      <c r="G14">
        <v>0</v>
      </c>
      <c r="H14" s="7">
        <f t="shared" si="0"/>
        <v>18600848.721000001</v>
      </c>
      <c r="I14" s="1">
        <f t="shared" si="1"/>
        <v>18600848.721000001</v>
      </c>
      <c r="J14" s="7">
        <f t="shared" si="2"/>
        <v>18.600848721000002</v>
      </c>
      <c r="K14" s="7">
        <f t="shared" si="3"/>
        <v>18.600848721000002</v>
      </c>
      <c r="N14" s="2" t="s">
        <v>12</v>
      </c>
      <c r="O14" s="10">
        <v>22</v>
      </c>
      <c r="P14" s="7">
        <v>309.49947675449999</v>
      </c>
      <c r="Q14" s="7">
        <v>166.19989777649999</v>
      </c>
    </row>
    <row r="15" spans="1:17" x14ac:dyDescent="0.2">
      <c r="A15" t="s">
        <v>50</v>
      </c>
      <c r="B15">
        <v>33</v>
      </c>
      <c r="C15" t="s">
        <v>6</v>
      </c>
      <c r="D15">
        <v>65415404.640000001</v>
      </c>
      <c r="E15">
        <v>46728236.219999999</v>
      </c>
      <c r="F15">
        <v>16</v>
      </c>
      <c r="G15">
        <v>0</v>
      </c>
      <c r="H15" s="7">
        <f t="shared" si="0"/>
        <v>88310796.264000013</v>
      </c>
      <c r="I15" s="1">
        <f t="shared" si="1"/>
        <v>63083118.897</v>
      </c>
      <c r="J15" s="7">
        <f t="shared" si="2"/>
        <v>88.310796264000018</v>
      </c>
      <c r="K15" s="7">
        <f t="shared" si="3"/>
        <v>63.083118896999999</v>
      </c>
      <c r="N15" s="12">
        <v>0</v>
      </c>
      <c r="O15" s="10">
        <v>4</v>
      </c>
      <c r="P15" s="7">
        <v>24.706813819500002</v>
      </c>
      <c r="Q15" s="7">
        <v>22.2476161815</v>
      </c>
    </row>
    <row r="16" spans="1:17" x14ac:dyDescent="0.2">
      <c r="A16" t="s">
        <v>51</v>
      </c>
      <c r="B16">
        <v>33</v>
      </c>
      <c r="C16" t="s">
        <v>6</v>
      </c>
      <c r="D16">
        <v>11968513.26</v>
      </c>
      <c r="E16">
        <v>10758732.73</v>
      </c>
      <c r="F16">
        <v>8</v>
      </c>
      <c r="G16">
        <v>0</v>
      </c>
      <c r="H16" s="7">
        <f t="shared" si="0"/>
        <v>16157492.901000001</v>
      </c>
      <c r="I16" s="1">
        <f t="shared" si="1"/>
        <v>14524289.185500002</v>
      </c>
      <c r="J16" s="7">
        <f t="shared" si="2"/>
        <v>16.157492901000001</v>
      </c>
      <c r="K16" s="7">
        <f t="shared" si="3"/>
        <v>14.524289185500001</v>
      </c>
      <c r="N16" s="12">
        <v>1</v>
      </c>
      <c r="O16" s="10">
        <v>18</v>
      </c>
      <c r="P16" s="7">
        <v>284.79266293500001</v>
      </c>
      <c r="Q16" s="7">
        <v>143.95228159499999</v>
      </c>
    </row>
    <row r="17" spans="1:23" x14ac:dyDescent="0.2">
      <c r="A17" t="s">
        <v>52</v>
      </c>
      <c r="B17">
        <v>33</v>
      </c>
      <c r="C17" t="s">
        <v>6</v>
      </c>
      <c r="D17">
        <v>9480466.5</v>
      </c>
      <c r="E17">
        <v>9480466.5</v>
      </c>
      <c r="F17">
        <v>3</v>
      </c>
      <c r="G17">
        <v>0</v>
      </c>
      <c r="H17" s="7">
        <f t="shared" si="0"/>
        <v>12798629.775</v>
      </c>
      <c r="I17" s="1">
        <f t="shared" si="1"/>
        <v>12798629.775</v>
      </c>
      <c r="J17" s="7">
        <f t="shared" si="2"/>
        <v>12.798629775</v>
      </c>
      <c r="K17" s="7">
        <f t="shared" si="3"/>
        <v>12.798629775</v>
      </c>
      <c r="N17" s="2" t="s">
        <v>13</v>
      </c>
      <c r="O17" s="10">
        <v>447</v>
      </c>
      <c r="P17" s="7">
        <v>4231.6941135550496</v>
      </c>
      <c r="Q17" s="7">
        <v>2523.6246421300502</v>
      </c>
    </row>
    <row r="18" spans="1:23" x14ac:dyDescent="0.2">
      <c r="A18" t="s">
        <v>53</v>
      </c>
      <c r="B18">
        <v>33</v>
      </c>
      <c r="C18" t="s">
        <v>6</v>
      </c>
      <c r="D18">
        <v>17156131.440000001</v>
      </c>
      <c r="E18">
        <v>17156131.440000001</v>
      </c>
      <c r="F18">
        <v>1</v>
      </c>
      <c r="G18">
        <v>0</v>
      </c>
      <c r="H18" s="7">
        <f t="shared" si="0"/>
        <v>23160777.444000002</v>
      </c>
      <c r="I18" s="1">
        <f t="shared" si="1"/>
        <v>23160777.444000002</v>
      </c>
      <c r="J18" s="7">
        <f t="shared" si="2"/>
        <v>23.160777444000001</v>
      </c>
      <c r="K18" s="7">
        <f t="shared" si="3"/>
        <v>23.160777444000001</v>
      </c>
      <c r="N18" s="12">
        <v>0</v>
      </c>
      <c r="O18" s="10">
        <v>328</v>
      </c>
      <c r="P18" s="7">
        <v>3203.4502206535499</v>
      </c>
      <c r="Q18" s="7">
        <v>1917.5542443535503</v>
      </c>
    </row>
    <row r="19" spans="1:23" x14ac:dyDescent="0.2">
      <c r="A19" t="s">
        <v>54</v>
      </c>
      <c r="B19">
        <v>33</v>
      </c>
      <c r="C19" t="s">
        <v>6</v>
      </c>
      <c r="D19">
        <v>5733618.0860000001</v>
      </c>
      <c r="E19">
        <v>5522417.4330000002</v>
      </c>
      <c r="F19">
        <v>4</v>
      </c>
      <c r="G19">
        <v>0</v>
      </c>
      <c r="H19" s="7">
        <f t="shared" si="0"/>
        <v>7740384.416100001</v>
      </c>
      <c r="I19" s="1">
        <f t="shared" si="1"/>
        <v>7455263.5345500009</v>
      </c>
      <c r="J19" s="7">
        <f t="shared" si="2"/>
        <v>7.7403844161000013</v>
      </c>
      <c r="K19" s="7">
        <f t="shared" si="3"/>
        <v>7.4552635345500011</v>
      </c>
      <c r="N19" s="12">
        <v>1</v>
      </c>
      <c r="O19" s="10">
        <v>119</v>
      </c>
      <c r="P19" s="7">
        <v>1028.2438929015</v>
      </c>
      <c r="Q19" s="7">
        <v>606.07039777650004</v>
      </c>
    </row>
    <row r="20" spans="1:23" x14ac:dyDescent="0.2">
      <c r="A20" t="s">
        <v>55</v>
      </c>
      <c r="B20">
        <v>33</v>
      </c>
      <c r="C20" t="s">
        <v>6</v>
      </c>
      <c r="D20">
        <v>538678.71059999999</v>
      </c>
      <c r="E20">
        <v>538678.71059999999</v>
      </c>
      <c r="F20">
        <v>1</v>
      </c>
      <c r="G20">
        <v>0</v>
      </c>
      <c r="H20" s="7">
        <f t="shared" si="0"/>
        <v>727216.25930999999</v>
      </c>
      <c r="I20" s="1">
        <f t="shared" si="1"/>
        <v>727216.25930999999</v>
      </c>
      <c r="J20" s="7">
        <f t="shared" si="2"/>
        <v>0.72721625931</v>
      </c>
      <c r="K20" s="7">
        <f t="shared" si="3"/>
        <v>0.72721625931</v>
      </c>
      <c r="N20" s="2" t="s">
        <v>14</v>
      </c>
      <c r="O20" s="10">
        <v>432</v>
      </c>
      <c r="P20" s="7">
        <v>4191.4596424049996</v>
      </c>
      <c r="Q20" s="7">
        <v>2483.3901709800002</v>
      </c>
    </row>
    <row r="21" spans="1:23" x14ac:dyDescent="0.2">
      <c r="A21" t="s">
        <v>56</v>
      </c>
      <c r="B21">
        <v>33</v>
      </c>
      <c r="C21" t="s">
        <v>6</v>
      </c>
      <c r="D21">
        <v>56000</v>
      </c>
      <c r="E21">
        <v>56000</v>
      </c>
      <c r="F21">
        <v>1</v>
      </c>
      <c r="G21">
        <v>0</v>
      </c>
      <c r="H21" s="7">
        <f t="shared" si="0"/>
        <v>75600</v>
      </c>
      <c r="I21" s="1">
        <f t="shared" si="1"/>
        <v>75600</v>
      </c>
      <c r="J21" s="7">
        <f t="shared" si="2"/>
        <v>7.5600000000000001E-2</v>
      </c>
      <c r="K21" s="7">
        <f t="shared" si="3"/>
        <v>7.5600000000000001E-2</v>
      </c>
      <c r="N21" s="12">
        <v>0</v>
      </c>
      <c r="O21" s="10">
        <v>326</v>
      </c>
      <c r="P21" s="7">
        <v>3193.8455290500001</v>
      </c>
      <c r="Q21" s="7">
        <v>1907.9495527500003</v>
      </c>
    </row>
    <row r="22" spans="1:23" x14ac:dyDescent="0.2">
      <c r="A22" t="s">
        <v>57</v>
      </c>
      <c r="B22">
        <v>33</v>
      </c>
      <c r="C22" t="s">
        <v>6</v>
      </c>
      <c r="D22">
        <v>159239457.09999999</v>
      </c>
      <c r="E22">
        <v>89793522.370000005</v>
      </c>
      <c r="F22">
        <v>6</v>
      </c>
      <c r="G22">
        <v>0</v>
      </c>
      <c r="H22" s="7">
        <f t="shared" si="0"/>
        <v>214973267.08500001</v>
      </c>
      <c r="I22" s="1">
        <f t="shared" si="1"/>
        <v>121221255.19950001</v>
      </c>
      <c r="J22" s="7">
        <f t="shared" si="2"/>
        <v>214.973267085</v>
      </c>
      <c r="K22" s="7">
        <f t="shared" si="3"/>
        <v>121.22125519950001</v>
      </c>
      <c r="N22" s="12">
        <v>1</v>
      </c>
      <c r="O22" s="10">
        <v>106</v>
      </c>
      <c r="P22" s="7">
        <v>997.61411335499997</v>
      </c>
      <c r="Q22" s="7">
        <v>575.44061823000004</v>
      </c>
    </row>
    <row r="23" spans="1:23" x14ac:dyDescent="0.2">
      <c r="A23" t="s">
        <v>58</v>
      </c>
      <c r="B23">
        <v>33</v>
      </c>
      <c r="C23" t="s">
        <v>6</v>
      </c>
      <c r="D23">
        <v>269694076.19999999</v>
      </c>
      <c r="E23">
        <v>128815325.59999999</v>
      </c>
      <c r="F23">
        <v>21</v>
      </c>
      <c r="G23">
        <v>0</v>
      </c>
      <c r="H23" s="7">
        <f t="shared" si="0"/>
        <v>364087002.87</v>
      </c>
      <c r="I23" s="1">
        <f t="shared" si="1"/>
        <v>173900689.56</v>
      </c>
      <c r="J23" s="7">
        <f t="shared" si="2"/>
        <v>364.08700286999999</v>
      </c>
      <c r="K23" s="7">
        <f t="shared" si="3"/>
        <v>173.90068955999999</v>
      </c>
      <c r="N23" s="2" t="s">
        <v>15</v>
      </c>
      <c r="O23" s="10">
        <v>9068</v>
      </c>
      <c r="P23" s="7">
        <v>70965.373320755403</v>
      </c>
      <c r="Q23" s="7">
        <v>51256.388084084203</v>
      </c>
    </row>
    <row r="24" spans="1:23" x14ac:dyDescent="0.2">
      <c r="A24" t="s">
        <v>59</v>
      </c>
      <c r="B24">
        <v>33</v>
      </c>
      <c r="C24" t="s">
        <v>6</v>
      </c>
      <c r="D24">
        <v>152000</v>
      </c>
      <c r="E24">
        <v>152000</v>
      </c>
      <c r="F24">
        <v>1</v>
      </c>
      <c r="G24">
        <v>0</v>
      </c>
      <c r="H24" s="7">
        <f t="shared" si="0"/>
        <v>205200</v>
      </c>
      <c r="I24" s="1">
        <f t="shared" si="1"/>
        <v>205200</v>
      </c>
      <c r="J24" s="7">
        <f t="shared" si="2"/>
        <v>0.20519999999999999</v>
      </c>
      <c r="K24" s="7">
        <f t="shared" si="3"/>
        <v>0.20519999999999999</v>
      </c>
    </row>
    <row r="25" spans="1:23" x14ac:dyDescent="0.2">
      <c r="A25" t="s">
        <v>60</v>
      </c>
      <c r="B25">
        <v>33</v>
      </c>
      <c r="C25" t="s">
        <v>6</v>
      </c>
      <c r="D25">
        <v>2714095</v>
      </c>
      <c r="E25">
        <v>2714095</v>
      </c>
      <c r="F25">
        <v>1</v>
      </c>
      <c r="G25">
        <v>0</v>
      </c>
      <c r="H25" s="7">
        <f t="shared" si="0"/>
        <v>3664028.2500000005</v>
      </c>
      <c r="I25" s="1">
        <f t="shared" si="1"/>
        <v>3664028.2500000005</v>
      </c>
      <c r="J25" s="7">
        <f t="shared" si="2"/>
        <v>3.6640282500000003</v>
      </c>
      <c r="K25" s="7">
        <f t="shared" si="3"/>
        <v>3.6640282500000003</v>
      </c>
    </row>
    <row r="26" spans="1:23" x14ac:dyDescent="0.2">
      <c r="A26" t="s">
        <v>61</v>
      </c>
      <c r="B26">
        <v>33</v>
      </c>
      <c r="C26" t="s">
        <v>6</v>
      </c>
      <c r="D26">
        <v>121154640.90000001</v>
      </c>
      <c r="E26">
        <v>95061619.359999999</v>
      </c>
      <c r="F26">
        <v>22</v>
      </c>
      <c r="G26">
        <v>0</v>
      </c>
      <c r="H26" s="7">
        <f t="shared" si="0"/>
        <v>163558765.21500003</v>
      </c>
      <c r="I26" s="1">
        <f t="shared" si="1"/>
        <v>128333186.13600001</v>
      </c>
      <c r="J26" s="7">
        <f t="shared" si="2"/>
        <v>163.55876521500002</v>
      </c>
      <c r="K26" s="7">
        <f t="shared" si="3"/>
        <v>128.33318613599999</v>
      </c>
    </row>
    <row r="27" spans="1:23" x14ac:dyDescent="0.2">
      <c r="A27" t="s">
        <v>62</v>
      </c>
      <c r="B27">
        <v>33</v>
      </c>
      <c r="C27" t="s">
        <v>6</v>
      </c>
      <c r="D27">
        <v>5197163.0889999997</v>
      </c>
      <c r="E27">
        <v>5197163.0889999997</v>
      </c>
      <c r="F27">
        <v>4</v>
      </c>
      <c r="G27">
        <v>0</v>
      </c>
      <c r="H27" s="7">
        <f t="shared" si="0"/>
        <v>7016170.1701499997</v>
      </c>
      <c r="I27" s="1">
        <f t="shared" si="1"/>
        <v>7016170.1701499997</v>
      </c>
      <c r="J27" s="7">
        <f t="shared" si="2"/>
        <v>7.0161701701499997</v>
      </c>
      <c r="K27" s="7">
        <f t="shared" si="3"/>
        <v>7.0161701701499997</v>
      </c>
    </row>
    <row r="28" spans="1:23" x14ac:dyDescent="0.2">
      <c r="A28" t="s">
        <v>63</v>
      </c>
      <c r="B28">
        <v>33</v>
      </c>
      <c r="C28" t="s">
        <v>6</v>
      </c>
      <c r="D28">
        <v>69928150.650000006</v>
      </c>
      <c r="E28">
        <v>50023445.729999997</v>
      </c>
      <c r="F28">
        <v>20</v>
      </c>
      <c r="G28">
        <v>0</v>
      </c>
      <c r="H28" s="7">
        <f t="shared" si="0"/>
        <v>94403003.377500013</v>
      </c>
      <c r="I28" s="1">
        <f t="shared" si="1"/>
        <v>67531651.735499993</v>
      </c>
      <c r="J28" s="7">
        <f t="shared" si="2"/>
        <v>94.403003377500013</v>
      </c>
      <c r="K28" s="7">
        <f t="shared" si="3"/>
        <v>67.531651735499992</v>
      </c>
      <c r="N28" t="s">
        <v>0</v>
      </c>
      <c r="O28" t="s">
        <v>1</v>
      </c>
      <c r="P28" t="s">
        <v>2</v>
      </c>
      <c r="Q28" t="s">
        <v>3</v>
      </c>
      <c r="R28" t="s">
        <v>4</v>
      </c>
      <c r="S28" t="s">
        <v>5</v>
      </c>
      <c r="T28" t="s">
        <v>30</v>
      </c>
      <c r="U28" t="s">
        <v>31</v>
      </c>
      <c r="V28" t="s">
        <v>32</v>
      </c>
      <c r="W28" t="s">
        <v>33</v>
      </c>
    </row>
    <row r="29" spans="1:23" x14ac:dyDescent="0.2">
      <c r="A29" t="s">
        <v>64</v>
      </c>
      <c r="B29">
        <v>33</v>
      </c>
      <c r="C29" t="s">
        <v>6</v>
      </c>
      <c r="D29">
        <v>0</v>
      </c>
      <c r="E29">
        <v>0</v>
      </c>
      <c r="F29">
        <v>1</v>
      </c>
      <c r="G29">
        <v>0</v>
      </c>
      <c r="H29" s="7">
        <f t="shared" si="0"/>
        <v>0</v>
      </c>
      <c r="I29" s="1">
        <f t="shared" si="1"/>
        <v>0</v>
      </c>
      <c r="J29" s="7">
        <f t="shared" si="2"/>
        <v>0</v>
      </c>
      <c r="K29" s="7">
        <f t="shared" si="3"/>
        <v>0</v>
      </c>
      <c r="N29">
        <v>33</v>
      </c>
      <c r="O29" t="s">
        <v>6</v>
      </c>
      <c r="P29" s="11">
        <v>4645929142.0892601</v>
      </c>
      <c r="Q29" s="11">
        <v>2931952651.35181</v>
      </c>
      <c r="R29">
        <v>663</v>
      </c>
      <c r="S29">
        <v>0</v>
      </c>
      <c r="T29" s="11">
        <v>6272004341.8205013</v>
      </c>
      <c r="U29" s="11">
        <v>3958136079.3249435</v>
      </c>
      <c r="V29" s="11">
        <v>6272.0043418205014</v>
      </c>
      <c r="W29" s="11">
        <v>3958.1360793249437</v>
      </c>
    </row>
    <row r="30" spans="1:23" x14ac:dyDescent="0.2">
      <c r="A30" t="s">
        <v>65</v>
      </c>
      <c r="B30">
        <v>33</v>
      </c>
      <c r="C30" t="s">
        <v>6</v>
      </c>
      <c r="D30">
        <v>59424635.859999999</v>
      </c>
      <c r="E30">
        <v>42828507.560000002</v>
      </c>
      <c r="F30">
        <v>11</v>
      </c>
      <c r="G30">
        <v>0</v>
      </c>
      <c r="H30" s="7">
        <f t="shared" si="0"/>
        <v>80223258.410999998</v>
      </c>
      <c r="I30" s="1">
        <f t="shared" si="1"/>
        <v>57818485.206000008</v>
      </c>
      <c r="J30" s="7">
        <f t="shared" si="2"/>
        <v>80.223258411000003</v>
      </c>
      <c r="K30" s="7">
        <f t="shared" si="3"/>
        <v>57.818485206000005</v>
      </c>
      <c r="N30">
        <v>33</v>
      </c>
      <c r="O30" t="s">
        <v>6</v>
      </c>
      <c r="P30" s="11">
        <v>25152755367.618698</v>
      </c>
      <c r="Q30" s="11">
        <v>18626528497.776199</v>
      </c>
      <c r="R30">
        <v>4678</v>
      </c>
      <c r="S30">
        <v>1</v>
      </c>
      <c r="T30" s="11">
        <v>33956219746.285244</v>
      </c>
      <c r="U30" s="11">
        <v>25145813471.997871</v>
      </c>
      <c r="V30" s="11">
        <v>33956.219746285242</v>
      </c>
      <c r="W30" s="11">
        <v>25145.81347199787</v>
      </c>
    </row>
    <row r="31" spans="1:23" x14ac:dyDescent="0.2">
      <c r="A31" t="s">
        <v>66</v>
      </c>
      <c r="B31">
        <v>33</v>
      </c>
      <c r="C31" t="s">
        <v>6</v>
      </c>
      <c r="D31">
        <v>77873629.510000005</v>
      </c>
      <c r="E31">
        <v>49272739.649999999</v>
      </c>
      <c r="F31">
        <v>19</v>
      </c>
      <c r="G31">
        <v>0</v>
      </c>
      <c r="H31" s="7">
        <f t="shared" si="0"/>
        <v>105129399.83850001</v>
      </c>
      <c r="I31" s="1">
        <f t="shared" si="1"/>
        <v>66518198.527500004</v>
      </c>
      <c r="J31" s="7">
        <f t="shared" si="2"/>
        <v>105.12939983850001</v>
      </c>
      <c r="K31" s="7">
        <f t="shared" si="3"/>
        <v>66.518198527500005</v>
      </c>
      <c r="N31">
        <v>33</v>
      </c>
      <c r="O31" t="s">
        <v>10</v>
      </c>
      <c r="P31" s="11">
        <v>591803570.79433501</v>
      </c>
      <c r="Q31" s="11">
        <v>395404009.10095602</v>
      </c>
      <c r="R31">
        <v>46</v>
      </c>
      <c r="S31">
        <v>0</v>
      </c>
      <c r="T31" s="11">
        <v>798934820.57235229</v>
      </c>
      <c r="U31" s="11">
        <v>533795412.28629065</v>
      </c>
      <c r="V31" s="11">
        <v>798.93482057235224</v>
      </c>
      <c r="W31" s="11">
        <v>533.79541228629068</v>
      </c>
    </row>
    <row r="32" spans="1:23" x14ac:dyDescent="0.2">
      <c r="A32" t="s">
        <v>67</v>
      </c>
      <c r="B32">
        <v>33</v>
      </c>
      <c r="C32" t="s">
        <v>6</v>
      </c>
      <c r="D32">
        <v>15613768.34</v>
      </c>
      <c r="E32">
        <v>7862072.3159999996</v>
      </c>
      <c r="F32">
        <v>2</v>
      </c>
      <c r="G32">
        <v>0</v>
      </c>
      <c r="H32" s="7">
        <f t="shared" si="0"/>
        <v>21078587.259</v>
      </c>
      <c r="I32" s="1">
        <f t="shared" si="1"/>
        <v>10613797.626600001</v>
      </c>
      <c r="J32" s="7">
        <f t="shared" si="2"/>
        <v>21.078587258999999</v>
      </c>
      <c r="K32" s="7">
        <f t="shared" si="3"/>
        <v>10.6137976266</v>
      </c>
      <c r="N32">
        <v>33</v>
      </c>
      <c r="O32" t="s">
        <v>10</v>
      </c>
      <c r="P32" s="11">
        <v>15621176039.304501</v>
      </c>
      <c r="Q32" s="11">
        <v>12132651704.075899</v>
      </c>
      <c r="R32">
        <v>2767</v>
      </c>
      <c r="S32">
        <v>1</v>
      </c>
      <c r="T32" s="11">
        <v>21088587653.061077</v>
      </c>
      <c r="U32" s="11">
        <v>16379079800.502464</v>
      </c>
      <c r="V32" s="11">
        <v>21088.587653061077</v>
      </c>
      <c r="W32" s="11">
        <v>16379.079800502464</v>
      </c>
    </row>
    <row r="33" spans="1:23" x14ac:dyDescent="0.2">
      <c r="A33" t="s">
        <v>68</v>
      </c>
      <c r="B33">
        <v>33</v>
      </c>
      <c r="C33" t="s">
        <v>6</v>
      </c>
      <c r="D33">
        <v>26059506.93</v>
      </c>
      <c r="E33">
        <v>24828728.93</v>
      </c>
      <c r="F33">
        <v>8</v>
      </c>
      <c r="G33">
        <v>0</v>
      </c>
      <c r="H33" s="7">
        <f t="shared" si="0"/>
        <v>35180334.355500005</v>
      </c>
      <c r="I33" s="1">
        <f t="shared" si="1"/>
        <v>33518784.055500001</v>
      </c>
      <c r="J33" s="7">
        <f t="shared" si="2"/>
        <v>35.180334355500008</v>
      </c>
      <c r="K33" s="7">
        <f t="shared" si="3"/>
        <v>33.518784055499999</v>
      </c>
      <c r="N33">
        <v>33</v>
      </c>
      <c r="O33" t="s">
        <v>11</v>
      </c>
      <c r="P33" s="11">
        <v>3060082.6430000402</v>
      </c>
      <c r="Q33" s="11">
        <v>1599407.4673806699</v>
      </c>
      <c r="R33">
        <v>3</v>
      </c>
      <c r="S33">
        <v>0</v>
      </c>
      <c r="T33" s="11">
        <v>4131111.5680500544</v>
      </c>
      <c r="U33" s="11">
        <v>2159200.0809639045</v>
      </c>
      <c r="V33" s="11">
        <v>4.1311115680500547</v>
      </c>
      <c r="W33" s="11">
        <v>2.1592000809639047</v>
      </c>
    </row>
    <row r="34" spans="1:23" x14ac:dyDescent="0.2">
      <c r="A34" t="s">
        <v>69</v>
      </c>
      <c r="B34">
        <v>33</v>
      </c>
      <c r="C34" t="s">
        <v>6</v>
      </c>
      <c r="D34">
        <v>3060082.6430000002</v>
      </c>
      <c r="E34">
        <v>1599407.4669999999</v>
      </c>
      <c r="F34">
        <v>3</v>
      </c>
      <c r="G34">
        <v>0</v>
      </c>
      <c r="H34" s="7">
        <f t="shared" si="0"/>
        <v>4131111.5680500004</v>
      </c>
      <c r="I34" s="1">
        <f t="shared" si="1"/>
        <v>2159200.0804500002</v>
      </c>
      <c r="J34" s="7">
        <f t="shared" si="2"/>
        <v>4.1311115680500006</v>
      </c>
      <c r="K34" s="7">
        <f t="shared" si="3"/>
        <v>2.1592000804500002</v>
      </c>
      <c r="N34">
        <v>33</v>
      </c>
      <c r="O34" t="s">
        <v>11</v>
      </c>
      <c r="P34" s="11">
        <v>83586974.900705397</v>
      </c>
      <c r="Q34" s="11">
        <v>47547710.997818798</v>
      </c>
      <c r="R34">
        <v>10</v>
      </c>
      <c r="S34">
        <v>1</v>
      </c>
      <c r="T34" s="11">
        <v>112842416.1159523</v>
      </c>
      <c r="U34" s="11">
        <v>64189409.847055383</v>
      </c>
      <c r="V34" s="11">
        <v>112.8424161159523</v>
      </c>
      <c r="W34" s="11">
        <v>64.189409847055387</v>
      </c>
    </row>
    <row r="35" spans="1:23" x14ac:dyDescent="0.2">
      <c r="A35" t="s">
        <v>70</v>
      </c>
      <c r="B35">
        <v>33</v>
      </c>
      <c r="C35" t="s">
        <v>6</v>
      </c>
      <c r="D35">
        <v>507679.11670000001</v>
      </c>
      <c r="E35">
        <v>253839.55840000001</v>
      </c>
      <c r="F35">
        <v>1</v>
      </c>
      <c r="G35">
        <v>0</v>
      </c>
      <c r="H35" s="7">
        <f t="shared" si="0"/>
        <v>685366.80754500011</v>
      </c>
      <c r="I35" s="1">
        <f t="shared" si="1"/>
        <v>342683.40384000004</v>
      </c>
      <c r="J35" s="7">
        <f t="shared" si="2"/>
        <v>0.68536680754500012</v>
      </c>
      <c r="K35" s="7">
        <f t="shared" si="3"/>
        <v>0.34268340384000007</v>
      </c>
      <c r="N35">
        <v>33</v>
      </c>
      <c r="O35" t="s">
        <v>12</v>
      </c>
      <c r="P35" s="11">
        <v>18301343.574820001</v>
      </c>
      <c r="Q35" s="11">
        <v>16479715.6923308</v>
      </c>
      <c r="R35">
        <v>4</v>
      </c>
      <c r="S35">
        <v>0</v>
      </c>
      <c r="T35" s="11">
        <v>24706813.826007001</v>
      </c>
      <c r="U35" s="11">
        <v>22247616.18464658</v>
      </c>
      <c r="V35" s="11">
        <v>24.706813826007</v>
      </c>
      <c r="W35" s="11">
        <v>22.247616184646581</v>
      </c>
    </row>
    <row r="36" spans="1:23" x14ac:dyDescent="0.2">
      <c r="A36" t="s">
        <v>71</v>
      </c>
      <c r="B36">
        <v>33</v>
      </c>
      <c r="C36" t="s">
        <v>6</v>
      </c>
      <c r="D36">
        <v>146853.97640000001</v>
      </c>
      <c r="E36">
        <v>128615.1341</v>
      </c>
      <c r="F36">
        <v>2</v>
      </c>
      <c r="G36">
        <v>0</v>
      </c>
      <c r="H36" s="7">
        <f t="shared" si="0"/>
        <v>198252.86814000004</v>
      </c>
      <c r="I36" s="1">
        <f t="shared" si="1"/>
        <v>173630.43103500002</v>
      </c>
      <c r="J36" s="7">
        <f t="shared" si="2"/>
        <v>0.19825286814000004</v>
      </c>
      <c r="K36" s="7">
        <f t="shared" si="3"/>
        <v>0.173630431035</v>
      </c>
      <c r="N36">
        <v>33</v>
      </c>
      <c r="O36" t="s">
        <v>12</v>
      </c>
      <c r="P36" s="11">
        <v>210957528.07712299</v>
      </c>
      <c r="Q36" s="11">
        <v>106631319.724132</v>
      </c>
      <c r="R36">
        <v>18</v>
      </c>
      <c r="S36">
        <v>1</v>
      </c>
      <c r="T36" s="11">
        <v>284792662.90411603</v>
      </c>
      <c r="U36" s="11">
        <v>143952281.6275782</v>
      </c>
      <c r="V36" s="11">
        <v>284.79266290411601</v>
      </c>
      <c r="W36" s="11">
        <v>143.9522816275782</v>
      </c>
    </row>
    <row r="37" spans="1:23" x14ac:dyDescent="0.2">
      <c r="A37" t="s">
        <v>72</v>
      </c>
      <c r="B37">
        <v>33</v>
      </c>
      <c r="C37" t="s">
        <v>6</v>
      </c>
      <c r="D37">
        <v>129332.57120000001</v>
      </c>
      <c r="E37">
        <v>129332.57120000001</v>
      </c>
      <c r="F37">
        <v>1</v>
      </c>
      <c r="G37">
        <v>0</v>
      </c>
      <c r="H37" s="7">
        <f t="shared" si="0"/>
        <v>174598.97112000003</v>
      </c>
      <c r="I37" s="1">
        <f t="shared" si="1"/>
        <v>174598.97112000003</v>
      </c>
      <c r="J37" s="7">
        <f t="shared" si="2"/>
        <v>0.17459897112000003</v>
      </c>
      <c r="K37" s="7">
        <f t="shared" si="3"/>
        <v>0.17459897112000003</v>
      </c>
      <c r="N37">
        <v>33</v>
      </c>
      <c r="O37" t="s">
        <v>13</v>
      </c>
      <c r="P37" s="11">
        <v>2372926089.2821898</v>
      </c>
      <c r="Q37" s="11">
        <v>1420410551.7284601</v>
      </c>
      <c r="R37">
        <v>328</v>
      </c>
      <c r="S37">
        <v>0</v>
      </c>
      <c r="T37" s="11">
        <v>3203450220.5309563</v>
      </c>
      <c r="U37" s="11">
        <v>1917554244.8334212</v>
      </c>
      <c r="V37" s="11">
        <v>3203.4502205309564</v>
      </c>
      <c r="W37" s="11">
        <v>1917.5542448334213</v>
      </c>
    </row>
    <row r="38" spans="1:23" x14ac:dyDescent="0.2">
      <c r="A38" t="s">
        <v>73</v>
      </c>
      <c r="B38">
        <v>33</v>
      </c>
      <c r="C38" t="s">
        <v>6</v>
      </c>
      <c r="D38">
        <v>3716311.9180000001</v>
      </c>
      <c r="E38">
        <v>3614964.1239999998</v>
      </c>
      <c r="F38">
        <v>2</v>
      </c>
      <c r="G38">
        <v>0</v>
      </c>
      <c r="H38" s="7">
        <f t="shared" si="0"/>
        <v>5017021.0893000001</v>
      </c>
      <c r="I38" s="1">
        <f t="shared" si="1"/>
        <v>4880201.5674000001</v>
      </c>
      <c r="J38" s="7">
        <f t="shared" si="2"/>
        <v>5.0170210893</v>
      </c>
      <c r="K38" s="7">
        <f t="shared" si="3"/>
        <v>4.8802015674000003</v>
      </c>
      <c r="N38">
        <v>33</v>
      </c>
      <c r="O38" t="s">
        <v>13</v>
      </c>
      <c r="P38" s="11">
        <v>761662142.94186294</v>
      </c>
      <c r="Q38" s="11">
        <v>448941035.41101199</v>
      </c>
      <c r="R38">
        <v>119</v>
      </c>
      <c r="S38">
        <v>1</v>
      </c>
      <c r="T38" s="11">
        <v>1028243892.9715151</v>
      </c>
      <c r="U38" s="11">
        <v>606070397.80486619</v>
      </c>
      <c r="V38" s="11">
        <v>1028.2438929715152</v>
      </c>
      <c r="W38" s="11">
        <v>606.07039780486616</v>
      </c>
    </row>
    <row r="39" spans="1:23" x14ac:dyDescent="0.2">
      <c r="A39" t="s">
        <v>74</v>
      </c>
      <c r="B39">
        <v>33</v>
      </c>
      <c r="C39" t="s">
        <v>6</v>
      </c>
      <c r="D39">
        <v>36233826.270000003</v>
      </c>
      <c r="E39">
        <v>32540321.550000001</v>
      </c>
      <c r="F39">
        <v>9</v>
      </c>
      <c r="G39">
        <v>0</v>
      </c>
      <c r="H39" s="7">
        <f t="shared" si="0"/>
        <v>48915665.46450001</v>
      </c>
      <c r="I39" s="1">
        <f t="shared" si="1"/>
        <v>43929434.092500001</v>
      </c>
      <c r="J39" s="7">
        <f t="shared" si="2"/>
        <v>48.915665464500009</v>
      </c>
      <c r="K39" s="7">
        <f t="shared" si="3"/>
        <v>43.929434092500003</v>
      </c>
      <c r="N39">
        <v>33</v>
      </c>
      <c r="O39" t="s">
        <v>14</v>
      </c>
      <c r="P39" s="11">
        <v>2365811502.90905</v>
      </c>
      <c r="Q39" s="11">
        <v>1413295965.35532</v>
      </c>
      <c r="R39">
        <v>326</v>
      </c>
      <c r="S39">
        <v>0</v>
      </c>
      <c r="T39" s="11">
        <v>3193845528.9272175</v>
      </c>
      <c r="U39" s="11">
        <v>1907949553.2296822</v>
      </c>
      <c r="V39" s="11">
        <v>3193.8455289272174</v>
      </c>
      <c r="W39" s="11">
        <v>1907.9495532296821</v>
      </c>
    </row>
    <row r="40" spans="1:23" x14ac:dyDescent="0.2">
      <c r="A40" t="s">
        <v>75</v>
      </c>
      <c r="B40">
        <v>33</v>
      </c>
      <c r="C40" t="s">
        <v>6</v>
      </c>
      <c r="D40">
        <v>3950744.8</v>
      </c>
      <c r="E40">
        <v>3950744.8</v>
      </c>
      <c r="F40">
        <v>2</v>
      </c>
      <c r="G40">
        <v>0</v>
      </c>
      <c r="H40" s="7">
        <f t="shared" si="0"/>
        <v>5333505.4800000004</v>
      </c>
      <c r="I40" s="1">
        <f t="shared" si="1"/>
        <v>5333505.4800000004</v>
      </c>
      <c r="J40" s="7">
        <f t="shared" si="2"/>
        <v>5.3335054800000004</v>
      </c>
      <c r="K40" s="7">
        <f t="shared" si="3"/>
        <v>5.3335054800000004</v>
      </c>
      <c r="N40">
        <v>33</v>
      </c>
      <c r="O40" t="s">
        <v>14</v>
      </c>
      <c r="P40" s="11">
        <v>738973417.34851599</v>
      </c>
      <c r="Q40" s="11">
        <v>426252309.81766498</v>
      </c>
      <c r="R40">
        <v>106</v>
      </c>
      <c r="S40">
        <v>1</v>
      </c>
      <c r="T40" s="11">
        <v>997614113.4204967</v>
      </c>
      <c r="U40" s="11">
        <v>575440618.25384772</v>
      </c>
      <c r="V40" s="11">
        <v>997.61411342049666</v>
      </c>
      <c r="W40" s="11">
        <v>575.44061825384767</v>
      </c>
    </row>
    <row r="41" spans="1:23" x14ac:dyDescent="0.2">
      <c r="A41" t="s">
        <v>76</v>
      </c>
      <c r="B41">
        <v>33</v>
      </c>
      <c r="C41" t="s">
        <v>6</v>
      </c>
      <c r="D41">
        <v>2723</v>
      </c>
      <c r="E41">
        <v>2723</v>
      </c>
      <c r="F41">
        <v>1</v>
      </c>
      <c r="G41">
        <v>0</v>
      </c>
      <c r="H41" s="7">
        <f t="shared" si="0"/>
        <v>3676.05</v>
      </c>
      <c r="I41" s="1">
        <f t="shared" si="1"/>
        <v>3676.05</v>
      </c>
      <c r="J41" s="7">
        <f t="shared" si="2"/>
        <v>3.6760500000000002E-3</v>
      </c>
      <c r="K41" s="7">
        <f t="shared" si="3"/>
        <v>3.6760500000000002E-3</v>
      </c>
    </row>
    <row r="42" spans="1:23" x14ac:dyDescent="0.2">
      <c r="A42" t="s">
        <v>77</v>
      </c>
      <c r="B42">
        <v>33</v>
      </c>
      <c r="C42" t="s">
        <v>6</v>
      </c>
      <c r="D42">
        <v>160000</v>
      </c>
      <c r="E42">
        <v>160000</v>
      </c>
      <c r="F42">
        <v>1</v>
      </c>
      <c r="G42">
        <v>0</v>
      </c>
      <c r="H42" s="7">
        <f t="shared" si="0"/>
        <v>216000</v>
      </c>
      <c r="I42" s="1">
        <f t="shared" si="1"/>
        <v>216000</v>
      </c>
      <c r="J42" s="7">
        <f t="shared" si="2"/>
        <v>0.216</v>
      </c>
      <c r="K42" s="7">
        <f t="shared" si="3"/>
        <v>0.216</v>
      </c>
    </row>
    <row r="43" spans="1:23" x14ac:dyDescent="0.2">
      <c r="A43" t="s">
        <v>78</v>
      </c>
      <c r="B43">
        <v>33</v>
      </c>
      <c r="C43" t="s">
        <v>6</v>
      </c>
      <c r="D43">
        <v>70175004.680000007</v>
      </c>
      <c r="E43">
        <v>37352524.270000003</v>
      </c>
      <c r="F43">
        <v>14</v>
      </c>
      <c r="G43">
        <v>0</v>
      </c>
      <c r="H43" s="7">
        <f t="shared" si="0"/>
        <v>94736256.318000019</v>
      </c>
      <c r="I43" s="1">
        <f t="shared" si="1"/>
        <v>50425907.764500007</v>
      </c>
      <c r="J43" s="7">
        <f t="shared" si="2"/>
        <v>94.736256318000017</v>
      </c>
      <c r="K43" s="7">
        <f t="shared" si="3"/>
        <v>50.42590776450001</v>
      </c>
    </row>
    <row r="44" spans="1:23" x14ac:dyDescent="0.2">
      <c r="A44" t="s">
        <v>79</v>
      </c>
      <c r="B44">
        <v>33</v>
      </c>
      <c r="C44" t="s">
        <v>6</v>
      </c>
      <c r="D44">
        <v>2000</v>
      </c>
      <c r="E44">
        <v>2000</v>
      </c>
      <c r="F44">
        <v>1</v>
      </c>
      <c r="G44">
        <v>0</v>
      </c>
      <c r="H44" s="7">
        <f t="shared" si="0"/>
        <v>2700</v>
      </c>
      <c r="I44" s="1">
        <f t="shared" si="1"/>
        <v>2700</v>
      </c>
      <c r="J44" s="7">
        <f t="shared" si="2"/>
        <v>2.7000000000000001E-3</v>
      </c>
      <c r="K44" s="7">
        <f t="shared" si="3"/>
        <v>2.7000000000000001E-3</v>
      </c>
    </row>
    <row r="45" spans="1:23" x14ac:dyDescent="0.2">
      <c r="A45" t="s">
        <v>80</v>
      </c>
      <c r="B45">
        <v>33</v>
      </c>
      <c r="C45" t="s">
        <v>6</v>
      </c>
      <c r="D45">
        <v>7114586.3729999997</v>
      </c>
      <c r="E45">
        <v>7114586.3729999997</v>
      </c>
      <c r="F45">
        <v>2</v>
      </c>
      <c r="G45">
        <v>0</v>
      </c>
      <c r="H45" s="7">
        <f t="shared" si="0"/>
        <v>9604691.6035500001</v>
      </c>
      <c r="I45" s="1">
        <f t="shared" si="1"/>
        <v>9604691.6035500001</v>
      </c>
      <c r="J45" s="7">
        <f t="shared" si="2"/>
        <v>9.6046916035500001</v>
      </c>
      <c r="K45" s="7">
        <f t="shared" si="3"/>
        <v>9.6046916035500001</v>
      </c>
    </row>
    <row r="46" spans="1:23" x14ac:dyDescent="0.2">
      <c r="A46" t="s">
        <v>81</v>
      </c>
      <c r="B46">
        <v>33</v>
      </c>
      <c r="C46" t="s">
        <v>6</v>
      </c>
      <c r="D46">
        <v>3683494.0359999998</v>
      </c>
      <c r="E46">
        <v>1841747.0179999999</v>
      </c>
      <c r="F46">
        <v>1</v>
      </c>
      <c r="G46">
        <v>0</v>
      </c>
      <c r="H46" s="7">
        <f t="shared" si="0"/>
        <v>4972716.9485999998</v>
      </c>
      <c r="I46" s="1">
        <f t="shared" si="1"/>
        <v>2486358.4742999999</v>
      </c>
      <c r="J46" s="7">
        <f t="shared" si="2"/>
        <v>4.9727169485999996</v>
      </c>
      <c r="K46" s="7">
        <f t="shared" si="3"/>
        <v>2.4863584742999998</v>
      </c>
    </row>
    <row r="47" spans="1:23" x14ac:dyDescent="0.2">
      <c r="A47" t="s">
        <v>82</v>
      </c>
      <c r="B47">
        <v>33</v>
      </c>
      <c r="C47" t="s">
        <v>6</v>
      </c>
      <c r="D47">
        <v>1504234.42</v>
      </c>
      <c r="E47">
        <v>752117.20990000002</v>
      </c>
      <c r="F47">
        <v>1</v>
      </c>
      <c r="G47">
        <v>0</v>
      </c>
      <c r="H47" s="7">
        <f t="shared" si="0"/>
        <v>2030716.4669999999</v>
      </c>
      <c r="I47" s="1">
        <f t="shared" si="1"/>
        <v>1015358.2333650001</v>
      </c>
      <c r="J47" s="7">
        <f t="shared" si="2"/>
        <v>2.030716467</v>
      </c>
      <c r="K47" s="7">
        <f t="shared" si="3"/>
        <v>1.0153582333650002</v>
      </c>
    </row>
    <row r="48" spans="1:23" x14ac:dyDescent="0.2">
      <c r="A48" t="s">
        <v>83</v>
      </c>
      <c r="B48">
        <v>33</v>
      </c>
      <c r="C48" t="s">
        <v>6</v>
      </c>
      <c r="D48">
        <v>18020966.539999999</v>
      </c>
      <c r="E48">
        <v>18020966.539999999</v>
      </c>
      <c r="F48">
        <v>4</v>
      </c>
      <c r="G48">
        <v>0</v>
      </c>
      <c r="H48" s="7">
        <f t="shared" si="0"/>
        <v>24328304.829</v>
      </c>
      <c r="I48" s="1">
        <f t="shared" si="1"/>
        <v>24328304.829</v>
      </c>
      <c r="J48" s="7">
        <f t="shared" si="2"/>
        <v>24.328304829</v>
      </c>
      <c r="K48" s="7">
        <f t="shared" si="3"/>
        <v>24.328304829</v>
      </c>
    </row>
    <row r="49" spans="1:11" x14ac:dyDescent="0.2">
      <c r="A49" t="s">
        <v>84</v>
      </c>
      <c r="B49">
        <v>33</v>
      </c>
      <c r="C49" t="s">
        <v>6</v>
      </c>
      <c r="D49">
        <v>1258181.0919999999</v>
      </c>
      <c r="E49">
        <v>1258181.0919999999</v>
      </c>
      <c r="F49">
        <v>4</v>
      </c>
      <c r="G49">
        <v>0</v>
      </c>
      <c r="H49" s="7">
        <f t="shared" si="0"/>
        <v>1698544.4742000001</v>
      </c>
      <c r="I49" s="1">
        <f t="shared" si="1"/>
        <v>1698544.4742000001</v>
      </c>
      <c r="J49" s="7">
        <f t="shared" si="2"/>
        <v>1.6985444742</v>
      </c>
      <c r="K49" s="7">
        <f t="shared" si="3"/>
        <v>1.6985444742</v>
      </c>
    </row>
    <row r="50" spans="1:11" x14ac:dyDescent="0.2">
      <c r="A50" t="s">
        <v>85</v>
      </c>
      <c r="B50">
        <v>33</v>
      </c>
      <c r="C50" t="s">
        <v>6</v>
      </c>
      <c r="D50">
        <v>2500</v>
      </c>
      <c r="E50">
        <v>2500</v>
      </c>
      <c r="F50">
        <v>1</v>
      </c>
      <c r="G50">
        <v>0</v>
      </c>
      <c r="H50" s="7">
        <f t="shared" si="0"/>
        <v>3375</v>
      </c>
      <c r="I50" s="1">
        <f t="shared" si="1"/>
        <v>3375</v>
      </c>
      <c r="J50" s="7">
        <f t="shared" si="2"/>
        <v>3.375E-3</v>
      </c>
      <c r="K50" s="7">
        <f t="shared" si="3"/>
        <v>3.375E-3</v>
      </c>
    </row>
    <row r="51" spans="1:11" x14ac:dyDescent="0.2">
      <c r="A51" t="s">
        <v>86</v>
      </c>
      <c r="B51">
        <v>33</v>
      </c>
      <c r="C51" t="s">
        <v>6</v>
      </c>
      <c r="D51">
        <v>1009571.444</v>
      </c>
      <c r="E51">
        <v>1009571.444</v>
      </c>
      <c r="F51">
        <v>1</v>
      </c>
      <c r="G51">
        <v>0</v>
      </c>
      <c r="H51" s="7">
        <f t="shared" si="0"/>
        <v>1362921.4494</v>
      </c>
      <c r="I51" s="1">
        <f t="shared" si="1"/>
        <v>1362921.4494</v>
      </c>
      <c r="J51" s="7">
        <f t="shared" si="2"/>
        <v>1.3629214494000002</v>
      </c>
      <c r="K51" s="7">
        <f t="shared" si="3"/>
        <v>1.3629214494000002</v>
      </c>
    </row>
    <row r="52" spans="1:11" x14ac:dyDescent="0.2">
      <c r="A52" t="s">
        <v>87</v>
      </c>
      <c r="B52">
        <v>33</v>
      </c>
      <c r="C52" t="s">
        <v>6</v>
      </c>
      <c r="D52">
        <v>169226.37220000001</v>
      </c>
      <c r="E52">
        <v>84613.186119999998</v>
      </c>
      <c r="F52">
        <v>1</v>
      </c>
      <c r="G52">
        <v>0</v>
      </c>
      <c r="H52" s="7">
        <f t="shared" si="0"/>
        <v>228455.60247000004</v>
      </c>
      <c r="I52" s="1">
        <f t="shared" si="1"/>
        <v>114227.80126200001</v>
      </c>
      <c r="J52" s="7">
        <f t="shared" si="2"/>
        <v>0.22845560247000005</v>
      </c>
      <c r="K52" s="7">
        <f t="shared" si="3"/>
        <v>0.11422780126200001</v>
      </c>
    </row>
    <row r="53" spans="1:11" x14ac:dyDescent="0.2">
      <c r="A53" t="s">
        <v>88</v>
      </c>
      <c r="B53">
        <v>33</v>
      </c>
      <c r="C53" t="s">
        <v>6</v>
      </c>
      <c r="D53">
        <v>229138</v>
      </c>
      <c r="E53">
        <v>229138</v>
      </c>
      <c r="F53">
        <v>1</v>
      </c>
      <c r="G53">
        <v>0</v>
      </c>
      <c r="H53" s="7">
        <f t="shared" si="0"/>
        <v>309336.30000000005</v>
      </c>
      <c r="I53" s="1">
        <f t="shared" si="1"/>
        <v>309336.30000000005</v>
      </c>
      <c r="J53" s="7">
        <f t="shared" si="2"/>
        <v>0.30933630000000006</v>
      </c>
      <c r="K53" s="7">
        <f t="shared" si="3"/>
        <v>0.30933630000000006</v>
      </c>
    </row>
    <row r="54" spans="1:11" x14ac:dyDescent="0.2">
      <c r="A54" t="s">
        <v>89</v>
      </c>
      <c r="B54">
        <v>33</v>
      </c>
      <c r="C54" t="s">
        <v>6</v>
      </c>
      <c r="D54">
        <v>7151550.608</v>
      </c>
      <c r="E54">
        <v>7151550.608</v>
      </c>
      <c r="F54">
        <v>2</v>
      </c>
      <c r="G54">
        <v>0</v>
      </c>
      <c r="H54" s="7">
        <f t="shared" si="0"/>
        <v>9654593.3208000008</v>
      </c>
      <c r="I54" s="1">
        <f t="shared" si="1"/>
        <v>9654593.3208000008</v>
      </c>
      <c r="J54" s="7">
        <f t="shared" si="2"/>
        <v>9.6545933208000001</v>
      </c>
      <c r="K54" s="7">
        <f t="shared" si="3"/>
        <v>9.6545933208000001</v>
      </c>
    </row>
    <row r="55" spans="1:11" x14ac:dyDescent="0.2">
      <c r="A55" t="s">
        <v>90</v>
      </c>
      <c r="B55">
        <v>33</v>
      </c>
      <c r="C55" t="s">
        <v>6</v>
      </c>
      <c r="D55">
        <v>6421396.2300000004</v>
      </c>
      <c r="E55">
        <v>6421396.2300000004</v>
      </c>
      <c r="F55">
        <v>1</v>
      </c>
      <c r="G55">
        <v>0</v>
      </c>
      <c r="H55" s="7">
        <f t="shared" si="0"/>
        <v>8668884.9105000012</v>
      </c>
      <c r="I55" s="1">
        <f t="shared" si="1"/>
        <v>8668884.9105000012</v>
      </c>
      <c r="J55" s="7">
        <f t="shared" si="2"/>
        <v>8.668884910500001</v>
      </c>
      <c r="K55" s="7">
        <f t="shared" si="3"/>
        <v>8.668884910500001</v>
      </c>
    </row>
    <row r="56" spans="1:11" x14ac:dyDescent="0.2">
      <c r="A56" t="s">
        <v>91</v>
      </c>
      <c r="B56">
        <v>33</v>
      </c>
      <c r="C56" t="s">
        <v>6</v>
      </c>
      <c r="D56">
        <v>2237.9556510000002</v>
      </c>
      <c r="E56">
        <v>1118.9778260000001</v>
      </c>
      <c r="F56">
        <v>1</v>
      </c>
      <c r="G56">
        <v>0</v>
      </c>
      <c r="H56" s="7">
        <f t="shared" si="0"/>
        <v>3021.2401288500005</v>
      </c>
      <c r="I56" s="1">
        <f t="shared" si="1"/>
        <v>1510.6200651000001</v>
      </c>
      <c r="J56" s="7">
        <f t="shared" si="2"/>
        <v>3.0212401288500007E-3</v>
      </c>
      <c r="K56" s="7">
        <f t="shared" si="3"/>
        <v>1.5106200651000001E-3</v>
      </c>
    </row>
    <row r="57" spans="1:11" x14ac:dyDescent="0.2">
      <c r="A57" t="s">
        <v>92</v>
      </c>
      <c r="B57">
        <v>33</v>
      </c>
      <c r="C57" t="s">
        <v>6</v>
      </c>
      <c r="D57">
        <v>4000</v>
      </c>
      <c r="E57">
        <v>4000</v>
      </c>
      <c r="F57">
        <v>1</v>
      </c>
      <c r="G57">
        <v>0</v>
      </c>
      <c r="H57" s="7">
        <f t="shared" si="0"/>
        <v>5400</v>
      </c>
      <c r="I57" s="1">
        <f t="shared" si="1"/>
        <v>5400</v>
      </c>
      <c r="J57" s="7">
        <f t="shared" si="2"/>
        <v>5.4000000000000003E-3</v>
      </c>
      <c r="K57" s="7">
        <f t="shared" si="3"/>
        <v>5.4000000000000003E-3</v>
      </c>
    </row>
    <row r="58" spans="1:11" x14ac:dyDescent="0.2">
      <c r="A58" t="s">
        <v>93</v>
      </c>
      <c r="B58">
        <v>33</v>
      </c>
      <c r="C58" t="s">
        <v>6</v>
      </c>
      <c r="D58">
        <v>12947615.859999999</v>
      </c>
      <c r="E58">
        <v>6483807.932</v>
      </c>
      <c r="F58">
        <v>2</v>
      </c>
      <c r="G58">
        <v>0</v>
      </c>
      <c r="H58" s="7">
        <f t="shared" si="0"/>
        <v>17479281.411000002</v>
      </c>
      <c r="I58" s="1">
        <f t="shared" si="1"/>
        <v>8753140.7082000002</v>
      </c>
      <c r="J58" s="7">
        <f t="shared" si="2"/>
        <v>17.479281411000002</v>
      </c>
      <c r="K58" s="7">
        <f t="shared" si="3"/>
        <v>8.7531407082000001</v>
      </c>
    </row>
    <row r="59" spans="1:11" x14ac:dyDescent="0.2">
      <c r="A59" t="s">
        <v>94</v>
      </c>
      <c r="B59">
        <v>33</v>
      </c>
      <c r="C59" t="s">
        <v>6</v>
      </c>
      <c r="D59">
        <v>4054620.6320000002</v>
      </c>
      <c r="E59">
        <v>2572200.432</v>
      </c>
      <c r="F59">
        <v>3</v>
      </c>
      <c r="G59">
        <v>0</v>
      </c>
      <c r="H59" s="7">
        <f t="shared" si="0"/>
        <v>5473737.8532000007</v>
      </c>
      <c r="I59" s="1">
        <f t="shared" si="1"/>
        <v>3472470.5832000002</v>
      </c>
      <c r="J59" s="7">
        <f t="shared" si="2"/>
        <v>5.4737378532000003</v>
      </c>
      <c r="K59" s="7">
        <f t="shared" si="3"/>
        <v>3.4724705832000002</v>
      </c>
    </row>
    <row r="60" spans="1:11" x14ac:dyDescent="0.2">
      <c r="A60" t="s">
        <v>95</v>
      </c>
      <c r="B60">
        <v>33</v>
      </c>
      <c r="C60" t="s">
        <v>6</v>
      </c>
      <c r="D60">
        <v>264348333.09999999</v>
      </c>
      <c r="E60">
        <v>216781498.09999999</v>
      </c>
      <c r="F60">
        <v>5</v>
      </c>
      <c r="G60">
        <v>0</v>
      </c>
      <c r="H60" s="7">
        <f t="shared" si="0"/>
        <v>356870249.685</v>
      </c>
      <c r="I60" s="1">
        <f t="shared" si="1"/>
        <v>292655022.435</v>
      </c>
      <c r="J60" s="7">
        <f t="shared" si="2"/>
        <v>356.87024968499998</v>
      </c>
      <c r="K60" s="7">
        <f t="shared" si="3"/>
        <v>292.65502243499998</v>
      </c>
    </row>
    <row r="61" spans="1:11" x14ac:dyDescent="0.2">
      <c r="A61" t="s">
        <v>96</v>
      </c>
      <c r="B61">
        <v>33</v>
      </c>
      <c r="C61" t="s">
        <v>6</v>
      </c>
      <c r="D61">
        <v>21556194.920000002</v>
      </c>
      <c r="E61">
        <v>10975771.470000001</v>
      </c>
      <c r="F61">
        <v>7</v>
      </c>
      <c r="G61">
        <v>0</v>
      </c>
      <c r="H61" s="7">
        <f t="shared" si="0"/>
        <v>29100863.142000005</v>
      </c>
      <c r="I61" s="1">
        <f t="shared" si="1"/>
        <v>14817291.484500002</v>
      </c>
      <c r="J61" s="7">
        <f t="shared" si="2"/>
        <v>29.100863142000005</v>
      </c>
      <c r="K61" s="7">
        <f t="shared" si="3"/>
        <v>14.817291484500002</v>
      </c>
    </row>
    <row r="62" spans="1:11" x14ac:dyDescent="0.2">
      <c r="A62" t="s">
        <v>97</v>
      </c>
      <c r="B62">
        <v>33</v>
      </c>
      <c r="C62" t="s">
        <v>6</v>
      </c>
      <c r="D62">
        <v>4200</v>
      </c>
      <c r="E62">
        <v>4200</v>
      </c>
      <c r="F62">
        <v>1</v>
      </c>
      <c r="G62">
        <v>0</v>
      </c>
      <c r="H62" s="7">
        <f t="shared" si="0"/>
        <v>5670</v>
      </c>
      <c r="I62" s="1">
        <f t="shared" si="1"/>
        <v>5670</v>
      </c>
      <c r="J62" s="7">
        <f t="shared" si="2"/>
        <v>5.6699999999999997E-3</v>
      </c>
      <c r="K62" s="7">
        <f t="shared" si="3"/>
        <v>5.6699999999999997E-3</v>
      </c>
    </row>
    <row r="63" spans="1:11" x14ac:dyDescent="0.2">
      <c r="A63" t="s">
        <v>98</v>
      </c>
      <c r="B63">
        <v>33</v>
      </c>
      <c r="C63" t="s">
        <v>6</v>
      </c>
      <c r="D63">
        <v>683280</v>
      </c>
      <c r="E63">
        <v>341640</v>
      </c>
      <c r="F63">
        <v>1</v>
      </c>
      <c r="G63">
        <v>0</v>
      </c>
      <c r="H63" s="7">
        <f t="shared" si="0"/>
        <v>922428.00000000012</v>
      </c>
      <c r="I63" s="1">
        <f t="shared" si="1"/>
        <v>461214.00000000006</v>
      </c>
      <c r="J63" s="7">
        <f t="shared" si="2"/>
        <v>0.92242800000000014</v>
      </c>
      <c r="K63" s="7">
        <f t="shared" si="3"/>
        <v>0.46121400000000007</v>
      </c>
    </row>
    <row r="64" spans="1:11" x14ac:dyDescent="0.2">
      <c r="A64" t="s">
        <v>99</v>
      </c>
      <c r="B64">
        <v>33</v>
      </c>
      <c r="C64" t="s">
        <v>6</v>
      </c>
      <c r="D64">
        <v>131620.5117</v>
      </c>
      <c r="E64">
        <v>65810.255869999994</v>
      </c>
      <c r="F64">
        <v>1</v>
      </c>
      <c r="G64">
        <v>0</v>
      </c>
      <c r="H64" s="7">
        <f t="shared" si="0"/>
        <v>177687.690795</v>
      </c>
      <c r="I64" s="1">
        <f t="shared" si="1"/>
        <v>88843.845424500003</v>
      </c>
      <c r="J64" s="7">
        <f t="shared" si="2"/>
        <v>0.17768769079499999</v>
      </c>
      <c r="K64" s="7">
        <f t="shared" si="3"/>
        <v>8.8843845424500009E-2</v>
      </c>
    </row>
    <row r="65" spans="1:11" x14ac:dyDescent="0.2">
      <c r="A65" t="s">
        <v>100</v>
      </c>
      <c r="B65">
        <v>33</v>
      </c>
      <c r="C65" t="s">
        <v>6</v>
      </c>
      <c r="D65">
        <v>6637471.608</v>
      </c>
      <c r="E65">
        <v>3318735.804</v>
      </c>
      <c r="F65">
        <v>1</v>
      </c>
      <c r="G65">
        <v>0</v>
      </c>
      <c r="H65" s="7">
        <f t="shared" si="0"/>
        <v>8960586.6708000004</v>
      </c>
      <c r="I65" s="1">
        <f t="shared" si="1"/>
        <v>4480293.3354000002</v>
      </c>
      <c r="J65" s="7">
        <f t="shared" si="2"/>
        <v>8.9605866707999997</v>
      </c>
      <c r="K65" s="7">
        <f t="shared" si="3"/>
        <v>4.4802933353999999</v>
      </c>
    </row>
    <row r="66" spans="1:11" x14ac:dyDescent="0.2">
      <c r="A66" t="s">
        <v>101</v>
      </c>
      <c r="B66">
        <v>33</v>
      </c>
      <c r="C66" t="s">
        <v>6</v>
      </c>
      <c r="D66">
        <v>2572431.9789999998</v>
      </c>
      <c r="E66">
        <v>1341404.135</v>
      </c>
      <c r="F66">
        <v>2</v>
      </c>
      <c r="G66">
        <v>0</v>
      </c>
      <c r="H66" s="7">
        <f t="shared" si="0"/>
        <v>3472783.1716499999</v>
      </c>
      <c r="I66" s="1">
        <f t="shared" si="1"/>
        <v>1810895.5822500002</v>
      </c>
      <c r="J66" s="7">
        <f t="shared" si="2"/>
        <v>3.4727831716499997</v>
      </c>
      <c r="K66" s="7">
        <f t="shared" si="3"/>
        <v>1.8108955822500001</v>
      </c>
    </row>
    <row r="67" spans="1:11" x14ac:dyDescent="0.2">
      <c r="A67" t="s">
        <v>102</v>
      </c>
      <c r="B67">
        <v>33</v>
      </c>
      <c r="C67" t="s">
        <v>6</v>
      </c>
      <c r="D67">
        <v>2365811503</v>
      </c>
      <c r="E67">
        <v>1413295965</v>
      </c>
      <c r="F67">
        <v>326</v>
      </c>
      <c r="G67">
        <v>0</v>
      </c>
      <c r="H67" s="7">
        <f t="shared" ref="H67:H130" si="4">D67*1.35</f>
        <v>3193845529.0500002</v>
      </c>
      <c r="I67" s="1">
        <f t="shared" ref="I67:I130" si="5">E67*1.35</f>
        <v>1907949552.7500002</v>
      </c>
      <c r="J67" s="7">
        <f t="shared" ref="J67:J130" si="6">H67/1000000</f>
        <v>3193.8455290500001</v>
      </c>
      <c r="K67" s="7">
        <f t="shared" ref="K67:K130" si="7">I67/1000000</f>
        <v>1907.9495527500003</v>
      </c>
    </row>
    <row r="68" spans="1:11" x14ac:dyDescent="0.2">
      <c r="A68" t="s">
        <v>103</v>
      </c>
      <c r="B68">
        <v>33</v>
      </c>
      <c r="C68" t="s">
        <v>6</v>
      </c>
      <c r="D68">
        <v>26957835.559999999</v>
      </c>
      <c r="E68">
        <v>17031956.710000001</v>
      </c>
      <c r="F68">
        <v>4</v>
      </c>
      <c r="G68">
        <v>0</v>
      </c>
      <c r="H68" s="7">
        <f t="shared" si="4"/>
        <v>36393078.005999997</v>
      </c>
      <c r="I68" s="1">
        <f t="shared" si="5"/>
        <v>22993141.558500003</v>
      </c>
      <c r="J68" s="7">
        <f t="shared" si="6"/>
        <v>36.393078005999996</v>
      </c>
      <c r="K68" s="7">
        <f t="shared" si="7"/>
        <v>22.993141558500003</v>
      </c>
    </row>
    <row r="69" spans="1:11" x14ac:dyDescent="0.2">
      <c r="A69" t="s">
        <v>104</v>
      </c>
      <c r="B69">
        <v>33</v>
      </c>
      <c r="C69" t="s">
        <v>6</v>
      </c>
      <c r="D69">
        <v>11322</v>
      </c>
      <c r="E69">
        <v>11322</v>
      </c>
      <c r="F69">
        <v>1</v>
      </c>
      <c r="G69">
        <v>0</v>
      </c>
      <c r="H69" s="7">
        <f t="shared" si="4"/>
        <v>15284.7</v>
      </c>
      <c r="I69" s="1">
        <f t="shared" si="5"/>
        <v>15284.7</v>
      </c>
      <c r="J69" s="7">
        <f t="shared" si="6"/>
        <v>1.52847E-2</v>
      </c>
      <c r="K69" s="7">
        <f t="shared" si="7"/>
        <v>1.52847E-2</v>
      </c>
    </row>
    <row r="70" spans="1:11" x14ac:dyDescent="0.2">
      <c r="A70" t="s">
        <v>105</v>
      </c>
      <c r="B70">
        <v>33</v>
      </c>
      <c r="C70" t="s">
        <v>6</v>
      </c>
      <c r="D70">
        <v>93771188.579999998</v>
      </c>
      <c r="E70">
        <v>90543098.620000005</v>
      </c>
      <c r="F70">
        <v>11</v>
      </c>
      <c r="G70">
        <v>0</v>
      </c>
      <c r="H70" s="7">
        <f t="shared" si="4"/>
        <v>126591104.583</v>
      </c>
      <c r="I70" s="1">
        <f t="shared" si="5"/>
        <v>122233183.13700001</v>
      </c>
      <c r="J70" s="7">
        <f t="shared" si="6"/>
        <v>126.591104583</v>
      </c>
      <c r="K70" s="7">
        <f t="shared" si="7"/>
        <v>122.23318313700001</v>
      </c>
    </row>
    <row r="71" spans="1:11" x14ac:dyDescent="0.2">
      <c r="A71" t="s">
        <v>37</v>
      </c>
      <c r="B71">
        <v>33</v>
      </c>
      <c r="C71" t="s">
        <v>6</v>
      </c>
      <c r="D71">
        <v>88675015.959999993</v>
      </c>
      <c r="E71">
        <v>53579580.43</v>
      </c>
      <c r="F71">
        <v>13</v>
      </c>
      <c r="G71">
        <v>1</v>
      </c>
      <c r="H71" s="7">
        <f t="shared" si="4"/>
        <v>119711271.546</v>
      </c>
      <c r="I71" s="1">
        <f t="shared" si="5"/>
        <v>72332433.580500007</v>
      </c>
      <c r="J71" s="7">
        <f t="shared" si="6"/>
        <v>119.71127154600001</v>
      </c>
      <c r="K71" s="7">
        <f t="shared" si="7"/>
        <v>72.332433580500009</v>
      </c>
    </row>
    <row r="72" spans="1:11" x14ac:dyDescent="0.2">
      <c r="A72" t="s">
        <v>38</v>
      </c>
      <c r="B72">
        <v>33</v>
      </c>
      <c r="C72" t="s">
        <v>6</v>
      </c>
      <c r="D72">
        <v>43058200.420000002</v>
      </c>
      <c r="E72">
        <v>43058200.420000002</v>
      </c>
      <c r="F72">
        <v>18</v>
      </c>
      <c r="G72">
        <v>1</v>
      </c>
      <c r="H72" s="7">
        <f t="shared" si="4"/>
        <v>58128570.567000009</v>
      </c>
      <c r="I72" s="1">
        <f t="shared" si="5"/>
        <v>58128570.567000009</v>
      </c>
      <c r="J72" s="7">
        <f t="shared" si="6"/>
        <v>58.128570567000011</v>
      </c>
      <c r="K72" s="7">
        <f t="shared" si="7"/>
        <v>58.128570567000011</v>
      </c>
    </row>
    <row r="73" spans="1:11" x14ac:dyDescent="0.2">
      <c r="A73" t="s">
        <v>39</v>
      </c>
      <c r="B73">
        <v>33</v>
      </c>
      <c r="C73" t="s">
        <v>6</v>
      </c>
      <c r="D73">
        <v>117299776.09999999</v>
      </c>
      <c r="E73">
        <v>59699152.009999998</v>
      </c>
      <c r="F73">
        <v>12</v>
      </c>
      <c r="G73">
        <v>1</v>
      </c>
      <c r="H73" s="7">
        <f t="shared" si="4"/>
        <v>158354697.73500001</v>
      </c>
      <c r="I73" s="1">
        <f t="shared" si="5"/>
        <v>80593855.213500008</v>
      </c>
      <c r="J73" s="7">
        <f t="shared" si="6"/>
        <v>158.354697735</v>
      </c>
      <c r="K73" s="7">
        <f t="shared" si="7"/>
        <v>80.593855213500007</v>
      </c>
    </row>
    <row r="74" spans="1:11" x14ac:dyDescent="0.2">
      <c r="A74" t="s">
        <v>40</v>
      </c>
      <c r="B74">
        <v>33</v>
      </c>
      <c r="C74" t="s">
        <v>6</v>
      </c>
      <c r="D74">
        <v>334471885.19999999</v>
      </c>
      <c r="E74">
        <v>170352245.80000001</v>
      </c>
      <c r="F74">
        <v>28</v>
      </c>
      <c r="G74">
        <v>1</v>
      </c>
      <c r="H74" s="7">
        <f t="shared" si="4"/>
        <v>451537045.02000004</v>
      </c>
      <c r="I74" s="1">
        <f t="shared" si="5"/>
        <v>229975531.83000004</v>
      </c>
      <c r="J74" s="7">
        <f t="shared" si="6"/>
        <v>451.53704502000005</v>
      </c>
      <c r="K74" s="7">
        <f t="shared" si="7"/>
        <v>229.97553183000005</v>
      </c>
    </row>
    <row r="75" spans="1:11" x14ac:dyDescent="0.2">
      <c r="A75" t="s">
        <v>41</v>
      </c>
      <c r="B75">
        <v>33</v>
      </c>
      <c r="C75" t="s">
        <v>6</v>
      </c>
      <c r="D75">
        <v>280411812.10000002</v>
      </c>
      <c r="E75">
        <v>203677116.40000001</v>
      </c>
      <c r="F75">
        <v>57</v>
      </c>
      <c r="G75">
        <v>1</v>
      </c>
      <c r="H75" s="7">
        <f t="shared" si="4"/>
        <v>378555946.33500004</v>
      </c>
      <c r="I75" s="1">
        <f t="shared" si="5"/>
        <v>274964107.14000005</v>
      </c>
      <c r="J75" s="7">
        <f t="shared" si="6"/>
        <v>378.55594633500004</v>
      </c>
      <c r="K75" s="7">
        <f t="shared" si="7"/>
        <v>274.96410714000007</v>
      </c>
    </row>
    <row r="76" spans="1:11" x14ac:dyDescent="0.2">
      <c r="A76" t="s">
        <v>42</v>
      </c>
      <c r="B76">
        <v>33</v>
      </c>
      <c r="C76" t="s">
        <v>6</v>
      </c>
      <c r="D76">
        <v>7305574.8219999997</v>
      </c>
      <c r="E76">
        <v>7305574.8219999997</v>
      </c>
      <c r="F76">
        <v>5</v>
      </c>
      <c r="G76">
        <v>1</v>
      </c>
      <c r="H76" s="7">
        <f t="shared" si="4"/>
        <v>9862526.0097000003</v>
      </c>
      <c r="I76" s="1">
        <f t="shared" si="5"/>
        <v>9862526.0097000003</v>
      </c>
      <c r="J76" s="7">
        <f t="shared" si="6"/>
        <v>9.8625260096999998</v>
      </c>
      <c r="K76" s="7">
        <f t="shared" si="7"/>
        <v>9.8625260096999998</v>
      </c>
    </row>
    <row r="77" spans="1:11" x14ac:dyDescent="0.2">
      <c r="A77" t="s">
        <v>43</v>
      </c>
      <c r="B77">
        <v>33</v>
      </c>
      <c r="C77" t="s">
        <v>6</v>
      </c>
      <c r="D77">
        <v>129080595.59999999</v>
      </c>
      <c r="E77">
        <v>93901441.290000007</v>
      </c>
      <c r="F77">
        <v>11</v>
      </c>
      <c r="G77">
        <v>1</v>
      </c>
      <c r="H77" s="7">
        <f t="shared" si="4"/>
        <v>174258804.06</v>
      </c>
      <c r="I77" s="1">
        <f t="shared" si="5"/>
        <v>126766945.74150002</v>
      </c>
      <c r="J77" s="7">
        <f t="shared" si="6"/>
        <v>174.25880405999999</v>
      </c>
      <c r="K77" s="7">
        <f t="shared" si="7"/>
        <v>126.76694574150002</v>
      </c>
    </row>
    <row r="78" spans="1:11" x14ac:dyDescent="0.2">
      <c r="A78" t="s">
        <v>44</v>
      </c>
      <c r="B78">
        <v>33</v>
      </c>
      <c r="C78" t="s">
        <v>6</v>
      </c>
      <c r="D78">
        <v>10107545.449999999</v>
      </c>
      <c r="E78">
        <v>8522400.1429999992</v>
      </c>
      <c r="F78">
        <v>7</v>
      </c>
      <c r="G78">
        <v>1</v>
      </c>
      <c r="H78" s="7">
        <f t="shared" si="4"/>
        <v>13645186.3575</v>
      </c>
      <c r="I78" s="1">
        <f t="shared" si="5"/>
        <v>11505240.193049999</v>
      </c>
      <c r="J78" s="7">
        <f t="shared" si="6"/>
        <v>13.6451863575</v>
      </c>
      <c r="K78" s="7">
        <f t="shared" si="7"/>
        <v>11.50524019305</v>
      </c>
    </row>
    <row r="79" spans="1:11" x14ac:dyDescent="0.2">
      <c r="A79" t="s">
        <v>46</v>
      </c>
      <c r="B79">
        <v>33</v>
      </c>
      <c r="C79" t="s">
        <v>6</v>
      </c>
      <c r="D79">
        <v>210957528.09999999</v>
      </c>
      <c r="E79">
        <v>106631319.7</v>
      </c>
      <c r="F79">
        <v>18</v>
      </c>
      <c r="G79">
        <v>1</v>
      </c>
      <c r="H79" s="7">
        <f t="shared" si="4"/>
        <v>284792662.935</v>
      </c>
      <c r="I79" s="1">
        <f t="shared" si="5"/>
        <v>143952281.595</v>
      </c>
      <c r="J79" s="7">
        <f t="shared" si="6"/>
        <v>284.79266293500001</v>
      </c>
      <c r="K79" s="7">
        <f t="shared" si="7"/>
        <v>143.95228159499999</v>
      </c>
    </row>
    <row r="80" spans="1:11" x14ac:dyDescent="0.2">
      <c r="A80" t="s">
        <v>47</v>
      </c>
      <c r="B80">
        <v>33</v>
      </c>
      <c r="C80" t="s">
        <v>6</v>
      </c>
      <c r="D80">
        <v>3452284902</v>
      </c>
      <c r="E80">
        <v>2433750640</v>
      </c>
      <c r="F80">
        <v>827</v>
      </c>
      <c r="G80">
        <v>1</v>
      </c>
      <c r="H80" s="7">
        <f t="shared" si="4"/>
        <v>4660584617.7000008</v>
      </c>
      <c r="I80" s="1">
        <f t="shared" si="5"/>
        <v>3285563364</v>
      </c>
      <c r="J80" s="7">
        <f t="shared" si="6"/>
        <v>4660.5846177000012</v>
      </c>
      <c r="K80" s="7">
        <f t="shared" si="7"/>
        <v>3285.5633640000001</v>
      </c>
    </row>
    <row r="81" spans="1:11" x14ac:dyDescent="0.2">
      <c r="A81" t="s">
        <v>48</v>
      </c>
      <c r="B81">
        <v>33</v>
      </c>
      <c r="C81" t="s">
        <v>6</v>
      </c>
      <c r="D81">
        <v>2841840</v>
      </c>
      <c r="E81">
        <v>1420920</v>
      </c>
      <c r="F81">
        <v>1</v>
      </c>
      <c r="G81">
        <v>1</v>
      </c>
      <c r="H81" s="7">
        <f t="shared" si="4"/>
        <v>3836484.0000000005</v>
      </c>
      <c r="I81" s="1">
        <f t="shared" si="5"/>
        <v>1918242.0000000002</v>
      </c>
      <c r="J81" s="7">
        <f t="shared" si="6"/>
        <v>3.8364840000000004</v>
      </c>
      <c r="K81" s="7">
        <f t="shared" si="7"/>
        <v>1.9182420000000002</v>
      </c>
    </row>
    <row r="82" spans="1:11" x14ac:dyDescent="0.2">
      <c r="A82" t="s">
        <v>49</v>
      </c>
      <c r="B82">
        <v>33</v>
      </c>
      <c r="C82" t="s">
        <v>6</v>
      </c>
      <c r="D82">
        <v>104253862.2</v>
      </c>
      <c r="E82">
        <v>79488495.519999996</v>
      </c>
      <c r="F82">
        <v>40</v>
      </c>
      <c r="G82">
        <v>1</v>
      </c>
      <c r="H82" s="7">
        <f t="shared" si="4"/>
        <v>140742713.97</v>
      </c>
      <c r="I82" s="1">
        <f t="shared" si="5"/>
        <v>107309468.95200001</v>
      </c>
      <c r="J82" s="7">
        <f t="shared" si="6"/>
        <v>140.74271397000001</v>
      </c>
      <c r="K82" s="7">
        <f t="shared" si="7"/>
        <v>107.309468952</v>
      </c>
    </row>
    <row r="83" spans="1:11" x14ac:dyDescent="0.2">
      <c r="A83" t="s">
        <v>50</v>
      </c>
      <c r="B83">
        <v>33</v>
      </c>
      <c r="C83" t="s">
        <v>6</v>
      </c>
      <c r="D83">
        <v>106172177.8</v>
      </c>
      <c r="E83">
        <v>44299276.509999998</v>
      </c>
      <c r="F83">
        <v>14</v>
      </c>
      <c r="G83">
        <v>1</v>
      </c>
      <c r="H83" s="7">
        <f t="shared" si="4"/>
        <v>143332440.03</v>
      </c>
      <c r="I83" s="1">
        <f t="shared" si="5"/>
        <v>59804023.288500004</v>
      </c>
      <c r="J83" s="7">
        <f t="shared" si="6"/>
        <v>143.33244003000001</v>
      </c>
      <c r="K83" s="7">
        <f t="shared" si="7"/>
        <v>59.804023288500005</v>
      </c>
    </row>
    <row r="84" spans="1:11" x14ac:dyDescent="0.2">
      <c r="A84" t="s">
        <v>51</v>
      </c>
      <c r="B84">
        <v>33</v>
      </c>
      <c r="C84" t="s">
        <v>6</v>
      </c>
      <c r="D84">
        <v>151583328.40000001</v>
      </c>
      <c r="E84">
        <v>92511615.640000001</v>
      </c>
      <c r="F84">
        <v>28</v>
      </c>
      <c r="G84">
        <v>1</v>
      </c>
      <c r="H84" s="7">
        <f t="shared" si="4"/>
        <v>204637493.34000003</v>
      </c>
      <c r="I84" s="1">
        <f t="shared" si="5"/>
        <v>124890681.11400001</v>
      </c>
      <c r="J84" s="7">
        <f t="shared" si="6"/>
        <v>204.63749334000002</v>
      </c>
      <c r="K84" s="7">
        <f t="shared" si="7"/>
        <v>124.890681114</v>
      </c>
    </row>
    <row r="85" spans="1:11" x14ac:dyDescent="0.2">
      <c r="A85" t="s">
        <v>106</v>
      </c>
      <c r="B85">
        <v>33</v>
      </c>
      <c r="C85" t="s">
        <v>6</v>
      </c>
      <c r="D85">
        <v>1932798.1170000001</v>
      </c>
      <c r="E85">
        <v>1932798.1170000001</v>
      </c>
      <c r="F85">
        <v>2</v>
      </c>
      <c r="G85">
        <v>1</v>
      </c>
      <c r="H85" s="7">
        <f t="shared" si="4"/>
        <v>2609277.4579500002</v>
      </c>
      <c r="I85" s="1">
        <f t="shared" si="5"/>
        <v>2609277.4579500002</v>
      </c>
      <c r="J85" s="7">
        <f t="shared" si="6"/>
        <v>2.6092774579500002</v>
      </c>
      <c r="K85" s="7">
        <f t="shared" si="7"/>
        <v>2.6092774579500002</v>
      </c>
    </row>
    <row r="86" spans="1:11" x14ac:dyDescent="0.2">
      <c r="A86" t="s">
        <v>52</v>
      </c>
      <c r="B86">
        <v>33</v>
      </c>
      <c r="C86" t="s">
        <v>6</v>
      </c>
      <c r="D86">
        <v>41104787.130000003</v>
      </c>
      <c r="E86">
        <v>39213212.350000001</v>
      </c>
      <c r="F86">
        <v>6</v>
      </c>
      <c r="G86">
        <v>1</v>
      </c>
      <c r="H86" s="7">
        <f t="shared" si="4"/>
        <v>55491462.625500008</v>
      </c>
      <c r="I86" s="1">
        <f t="shared" si="5"/>
        <v>52937836.672500007</v>
      </c>
      <c r="J86" s="7">
        <f t="shared" si="6"/>
        <v>55.491462625500006</v>
      </c>
      <c r="K86" s="7">
        <f t="shared" si="7"/>
        <v>52.937836672500005</v>
      </c>
    </row>
    <row r="87" spans="1:11" x14ac:dyDescent="0.2">
      <c r="A87" t="s">
        <v>53</v>
      </c>
      <c r="B87">
        <v>33</v>
      </c>
      <c r="C87" t="s">
        <v>6</v>
      </c>
      <c r="D87">
        <v>17725731.440000001</v>
      </c>
      <c r="E87">
        <v>17725731.440000001</v>
      </c>
      <c r="F87">
        <v>4</v>
      </c>
      <c r="G87">
        <v>1</v>
      </c>
      <c r="H87" s="7">
        <f t="shared" si="4"/>
        <v>23929737.444000002</v>
      </c>
      <c r="I87" s="1">
        <f t="shared" si="5"/>
        <v>23929737.444000002</v>
      </c>
      <c r="J87" s="7">
        <f t="shared" si="6"/>
        <v>23.929737444000001</v>
      </c>
      <c r="K87" s="7">
        <f t="shared" si="7"/>
        <v>23.929737444000001</v>
      </c>
    </row>
    <row r="88" spans="1:11" x14ac:dyDescent="0.2">
      <c r="A88" t="s">
        <v>54</v>
      </c>
      <c r="B88">
        <v>33</v>
      </c>
      <c r="C88" t="s">
        <v>6</v>
      </c>
      <c r="D88">
        <v>183792082.09999999</v>
      </c>
      <c r="E88">
        <v>115503381.3</v>
      </c>
      <c r="F88">
        <v>33</v>
      </c>
      <c r="G88">
        <v>1</v>
      </c>
      <c r="H88" s="7">
        <f t="shared" si="4"/>
        <v>248119310.83500001</v>
      </c>
      <c r="I88" s="1">
        <f t="shared" si="5"/>
        <v>155929564.755</v>
      </c>
      <c r="J88" s="7">
        <f t="shared" si="6"/>
        <v>248.11931083500002</v>
      </c>
      <c r="K88" s="7">
        <f t="shared" si="7"/>
        <v>155.929564755</v>
      </c>
    </row>
    <row r="89" spans="1:11" x14ac:dyDescent="0.2">
      <c r="A89" t="s">
        <v>107</v>
      </c>
      <c r="B89">
        <v>33</v>
      </c>
      <c r="C89" t="s">
        <v>6</v>
      </c>
      <c r="D89">
        <v>618592460.79999995</v>
      </c>
      <c r="E89">
        <v>568389716.20000005</v>
      </c>
      <c r="F89">
        <v>154</v>
      </c>
      <c r="G89">
        <v>1</v>
      </c>
      <c r="H89" s="7">
        <f t="shared" si="4"/>
        <v>835099822.08000004</v>
      </c>
      <c r="I89" s="1">
        <f t="shared" si="5"/>
        <v>767326116.87000012</v>
      </c>
      <c r="J89" s="7">
        <f t="shared" si="6"/>
        <v>835.09982208000008</v>
      </c>
      <c r="K89" s="7">
        <f t="shared" si="7"/>
        <v>767.32611687000008</v>
      </c>
    </row>
    <row r="90" spans="1:11" x14ac:dyDescent="0.2">
      <c r="A90" t="s">
        <v>55</v>
      </c>
      <c r="B90">
        <v>33</v>
      </c>
      <c r="C90" t="s">
        <v>6</v>
      </c>
      <c r="D90">
        <v>23167430.690000001</v>
      </c>
      <c r="E90">
        <v>23167430.690000001</v>
      </c>
      <c r="F90">
        <v>10</v>
      </c>
      <c r="G90">
        <v>1</v>
      </c>
      <c r="H90" s="7">
        <f t="shared" si="4"/>
        <v>31276031.431500003</v>
      </c>
      <c r="I90" s="1">
        <f t="shared" si="5"/>
        <v>31276031.431500003</v>
      </c>
      <c r="J90" s="7">
        <f t="shared" si="6"/>
        <v>31.276031431500002</v>
      </c>
      <c r="K90" s="7">
        <f t="shared" si="7"/>
        <v>31.276031431500002</v>
      </c>
    </row>
    <row r="91" spans="1:11" x14ac:dyDescent="0.2">
      <c r="A91" t="s">
        <v>108</v>
      </c>
      <c r="B91">
        <v>33</v>
      </c>
      <c r="C91" t="s">
        <v>6</v>
      </c>
      <c r="D91">
        <v>6112118.1119999997</v>
      </c>
      <c r="E91">
        <v>6112118.1119999997</v>
      </c>
      <c r="F91">
        <v>3</v>
      </c>
      <c r="G91">
        <v>1</v>
      </c>
      <c r="H91" s="7">
        <f t="shared" si="4"/>
        <v>8251359.4512</v>
      </c>
      <c r="I91" s="1">
        <f t="shared" si="5"/>
        <v>8251359.4512</v>
      </c>
      <c r="J91" s="7">
        <f t="shared" si="6"/>
        <v>8.2513594512000008</v>
      </c>
      <c r="K91" s="7">
        <f t="shared" si="7"/>
        <v>8.2513594512000008</v>
      </c>
    </row>
    <row r="92" spans="1:11" x14ac:dyDescent="0.2">
      <c r="A92" t="s">
        <v>57</v>
      </c>
      <c r="B92">
        <v>33</v>
      </c>
      <c r="C92" t="s">
        <v>6</v>
      </c>
      <c r="D92">
        <v>614384058</v>
      </c>
      <c r="E92">
        <v>420289442.80000001</v>
      </c>
      <c r="F92">
        <v>81</v>
      </c>
      <c r="G92">
        <v>1</v>
      </c>
      <c r="H92" s="7">
        <f t="shared" si="4"/>
        <v>829418478.30000007</v>
      </c>
      <c r="I92" s="1">
        <f t="shared" si="5"/>
        <v>567390747.78000009</v>
      </c>
      <c r="J92" s="7">
        <f t="shared" si="6"/>
        <v>829.41847830000006</v>
      </c>
      <c r="K92" s="7">
        <f t="shared" si="7"/>
        <v>567.39074778000008</v>
      </c>
    </row>
    <row r="93" spans="1:11" x14ac:dyDescent="0.2">
      <c r="A93" t="s">
        <v>109</v>
      </c>
      <c r="B93">
        <v>33</v>
      </c>
      <c r="C93" t="s">
        <v>6</v>
      </c>
      <c r="D93">
        <v>178626629.40000001</v>
      </c>
      <c r="E93">
        <v>141265503.40000001</v>
      </c>
      <c r="F93">
        <v>32</v>
      </c>
      <c r="G93">
        <v>1</v>
      </c>
      <c r="H93" s="7">
        <f t="shared" si="4"/>
        <v>241145949.69000003</v>
      </c>
      <c r="I93" s="1">
        <f t="shared" si="5"/>
        <v>190708429.59000003</v>
      </c>
      <c r="J93" s="7">
        <f t="shared" si="6"/>
        <v>241.14594969000004</v>
      </c>
      <c r="K93" s="7">
        <f t="shared" si="7"/>
        <v>190.70842959000004</v>
      </c>
    </row>
    <row r="94" spans="1:11" x14ac:dyDescent="0.2">
      <c r="A94" t="s">
        <v>58</v>
      </c>
      <c r="B94">
        <v>33</v>
      </c>
      <c r="C94" t="s">
        <v>6</v>
      </c>
      <c r="D94">
        <v>2275085169</v>
      </c>
      <c r="E94">
        <v>1498937035</v>
      </c>
      <c r="F94">
        <v>333</v>
      </c>
      <c r="G94">
        <v>1</v>
      </c>
      <c r="H94" s="7">
        <f t="shared" si="4"/>
        <v>3071364978.1500001</v>
      </c>
      <c r="I94" s="1">
        <f t="shared" si="5"/>
        <v>2023564997.2500002</v>
      </c>
      <c r="J94" s="7">
        <f t="shared" si="6"/>
        <v>3071.3649781500003</v>
      </c>
      <c r="K94" s="7">
        <f t="shared" si="7"/>
        <v>2023.5649972500003</v>
      </c>
    </row>
    <row r="95" spans="1:11" x14ac:dyDescent="0.2">
      <c r="A95" t="s">
        <v>59</v>
      </c>
      <c r="B95">
        <v>33</v>
      </c>
      <c r="C95" t="s">
        <v>6</v>
      </c>
      <c r="D95">
        <v>9371114847</v>
      </c>
      <c r="E95">
        <v>7182976180</v>
      </c>
      <c r="F95">
        <v>1683</v>
      </c>
      <c r="G95">
        <v>1</v>
      </c>
      <c r="H95" s="7">
        <f t="shared" si="4"/>
        <v>12651005043.450001</v>
      </c>
      <c r="I95" s="1">
        <f t="shared" si="5"/>
        <v>9697017843</v>
      </c>
      <c r="J95" s="7">
        <f t="shared" si="6"/>
        <v>12651.005043450001</v>
      </c>
      <c r="K95" s="7">
        <f t="shared" si="7"/>
        <v>9697.0178429999996</v>
      </c>
    </row>
    <row r="96" spans="1:11" x14ac:dyDescent="0.2">
      <c r="A96" t="s">
        <v>110</v>
      </c>
      <c r="B96">
        <v>33</v>
      </c>
      <c r="C96" t="s">
        <v>6</v>
      </c>
      <c r="D96">
        <v>5437249.7920000004</v>
      </c>
      <c r="E96">
        <v>5174549.8959999997</v>
      </c>
      <c r="F96">
        <v>2</v>
      </c>
      <c r="G96">
        <v>1</v>
      </c>
      <c r="H96" s="7">
        <f t="shared" si="4"/>
        <v>7340287.2192000011</v>
      </c>
      <c r="I96" s="1">
        <f t="shared" si="5"/>
        <v>6985642.3596000001</v>
      </c>
      <c r="J96" s="7">
        <f t="shared" si="6"/>
        <v>7.3402872192000013</v>
      </c>
      <c r="K96" s="7">
        <f t="shared" si="7"/>
        <v>6.9856423595999999</v>
      </c>
    </row>
    <row r="97" spans="1:11" x14ac:dyDescent="0.2">
      <c r="A97" t="s">
        <v>111</v>
      </c>
      <c r="B97">
        <v>33</v>
      </c>
      <c r="C97" t="s">
        <v>6</v>
      </c>
      <c r="D97">
        <v>911500</v>
      </c>
      <c r="E97">
        <v>911500</v>
      </c>
      <c r="F97">
        <v>2</v>
      </c>
      <c r="G97">
        <v>1</v>
      </c>
      <c r="H97" s="7">
        <f t="shared" si="4"/>
        <v>1230525</v>
      </c>
      <c r="I97" s="1">
        <f t="shared" si="5"/>
        <v>1230525</v>
      </c>
      <c r="J97" s="7">
        <f t="shared" si="6"/>
        <v>1.2305250000000001</v>
      </c>
      <c r="K97" s="7">
        <f t="shared" si="7"/>
        <v>1.2305250000000001</v>
      </c>
    </row>
    <row r="98" spans="1:11" x14ac:dyDescent="0.2">
      <c r="A98" t="s">
        <v>60</v>
      </c>
      <c r="B98">
        <v>33</v>
      </c>
      <c r="C98" t="s">
        <v>6</v>
      </c>
      <c r="D98">
        <v>3760926.736</v>
      </c>
      <c r="E98">
        <v>3760926.736</v>
      </c>
      <c r="F98">
        <v>1</v>
      </c>
      <c r="G98">
        <v>1</v>
      </c>
      <c r="H98" s="7">
        <f t="shared" si="4"/>
        <v>5077251.0936000003</v>
      </c>
      <c r="I98" s="1">
        <f t="shared" si="5"/>
        <v>5077251.0936000003</v>
      </c>
      <c r="J98" s="7">
        <f t="shared" si="6"/>
        <v>5.0772510936000002</v>
      </c>
      <c r="K98" s="7">
        <f t="shared" si="7"/>
        <v>5.0772510936000002</v>
      </c>
    </row>
    <row r="99" spans="1:11" x14ac:dyDescent="0.2">
      <c r="A99" t="s">
        <v>61</v>
      </c>
      <c r="B99">
        <v>33</v>
      </c>
      <c r="C99" t="s">
        <v>6</v>
      </c>
      <c r="D99">
        <v>281652901.30000001</v>
      </c>
      <c r="E99">
        <v>209271148.09999999</v>
      </c>
      <c r="F99">
        <v>43</v>
      </c>
      <c r="G99">
        <v>1</v>
      </c>
      <c r="H99" s="7">
        <f t="shared" si="4"/>
        <v>380231416.75500005</v>
      </c>
      <c r="I99" s="1">
        <f t="shared" si="5"/>
        <v>282516049.935</v>
      </c>
      <c r="J99" s="7">
        <f t="shared" si="6"/>
        <v>380.23141675500005</v>
      </c>
      <c r="K99" s="7">
        <f t="shared" si="7"/>
        <v>282.51604993500001</v>
      </c>
    </row>
    <row r="100" spans="1:11" x14ac:dyDescent="0.2">
      <c r="A100" t="s">
        <v>62</v>
      </c>
      <c r="B100">
        <v>33</v>
      </c>
      <c r="C100" t="s">
        <v>6</v>
      </c>
      <c r="D100">
        <v>13445853.439999999</v>
      </c>
      <c r="E100">
        <v>13445853.439999999</v>
      </c>
      <c r="F100">
        <v>10</v>
      </c>
      <c r="G100">
        <v>1</v>
      </c>
      <c r="H100" s="7">
        <f t="shared" si="4"/>
        <v>18151902.144000001</v>
      </c>
      <c r="I100" s="1">
        <f t="shared" si="5"/>
        <v>18151902.144000001</v>
      </c>
      <c r="J100" s="7">
        <f t="shared" si="6"/>
        <v>18.151902144000001</v>
      </c>
      <c r="K100" s="7">
        <f t="shared" si="7"/>
        <v>18.151902144000001</v>
      </c>
    </row>
    <row r="101" spans="1:11" x14ac:dyDescent="0.2">
      <c r="A101" t="s">
        <v>63</v>
      </c>
      <c r="B101">
        <v>33</v>
      </c>
      <c r="C101" t="s">
        <v>6</v>
      </c>
      <c r="D101">
        <v>103903349.8</v>
      </c>
      <c r="E101">
        <v>83998644.920000002</v>
      </c>
      <c r="F101">
        <v>31</v>
      </c>
      <c r="G101">
        <v>1</v>
      </c>
      <c r="H101" s="7">
        <f t="shared" si="4"/>
        <v>140269522.23000002</v>
      </c>
      <c r="I101" s="1">
        <f t="shared" si="5"/>
        <v>113398170.642</v>
      </c>
      <c r="J101" s="7">
        <f t="shared" si="6"/>
        <v>140.26952223000001</v>
      </c>
      <c r="K101" s="7">
        <f t="shared" si="7"/>
        <v>113.39817064200001</v>
      </c>
    </row>
    <row r="102" spans="1:11" x14ac:dyDescent="0.2">
      <c r="A102" t="s">
        <v>112</v>
      </c>
      <c r="B102">
        <v>33</v>
      </c>
      <c r="C102" t="s">
        <v>6</v>
      </c>
      <c r="D102">
        <v>2133373.7659999998</v>
      </c>
      <c r="E102">
        <v>2133373.7659999998</v>
      </c>
      <c r="F102">
        <v>1</v>
      </c>
      <c r="G102">
        <v>1</v>
      </c>
      <c r="H102" s="7">
        <f t="shared" si="4"/>
        <v>2880054.5841000001</v>
      </c>
      <c r="I102" s="1">
        <f t="shared" si="5"/>
        <v>2880054.5841000001</v>
      </c>
      <c r="J102" s="7">
        <f t="shared" si="6"/>
        <v>2.8800545841000003</v>
      </c>
      <c r="K102" s="7">
        <f t="shared" si="7"/>
        <v>2.8800545841000003</v>
      </c>
    </row>
    <row r="103" spans="1:11" x14ac:dyDescent="0.2">
      <c r="A103" t="s">
        <v>113</v>
      </c>
      <c r="B103">
        <v>33</v>
      </c>
      <c r="C103" t="s">
        <v>6</v>
      </c>
      <c r="D103">
        <v>4368800</v>
      </c>
      <c r="E103">
        <v>4368800</v>
      </c>
      <c r="F103">
        <v>1</v>
      </c>
      <c r="G103">
        <v>1</v>
      </c>
      <c r="H103" s="7">
        <f t="shared" si="4"/>
        <v>5897880</v>
      </c>
      <c r="I103" s="1">
        <f t="shared" si="5"/>
        <v>5897880</v>
      </c>
      <c r="J103" s="7">
        <f t="shared" si="6"/>
        <v>5.8978799999999998</v>
      </c>
      <c r="K103" s="7">
        <f t="shared" si="7"/>
        <v>5.8978799999999998</v>
      </c>
    </row>
    <row r="104" spans="1:11" x14ac:dyDescent="0.2">
      <c r="A104" t="s">
        <v>64</v>
      </c>
      <c r="B104">
        <v>33</v>
      </c>
      <c r="C104" t="s">
        <v>6</v>
      </c>
      <c r="D104">
        <v>6355328.2379999999</v>
      </c>
      <c r="E104">
        <v>3497181.3969999999</v>
      </c>
      <c r="F104">
        <v>3</v>
      </c>
      <c r="G104">
        <v>1</v>
      </c>
      <c r="H104" s="7">
        <f t="shared" si="4"/>
        <v>8579693.1213000007</v>
      </c>
      <c r="I104" s="1">
        <f t="shared" si="5"/>
        <v>4721194.88595</v>
      </c>
      <c r="J104" s="7">
        <f t="shared" si="6"/>
        <v>8.5796931213000001</v>
      </c>
      <c r="K104" s="7">
        <f t="shared" si="7"/>
        <v>4.7211948859500001</v>
      </c>
    </row>
    <row r="105" spans="1:11" x14ac:dyDescent="0.2">
      <c r="A105" t="s">
        <v>65</v>
      </c>
      <c r="B105">
        <v>33</v>
      </c>
      <c r="C105" t="s">
        <v>6</v>
      </c>
      <c r="D105">
        <v>310615190.89999998</v>
      </c>
      <c r="E105">
        <v>210109419.40000001</v>
      </c>
      <c r="F105">
        <v>60</v>
      </c>
      <c r="G105">
        <v>1</v>
      </c>
      <c r="H105" s="7">
        <f t="shared" si="4"/>
        <v>419330507.71499997</v>
      </c>
      <c r="I105" s="1">
        <f t="shared" si="5"/>
        <v>283647716.19</v>
      </c>
      <c r="J105" s="7">
        <f t="shared" si="6"/>
        <v>419.33050771499995</v>
      </c>
      <c r="K105" s="7">
        <f t="shared" si="7"/>
        <v>283.64771618999998</v>
      </c>
    </row>
    <row r="106" spans="1:11" x14ac:dyDescent="0.2">
      <c r="A106" t="s">
        <v>66</v>
      </c>
      <c r="B106">
        <v>33</v>
      </c>
      <c r="C106" t="s">
        <v>6</v>
      </c>
      <c r="D106">
        <v>118255692.5</v>
      </c>
      <c r="E106">
        <v>88344175.709999993</v>
      </c>
      <c r="F106">
        <v>38</v>
      </c>
      <c r="G106">
        <v>1</v>
      </c>
      <c r="H106" s="7">
        <f t="shared" si="4"/>
        <v>159645184.875</v>
      </c>
      <c r="I106" s="1">
        <f t="shared" si="5"/>
        <v>119264637.2085</v>
      </c>
      <c r="J106" s="7">
        <f t="shared" si="6"/>
        <v>159.64518487500001</v>
      </c>
      <c r="K106" s="7">
        <f t="shared" si="7"/>
        <v>119.26463720849999</v>
      </c>
    </row>
    <row r="107" spans="1:11" x14ac:dyDescent="0.2">
      <c r="A107" t="s">
        <v>114</v>
      </c>
      <c r="B107">
        <v>33</v>
      </c>
      <c r="C107" t="s">
        <v>6</v>
      </c>
      <c r="D107">
        <v>712941</v>
      </c>
      <c r="E107">
        <v>712941</v>
      </c>
      <c r="F107">
        <v>1</v>
      </c>
      <c r="G107">
        <v>1</v>
      </c>
      <c r="H107" s="7">
        <f t="shared" si="4"/>
        <v>962470.35000000009</v>
      </c>
      <c r="I107" s="1">
        <f t="shared" si="5"/>
        <v>962470.35000000009</v>
      </c>
      <c r="J107" s="7">
        <f t="shared" si="6"/>
        <v>0.96247035000000014</v>
      </c>
      <c r="K107" s="7">
        <f t="shared" si="7"/>
        <v>0.96247035000000014</v>
      </c>
    </row>
    <row r="108" spans="1:11" x14ac:dyDescent="0.2">
      <c r="A108" t="s">
        <v>67</v>
      </c>
      <c r="B108">
        <v>33</v>
      </c>
      <c r="C108" t="s">
        <v>6</v>
      </c>
      <c r="D108">
        <v>15613768.34</v>
      </c>
      <c r="E108">
        <v>7862072.3159999996</v>
      </c>
      <c r="F108">
        <v>2</v>
      </c>
      <c r="G108">
        <v>1</v>
      </c>
      <c r="H108" s="7">
        <f t="shared" si="4"/>
        <v>21078587.259</v>
      </c>
      <c r="I108" s="1">
        <f t="shared" si="5"/>
        <v>10613797.626600001</v>
      </c>
      <c r="J108" s="7">
        <f t="shared" si="6"/>
        <v>21.078587258999999</v>
      </c>
      <c r="K108" s="7">
        <f t="shared" si="7"/>
        <v>10.6137976266</v>
      </c>
    </row>
    <row r="109" spans="1:11" x14ac:dyDescent="0.2">
      <c r="A109" t="s">
        <v>115</v>
      </c>
      <c r="B109">
        <v>33</v>
      </c>
      <c r="C109" t="s">
        <v>6</v>
      </c>
      <c r="D109">
        <v>5543424.1880000001</v>
      </c>
      <c r="E109">
        <v>5543424.1880000001</v>
      </c>
      <c r="F109">
        <v>4</v>
      </c>
      <c r="G109">
        <v>1</v>
      </c>
      <c r="H109" s="7">
        <f t="shared" si="4"/>
        <v>7483622.6538000004</v>
      </c>
      <c r="I109" s="1">
        <f t="shared" si="5"/>
        <v>7483622.6538000004</v>
      </c>
      <c r="J109" s="7">
        <f t="shared" si="6"/>
        <v>7.4836226538000004</v>
      </c>
      <c r="K109" s="7">
        <f t="shared" si="7"/>
        <v>7.4836226538000004</v>
      </c>
    </row>
    <row r="110" spans="1:11" x14ac:dyDescent="0.2">
      <c r="A110" t="s">
        <v>68</v>
      </c>
      <c r="B110">
        <v>33</v>
      </c>
      <c r="C110" t="s">
        <v>6</v>
      </c>
      <c r="D110">
        <v>1171699364</v>
      </c>
      <c r="E110">
        <v>824655516.10000002</v>
      </c>
      <c r="F110">
        <v>206</v>
      </c>
      <c r="G110">
        <v>1</v>
      </c>
      <c r="H110" s="7">
        <f t="shared" si="4"/>
        <v>1581794141.4000001</v>
      </c>
      <c r="I110" s="1">
        <f t="shared" si="5"/>
        <v>1113284946.7350001</v>
      </c>
      <c r="J110" s="7">
        <f t="shared" si="6"/>
        <v>1581.7941414000002</v>
      </c>
      <c r="K110" s="7">
        <f t="shared" si="7"/>
        <v>1113.2849467350002</v>
      </c>
    </row>
    <row r="111" spans="1:11" x14ac:dyDescent="0.2">
      <c r="A111" t="s">
        <v>116</v>
      </c>
      <c r="B111">
        <v>33</v>
      </c>
      <c r="C111" t="s">
        <v>6</v>
      </c>
      <c r="D111">
        <v>5001</v>
      </c>
      <c r="E111">
        <v>5001</v>
      </c>
      <c r="F111">
        <v>1</v>
      </c>
      <c r="G111">
        <v>1</v>
      </c>
      <c r="H111" s="7">
        <f t="shared" si="4"/>
        <v>6751.35</v>
      </c>
      <c r="I111" s="1">
        <f t="shared" si="5"/>
        <v>6751.35</v>
      </c>
      <c r="J111" s="7">
        <f t="shared" si="6"/>
        <v>6.7513500000000006E-3</v>
      </c>
      <c r="K111" s="7">
        <f t="shared" si="7"/>
        <v>6.7513500000000006E-3</v>
      </c>
    </row>
    <row r="112" spans="1:11" x14ac:dyDescent="0.2">
      <c r="A112" t="s">
        <v>69</v>
      </c>
      <c r="B112">
        <v>33</v>
      </c>
      <c r="C112" t="s">
        <v>6</v>
      </c>
      <c r="D112">
        <v>83586974.900000006</v>
      </c>
      <c r="E112">
        <v>47547711</v>
      </c>
      <c r="F112">
        <v>10</v>
      </c>
      <c r="G112">
        <v>1</v>
      </c>
      <c r="H112" s="7">
        <f t="shared" si="4"/>
        <v>112842416.11500001</v>
      </c>
      <c r="I112" s="1">
        <f t="shared" si="5"/>
        <v>64189409.850000001</v>
      </c>
      <c r="J112" s="7">
        <f t="shared" si="6"/>
        <v>112.84241611500001</v>
      </c>
      <c r="K112" s="7">
        <f t="shared" si="7"/>
        <v>64.189409850000004</v>
      </c>
    </row>
    <row r="113" spans="1:11" x14ac:dyDescent="0.2">
      <c r="A113" t="s">
        <v>70</v>
      </c>
      <c r="B113">
        <v>33</v>
      </c>
      <c r="C113" t="s">
        <v>6</v>
      </c>
      <c r="D113">
        <v>507679.11670000001</v>
      </c>
      <c r="E113">
        <v>253839.55840000001</v>
      </c>
      <c r="F113">
        <v>1</v>
      </c>
      <c r="G113">
        <v>1</v>
      </c>
      <c r="H113" s="7">
        <f t="shared" si="4"/>
        <v>685366.80754500011</v>
      </c>
      <c r="I113" s="1">
        <f t="shared" si="5"/>
        <v>342683.40384000004</v>
      </c>
      <c r="J113" s="7">
        <f t="shared" si="6"/>
        <v>0.68536680754500012</v>
      </c>
      <c r="K113" s="7">
        <f t="shared" si="7"/>
        <v>0.34268340384000007</v>
      </c>
    </row>
    <row r="114" spans="1:11" x14ac:dyDescent="0.2">
      <c r="A114" t="s">
        <v>71</v>
      </c>
      <c r="B114">
        <v>33</v>
      </c>
      <c r="C114" t="s">
        <v>6</v>
      </c>
      <c r="D114">
        <v>146853.97640000001</v>
      </c>
      <c r="E114">
        <v>128615.1341</v>
      </c>
      <c r="F114">
        <v>2</v>
      </c>
      <c r="G114">
        <v>1</v>
      </c>
      <c r="H114" s="7">
        <f t="shared" si="4"/>
        <v>198252.86814000004</v>
      </c>
      <c r="I114" s="1">
        <f t="shared" si="5"/>
        <v>173630.43103500002</v>
      </c>
      <c r="J114" s="7">
        <f t="shared" si="6"/>
        <v>0.19825286814000004</v>
      </c>
      <c r="K114" s="7">
        <f t="shared" si="7"/>
        <v>0.173630431035</v>
      </c>
    </row>
    <row r="115" spans="1:11" x14ac:dyDescent="0.2">
      <c r="A115" t="s">
        <v>73</v>
      </c>
      <c r="B115">
        <v>33</v>
      </c>
      <c r="C115" t="s">
        <v>6</v>
      </c>
      <c r="D115">
        <v>3716311.9180000001</v>
      </c>
      <c r="E115">
        <v>3614964.1239999998</v>
      </c>
      <c r="F115">
        <v>2</v>
      </c>
      <c r="G115">
        <v>1</v>
      </c>
      <c r="H115" s="7">
        <f t="shared" si="4"/>
        <v>5017021.0893000001</v>
      </c>
      <c r="I115" s="1">
        <f t="shared" si="5"/>
        <v>4880201.5674000001</v>
      </c>
      <c r="J115" s="7">
        <f t="shared" si="6"/>
        <v>5.0170210893</v>
      </c>
      <c r="K115" s="7">
        <f t="shared" si="7"/>
        <v>4.8802015674000003</v>
      </c>
    </row>
    <row r="116" spans="1:11" x14ac:dyDescent="0.2">
      <c r="A116" t="s">
        <v>74</v>
      </c>
      <c r="B116">
        <v>33</v>
      </c>
      <c r="C116" t="s">
        <v>6</v>
      </c>
      <c r="D116">
        <v>25253041.309999999</v>
      </c>
      <c r="E116">
        <v>21559536.600000001</v>
      </c>
      <c r="F116">
        <v>9</v>
      </c>
      <c r="G116">
        <v>1</v>
      </c>
      <c r="H116" s="7">
        <f t="shared" si="4"/>
        <v>34091605.7685</v>
      </c>
      <c r="I116" s="1">
        <f t="shared" si="5"/>
        <v>29105374.410000004</v>
      </c>
      <c r="J116" s="7">
        <f t="shared" si="6"/>
        <v>34.091605768500003</v>
      </c>
      <c r="K116" s="7">
        <f t="shared" si="7"/>
        <v>29.105374410000003</v>
      </c>
    </row>
    <row r="117" spans="1:11" x14ac:dyDescent="0.2">
      <c r="A117" t="s">
        <v>117</v>
      </c>
      <c r="B117">
        <v>33</v>
      </c>
      <c r="C117" t="s">
        <v>6</v>
      </c>
      <c r="D117">
        <v>11747642.029999999</v>
      </c>
      <c r="E117">
        <v>11747642.029999999</v>
      </c>
      <c r="F117">
        <v>4</v>
      </c>
      <c r="G117">
        <v>1</v>
      </c>
      <c r="H117" s="7">
        <f t="shared" si="4"/>
        <v>15859316.740499999</v>
      </c>
      <c r="I117" s="1">
        <f t="shared" si="5"/>
        <v>15859316.740499999</v>
      </c>
      <c r="J117" s="7">
        <f t="shared" si="6"/>
        <v>15.859316740499999</v>
      </c>
      <c r="K117" s="7">
        <f t="shared" si="7"/>
        <v>15.859316740499999</v>
      </c>
    </row>
    <row r="118" spans="1:11" x14ac:dyDescent="0.2">
      <c r="A118" t="s">
        <v>75</v>
      </c>
      <c r="B118">
        <v>33</v>
      </c>
      <c r="C118" t="s">
        <v>6</v>
      </c>
      <c r="D118">
        <v>3637140</v>
      </c>
      <c r="E118">
        <v>3637140</v>
      </c>
      <c r="F118">
        <v>4</v>
      </c>
      <c r="G118">
        <v>1</v>
      </c>
      <c r="H118" s="7">
        <f t="shared" si="4"/>
        <v>4910139</v>
      </c>
      <c r="I118" s="1">
        <f t="shared" si="5"/>
        <v>4910139</v>
      </c>
      <c r="J118" s="7">
        <f t="shared" si="6"/>
        <v>4.910139</v>
      </c>
      <c r="K118" s="7">
        <f t="shared" si="7"/>
        <v>4.910139</v>
      </c>
    </row>
    <row r="119" spans="1:11" x14ac:dyDescent="0.2">
      <c r="A119" t="s">
        <v>76</v>
      </c>
      <c r="B119">
        <v>33</v>
      </c>
      <c r="C119" t="s">
        <v>6</v>
      </c>
      <c r="D119">
        <v>15425010.84</v>
      </c>
      <c r="E119">
        <v>15425010.84</v>
      </c>
      <c r="F119">
        <v>4</v>
      </c>
      <c r="G119">
        <v>1</v>
      </c>
      <c r="H119" s="7">
        <f t="shared" si="4"/>
        <v>20823764.634</v>
      </c>
      <c r="I119" s="1">
        <f t="shared" si="5"/>
        <v>20823764.634</v>
      </c>
      <c r="J119" s="7">
        <f t="shared" si="6"/>
        <v>20.823764634</v>
      </c>
      <c r="K119" s="7">
        <f t="shared" si="7"/>
        <v>20.823764634</v>
      </c>
    </row>
    <row r="120" spans="1:11" x14ac:dyDescent="0.2">
      <c r="A120" t="s">
        <v>77</v>
      </c>
      <c r="B120">
        <v>33</v>
      </c>
      <c r="C120" t="s">
        <v>6</v>
      </c>
      <c r="D120">
        <v>636050.80550000002</v>
      </c>
      <c r="E120">
        <v>636050.80550000002</v>
      </c>
      <c r="F120">
        <v>2</v>
      </c>
      <c r="G120">
        <v>1</v>
      </c>
      <c r="H120" s="7">
        <f t="shared" si="4"/>
        <v>858668.58742500003</v>
      </c>
      <c r="I120" s="1">
        <f t="shared" si="5"/>
        <v>858668.58742500003</v>
      </c>
      <c r="J120" s="7">
        <f t="shared" si="6"/>
        <v>0.85866858742500007</v>
      </c>
      <c r="K120" s="7">
        <f t="shared" si="7"/>
        <v>0.85866858742500007</v>
      </c>
    </row>
    <row r="121" spans="1:11" x14ac:dyDescent="0.2">
      <c r="A121" t="s">
        <v>78</v>
      </c>
      <c r="B121">
        <v>33</v>
      </c>
      <c r="C121" t="s">
        <v>6</v>
      </c>
      <c r="D121">
        <v>338920050.39999998</v>
      </c>
      <c r="E121">
        <v>202397157.59999999</v>
      </c>
      <c r="F121">
        <v>43</v>
      </c>
      <c r="G121">
        <v>1</v>
      </c>
      <c r="H121" s="7">
        <f t="shared" si="4"/>
        <v>457542068.04000002</v>
      </c>
      <c r="I121" s="1">
        <f t="shared" si="5"/>
        <v>273236162.75999999</v>
      </c>
      <c r="J121" s="7">
        <f t="shared" si="6"/>
        <v>457.54206804</v>
      </c>
      <c r="K121" s="7">
        <f t="shared" si="7"/>
        <v>273.23616276000001</v>
      </c>
    </row>
    <row r="122" spans="1:11" x14ac:dyDescent="0.2">
      <c r="A122" t="s">
        <v>79</v>
      </c>
      <c r="B122">
        <v>33</v>
      </c>
      <c r="C122" t="s">
        <v>6</v>
      </c>
      <c r="D122">
        <v>1199276</v>
      </c>
      <c r="E122">
        <v>1199276</v>
      </c>
      <c r="F122">
        <v>2</v>
      </c>
      <c r="G122">
        <v>1</v>
      </c>
      <c r="H122" s="7">
        <f t="shared" si="4"/>
        <v>1619022.6</v>
      </c>
      <c r="I122" s="1">
        <f t="shared" si="5"/>
        <v>1619022.6</v>
      </c>
      <c r="J122" s="7">
        <f t="shared" si="6"/>
        <v>1.6190226000000001</v>
      </c>
      <c r="K122" s="7">
        <f t="shared" si="7"/>
        <v>1.6190226000000001</v>
      </c>
    </row>
    <row r="123" spans="1:11" x14ac:dyDescent="0.2">
      <c r="A123" t="s">
        <v>80</v>
      </c>
      <c r="B123">
        <v>33</v>
      </c>
      <c r="C123" t="s">
        <v>6</v>
      </c>
      <c r="D123">
        <v>22688725.59</v>
      </c>
      <c r="E123">
        <v>22688725.59</v>
      </c>
      <c r="F123">
        <v>13</v>
      </c>
      <c r="G123">
        <v>1</v>
      </c>
      <c r="H123" s="7">
        <f t="shared" si="4"/>
        <v>30629779.546500001</v>
      </c>
      <c r="I123" s="1">
        <f t="shared" si="5"/>
        <v>30629779.546500001</v>
      </c>
      <c r="J123" s="7">
        <f t="shared" si="6"/>
        <v>30.6297795465</v>
      </c>
      <c r="K123" s="7">
        <f t="shared" si="7"/>
        <v>30.6297795465</v>
      </c>
    </row>
    <row r="124" spans="1:11" x14ac:dyDescent="0.2">
      <c r="A124" t="s">
        <v>81</v>
      </c>
      <c r="B124">
        <v>33</v>
      </c>
      <c r="C124" t="s">
        <v>6</v>
      </c>
      <c r="D124">
        <v>3683494.0359999998</v>
      </c>
      <c r="E124">
        <v>1841747.0179999999</v>
      </c>
      <c r="F124">
        <v>1</v>
      </c>
      <c r="G124">
        <v>1</v>
      </c>
      <c r="H124" s="7">
        <f t="shared" si="4"/>
        <v>4972716.9485999998</v>
      </c>
      <c r="I124" s="1">
        <f t="shared" si="5"/>
        <v>2486358.4742999999</v>
      </c>
      <c r="J124" s="7">
        <f t="shared" si="6"/>
        <v>4.9727169485999996</v>
      </c>
      <c r="K124" s="7">
        <f t="shared" si="7"/>
        <v>2.4863584742999998</v>
      </c>
    </row>
    <row r="125" spans="1:11" x14ac:dyDescent="0.2">
      <c r="A125" t="s">
        <v>82</v>
      </c>
      <c r="B125">
        <v>33</v>
      </c>
      <c r="C125" t="s">
        <v>6</v>
      </c>
      <c r="D125">
        <v>1542234.42</v>
      </c>
      <c r="E125">
        <v>790117.20990000002</v>
      </c>
      <c r="F125">
        <v>2</v>
      </c>
      <c r="G125">
        <v>1</v>
      </c>
      <c r="H125" s="7">
        <f t="shared" si="4"/>
        <v>2082016.4669999999</v>
      </c>
      <c r="I125" s="1">
        <f t="shared" si="5"/>
        <v>1066658.233365</v>
      </c>
      <c r="J125" s="7">
        <f t="shared" si="6"/>
        <v>2.0820164669999999</v>
      </c>
      <c r="K125" s="7">
        <f t="shared" si="7"/>
        <v>1.0666582333650001</v>
      </c>
    </row>
    <row r="126" spans="1:11" x14ac:dyDescent="0.2">
      <c r="A126" t="s">
        <v>83</v>
      </c>
      <c r="B126">
        <v>33</v>
      </c>
      <c r="C126" t="s">
        <v>6</v>
      </c>
      <c r="D126">
        <v>51013102.479999997</v>
      </c>
      <c r="E126">
        <v>43391627.579999998</v>
      </c>
      <c r="F126">
        <v>23</v>
      </c>
      <c r="G126">
        <v>1</v>
      </c>
      <c r="H126" s="7">
        <f t="shared" si="4"/>
        <v>68867688.348000005</v>
      </c>
      <c r="I126" s="1">
        <f t="shared" si="5"/>
        <v>58578697.233000003</v>
      </c>
      <c r="J126" s="7">
        <f t="shared" si="6"/>
        <v>68.867688348000001</v>
      </c>
      <c r="K126" s="7">
        <f t="shared" si="7"/>
        <v>58.578697233</v>
      </c>
    </row>
    <row r="127" spans="1:11" x14ac:dyDescent="0.2">
      <c r="A127" t="s">
        <v>118</v>
      </c>
      <c r="B127">
        <v>33</v>
      </c>
      <c r="C127" t="s">
        <v>6</v>
      </c>
      <c r="D127">
        <v>161170551.5</v>
      </c>
      <c r="E127">
        <v>93631415.329999998</v>
      </c>
      <c r="F127">
        <v>17</v>
      </c>
      <c r="G127">
        <v>1</v>
      </c>
      <c r="H127" s="7">
        <f t="shared" si="4"/>
        <v>217580244.52500001</v>
      </c>
      <c r="I127" s="1">
        <f t="shared" si="5"/>
        <v>126402410.6955</v>
      </c>
      <c r="J127" s="7">
        <f t="shared" si="6"/>
        <v>217.58024452500001</v>
      </c>
      <c r="K127" s="7">
        <f t="shared" si="7"/>
        <v>126.4024106955</v>
      </c>
    </row>
    <row r="128" spans="1:11" x14ac:dyDescent="0.2">
      <c r="A128" t="s">
        <v>84</v>
      </c>
      <c r="B128">
        <v>33</v>
      </c>
      <c r="C128" t="s">
        <v>6</v>
      </c>
      <c r="D128">
        <v>9412113.3819999993</v>
      </c>
      <c r="E128">
        <v>9412113.3819999993</v>
      </c>
      <c r="F128">
        <v>11</v>
      </c>
      <c r="G128">
        <v>1</v>
      </c>
      <c r="H128" s="7">
        <f t="shared" si="4"/>
        <v>12706353.0657</v>
      </c>
      <c r="I128" s="1">
        <f t="shared" si="5"/>
        <v>12706353.0657</v>
      </c>
      <c r="J128" s="7">
        <f t="shared" si="6"/>
        <v>12.7063530657</v>
      </c>
      <c r="K128" s="7">
        <f t="shared" si="7"/>
        <v>12.7063530657</v>
      </c>
    </row>
    <row r="129" spans="1:11" x14ac:dyDescent="0.2">
      <c r="A129" t="s">
        <v>86</v>
      </c>
      <c r="B129">
        <v>33</v>
      </c>
      <c r="C129" t="s">
        <v>6</v>
      </c>
      <c r="D129">
        <v>8016098.6179999998</v>
      </c>
      <c r="E129">
        <v>8016098.6179999998</v>
      </c>
      <c r="F129">
        <v>7</v>
      </c>
      <c r="G129">
        <v>1</v>
      </c>
      <c r="H129" s="7">
        <f t="shared" si="4"/>
        <v>10821733.134300001</v>
      </c>
      <c r="I129" s="1">
        <f t="shared" si="5"/>
        <v>10821733.134300001</v>
      </c>
      <c r="J129" s="7">
        <f t="shared" si="6"/>
        <v>10.821733134300001</v>
      </c>
      <c r="K129" s="7">
        <f t="shared" si="7"/>
        <v>10.821733134300001</v>
      </c>
    </row>
    <row r="130" spans="1:11" x14ac:dyDescent="0.2">
      <c r="A130" t="s">
        <v>119</v>
      </c>
      <c r="B130">
        <v>33</v>
      </c>
      <c r="C130" t="s">
        <v>6</v>
      </c>
      <c r="D130">
        <v>147443397.5</v>
      </c>
      <c r="E130">
        <v>114492018.5</v>
      </c>
      <c r="F130">
        <v>40</v>
      </c>
      <c r="G130">
        <v>1</v>
      </c>
      <c r="H130" s="7">
        <f t="shared" si="4"/>
        <v>199048586.625</v>
      </c>
      <c r="I130" s="1">
        <f t="shared" si="5"/>
        <v>154564224.97500002</v>
      </c>
      <c r="J130" s="7">
        <f t="shared" si="6"/>
        <v>199.04858662500001</v>
      </c>
      <c r="K130" s="7">
        <f t="shared" si="7"/>
        <v>154.56422497500003</v>
      </c>
    </row>
    <row r="131" spans="1:11" x14ac:dyDescent="0.2">
      <c r="A131" t="s">
        <v>87</v>
      </c>
      <c r="B131">
        <v>33</v>
      </c>
      <c r="C131" t="s">
        <v>6</v>
      </c>
      <c r="D131">
        <v>169226.37220000001</v>
      </c>
      <c r="E131">
        <v>84613.186119999998</v>
      </c>
      <c r="F131">
        <v>1</v>
      </c>
      <c r="G131">
        <v>1</v>
      </c>
      <c r="H131" s="7">
        <f t="shared" ref="H131:H194" si="8">D131*1.35</f>
        <v>228455.60247000004</v>
      </c>
      <c r="I131" s="1">
        <f t="shared" ref="I131:I194" si="9">E131*1.35</f>
        <v>114227.80126200001</v>
      </c>
      <c r="J131" s="7">
        <f t="shared" ref="J131:J194" si="10">H131/1000000</f>
        <v>0.22845560247000005</v>
      </c>
      <c r="K131" s="7">
        <f t="shared" ref="K131:K194" si="11">I131/1000000</f>
        <v>0.11422780126200001</v>
      </c>
    </row>
    <row r="132" spans="1:11" x14ac:dyDescent="0.2">
      <c r="A132" t="s">
        <v>88</v>
      </c>
      <c r="B132">
        <v>33</v>
      </c>
      <c r="C132" t="s">
        <v>6</v>
      </c>
      <c r="D132">
        <v>11831807.32</v>
      </c>
      <c r="E132">
        <v>11831807.32</v>
      </c>
      <c r="F132">
        <v>6</v>
      </c>
      <c r="G132">
        <v>1</v>
      </c>
      <c r="H132" s="7">
        <f t="shared" si="8"/>
        <v>15972939.882000001</v>
      </c>
      <c r="I132" s="1">
        <f t="shared" si="9"/>
        <v>15972939.882000001</v>
      </c>
      <c r="J132" s="7">
        <f t="shared" si="10"/>
        <v>15.972939882</v>
      </c>
      <c r="K132" s="7">
        <f t="shared" si="11"/>
        <v>15.972939882</v>
      </c>
    </row>
    <row r="133" spans="1:11" x14ac:dyDescent="0.2">
      <c r="A133" t="s">
        <v>120</v>
      </c>
      <c r="B133">
        <v>33</v>
      </c>
      <c r="C133" t="s">
        <v>6</v>
      </c>
      <c r="D133">
        <v>5830505.3020000001</v>
      </c>
      <c r="E133">
        <v>5830505.3020000001</v>
      </c>
      <c r="F133">
        <v>2</v>
      </c>
      <c r="G133">
        <v>1</v>
      </c>
      <c r="H133" s="7">
        <f t="shared" si="8"/>
        <v>7871182.1577000003</v>
      </c>
      <c r="I133" s="1">
        <f t="shared" si="9"/>
        <v>7871182.1577000003</v>
      </c>
      <c r="J133" s="7">
        <f t="shared" si="10"/>
        <v>7.8711821577000007</v>
      </c>
      <c r="K133" s="7">
        <f t="shared" si="11"/>
        <v>7.8711821577000007</v>
      </c>
    </row>
    <row r="134" spans="1:11" x14ac:dyDescent="0.2">
      <c r="A134" t="s">
        <v>89</v>
      </c>
      <c r="B134">
        <v>33</v>
      </c>
      <c r="C134" t="s">
        <v>6</v>
      </c>
      <c r="D134">
        <v>115973936.59999999</v>
      </c>
      <c r="E134">
        <v>49767654.609999999</v>
      </c>
      <c r="F134">
        <v>12</v>
      </c>
      <c r="G134">
        <v>1</v>
      </c>
      <c r="H134" s="7">
        <f t="shared" si="8"/>
        <v>156564814.41</v>
      </c>
      <c r="I134" s="1">
        <f t="shared" si="9"/>
        <v>67186333.723499998</v>
      </c>
      <c r="J134" s="7">
        <f t="shared" si="10"/>
        <v>156.56481441</v>
      </c>
      <c r="K134" s="7">
        <f t="shared" si="11"/>
        <v>67.186333723499999</v>
      </c>
    </row>
    <row r="135" spans="1:11" x14ac:dyDescent="0.2">
      <c r="A135" t="s">
        <v>91</v>
      </c>
      <c r="B135">
        <v>33</v>
      </c>
      <c r="C135" t="s">
        <v>6</v>
      </c>
      <c r="D135">
        <v>389545.22560000001</v>
      </c>
      <c r="E135">
        <v>388426.24780000001</v>
      </c>
      <c r="F135">
        <v>2</v>
      </c>
      <c r="G135">
        <v>1</v>
      </c>
      <c r="H135" s="7">
        <f t="shared" si="8"/>
        <v>525886.05456000008</v>
      </c>
      <c r="I135" s="1">
        <f t="shared" si="9"/>
        <v>524375.43453000009</v>
      </c>
      <c r="J135" s="7">
        <f t="shared" si="10"/>
        <v>0.52588605456000004</v>
      </c>
      <c r="K135" s="7">
        <f t="shared" si="11"/>
        <v>0.52437543453000013</v>
      </c>
    </row>
    <row r="136" spans="1:11" x14ac:dyDescent="0.2">
      <c r="A136" t="s">
        <v>92</v>
      </c>
      <c r="B136">
        <v>33</v>
      </c>
      <c r="C136" t="s">
        <v>6</v>
      </c>
      <c r="D136">
        <v>4000</v>
      </c>
      <c r="E136">
        <v>4000</v>
      </c>
      <c r="F136">
        <v>1</v>
      </c>
      <c r="G136">
        <v>1</v>
      </c>
      <c r="H136" s="7">
        <f t="shared" si="8"/>
        <v>5400</v>
      </c>
      <c r="I136" s="1">
        <f t="shared" si="9"/>
        <v>5400</v>
      </c>
      <c r="J136" s="7">
        <f t="shared" si="10"/>
        <v>5.4000000000000003E-3</v>
      </c>
      <c r="K136" s="7">
        <f t="shared" si="11"/>
        <v>5.4000000000000003E-3</v>
      </c>
    </row>
    <row r="137" spans="1:11" x14ac:dyDescent="0.2">
      <c r="A137" t="s">
        <v>93</v>
      </c>
      <c r="B137">
        <v>33</v>
      </c>
      <c r="C137" t="s">
        <v>6</v>
      </c>
      <c r="D137">
        <v>12947615.859999999</v>
      </c>
      <c r="E137">
        <v>6483807.932</v>
      </c>
      <c r="F137">
        <v>2</v>
      </c>
      <c r="G137">
        <v>1</v>
      </c>
      <c r="H137" s="7">
        <f t="shared" si="8"/>
        <v>17479281.411000002</v>
      </c>
      <c r="I137" s="1">
        <f t="shared" si="9"/>
        <v>8753140.7082000002</v>
      </c>
      <c r="J137" s="7">
        <f t="shared" si="10"/>
        <v>17.479281411000002</v>
      </c>
      <c r="K137" s="7">
        <f t="shared" si="11"/>
        <v>8.7531407082000001</v>
      </c>
    </row>
    <row r="138" spans="1:11" x14ac:dyDescent="0.2">
      <c r="A138" t="s">
        <v>94</v>
      </c>
      <c r="B138">
        <v>33</v>
      </c>
      <c r="C138" t="s">
        <v>6</v>
      </c>
      <c r="D138">
        <v>485674.04739999998</v>
      </c>
      <c r="E138">
        <v>242837.02369999999</v>
      </c>
      <c r="F138">
        <v>1</v>
      </c>
      <c r="G138">
        <v>1</v>
      </c>
      <c r="H138" s="7">
        <f t="shared" si="8"/>
        <v>655659.96398999996</v>
      </c>
      <c r="I138" s="1">
        <f t="shared" si="9"/>
        <v>327829.98199499998</v>
      </c>
      <c r="J138" s="7">
        <f t="shared" si="10"/>
        <v>0.65565996398999993</v>
      </c>
      <c r="K138" s="7">
        <f t="shared" si="11"/>
        <v>0.32782998199499996</v>
      </c>
    </row>
    <row r="139" spans="1:11" x14ac:dyDescent="0.2">
      <c r="A139" t="s">
        <v>95</v>
      </c>
      <c r="B139">
        <v>33</v>
      </c>
      <c r="C139" t="s">
        <v>6</v>
      </c>
      <c r="D139">
        <v>2694309251</v>
      </c>
      <c r="E139">
        <v>2430519957</v>
      </c>
      <c r="F139">
        <v>462</v>
      </c>
      <c r="G139">
        <v>1</v>
      </c>
      <c r="H139" s="7">
        <f t="shared" si="8"/>
        <v>3637317488.8500004</v>
      </c>
      <c r="I139" s="1">
        <f t="shared" si="9"/>
        <v>3281201941.9500003</v>
      </c>
      <c r="J139" s="7">
        <f t="shared" si="10"/>
        <v>3637.3174888500002</v>
      </c>
      <c r="K139" s="7">
        <f t="shared" si="11"/>
        <v>3281.2019419500002</v>
      </c>
    </row>
    <row r="140" spans="1:11" x14ac:dyDescent="0.2">
      <c r="A140" t="s">
        <v>96</v>
      </c>
      <c r="B140">
        <v>33</v>
      </c>
      <c r="C140" t="s">
        <v>6</v>
      </c>
      <c r="D140">
        <v>75340142.260000005</v>
      </c>
      <c r="E140">
        <v>42846654.590000004</v>
      </c>
      <c r="F140">
        <v>15</v>
      </c>
      <c r="G140">
        <v>1</v>
      </c>
      <c r="H140" s="7">
        <f t="shared" si="8"/>
        <v>101709192.05100001</v>
      </c>
      <c r="I140" s="1">
        <f t="shared" si="9"/>
        <v>57842983.696500011</v>
      </c>
      <c r="J140" s="7">
        <f t="shared" si="10"/>
        <v>101.70919205100002</v>
      </c>
      <c r="K140" s="7">
        <f t="shared" si="11"/>
        <v>57.842983696500013</v>
      </c>
    </row>
    <row r="141" spans="1:11" x14ac:dyDescent="0.2">
      <c r="A141" t="s">
        <v>97</v>
      </c>
      <c r="B141">
        <v>33</v>
      </c>
      <c r="C141" t="s">
        <v>6</v>
      </c>
      <c r="D141">
        <v>7055894.3320000004</v>
      </c>
      <c r="E141">
        <v>7055894.3320000004</v>
      </c>
      <c r="F141">
        <v>2</v>
      </c>
      <c r="G141">
        <v>1</v>
      </c>
      <c r="H141" s="7">
        <f t="shared" si="8"/>
        <v>9525457.3482000008</v>
      </c>
      <c r="I141" s="1">
        <f t="shared" si="9"/>
        <v>9525457.3482000008</v>
      </c>
      <c r="J141" s="7">
        <f t="shared" si="10"/>
        <v>9.5254573482000016</v>
      </c>
      <c r="K141" s="7">
        <f t="shared" si="11"/>
        <v>9.5254573482000016</v>
      </c>
    </row>
    <row r="142" spans="1:11" x14ac:dyDescent="0.2">
      <c r="A142" t="s">
        <v>98</v>
      </c>
      <c r="B142">
        <v>33</v>
      </c>
      <c r="C142" t="s">
        <v>6</v>
      </c>
      <c r="D142">
        <v>683280</v>
      </c>
      <c r="E142">
        <v>341640</v>
      </c>
      <c r="F142">
        <v>1</v>
      </c>
      <c r="G142">
        <v>1</v>
      </c>
      <c r="H142" s="7">
        <f t="shared" si="8"/>
        <v>922428.00000000012</v>
      </c>
      <c r="I142" s="1">
        <f t="shared" si="9"/>
        <v>461214.00000000006</v>
      </c>
      <c r="J142" s="7">
        <f t="shared" si="10"/>
        <v>0.92242800000000014</v>
      </c>
      <c r="K142" s="7">
        <f t="shared" si="11"/>
        <v>0.46121400000000007</v>
      </c>
    </row>
    <row r="143" spans="1:11" x14ac:dyDescent="0.2">
      <c r="A143" t="s">
        <v>121</v>
      </c>
      <c r="B143">
        <v>33</v>
      </c>
      <c r="C143" t="s">
        <v>6</v>
      </c>
      <c r="D143">
        <v>2896398.3059999999</v>
      </c>
      <c r="E143">
        <v>2896398.3059999999</v>
      </c>
      <c r="F143">
        <v>4</v>
      </c>
      <c r="G143">
        <v>1</v>
      </c>
      <c r="H143" s="7">
        <f t="shared" si="8"/>
        <v>3910137.7131000003</v>
      </c>
      <c r="I143" s="1">
        <f t="shared" si="9"/>
        <v>3910137.7131000003</v>
      </c>
      <c r="J143" s="7">
        <f t="shared" si="10"/>
        <v>3.9101377131000001</v>
      </c>
      <c r="K143" s="7">
        <f t="shared" si="11"/>
        <v>3.9101377131000001</v>
      </c>
    </row>
    <row r="144" spans="1:11" x14ac:dyDescent="0.2">
      <c r="A144" t="s">
        <v>99</v>
      </c>
      <c r="B144">
        <v>33</v>
      </c>
      <c r="C144" t="s">
        <v>6</v>
      </c>
      <c r="D144">
        <v>131620.5117</v>
      </c>
      <c r="E144">
        <v>65810.255869999994</v>
      </c>
      <c r="F144">
        <v>1</v>
      </c>
      <c r="G144">
        <v>1</v>
      </c>
      <c r="H144" s="7">
        <f t="shared" si="8"/>
        <v>177687.690795</v>
      </c>
      <c r="I144" s="1">
        <f t="shared" si="9"/>
        <v>88843.845424500003</v>
      </c>
      <c r="J144" s="7">
        <f t="shared" si="10"/>
        <v>0.17768769079499999</v>
      </c>
      <c r="K144" s="7">
        <f t="shared" si="11"/>
        <v>8.8843845424500009E-2</v>
      </c>
    </row>
    <row r="145" spans="1:11" x14ac:dyDescent="0.2">
      <c r="A145" t="s">
        <v>100</v>
      </c>
      <c r="B145">
        <v>33</v>
      </c>
      <c r="C145" t="s">
        <v>6</v>
      </c>
      <c r="D145">
        <v>11289232.18</v>
      </c>
      <c r="E145">
        <v>7970496.3760000002</v>
      </c>
      <c r="F145">
        <v>3</v>
      </c>
      <c r="G145">
        <v>1</v>
      </c>
      <c r="H145" s="7">
        <f t="shared" si="8"/>
        <v>15240463.443</v>
      </c>
      <c r="I145" s="1">
        <f t="shared" si="9"/>
        <v>10760170.107600002</v>
      </c>
      <c r="J145" s="7">
        <f t="shared" si="10"/>
        <v>15.240463442999999</v>
      </c>
      <c r="K145" s="7">
        <f t="shared" si="11"/>
        <v>10.760170107600002</v>
      </c>
    </row>
    <row r="146" spans="1:11" x14ac:dyDescent="0.2">
      <c r="A146" t="s">
        <v>101</v>
      </c>
      <c r="B146">
        <v>33</v>
      </c>
      <c r="C146" t="s">
        <v>6</v>
      </c>
      <c r="D146">
        <v>2583834.2749999999</v>
      </c>
      <c r="E146">
        <v>1352806.4310000001</v>
      </c>
      <c r="F146">
        <v>3</v>
      </c>
      <c r="G146">
        <v>1</v>
      </c>
      <c r="H146" s="7">
        <f t="shared" si="8"/>
        <v>3488176.2712500002</v>
      </c>
      <c r="I146" s="1">
        <f t="shared" si="9"/>
        <v>1826288.6818500003</v>
      </c>
      <c r="J146" s="7">
        <f t="shared" si="10"/>
        <v>3.4881762712500004</v>
      </c>
      <c r="K146" s="7">
        <f t="shared" si="11"/>
        <v>1.8262886818500004</v>
      </c>
    </row>
    <row r="147" spans="1:11" x14ac:dyDescent="0.2">
      <c r="A147" t="s">
        <v>102</v>
      </c>
      <c r="B147">
        <v>33</v>
      </c>
      <c r="C147" t="s">
        <v>6</v>
      </c>
      <c r="D147">
        <v>738973417.29999995</v>
      </c>
      <c r="E147">
        <v>426252309.80000001</v>
      </c>
      <c r="F147">
        <v>106</v>
      </c>
      <c r="G147">
        <v>1</v>
      </c>
      <c r="H147" s="7">
        <f t="shared" si="8"/>
        <v>997614113.35500002</v>
      </c>
      <c r="I147" s="1">
        <f t="shared" si="9"/>
        <v>575440618.23000002</v>
      </c>
      <c r="J147" s="7">
        <f t="shared" si="10"/>
        <v>997.61411335499997</v>
      </c>
      <c r="K147" s="7">
        <f t="shared" si="11"/>
        <v>575.44061823000004</v>
      </c>
    </row>
    <row r="148" spans="1:11" x14ac:dyDescent="0.2">
      <c r="A148" t="s">
        <v>103</v>
      </c>
      <c r="B148">
        <v>33</v>
      </c>
      <c r="C148" t="s">
        <v>6</v>
      </c>
      <c r="D148">
        <v>4723077.2120000003</v>
      </c>
      <c r="E148">
        <v>4723077.2120000003</v>
      </c>
      <c r="F148">
        <v>3</v>
      </c>
      <c r="G148">
        <v>1</v>
      </c>
      <c r="H148" s="7">
        <f t="shared" si="8"/>
        <v>6376154.2362000011</v>
      </c>
      <c r="I148" s="1">
        <f t="shared" si="9"/>
        <v>6376154.2362000011</v>
      </c>
      <c r="J148" s="7">
        <f t="shared" si="10"/>
        <v>6.3761542362000014</v>
      </c>
      <c r="K148" s="7">
        <f t="shared" si="11"/>
        <v>6.3761542362000014</v>
      </c>
    </row>
    <row r="149" spans="1:11" x14ac:dyDescent="0.2">
      <c r="A149" t="s">
        <v>122</v>
      </c>
      <c r="B149">
        <v>33</v>
      </c>
      <c r="C149" t="s">
        <v>6</v>
      </c>
      <c r="D149">
        <v>1800000</v>
      </c>
      <c r="E149">
        <v>1800000</v>
      </c>
      <c r="F149">
        <v>1</v>
      </c>
      <c r="G149">
        <v>1</v>
      </c>
      <c r="H149" s="7">
        <f t="shared" si="8"/>
        <v>2430000</v>
      </c>
      <c r="I149" s="1">
        <f t="shared" si="9"/>
        <v>2430000</v>
      </c>
      <c r="J149" s="7">
        <f t="shared" si="10"/>
        <v>2.4300000000000002</v>
      </c>
      <c r="K149" s="7">
        <f t="shared" si="11"/>
        <v>2.4300000000000002</v>
      </c>
    </row>
    <row r="150" spans="1:11" x14ac:dyDescent="0.2">
      <c r="A150" t="s">
        <v>104</v>
      </c>
      <c r="B150">
        <v>33</v>
      </c>
      <c r="C150" t="s">
        <v>6</v>
      </c>
      <c r="D150">
        <v>11322</v>
      </c>
      <c r="E150">
        <v>11322</v>
      </c>
      <c r="F150">
        <v>1</v>
      </c>
      <c r="G150">
        <v>1</v>
      </c>
      <c r="H150" s="7">
        <f t="shared" si="8"/>
        <v>15284.7</v>
      </c>
      <c r="I150" s="1">
        <f t="shared" si="9"/>
        <v>15284.7</v>
      </c>
      <c r="J150" s="7">
        <f t="shared" si="10"/>
        <v>1.52847E-2</v>
      </c>
      <c r="K150" s="7">
        <f t="shared" si="11"/>
        <v>1.52847E-2</v>
      </c>
    </row>
    <row r="151" spans="1:11" x14ac:dyDescent="0.2">
      <c r="A151" t="s">
        <v>105</v>
      </c>
      <c r="B151">
        <v>33</v>
      </c>
      <c r="C151" t="s">
        <v>6</v>
      </c>
      <c r="D151">
        <v>161023016.80000001</v>
      </c>
      <c r="E151">
        <v>146142616.40000001</v>
      </c>
      <c r="F151">
        <v>26</v>
      </c>
      <c r="G151">
        <v>1</v>
      </c>
      <c r="H151" s="7">
        <f t="shared" si="8"/>
        <v>217381072.68000004</v>
      </c>
      <c r="I151" s="1">
        <f t="shared" si="9"/>
        <v>197292532.14000002</v>
      </c>
      <c r="J151" s="7">
        <f t="shared" si="10"/>
        <v>217.38107268000005</v>
      </c>
      <c r="K151" s="7">
        <f t="shared" si="11"/>
        <v>197.29253214000002</v>
      </c>
    </row>
    <row r="152" spans="1:11" x14ac:dyDescent="0.2">
      <c r="A152" t="s">
        <v>37</v>
      </c>
      <c r="B152">
        <v>3624</v>
      </c>
      <c r="C152" t="s">
        <v>6</v>
      </c>
      <c r="D152">
        <v>36000</v>
      </c>
      <c r="E152">
        <v>36000</v>
      </c>
      <c r="F152">
        <v>1</v>
      </c>
      <c r="G152">
        <v>0</v>
      </c>
      <c r="H152" s="7">
        <f t="shared" si="8"/>
        <v>48600</v>
      </c>
      <c r="I152" s="1">
        <f t="shared" si="9"/>
        <v>48600</v>
      </c>
      <c r="J152" s="7">
        <f t="shared" si="10"/>
        <v>4.8599999999999997E-2</v>
      </c>
      <c r="K152" s="7">
        <f t="shared" si="11"/>
        <v>4.8599999999999997E-2</v>
      </c>
    </row>
    <row r="153" spans="1:11" x14ac:dyDescent="0.2">
      <c r="A153" t="s">
        <v>40</v>
      </c>
      <c r="B153">
        <v>3624</v>
      </c>
      <c r="C153" t="s">
        <v>6</v>
      </c>
      <c r="D153">
        <v>108000</v>
      </c>
      <c r="E153">
        <v>108000</v>
      </c>
      <c r="F153">
        <v>1</v>
      </c>
      <c r="G153">
        <v>0</v>
      </c>
      <c r="H153" s="7">
        <f t="shared" si="8"/>
        <v>145800</v>
      </c>
      <c r="I153" s="1">
        <f t="shared" si="9"/>
        <v>145800</v>
      </c>
      <c r="J153" s="7">
        <f t="shared" si="10"/>
        <v>0.14580000000000001</v>
      </c>
      <c r="K153" s="7">
        <f t="shared" si="11"/>
        <v>0.14580000000000001</v>
      </c>
    </row>
    <row r="154" spans="1:11" x14ac:dyDescent="0.2">
      <c r="A154" t="s">
        <v>46</v>
      </c>
      <c r="B154">
        <v>3624</v>
      </c>
      <c r="C154" t="s">
        <v>6</v>
      </c>
      <c r="D154">
        <v>110000</v>
      </c>
      <c r="E154">
        <v>110000</v>
      </c>
      <c r="F154">
        <v>1</v>
      </c>
      <c r="G154">
        <v>0</v>
      </c>
      <c r="H154" s="7">
        <f t="shared" si="8"/>
        <v>148500</v>
      </c>
      <c r="I154" s="1">
        <f t="shared" si="9"/>
        <v>148500</v>
      </c>
      <c r="J154" s="7">
        <f t="shared" si="10"/>
        <v>0.14849999999999999</v>
      </c>
      <c r="K154" s="7">
        <f t="shared" si="11"/>
        <v>0.14849999999999999</v>
      </c>
    </row>
    <row r="155" spans="1:11" x14ac:dyDescent="0.2">
      <c r="A155" t="s">
        <v>51</v>
      </c>
      <c r="B155">
        <v>3624</v>
      </c>
      <c r="C155" t="s">
        <v>6</v>
      </c>
      <c r="D155">
        <v>185000</v>
      </c>
      <c r="E155">
        <v>185000</v>
      </c>
      <c r="F155">
        <v>1</v>
      </c>
      <c r="G155">
        <v>0</v>
      </c>
      <c r="H155" s="7">
        <f t="shared" si="8"/>
        <v>249750.00000000003</v>
      </c>
      <c r="I155" s="1">
        <f t="shared" si="9"/>
        <v>249750.00000000003</v>
      </c>
      <c r="J155" s="7">
        <f t="shared" si="10"/>
        <v>0.24975000000000003</v>
      </c>
      <c r="K155" s="7">
        <f t="shared" si="11"/>
        <v>0.24975000000000003</v>
      </c>
    </row>
    <row r="156" spans="1:11" x14ac:dyDescent="0.2">
      <c r="A156" t="s">
        <v>67</v>
      </c>
      <c r="B156">
        <v>3624</v>
      </c>
      <c r="C156" t="s">
        <v>6</v>
      </c>
      <c r="D156">
        <v>8000</v>
      </c>
      <c r="E156">
        <v>8000</v>
      </c>
      <c r="F156">
        <v>1</v>
      </c>
      <c r="G156">
        <v>0</v>
      </c>
      <c r="H156" s="7">
        <f t="shared" si="8"/>
        <v>10800</v>
      </c>
      <c r="I156" s="1">
        <f t="shared" si="9"/>
        <v>10800</v>
      </c>
      <c r="J156" s="7">
        <f t="shared" si="10"/>
        <v>1.0800000000000001E-2</v>
      </c>
      <c r="K156" s="7">
        <f t="shared" si="11"/>
        <v>1.0800000000000001E-2</v>
      </c>
    </row>
    <row r="157" spans="1:11" x14ac:dyDescent="0.2">
      <c r="A157" t="s">
        <v>80</v>
      </c>
      <c r="B157">
        <v>3624</v>
      </c>
      <c r="C157" t="s">
        <v>6</v>
      </c>
      <c r="D157">
        <v>200000</v>
      </c>
      <c r="E157">
        <v>200000</v>
      </c>
      <c r="F157">
        <v>1</v>
      </c>
      <c r="G157">
        <v>0</v>
      </c>
      <c r="H157" s="7">
        <f t="shared" si="8"/>
        <v>270000</v>
      </c>
      <c r="I157" s="1">
        <f t="shared" si="9"/>
        <v>270000</v>
      </c>
      <c r="J157" s="7">
        <f t="shared" si="10"/>
        <v>0.27</v>
      </c>
      <c r="K157" s="7">
        <f t="shared" si="11"/>
        <v>0.27</v>
      </c>
    </row>
    <row r="158" spans="1:11" x14ac:dyDescent="0.2">
      <c r="A158" t="s">
        <v>96</v>
      </c>
      <c r="B158">
        <v>3624</v>
      </c>
      <c r="C158" t="s">
        <v>6</v>
      </c>
      <c r="D158">
        <v>140000</v>
      </c>
      <c r="E158">
        <v>140000</v>
      </c>
      <c r="F158">
        <v>1</v>
      </c>
      <c r="G158">
        <v>0</v>
      </c>
      <c r="H158" s="7">
        <f t="shared" si="8"/>
        <v>189000</v>
      </c>
      <c r="I158" s="1">
        <f t="shared" si="9"/>
        <v>189000</v>
      </c>
      <c r="J158" s="7">
        <f t="shared" si="10"/>
        <v>0.189</v>
      </c>
      <c r="K158" s="7">
        <f t="shared" si="11"/>
        <v>0.189</v>
      </c>
    </row>
    <row r="159" spans="1:11" x14ac:dyDescent="0.2">
      <c r="A159" t="s">
        <v>102</v>
      </c>
      <c r="B159">
        <v>3624</v>
      </c>
      <c r="C159" t="s">
        <v>6</v>
      </c>
      <c r="D159">
        <v>345000</v>
      </c>
      <c r="E159">
        <v>345000</v>
      </c>
      <c r="F159">
        <v>1</v>
      </c>
      <c r="G159">
        <v>0</v>
      </c>
      <c r="H159" s="7">
        <f t="shared" si="8"/>
        <v>465750.00000000006</v>
      </c>
      <c r="I159" s="1">
        <f t="shared" si="9"/>
        <v>465750.00000000006</v>
      </c>
      <c r="J159" s="7">
        <f t="shared" si="10"/>
        <v>0.46575000000000005</v>
      </c>
      <c r="K159" s="7">
        <f t="shared" si="11"/>
        <v>0.46575000000000005</v>
      </c>
    </row>
    <row r="160" spans="1:11" x14ac:dyDescent="0.2">
      <c r="A160" t="s">
        <v>105</v>
      </c>
      <c r="B160">
        <v>3624</v>
      </c>
      <c r="C160" t="s">
        <v>6</v>
      </c>
      <c r="D160">
        <v>520000</v>
      </c>
      <c r="E160">
        <v>520000</v>
      </c>
      <c r="F160">
        <v>1</v>
      </c>
      <c r="G160">
        <v>0</v>
      </c>
      <c r="H160" s="7">
        <f t="shared" si="8"/>
        <v>702000</v>
      </c>
      <c r="I160" s="1">
        <f t="shared" si="9"/>
        <v>702000</v>
      </c>
      <c r="J160" s="7">
        <f t="shared" si="10"/>
        <v>0.70199999999999996</v>
      </c>
      <c r="K160" s="7">
        <f t="shared" si="11"/>
        <v>0.70199999999999996</v>
      </c>
    </row>
    <row r="161" spans="1:11" x14ac:dyDescent="0.2">
      <c r="A161" t="s">
        <v>37</v>
      </c>
      <c r="B161">
        <v>3624</v>
      </c>
      <c r="C161" t="s">
        <v>6</v>
      </c>
      <c r="D161">
        <v>36000</v>
      </c>
      <c r="E161">
        <v>36000</v>
      </c>
      <c r="F161">
        <v>1</v>
      </c>
      <c r="G161">
        <v>1</v>
      </c>
      <c r="H161" s="7">
        <f t="shared" si="8"/>
        <v>48600</v>
      </c>
      <c r="I161" s="1">
        <f t="shared" si="9"/>
        <v>48600</v>
      </c>
      <c r="J161" s="7">
        <f t="shared" si="10"/>
        <v>4.8599999999999997E-2</v>
      </c>
      <c r="K161" s="7">
        <f t="shared" si="11"/>
        <v>4.8599999999999997E-2</v>
      </c>
    </row>
    <row r="162" spans="1:11" x14ac:dyDescent="0.2">
      <c r="A162" t="s">
        <v>40</v>
      </c>
      <c r="B162">
        <v>3624</v>
      </c>
      <c r="C162" t="s">
        <v>6</v>
      </c>
      <c r="D162">
        <v>108000</v>
      </c>
      <c r="E162">
        <v>108000</v>
      </c>
      <c r="F162">
        <v>1</v>
      </c>
      <c r="G162">
        <v>1</v>
      </c>
      <c r="H162" s="7">
        <f t="shared" si="8"/>
        <v>145800</v>
      </c>
      <c r="I162" s="1">
        <f t="shared" si="9"/>
        <v>145800</v>
      </c>
      <c r="J162" s="7">
        <f t="shared" si="10"/>
        <v>0.14580000000000001</v>
      </c>
      <c r="K162" s="7">
        <f t="shared" si="11"/>
        <v>0.14580000000000001</v>
      </c>
    </row>
    <row r="163" spans="1:11" x14ac:dyDescent="0.2">
      <c r="A163" t="s">
        <v>46</v>
      </c>
      <c r="B163">
        <v>3624</v>
      </c>
      <c r="C163" t="s">
        <v>6</v>
      </c>
      <c r="D163">
        <v>110000</v>
      </c>
      <c r="E163">
        <v>110000</v>
      </c>
      <c r="F163">
        <v>1</v>
      </c>
      <c r="G163">
        <v>1</v>
      </c>
      <c r="H163" s="7">
        <f t="shared" si="8"/>
        <v>148500</v>
      </c>
      <c r="I163" s="1">
        <f t="shared" si="9"/>
        <v>148500</v>
      </c>
      <c r="J163" s="7">
        <f t="shared" si="10"/>
        <v>0.14849999999999999</v>
      </c>
      <c r="K163" s="7">
        <f t="shared" si="11"/>
        <v>0.14849999999999999</v>
      </c>
    </row>
    <row r="164" spans="1:11" x14ac:dyDescent="0.2">
      <c r="A164" t="s">
        <v>47</v>
      </c>
      <c r="B164">
        <v>3624</v>
      </c>
      <c r="C164" t="s">
        <v>6</v>
      </c>
      <c r="D164">
        <v>10994796.800000001</v>
      </c>
      <c r="E164">
        <v>10994796.800000001</v>
      </c>
      <c r="F164">
        <v>10</v>
      </c>
      <c r="G164">
        <v>1</v>
      </c>
      <c r="H164" s="7">
        <f t="shared" si="8"/>
        <v>14842975.680000002</v>
      </c>
      <c r="I164" s="1">
        <f t="shared" si="9"/>
        <v>14842975.680000002</v>
      </c>
      <c r="J164" s="7">
        <f t="shared" si="10"/>
        <v>14.842975680000002</v>
      </c>
      <c r="K164" s="7">
        <f t="shared" si="11"/>
        <v>14.842975680000002</v>
      </c>
    </row>
    <row r="165" spans="1:11" x14ac:dyDescent="0.2">
      <c r="A165" t="s">
        <v>51</v>
      </c>
      <c r="B165">
        <v>3624</v>
      </c>
      <c r="C165" t="s">
        <v>6</v>
      </c>
      <c r="D165">
        <v>185000</v>
      </c>
      <c r="E165">
        <v>185000</v>
      </c>
      <c r="F165">
        <v>1</v>
      </c>
      <c r="G165">
        <v>1</v>
      </c>
      <c r="H165" s="7">
        <f t="shared" si="8"/>
        <v>249750.00000000003</v>
      </c>
      <c r="I165" s="1">
        <f t="shared" si="9"/>
        <v>249750.00000000003</v>
      </c>
      <c r="J165" s="7">
        <f t="shared" si="10"/>
        <v>0.24975000000000003</v>
      </c>
      <c r="K165" s="7">
        <f t="shared" si="11"/>
        <v>0.24975000000000003</v>
      </c>
    </row>
    <row r="166" spans="1:11" x14ac:dyDescent="0.2">
      <c r="A166" t="s">
        <v>59</v>
      </c>
      <c r="B166">
        <v>3624</v>
      </c>
      <c r="C166" t="s">
        <v>6</v>
      </c>
      <c r="D166">
        <v>5578000</v>
      </c>
      <c r="E166">
        <v>5578000</v>
      </c>
      <c r="F166">
        <v>5</v>
      </c>
      <c r="G166">
        <v>1</v>
      </c>
      <c r="H166" s="7">
        <f t="shared" si="8"/>
        <v>7530300.0000000009</v>
      </c>
      <c r="I166" s="1">
        <f t="shared" si="9"/>
        <v>7530300.0000000009</v>
      </c>
      <c r="J166" s="7">
        <f t="shared" si="10"/>
        <v>7.5303000000000013</v>
      </c>
      <c r="K166" s="7">
        <f t="shared" si="11"/>
        <v>7.5303000000000013</v>
      </c>
    </row>
    <row r="167" spans="1:11" x14ac:dyDescent="0.2">
      <c r="A167" t="s">
        <v>67</v>
      </c>
      <c r="B167">
        <v>3624</v>
      </c>
      <c r="C167" t="s">
        <v>6</v>
      </c>
      <c r="D167">
        <v>8000</v>
      </c>
      <c r="E167">
        <v>8000</v>
      </c>
      <c r="F167">
        <v>1</v>
      </c>
      <c r="G167">
        <v>1</v>
      </c>
      <c r="H167" s="7">
        <f t="shared" si="8"/>
        <v>10800</v>
      </c>
      <c r="I167" s="1">
        <f t="shared" si="9"/>
        <v>10800</v>
      </c>
      <c r="J167" s="7">
        <f t="shared" si="10"/>
        <v>1.0800000000000001E-2</v>
      </c>
      <c r="K167" s="7">
        <f t="shared" si="11"/>
        <v>1.0800000000000001E-2</v>
      </c>
    </row>
    <row r="168" spans="1:11" x14ac:dyDescent="0.2">
      <c r="A168" t="s">
        <v>80</v>
      </c>
      <c r="B168">
        <v>3624</v>
      </c>
      <c r="C168" t="s">
        <v>6</v>
      </c>
      <c r="D168">
        <v>200000</v>
      </c>
      <c r="E168">
        <v>200000</v>
      </c>
      <c r="F168">
        <v>1</v>
      </c>
      <c r="G168">
        <v>1</v>
      </c>
      <c r="H168" s="7">
        <f t="shared" si="8"/>
        <v>270000</v>
      </c>
      <c r="I168" s="1">
        <f t="shared" si="9"/>
        <v>270000</v>
      </c>
      <c r="J168" s="7">
        <f t="shared" si="10"/>
        <v>0.27</v>
      </c>
      <c r="K168" s="7">
        <f t="shared" si="11"/>
        <v>0.27</v>
      </c>
    </row>
    <row r="169" spans="1:11" x14ac:dyDescent="0.2">
      <c r="A169" t="s">
        <v>96</v>
      </c>
      <c r="B169">
        <v>3624</v>
      </c>
      <c r="C169" t="s">
        <v>6</v>
      </c>
      <c r="D169">
        <v>212000</v>
      </c>
      <c r="E169">
        <v>212000</v>
      </c>
      <c r="F169">
        <v>2</v>
      </c>
      <c r="G169">
        <v>1</v>
      </c>
      <c r="H169" s="7">
        <f t="shared" si="8"/>
        <v>286200</v>
      </c>
      <c r="I169" s="1">
        <f t="shared" si="9"/>
        <v>286200</v>
      </c>
      <c r="J169" s="7">
        <f t="shared" si="10"/>
        <v>0.28620000000000001</v>
      </c>
      <c r="K169" s="7">
        <f t="shared" si="11"/>
        <v>0.28620000000000001</v>
      </c>
    </row>
    <row r="170" spans="1:11" x14ac:dyDescent="0.2">
      <c r="A170" t="s">
        <v>102</v>
      </c>
      <c r="B170">
        <v>3624</v>
      </c>
      <c r="C170" t="s">
        <v>6</v>
      </c>
      <c r="D170">
        <v>2462700</v>
      </c>
      <c r="E170">
        <v>2462700</v>
      </c>
      <c r="F170">
        <v>3</v>
      </c>
      <c r="G170">
        <v>1</v>
      </c>
      <c r="H170" s="7">
        <f t="shared" si="8"/>
        <v>3324645</v>
      </c>
      <c r="I170" s="1">
        <f t="shared" si="9"/>
        <v>3324645</v>
      </c>
      <c r="J170" s="7">
        <f t="shared" si="10"/>
        <v>3.3246449999999999</v>
      </c>
      <c r="K170" s="7">
        <f t="shared" si="11"/>
        <v>3.3246449999999999</v>
      </c>
    </row>
    <row r="171" spans="1:11" x14ac:dyDescent="0.2">
      <c r="A171" t="s">
        <v>105</v>
      </c>
      <c r="B171">
        <v>3624</v>
      </c>
      <c r="C171" t="s">
        <v>6</v>
      </c>
      <c r="D171">
        <v>520000</v>
      </c>
      <c r="E171">
        <v>520000</v>
      </c>
      <c r="F171">
        <v>1</v>
      </c>
      <c r="G171">
        <v>1</v>
      </c>
      <c r="H171" s="7">
        <f t="shared" si="8"/>
        <v>702000</v>
      </c>
      <c r="I171" s="1">
        <f t="shared" si="9"/>
        <v>702000</v>
      </c>
      <c r="J171" s="7">
        <f t="shared" si="10"/>
        <v>0.70199999999999996</v>
      </c>
      <c r="K171" s="7">
        <f t="shared" si="11"/>
        <v>0.70199999999999996</v>
      </c>
    </row>
    <row r="172" spans="1:11" x14ac:dyDescent="0.2">
      <c r="A172" t="s">
        <v>37</v>
      </c>
      <c r="B172" t="s">
        <v>7</v>
      </c>
      <c r="C172" t="s">
        <v>6</v>
      </c>
      <c r="D172">
        <v>55056</v>
      </c>
      <c r="E172">
        <v>55056</v>
      </c>
      <c r="F172">
        <v>1</v>
      </c>
      <c r="G172">
        <v>0</v>
      </c>
      <c r="H172" s="7">
        <f t="shared" si="8"/>
        <v>74325.600000000006</v>
      </c>
      <c r="I172" s="1">
        <f t="shared" si="9"/>
        <v>74325.600000000006</v>
      </c>
      <c r="J172" s="7">
        <f t="shared" si="10"/>
        <v>7.4325600000000006E-2</v>
      </c>
      <c r="K172" s="7">
        <f t="shared" si="11"/>
        <v>7.4325600000000006E-2</v>
      </c>
    </row>
    <row r="173" spans="1:11" x14ac:dyDescent="0.2">
      <c r="A173" t="s">
        <v>59</v>
      </c>
      <c r="B173" t="s">
        <v>7</v>
      </c>
      <c r="C173" t="s">
        <v>6</v>
      </c>
      <c r="D173">
        <v>7099946</v>
      </c>
      <c r="E173">
        <v>7099946</v>
      </c>
      <c r="F173">
        <v>15</v>
      </c>
      <c r="G173">
        <v>0</v>
      </c>
      <c r="H173" s="7">
        <f t="shared" si="8"/>
        <v>9584927.1000000015</v>
      </c>
      <c r="I173" s="1">
        <f t="shared" si="9"/>
        <v>9584927.1000000015</v>
      </c>
      <c r="J173" s="7">
        <f t="shared" si="10"/>
        <v>9.5849271000000016</v>
      </c>
      <c r="K173" s="7">
        <f t="shared" si="11"/>
        <v>9.5849271000000016</v>
      </c>
    </row>
    <row r="174" spans="1:11" x14ac:dyDescent="0.2">
      <c r="A174" t="s">
        <v>60</v>
      </c>
      <c r="B174" t="s">
        <v>7</v>
      </c>
      <c r="C174" t="s">
        <v>6</v>
      </c>
      <c r="D174">
        <v>1314558</v>
      </c>
      <c r="E174">
        <v>1314558</v>
      </c>
      <c r="F174">
        <v>3</v>
      </c>
      <c r="G174">
        <v>0</v>
      </c>
      <c r="H174" s="7">
        <f t="shared" si="8"/>
        <v>1774653.3</v>
      </c>
      <c r="I174" s="1">
        <f t="shared" si="9"/>
        <v>1774653.3</v>
      </c>
      <c r="J174" s="7">
        <f t="shared" si="10"/>
        <v>1.7746533</v>
      </c>
      <c r="K174" s="7">
        <f t="shared" si="11"/>
        <v>1.7746533</v>
      </c>
    </row>
    <row r="175" spans="1:11" x14ac:dyDescent="0.2">
      <c r="A175" t="s">
        <v>114</v>
      </c>
      <c r="B175" t="s">
        <v>7</v>
      </c>
      <c r="C175" t="s">
        <v>6</v>
      </c>
      <c r="D175">
        <v>4434700</v>
      </c>
      <c r="E175">
        <v>4434700</v>
      </c>
      <c r="F175">
        <v>1</v>
      </c>
      <c r="G175">
        <v>0</v>
      </c>
      <c r="H175" s="7">
        <f t="shared" si="8"/>
        <v>5986845</v>
      </c>
      <c r="I175" s="1">
        <f t="shared" si="9"/>
        <v>5986845</v>
      </c>
      <c r="J175" s="7">
        <f t="shared" si="10"/>
        <v>5.9868449999999998</v>
      </c>
      <c r="K175" s="7">
        <f t="shared" si="11"/>
        <v>5.9868449999999998</v>
      </c>
    </row>
    <row r="176" spans="1:11" x14ac:dyDescent="0.2">
      <c r="A176" t="s">
        <v>123</v>
      </c>
      <c r="B176" t="s">
        <v>7</v>
      </c>
      <c r="C176" t="s">
        <v>6</v>
      </c>
      <c r="D176">
        <v>2156533.2000000002</v>
      </c>
      <c r="E176">
        <v>2156533.2000000002</v>
      </c>
      <c r="F176">
        <v>6</v>
      </c>
      <c r="G176">
        <v>0</v>
      </c>
      <c r="H176" s="7">
        <f t="shared" si="8"/>
        <v>2911319.8200000003</v>
      </c>
      <c r="I176" s="1">
        <f t="shared" si="9"/>
        <v>2911319.8200000003</v>
      </c>
      <c r="J176" s="7">
        <f t="shared" si="10"/>
        <v>2.9113198200000001</v>
      </c>
      <c r="K176" s="7">
        <f t="shared" si="11"/>
        <v>2.9113198200000001</v>
      </c>
    </row>
    <row r="177" spans="1:11" x14ac:dyDescent="0.2">
      <c r="A177" t="s">
        <v>124</v>
      </c>
      <c r="B177" t="s">
        <v>7</v>
      </c>
      <c r="C177" t="s">
        <v>6</v>
      </c>
      <c r="D177">
        <v>17013.2</v>
      </c>
      <c r="E177">
        <v>17013.2</v>
      </c>
      <c r="F177">
        <v>1</v>
      </c>
      <c r="G177">
        <v>0</v>
      </c>
      <c r="H177" s="7">
        <f t="shared" si="8"/>
        <v>22967.820000000003</v>
      </c>
      <c r="I177" s="1">
        <f t="shared" si="9"/>
        <v>22967.820000000003</v>
      </c>
      <c r="J177" s="7">
        <f t="shared" si="10"/>
        <v>2.2967820000000003E-2</v>
      </c>
      <c r="K177" s="7">
        <f t="shared" si="11"/>
        <v>2.2967820000000003E-2</v>
      </c>
    </row>
    <row r="178" spans="1:11" x14ac:dyDescent="0.2">
      <c r="A178" t="s">
        <v>96</v>
      </c>
      <c r="B178" t="s">
        <v>7</v>
      </c>
      <c r="C178" t="s">
        <v>6</v>
      </c>
      <c r="D178">
        <v>255000</v>
      </c>
      <c r="E178">
        <v>255000</v>
      </c>
      <c r="F178">
        <v>1</v>
      </c>
      <c r="G178">
        <v>0</v>
      </c>
      <c r="H178" s="7">
        <f t="shared" si="8"/>
        <v>344250</v>
      </c>
      <c r="I178" s="1">
        <f t="shared" si="9"/>
        <v>344250</v>
      </c>
      <c r="J178" s="7">
        <f t="shared" si="10"/>
        <v>0.34425</v>
      </c>
      <c r="K178" s="7">
        <f t="shared" si="11"/>
        <v>0.34425</v>
      </c>
    </row>
    <row r="179" spans="1:11" x14ac:dyDescent="0.2">
      <c r="A179" t="s">
        <v>102</v>
      </c>
      <c r="B179" t="s">
        <v>7</v>
      </c>
      <c r="C179" t="s">
        <v>6</v>
      </c>
      <c r="D179">
        <v>101000</v>
      </c>
      <c r="E179">
        <v>101000</v>
      </c>
      <c r="F179">
        <v>1</v>
      </c>
      <c r="G179">
        <v>0</v>
      </c>
      <c r="H179" s="7">
        <f t="shared" si="8"/>
        <v>136350</v>
      </c>
      <c r="I179" s="1">
        <f t="shared" si="9"/>
        <v>136350</v>
      </c>
      <c r="J179" s="7">
        <f t="shared" si="10"/>
        <v>0.13635</v>
      </c>
      <c r="K179" s="7">
        <f t="shared" si="11"/>
        <v>0.13635</v>
      </c>
    </row>
    <row r="180" spans="1:11" x14ac:dyDescent="0.2">
      <c r="A180" t="s">
        <v>40</v>
      </c>
      <c r="B180" t="s">
        <v>7</v>
      </c>
      <c r="C180" t="s">
        <v>6</v>
      </c>
      <c r="D180">
        <v>151000</v>
      </c>
      <c r="E180">
        <v>151000</v>
      </c>
      <c r="F180">
        <v>3</v>
      </c>
      <c r="G180">
        <v>1</v>
      </c>
      <c r="H180" s="7">
        <f t="shared" si="8"/>
        <v>203850</v>
      </c>
      <c r="I180" s="1">
        <f t="shared" si="9"/>
        <v>203850</v>
      </c>
      <c r="J180" s="7">
        <f t="shared" si="10"/>
        <v>0.20385</v>
      </c>
      <c r="K180" s="7">
        <f t="shared" si="11"/>
        <v>0.20385</v>
      </c>
    </row>
    <row r="181" spans="1:11" x14ac:dyDescent="0.2">
      <c r="A181" t="s">
        <v>46</v>
      </c>
      <c r="B181" t="s">
        <v>7</v>
      </c>
      <c r="C181" t="s">
        <v>6</v>
      </c>
      <c r="D181">
        <v>212000</v>
      </c>
      <c r="E181">
        <v>212000</v>
      </c>
      <c r="F181">
        <v>1</v>
      </c>
      <c r="G181">
        <v>1</v>
      </c>
      <c r="H181" s="7">
        <f t="shared" si="8"/>
        <v>286200</v>
      </c>
      <c r="I181" s="1">
        <f t="shared" si="9"/>
        <v>286200</v>
      </c>
      <c r="J181" s="7">
        <f t="shared" si="10"/>
        <v>0.28620000000000001</v>
      </c>
      <c r="K181" s="7">
        <f t="shared" si="11"/>
        <v>0.28620000000000001</v>
      </c>
    </row>
    <row r="182" spans="1:11" x14ac:dyDescent="0.2">
      <c r="A182" t="s">
        <v>47</v>
      </c>
      <c r="B182" t="s">
        <v>7</v>
      </c>
      <c r="C182" t="s">
        <v>6</v>
      </c>
      <c r="D182">
        <v>218400</v>
      </c>
      <c r="E182">
        <v>218400</v>
      </c>
      <c r="F182">
        <v>1</v>
      </c>
      <c r="G182">
        <v>1</v>
      </c>
      <c r="H182" s="7">
        <f t="shared" si="8"/>
        <v>294840</v>
      </c>
      <c r="I182" s="1">
        <f t="shared" si="9"/>
        <v>294840</v>
      </c>
      <c r="J182" s="7">
        <f t="shared" si="10"/>
        <v>0.29483999999999999</v>
      </c>
      <c r="K182" s="7">
        <f t="shared" si="11"/>
        <v>0.29483999999999999</v>
      </c>
    </row>
    <row r="183" spans="1:11" x14ac:dyDescent="0.2">
      <c r="A183" t="s">
        <v>59</v>
      </c>
      <c r="B183" t="s">
        <v>7</v>
      </c>
      <c r="C183" t="s">
        <v>6</v>
      </c>
      <c r="D183" s="8">
        <v>121288000000</v>
      </c>
      <c r="E183" s="8">
        <v>121288000000</v>
      </c>
      <c r="F183">
        <v>173171</v>
      </c>
      <c r="G183">
        <v>1</v>
      </c>
      <c r="H183" s="7">
        <f t="shared" si="8"/>
        <v>163738800000</v>
      </c>
      <c r="I183" s="1">
        <f t="shared" si="9"/>
        <v>163738800000</v>
      </c>
      <c r="J183" s="7">
        <f t="shared" si="10"/>
        <v>163738.79999999999</v>
      </c>
      <c r="K183" s="7">
        <f t="shared" si="11"/>
        <v>163738.79999999999</v>
      </c>
    </row>
    <row r="184" spans="1:11" x14ac:dyDescent="0.2">
      <c r="A184" t="s">
        <v>110</v>
      </c>
      <c r="B184" t="s">
        <v>7</v>
      </c>
      <c r="C184" t="s">
        <v>6</v>
      </c>
      <c r="D184">
        <v>88198734.980000004</v>
      </c>
      <c r="E184">
        <v>88198734.980000004</v>
      </c>
      <c r="F184">
        <v>67</v>
      </c>
      <c r="G184">
        <v>1</v>
      </c>
      <c r="H184" s="7">
        <f t="shared" si="8"/>
        <v>119068292.22300002</v>
      </c>
      <c r="I184" s="1">
        <f t="shared" si="9"/>
        <v>119068292.22300002</v>
      </c>
      <c r="J184" s="7">
        <f t="shared" si="10"/>
        <v>119.06829222300001</v>
      </c>
      <c r="K184" s="7">
        <f t="shared" si="11"/>
        <v>119.06829222300001</v>
      </c>
    </row>
    <row r="185" spans="1:11" x14ac:dyDescent="0.2">
      <c r="A185" t="s">
        <v>60</v>
      </c>
      <c r="B185" t="s">
        <v>7</v>
      </c>
      <c r="C185" t="s">
        <v>6</v>
      </c>
      <c r="D185">
        <v>2806992</v>
      </c>
      <c r="E185">
        <v>2806992</v>
      </c>
      <c r="F185">
        <v>4</v>
      </c>
      <c r="G185">
        <v>1</v>
      </c>
      <c r="H185" s="7">
        <f t="shared" si="8"/>
        <v>3789439.2</v>
      </c>
      <c r="I185" s="1">
        <f t="shared" si="9"/>
        <v>3789439.2</v>
      </c>
      <c r="J185" s="7">
        <f t="shared" si="10"/>
        <v>3.7894392000000003</v>
      </c>
      <c r="K185" s="7">
        <f t="shared" si="11"/>
        <v>3.7894392000000003</v>
      </c>
    </row>
    <row r="186" spans="1:11" x14ac:dyDescent="0.2">
      <c r="A186" t="s">
        <v>63</v>
      </c>
      <c r="B186" t="s">
        <v>7</v>
      </c>
      <c r="C186" t="s">
        <v>6</v>
      </c>
      <c r="D186">
        <v>96000</v>
      </c>
      <c r="E186">
        <v>96000</v>
      </c>
      <c r="F186">
        <v>2</v>
      </c>
      <c r="G186">
        <v>1</v>
      </c>
      <c r="H186" s="7">
        <f t="shared" si="8"/>
        <v>129600.00000000001</v>
      </c>
      <c r="I186" s="1">
        <f t="shared" si="9"/>
        <v>129600.00000000001</v>
      </c>
      <c r="J186" s="7">
        <f t="shared" si="10"/>
        <v>0.12960000000000002</v>
      </c>
      <c r="K186" s="7">
        <f t="shared" si="11"/>
        <v>0.12960000000000002</v>
      </c>
    </row>
    <row r="187" spans="1:11" x14ac:dyDescent="0.2">
      <c r="A187" t="s">
        <v>114</v>
      </c>
      <c r="B187" t="s">
        <v>7</v>
      </c>
      <c r="C187" t="s">
        <v>6</v>
      </c>
      <c r="D187">
        <v>198726910.09999999</v>
      </c>
      <c r="E187">
        <v>198726910.09999999</v>
      </c>
      <c r="F187">
        <v>184</v>
      </c>
      <c r="G187">
        <v>1</v>
      </c>
      <c r="H187" s="7">
        <f t="shared" si="8"/>
        <v>268281328.63500002</v>
      </c>
      <c r="I187" s="1">
        <f t="shared" si="9"/>
        <v>268281328.63500002</v>
      </c>
      <c r="J187" s="7">
        <f t="shared" si="10"/>
        <v>268.28132863500002</v>
      </c>
      <c r="K187" s="7">
        <f t="shared" si="11"/>
        <v>268.28132863500002</v>
      </c>
    </row>
    <row r="188" spans="1:11" x14ac:dyDescent="0.2">
      <c r="A188" t="s">
        <v>67</v>
      </c>
      <c r="B188" t="s">
        <v>7</v>
      </c>
      <c r="C188" t="s">
        <v>6</v>
      </c>
      <c r="D188">
        <v>94000</v>
      </c>
      <c r="E188">
        <v>94000</v>
      </c>
      <c r="F188">
        <v>1</v>
      </c>
      <c r="G188">
        <v>1</v>
      </c>
      <c r="H188" s="7">
        <f t="shared" si="8"/>
        <v>126900.00000000001</v>
      </c>
      <c r="I188" s="1">
        <f t="shared" si="9"/>
        <v>126900.00000000001</v>
      </c>
      <c r="J188" s="7">
        <f t="shared" si="10"/>
        <v>0.12690000000000001</v>
      </c>
      <c r="K188" s="7">
        <f t="shared" si="11"/>
        <v>0.12690000000000001</v>
      </c>
    </row>
    <row r="189" spans="1:11" x14ac:dyDescent="0.2">
      <c r="A189" t="s">
        <v>123</v>
      </c>
      <c r="B189" t="s">
        <v>7</v>
      </c>
      <c r="C189" t="s">
        <v>6</v>
      </c>
      <c r="D189">
        <v>123050348.8</v>
      </c>
      <c r="E189">
        <v>123050348.8</v>
      </c>
      <c r="F189">
        <v>179</v>
      </c>
      <c r="G189">
        <v>1</v>
      </c>
      <c r="H189" s="7">
        <f t="shared" si="8"/>
        <v>166117970.88</v>
      </c>
      <c r="I189" s="1">
        <f t="shared" si="9"/>
        <v>166117970.88</v>
      </c>
      <c r="J189" s="7">
        <f t="shared" si="10"/>
        <v>166.11797088</v>
      </c>
      <c r="K189" s="7">
        <f t="shared" si="11"/>
        <v>166.11797088</v>
      </c>
    </row>
    <row r="190" spans="1:11" x14ac:dyDescent="0.2">
      <c r="A190" t="s">
        <v>69</v>
      </c>
      <c r="B190" t="s">
        <v>7</v>
      </c>
      <c r="C190" t="s">
        <v>6</v>
      </c>
      <c r="D190">
        <v>276000</v>
      </c>
      <c r="E190">
        <v>276000</v>
      </c>
      <c r="F190">
        <v>2</v>
      </c>
      <c r="G190">
        <v>1</v>
      </c>
      <c r="H190" s="7">
        <f t="shared" si="8"/>
        <v>372600</v>
      </c>
      <c r="I190" s="1">
        <f t="shared" si="9"/>
        <v>372600</v>
      </c>
      <c r="J190" s="7">
        <f t="shared" si="10"/>
        <v>0.37259999999999999</v>
      </c>
      <c r="K190" s="7">
        <f t="shared" si="11"/>
        <v>0.37259999999999999</v>
      </c>
    </row>
    <row r="191" spans="1:11" x14ac:dyDescent="0.2">
      <c r="A191" t="s">
        <v>125</v>
      </c>
      <c r="B191" t="s">
        <v>7</v>
      </c>
      <c r="C191" t="s">
        <v>6</v>
      </c>
      <c r="D191">
        <v>109000</v>
      </c>
      <c r="E191">
        <v>109000</v>
      </c>
      <c r="F191">
        <v>1</v>
      </c>
      <c r="G191">
        <v>1</v>
      </c>
      <c r="H191" s="7">
        <f t="shared" si="8"/>
        <v>147150</v>
      </c>
      <c r="I191" s="1">
        <f t="shared" si="9"/>
        <v>147150</v>
      </c>
      <c r="J191" s="7">
        <f t="shared" si="10"/>
        <v>0.14715</v>
      </c>
      <c r="K191" s="7">
        <f t="shared" si="11"/>
        <v>0.14715</v>
      </c>
    </row>
    <row r="192" spans="1:11" x14ac:dyDescent="0.2">
      <c r="A192" t="s">
        <v>96</v>
      </c>
      <c r="B192" t="s">
        <v>7</v>
      </c>
      <c r="C192" t="s">
        <v>6</v>
      </c>
      <c r="D192">
        <v>952584</v>
      </c>
      <c r="E192">
        <v>952584</v>
      </c>
      <c r="F192">
        <v>5</v>
      </c>
      <c r="G192">
        <v>1</v>
      </c>
      <c r="H192" s="7">
        <f t="shared" si="8"/>
        <v>1285988.4000000001</v>
      </c>
      <c r="I192" s="1">
        <f t="shared" si="9"/>
        <v>1285988.4000000001</v>
      </c>
      <c r="J192" s="7">
        <f t="shared" si="10"/>
        <v>1.2859884000000001</v>
      </c>
      <c r="K192" s="7">
        <f t="shared" si="11"/>
        <v>1.2859884000000001</v>
      </c>
    </row>
    <row r="193" spans="1:11" x14ac:dyDescent="0.2">
      <c r="A193" t="s">
        <v>99</v>
      </c>
      <c r="B193" t="s">
        <v>7</v>
      </c>
      <c r="C193" t="s">
        <v>6</v>
      </c>
      <c r="D193">
        <v>20000</v>
      </c>
      <c r="E193">
        <v>20000</v>
      </c>
      <c r="F193">
        <v>1</v>
      </c>
      <c r="G193">
        <v>1</v>
      </c>
      <c r="H193" s="7">
        <f t="shared" si="8"/>
        <v>27000</v>
      </c>
      <c r="I193" s="1">
        <f t="shared" si="9"/>
        <v>27000</v>
      </c>
      <c r="J193" s="7">
        <f t="shared" si="10"/>
        <v>2.7E-2</v>
      </c>
      <c r="K193" s="7">
        <f t="shared" si="11"/>
        <v>2.7E-2</v>
      </c>
    </row>
    <row r="194" spans="1:11" x14ac:dyDescent="0.2">
      <c r="A194" t="s">
        <v>101</v>
      </c>
      <c r="B194" t="s">
        <v>7</v>
      </c>
      <c r="C194" t="s">
        <v>6</v>
      </c>
      <c r="D194">
        <v>275000</v>
      </c>
      <c r="E194">
        <v>275000</v>
      </c>
      <c r="F194">
        <v>1</v>
      </c>
      <c r="G194">
        <v>1</v>
      </c>
      <c r="H194" s="7">
        <f t="shared" si="8"/>
        <v>371250</v>
      </c>
      <c r="I194" s="1">
        <f t="shared" si="9"/>
        <v>371250</v>
      </c>
      <c r="J194" s="7">
        <f t="shared" si="10"/>
        <v>0.37125000000000002</v>
      </c>
      <c r="K194" s="7">
        <f t="shared" si="11"/>
        <v>0.37125000000000002</v>
      </c>
    </row>
    <row r="195" spans="1:11" x14ac:dyDescent="0.2">
      <c r="A195" t="s">
        <v>102</v>
      </c>
      <c r="B195" t="s">
        <v>7</v>
      </c>
      <c r="C195" t="s">
        <v>6</v>
      </c>
      <c r="D195">
        <v>22746034</v>
      </c>
      <c r="E195">
        <v>22746034</v>
      </c>
      <c r="F195">
        <v>32</v>
      </c>
      <c r="G195">
        <v>1</v>
      </c>
      <c r="H195" s="7">
        <f t="shared" ref="H195:H258" si="12">D195*1.35</f>
        <v>30707145.900000002</v>
      </c>
      <c r="I195" s="1">
        <f t="shared" ref="I195:I258" si="13">E195*1.35</f>
        <v>30707145.900000002</v>
      </c>
      <c r="J195" s="7">
        <f t="shared" ref="J195:J258" si="14">H195/1000000</f>
        <v>30.707145900000004</v>
      </c>
      <c r="K195" s="7">
        <f t="shared" ref="K195:K258" si="15">I195/1000000</f>
        <v>30.707145900000004</v>
      </c>
    </row>
    <row r="196" spans="1:11" x14ac:dyDescent="0.2">
      <c r="A196" t="s">
        <v>105</v>
      </c>
      <c r="B196" t="s">
        <v>7</v>
      </c>
      <c r="C196" t="s">
        <v>6</v>
      </c>
      <c r="D196">
        <v>2075560</v>
      </c>
      <c r="E196">
        <v>2075560</v>
      </c>
      <c r="F196">
        <v>3</v>
      </c>
      <c r="G196">
        <v>1</v>
      </c>
      <c r="H196" s="7">
        <f t="shared" si="12"/>
        <v>2802006</v>
      </c>
      <c r="I196" s="1">
        <f t="shared" si="13"/>
        <v>2802006</v>
      </c>
      <c r="J196" s="7">
        <f t="shared" si="14"/>
        <v>2.802006</v>
      </c>
      <c r="K196" s="7">
        <f t="shared" si="15"/>
        <v>2.802006</v>
      </c>
    </row>
    <row r="197" spans="1:11" x14ac:dyDescent="0.2">
      <c r="A197" t="s">
        <v>37</v>
      </c>
      <c r="B197" t="s">
        <v>8</v>
      </c>
      <c r="C197" t="s">
        <v>6</v>
      </c>
      <c r="D197">
        <v>719040.53020000004</v>
      </c>
      <c r="E197">
        <v>719040.53020000004</v>
      </c>
      <c r="F197">
        <v>1</v>
      </c>
      <c r="G197">
        <v>0</v>
      </c>
      <c r="H197" s="7">
        <f t="shared" si="12"/>
        <v>970704.71577000013</v>
      </c>
      <c r="I197" s="1">
        <f t="shared" si="13"/>
        <v>970704.71577000013</v>
      </c>
      <c r="J197" s="7">
        <f t="shared" si="14"/>
        <v>0.97070471577000017</v>
      </c>
      <c r="K197" s="7">
        <f t="shared" si="15"/>
        <v>0.97070471577000017</v>
      </c>
    </row>
    <row r="198" spans="1:11" x14ac:dyDescent="0.2">
      <c r="A198" t="s">
        <v>41</v>
      </c>
      <c r="B198" t="s">
        <v>8</v>
      </c>
      <c r="C198" t="s">
        <v>6</v>
      </c>
      <c r="D198">
        <v>5588088.6780000003</v>
      </c>
      <c r="E198">
        <v>5588088.6780000003</v>
      </c>
      <c r="F198">
        <v>2</v>
      </c>
      <c r="G198">
        <v>0</v>
      </c>
      <c r="H198" s="7">
        <f t="shared" si="12"/>
        <v>7543919.7153000012</v>
      </c>
      <c r="I198" s="1">
        <f t="shared" si="13"/>
        <v>7543919.7153000012</v>
      </c>
      <c r="J198" s="7">
        <f t="shared" si="14"/>
        <v>7.5439197153000013</v>
      </c>
      <c r="K198" s="7">
        <f t="shared" si="15"/>
        <v>7.5439197153000013</v>
      </c>
    </row>
    <row r="199" spans="1:11" x14ac:dyDescent="0.2">
      <c r="A199" t="s">
        <v>43</v>
      </c>
      <c r="B199" t="s">
        <v>8</v>
      </c>
      <c r="C199" t="s">
        <v>6</v>
      </c>
      <c r="D199">
        <v>28548158.059999999</v>
      </c>
      <c r="E199">
        <v>27781750.629999999</v>
      </c>
      <c r="F199">
        <v>3</v>
      </c>
      <c r="G199">
        <v>0</v>
      </c>
      <c r="H199" s="7">
        <f t="shared" si="12"/>
        <v>38540013.380999997</v>
      </c>
      <c r="I199" s="1">
        <f t="shared" si="13"/>
        <v>37505363.350500003</v>
      </c>
      <c r="J199" s="7">
        <f t="shared" si="14"/>
        <v>38.540013380999994</v>
      </c>
      <c r="K199" s="7">
        <f t="shared" si="15"/>
        <v>37.505363350500005</v>
      </c>
    </row>
    <row r="200" spans="1:11" x14ac:dyDescent="0.2">
      <c r="A200" t="s">
        <v>47</v>
      </c>
      <c r="B200" t="s">
        <v>8</v>
      </c>
      <c r="C200" t="s">
        <v>6</v>
      </c>
      <c r="D200">
        <v>143985858.40000001</v>
      </c>
      <c r="E200">
        <v>75833109.030000001</v>
      </c>
      <c r="F200">
        <v>5</v>
      </c>
      <c r="G200">
        <v>0</v>
      </c>
      <c r="H200" s="7">
        <f t="shared" si="12"/>
        <v>194380908.84000003</v>
      </c>
      <c r="I200" s="1">
        <f t="shared" si="13"/>
        <v>102374697.19050001</v>
      </c>
      <c r="J200" s="7">
        <f t="shared" si="14"/>
        <v>194.38090884000005</v>
      </c>
      <c r="K200" s="7">
        <f t="shared" si="15"/>
        <v>102.3746971905</v>
      </c>
    </row>
    <row r="201" spans="1:11" x14ac:dyDescent="0.2">
      <c r="A201" t="s">
        <v>51</v>
      </c>
      <c r="B201" t="s">
        <v>8</v>
      </c>
      <c r="C201" t="s">
        <v>6</v>
      </c>
      <c r="D201">
        <v>1016712.044</v>
      </c>
      <c r="E201">
        <v>1016712.044</v>
      </c>
      <c r="F201">
        <v>1</v>
      </c>
      <c r="G201">
        <v>0</v>
      </c>
      <c r="H201" s="7">
        <f t="shared" si="12"/>
        <v>1372561.2594000001</v>
      </c>
      <c r="I201" s="1">
        <f t="shared" si="13"/>
        <v>1372561.2594000001</v>
      </c>
      <c r="J201" s="7">
        <f t="shared" si="14"/>
        <v>1.3725612594000001</v>
      </c>
      <c r="K201" s="7">
        <f t="shared" si="15"/>
        <v>1.3725612594000001</v>
      </c>
    </row>
    <row r="202" spans="1:11" x14ac:dyDescent="0.2">
      <c r="A202" t="s">
        <v>57</v>
      </c>
      <c r="B202" t="s">
        <v>8</v>
      </c>
      <c r="C202" t="s">
        <v>6</v>
      </c>
      <c r="D202">
        <v>24551141.809999999</v>
      </c>
      <c r="E202">
        <v>24551141.809999999</v>
      </c>
      <c r="F202">
        <v>2</v>
      </c>
      <c r="G202">
        <v>0</v>
      </c>
      <c r="H202" s="7">
        <f t="shared" si="12"/>
        <v>33144041.443500001</v>
      </c>
      <c r="I202" s="1">
        <f t="shared" si="13"/>
        <v>33144041.443500001</v>
      </c>
      <c r="J202" s="7">
        <f t="shared" si="14"/>
        <v>33.144041443500001</v>
      </c>
      <c r="K202" s="7">
        <f t="shared" si="15"/>
        <v>33.144041443500001</v>
      </c>
    </row>
    <row r="203" spans="1:11" x14ac:dyDescent="0.2">
      <c r="A203" t="s">
        <v>58</v>
      </c>
      <c r="B203" t="s">
        <v>8</v>
      </c>
      <c r="C203" t="s">
        <v>6</v>
      </c>
      <c r="D203">
        <v>55746827.549999997</v>
      </c>
      <c r="E203">
        <v>31311598</v>
      </c>
      <c r="F203">
        <v>4</v>
      </c>
      <c r="G203">
        <v>0</v>
      </c>
      <c r="H203" s="7">
        <f t="shared" si="12"/>
        <v>75258217.192499995</v>
      </c>
      <c r="I203" s="1">
        <f t="shared" si="13"/>
        <v>42270657.300000004</v>
      </c>
      <c r="J203" s="7">
        <f t="shared" si="14"/>
        <v>75.258217192499998</v>
      </c>
      <c r="K203" s="7">
        <f t="shared" si="15"/>
        <v>42.270657300000003</v>
      </c>
    </row>
    <row r="204" spans="1:11" x14ac:dyDescent="0.2">
      <c r="A204" t="s">
        <v>59</v>
      </c>
      <c r="B204" t="s">
        <v>8</v>
      </c>
      <c r="C204" t="s">
        <v>6</v>
      </c>
      <c r="D204">
        <v>148840795.19999999</v>
      </c>
      <c r="E204">
        <v>75714983.239999995</v>
      </c>
      <c r="F204">
        <v>5</v>
      </c>
      <c r="G204">
        <v>0</v>
      </c>
      <c r="H204" s="7">
        <f t="shared" si="12"/>
        <v>200935073.52000001</v>
      </c>
      <c r="I204" s="1">
        <f t="shared" si="13"/>
        <v>102215227.374</v>
      </c>
      <c r="J204" s="7">
        <f t="shared" si="14"/>
        <v>200.93507352</v>
      </c>
      <c r="K204" s="7">
        <f t="shared" si="15"/>
        <v>102.21522737399999</v>
      </c>
    </row>
    <row r="205" spans="1:11" x14ac:dyDescent="0.2">
      <c r="A205" t="s">
        <v>61</v>
      </c>
      <c r="B205" t="s">
        <v>8</v>
      </c>
      <c r="C205" t="s">
        <v>6</v>
      </c>
      <c r="D205">
        <v>18549221.219999999</v>
      </c>
      <c r="E205">
        <v>18549221.219999999</v>
      </c>
      <c r="F205">
        <v>1</v>
      </c>
      <c r="G205">
        <v>0</v>
      </c>
      <c r="H205" s="7">
        <f t="shared" si="12"/>
        <v>25041448.647</v>
      </c>
      <c r="I205" s="1">
        <f t="shared" si="13"/>
        <v>25041448.647</v>
      </c>
      <c r="J205" s="7">
        <f t="shared" si="14"/>
        <v>25.041448646999999</v>
      </c>
      <c r="K205" s="7">
        <f t="shared" si="15"/>
        <v>25.041448646999999</v>
      </c>
    </row>
    <row r="206" spans="1:11" x14ac:dyDescent="0.2">
      <c r="A206" t="s">
        <v>66</v>
      </c>
      <c r="B206" t="s">
        <v>8</v>
      </c>
      <c r="C206" t="s">
        <v>6</v>
      </c>
      <c r="D206">
        <v>973635.31149999995</v>
      </c>
      <c r="E206">
        <v>973635.31149999995</v>
      </c>
      <c r="F206">
        <v>1</v>
      </c>
      <c r="G206">
        <v>0</v>
      </c>
      <c r="H206" s="7">
        <f t="shared" si="12"/>
        <v>1314407.670525</v>
      </c>
      <c r="I206" s="1">
        <f t="shared" si="13"/>
        <v>1314407.670525</v>
      </c>
      <c r="J206" s="7">
        <f t="shared" si="14"/>
        <v>1.3144076705250001</v>
      </c>
      <c r="K206" s="7">
        <f t="shared" si="15"/>
        <v>1.3144076705250001</v>
      </c>
    </row>
    <row r="207" spans="1:11" x14ac:dyDescent="0.2">
      <c r="A207" t="s">
        <v>68</v>
      </c>
      <c r="B207" t="s">
        <v>8</v>
      </c>
      <c r="C207" t="s">
        <v>6</v>
      </c>
      <c r="D207">
        <v>20857103.550000001</v>
      </c>
      <c r="E207">
        <v>11670743.939999999</v>
      </c>
      <c r="F207">
        <v>3</v>
      </c>
      <c r="G207">
        <v>0</v>
      </c>
      <c r="H207" s="7">
        <f t="shared" si="12"/>
        <v>28157089.792500004</v>
      </c>
      <c r="I207" s="1">
        <f t="shared" si="13"/>
        <v>15755504.319</v>
      </c>
      <c r="J207" s="7">
        <f t="shared" si="14"/>
        <v>28.157089792500003</v>
      </c>
      <c r="K207" s="7">
        <f t="shared" si="15"/>
        <v>15.755504319</v>
      </c>
    </row>
    <row r="208" spans="1:11" x14ac:dyDescent="0.2">
      <c r="A208" t="s">
        <v>74</v>
      </c>
      <c r="B208" t="s">
        <v>8</v>
      </c>
      <c r="C208" t="s">
        <v>6</v>
      </c>
      <c r="D208">
        <v>1127054.3330000001</v>
      </c>
      <c r="E208">
        <v>1127054.3330000001</v>
      </c>
      <c r="F208">
        <v>2</v>
      </c>
      <c r="G208">
        <v>0</v>
      </c>
      <c r="H208" s="7">
        <f t="shared" si="12"/>
        <v>1521523.3495500002</v>
      </c>
      <c r="I208" s="1">
        <f t="shared" si="13"/>
        <v>1521523.3495500002</v>
      </c>
      <c r="J208" s="7">
        <f t="shared" si="14"/>
        <v>1.5215233495500002</v>
      </c>
      <c r="K208" s="7">
        <f t="shared" si="15"/>
        <v>1.5215233495500002</v>
      </c>
    </row>
    <row r="209" spans="1:11" x14ac:dyDescent="0.2">
      <c r="A209" t="s">
        <v>78</v>
      </c>
      <c r="B209" t="s">
        <v>8</v>
      </c>
      <c r="C209" t="s">
        <v>6</v>
      </c>
      <c r="D209">
        <v>56759921.18</v>
      </c>
      <c r="E209">
        <v>28379960.59</v>
      </c>
      <c r="F209">
        <v>1</v>
      </c>
      <c r="G209">
        <v>0</v>
      </c>
      <c r="H209" s="7">
        <f t="shared" si="12"/>
        <v>76625893.59300001</v>
      </c>
      <c r="I209" s="1">
        <f t="shared" si="13"/>
        <v>38312946.796500005</v>
      </c>
      <c r="J209" s="7">
        <f t="shared" si="14"/>
        <v>76.625893593000015</v>
      </c>
      <c r="K209" s="7">
        <f t="shared" si="15"/>
        <v>38.312946796500007</v>
      </c>
    </row>
    <row r="210" spans="1:11" x14ac:dyDescent="0.2">
      <c r="A210" t="s">
        <v>80</v>
      </c>
      <c r="B210" t="s">
        <v>8</v>
      </c>
      <c r="C210" t="s">
        <v>6</v>
      </c>
      <c r="D210">
        <v>16448885.43</v>
      </c>
      <c r="E210">
        <v>16448885.43</v>
      </c>
      <c r="F210">
        <v>3</v>
      </c>
      <c r="G210">
        <v>0</v>
      </c>
      <c r="H210" s="7">
        <f t="shared" si="12"/>
        <v>22205995.330499999</v>
      </c>
      <c r="I210" s="1">
        <f t="shared" si="13"/>
        <v>22205995.330499999</v>
      </c>
      <c r="J210" s="7">
        <f t="shared" si="14"/>
        <v>22.205995330499999</v>
      </c>
      <c r="K210" s="7">
        <f t="shared" si="15"/>
        <v>22.205995330499999</v>
      </c>
    </row>
    <row r="211" spans="1:11" x14ac:dyDescent="0.2">
      <c r="A211" t="s">
        <v>86</v>
      </c>
      <c r="B211" t="s">
        <v>8</v>
      </c>
      <c r="C211" t="s">
        <v>6</v>
      </c>
      <c r="D211">
        <v>22262.669409999999</v>
      </c>
      <c r="E211">
        <v>22262.669409999999</v>
      </c>
      <c r="F211">
        <v>1</v>
      </c>
      <c r="G211">
        <v>0</v>
      </c>
      <c r="H211" s="7">
        <f t="shared" si="12"/>
        <v>30054.603703500001</v>
      </c>
      <c r="I211" s="1">
        <f t="shared" si="13"/>
        <v>30054.603703500001</v>
      </c>
      <c r="J211" s="7">
        <f t="shared" si="14"/>
        <v>3.00546037035E-2</v>
      </c>
      <c r="K211" s="7">
        <f t="shared" si="15"/>
        <v>3.00546037035E-2</v>
      </c>
    </row>
    <row r="212" spans="1:11" x14ac:dyDescent="0.2">
      <c r="A212" t="s">
        <v>102</v>
      </c>
      <c r="B212" t="s">
        <v>8</v>
      </c>
      <c r="C212" t="s">
        <v>6</v>
      </c>
      <c r="D212">
        <v>175292598.80000001</v>
      </c>
      <c r="E212">
        <v>87273963.569999993</v>
      </c>
      <c r="F212">
        <v>20</v>
      </c>
      <c r="G212">
        <v>0</v>
      </c>
      <c r="H212" s="7">
        <f t="shared" si="12"/>
        <v>236645008.38000003</v>
      </c>
      <c r="I212" s="1">
        <f t="shared" si="13"/>
        <v>117819850.8195</v>
      </c>
      <c r="J212" s="7">
        <f t="shared" si="14"/>
        <v>236.64500838000004</v>
      </c>
      <c r="K212" s="7">
        <f t="shared" si="15"/>
        <v>117.8198508195</v>
      </c>
    </row>
    <row r="213" spans="1:11" x14ac:dyDescent="0.2">
      <c r="A213" t="s">
        <v>37</v>
      </c>
      <c r="B213" t="s">
        <v>8</v>
      </c>
      <c r="C213" t="s">
        <v>6</v>
      </c>
      <c r="D213">
        <v>787078520.10000002</v>
      </c>
      <c r="E213">
        <v>787078520.10000002</v>
      </c>
      <c r="F213">
        <v>279</v>
      </c>
      <c r="G213">
        <v>1</v>
      </c>
      <c r="H213" s="7">
        <f t="shared" si="12"/>
        <v>1062556002.1350001</v>
      </c>
      <c r="I213" s="1">
        <f t="shared" si="13"/>
        <v>1062556002.1350001</v>
      </c>
      <c r="J213" s="7">
        <f t="shared" si="14"/>
        <v>1062.5560021350002</v>
      </c>
      <c r="K213" s="7">
        <f t="shared" si="15"/>
        <v>1062.5560021350002</v>
      </c>
    </row>
    <row r="214" spans="1:11" x14ac:dyDescent="0.2">
      <c r="A214" t="s">
        <v>38</v>
      </c>
      <c r="B214" t="s">
        <v>8</v>
      </c>
      <c r="C214" t="s">
        <v>6</v>
      </c>
      <c r="D214">
        <v>220017634.19999999</v>
      </c>
      <c r="E214">
        <v>140477801.90000001</v>
      </c>
      <c r="F214">
        <v>43</v>
      </c>
      <c r="G214">
        <v>1</v>
      </c>
      <c r="H214" s="7">
        <f t="shared" si="12"/>
        <v>297023806.17000002</v>
      </c>
      <c r="I214" s="1">
        <f t="shared" si="13"/>
        <v>189645032.56500003</v>
      </c>
      <c r="J214" s="7">
        <f t="shared" si="14"/>
        <v>297.02380617</v>
      </c>
      <c r="K214" s="7">
        <f t="shared" si="15"/>
        <v>189.64503256500004</v>
      </c>
    </row>
    <row r="215" spans="1:11" x14ac:dyDescent="0.2">
      <c r="A215" t="s">
        <v>39</v>
      </c>
      <c r="B215" t="s">
        <v>8</v>
      </c>
      <c r="C215" t="s">
        <v>6</v>
      </c>
      <c r="D215">
        <v>10975035.949999999</v>
      </c>
      <c r="E215">
        <v>10975035.949999999</v>
      </c>
      <c r="F215">
        <v>5</v>
      </c>
      <c r="G215">
        <v>1</v>
      </c>
      <c r="H215" s="7">
        <f t="shared" si="12"/>
        <v>14816298.532500001</v>
      </c>
      <c r="I215" s="1">
        <f t="shared" si="13"/>
        <v>14816298.532500001</v>
      </c>
      <c r="J215" s="7">
        <f t="shared" si="14"/>
        <v>14.816298532500001</v>
      </c>
      <c r="K215" s="7">
        <f t="shared" si="15"/>
        <v>14.816298532500001</v>
      </c>
    </row>
    <row r="216" spans="1:11" x14ac:dyDescent="0.2">
      <c r="A216" t="s">
        <v>41</v>
      </c>
      <c r="B216" t="s">
        <v>8</v>
      </c>
      <c r="C216" t="s">
        <v>6</v>
      </c>
      <c r="D216">
        <v>178447830.59999999</v>
      </c>
      <c r="E216">
        <v>166364677.90000001</v>
      </c>
      <c r="F216">
        <v>46</v>
      </c>
      <c r="G216">
        <v>1</v>
      </c>
      <c r="H216" s="7">
        <f t="shared" si="12"/>
        <v>240904571.31</v>
      </c>
      <c r="I216" s="1">
        <f t="shared" si="13"/>
        <v>224592315.16500002</v>
      </c>
      <c r="J216" s="7">
        <f t="shared" si="14"/>
        <v>240.90457130999999</v>
      </c>
      <c r="K216" s="7">
        <f t="shared" si="15"/>
        <v>224.59231516500003</v>
      </c>
    </row>
    <row r="217" spans="1:11" x14ac:dyDescent="0.2">
      <c r="A217" t="s">
        <v>126</v>
      </c>
      <c r="B217" t="s">
        <v>8</v>
      </c>
      <c r="C217" t="s">
        <v>6</v>
      </c>
      <c r="D217">
        <v>36117049.75</v>
      </c>
      <c r="E217">
        <v>18058524.870000001</v>
      </c>
      <c r="F217">
        <v>1</v>
      </c>
      <c r="G217">
        <v>1</v>
      </c>
      <c r="H217" s="7">
        <f t="shared" si="12"/>
        <v>48758017.162500001</v>
      </c>
      <c r="I217" s="1">
        <f t="shared" si="13"/>
        <v>24379008.574500002</v>
      </c>
      <c r="J217" s="7">
        <f t="shared" si="14"/>
        <v>48.758017162500003</v>
      </c>
      <c r="K217" s="7">
        <f t="shared" si="15"/>
        <v>24.379008574500002</v>
      </c>
    </row>
    <row r="218" spans="1:11" x14ac:dyDescent="0.2">
      <c r="A218" t="s">
        <v>127</v>
      </c>
      <c r="B218" t="s">
        <v>8</v>
      </c>
      <c r="C218" t="s">
        <v>6</v>
      </c>
      <c r="D218">
        <v>63704.327680000002</v>
      </c>
      <c r="E218">
        <v>63704.327680000002</v>
      </c>
      <c r="F218">
        <v>1</v>
      </c>
      <c r="G218">
        <v>1</v>
      </c>
      <c r="H218" s="7">
        <f t="shared" si="12"/>
        <v>86000.842368000012</v>
      </c>
      <c r="I218" s="1">
        <f t="shared" si="13"/>
        <v>86000.842368000012</v>
      </c>
      <c r="J218" s="7">
        <f t="shared" si="14"/>
        <v>8.6000842368000013E-2</v>
      </c>
      <c r="K218" s="7">
        <f t="shared" si="15"/>
        <v>8.6000842368000013E-2</v>
      </c>
    </row>
    <row r="219" spans="1:11" x14ac:dyDescent="0.2">
      <c r="A219" t="s">
        <v>42</v>
      </c>
      <c r="B219" t="s">
        <v>8</v>
      </c>
      <c r="C219" t="s">
        <v>6</v>
      </c>
      <c r="D219">
        <v>1854336.6370000001</v>
      </c>
      <c r="E219">
        <v>1854336.6370000001</v>
      </c>
      <c r="F219">
        <v>3</v>
      </c>
      <c r="G219">
        <v>1</v>
      </c>
      <c r="H219" s="7">
        <f t="shared" si="12"/>
        <v>2503354.4599500005</v>
      </c>
      <c r="I219" s="1">
        <f t="shared" si="13"/>
        <v>2503354.4599500005</v>
      </c>
      <c r="J219" s="7">
        <f t="shared" si="14"/>
        <v>2.5033544599500006</v>
      </c>
      <c r="K219" s="7">
        <f t="shared" si="15"/>
        <v>2.5033544599500006</v>
      </c>
    </row>
    <row r="220" spans="1:11" x14ac:dyDescent="0.2">
      <c r="A220" t="s">
        <v>128</v>
      </c>
      <c r="B220" t="s">
        <v>8</v>
      </c>
      <c r="C220" t="s">
        <v>6</v>
      </c>
      <c r="D220">
        <v>510902.81140000001</v>
      </c>
      <c r="E220">
        <v>510902.81140000001</v>
      </c>
      <c r="F220">
        <v>1</v>
      </c>
      <c r="G220">
        <v>1</v>
      </c>
      <c r="H220" s="7">
        <f t="shared" si="12"/>
        <v>689718.7953900001</v>
      </c>
      <c r="I220" s="1">
        <f t="shared" si="13"/>
        <v>689718.7953900001</v>
      </c>
      <c r="J220" s="7">
        <f t="shared" si="14"/>
        <v>0.68971879539000014</v>
      </c>
      <c r="K220" s="7">
        <f t="shared" si="15"/>
        <v>0.68971879539000014</v>
      </c>
    </row>
    <row r="221" spans="1:11" x14ac:dyDescent="0.2">
      <c r="A221" t="s">
        <v>43</v>
      </c>
      <c r="B221" t="s">
        <v>8</v>
      </c>
      <c r="C221" t="s">
        <v>6</v>
      </c>
      <c r="D221">
        <v>104350136.5</v>
      </c>
      <c r="E221">
        <v>90186641.260000005</v>
      </c>
      <c r="F221">
        <v>34</v>
      </c>
      <c r="G221">
        <v>1</v>
      </c>
      <c r="H221" s="7">
        <f t="shared" si="12"/>
        <v>140872684.27500001</v>
      </c>
      <c r="I221" s="1">
        <f t="shared" si="13"/>
        <v>121751965.70100002</v>
      </c>
      <c r="J221" s="7">
        <f t="shared" si="14"/>
        <v>140.87268427500001</v>
      </c>
      <c r="K221" s="7">
        <f t="shared" si="15"/>
        <v>121.75196570100002</v>
      </c>
    </row>
    <row r="222" spans="1:11" x14ac:dyDescent="0.2">
      <c r="A222" t="s">
        <v>44</v>
      </c>
      <c r="B222" t="s">
        <v>8</v>
      </c>
      <c r="C222" t="s">
        <v>6</v>
      </c>
      <c r="D222">
        <v>307121.1447</v>
      </c>
      <c r="E222">
        <v>307121.1447</v>
      </c>
      <c r="F222">
        <v>4</v>
      </c>
      <c r="G222">
        <v>1</v>
      </c>
      <c r="H222" s="7">
        <f t="shared" si="12"/>
        <v>414613.54534500005</v>
      </c>
      <c r="I222" s="1">
        <f t="shared" si="13"/>
        <v>414613.54534500005</v>
      </c>
      <c r="J222" s="7">
        <f t="shared" si="14"/>
        <v>0.41461354534500006</v>
      </c>
      <c r="K222" s="7">
        <f t="shared" si="15"/>
        <v>0.41461354534500006</v>
      </c>
    </row>
    <row r="223" spans="1:11" x14ac:dyDescent="0.2">
      <c r="A223" t="s">
        <v>46</v>
      </c>
      <c r="B223" t="s">
        <v>8</v>
      </c>
      <c r="C223" t="s">
        <v>6</v>
      </c>
      <c r="D223">
        <v>7558346.1600000001</v>
      </c>
      <c r="E223">
        <v>7558346.1600000001</v>
      </c>
      <c r="F223">
        <v>4</v>
      </c>
      <c r="G223">
        <v>1</v>
      </c>
      <c r="H223" s="7">
        <f t="shared" si="12"/>
        <v>10203767.316000002</v>
      </c>
      <c r="I223" s="1">
        <f t="shared" si="13"/>
        <v>10203767.316000002</v>
      </c>
      <c r="J223" s="7">
        <f t="shared" si="14"/>
        <v>10.203767316000002</v>
      </c>
      <c r="K223" s="7">
        <f t="shared" si="15"/>
        <v>10.203767316000002</v>
      </c>
    </row>
    <row r="224" spans="1:11" x14ac:dyDescent="0.2">
      <c r="A224" t="s">
        <v>47</v>
      </c>
      <c r="B224" t="s">
        <v>8</v>
      </c>
      <c r="C224" t="s">
        <v>6</v>
      </c>
      <c r="D224">
        <v>647581192.39999998</v>
      </c>
      <c r="E224">
        <v>477046169</v>
      </c>
      <c r="F224">
        <v>128</v>
      </c>
      <c r="G224">
        <v>1</v>
      </c>
      <c r="H224" s="7">
        <f t="shared" si="12"/>
        <v>874234609.74000001</v>
      </c>
      <c r="I224" s="1">
        <f t="shared" si="13"/>
        <v>644012328.1500001</v>
      </c>
      <c r="J224" s="7">
        <f t="shared" si="14"/>
        <v>874.23460974</v>
      </c>
      <c r="K224" s="7">
        <f t="shared" si="15"/>
        <v>644.01232815000014</v>
      </c>
    </row>
    <row r="225" spans="1:11" x14ac:dyDescent="0.2">
      <c r="A225" t="s">
        <v>49</v>
      </c>
      <c r="B225" t="s">
        <v>8</v>
      </c>
      <c r="C225" t="s">
        <v>6</v>
      </c>
      <c r="D225">
        <v>33744152.289999999</v>
      </c>
      <c r="E225">
        <v>19865822.289999999</v>
      </c>
      <c r="F225">
        <v>7</v>
      </c>
      <c r="G225">
        <v>1</v>
      </c>
      <c r="H225" s="7">
        <f t="shared" si="12"/>
        <v>45554605.591499999</v>
      </c>
      <c r="I225" s="1">
        <f t="shared" si="13"/>
        <v>26818860.091499999</v>
      </c>
      <c r="J225" s="7">
        <f t="shared" si="14"/>
        <v>45.5546055915</v>
      </c>
      <c r="K225" s="7">
        <f t="shared" si="15"/>
        <v>26.818860091499999</v>
      </c>
    </row>
    <row r="226" spans="1:11" x14ac:dyDescent="0.2">
      <c r="A226" t="s">
        <v>50</v>
      </c>
      <c r="B226" t="s">
        <v>8</v>
      </c>
      <c r="C226" t="s">
        <v>6</v>
      </c>
      <c r="D226">
        <v>2901471.1409999998</v>
      </c>
      <c r="E226">
        <v>2901471.1409999998</v>
      </c>
      <c r="F226">
        <v>10</v>
      </c>
      <c r="G226">
        <v>1</v>
      </c>
      <c r="H226" s="7">
        <f t="shared" si="12"/>
        <v>3916986.0403499999</v>
      </c>
      <c r="I226" s="1">
        <f t="shared" si="13"/>
        <v>3916986.0403499999</v>
      </c>
      <c r="J226" s="7">
        <f t="shared" si="14"/>
        <v>3.9169860403499999</v>
      </c>
      <c r="K226" s="7">
        <f t="shared" si="15"/>
        <v>3.9169860403499999</v>
      </c>
    </row>
    <row r="227" spans="1:11" x14ac:dyDescent="0.2">
      <c r="A227" t="s">
        <v>51</v>
      </c>
      <c r="B227" t="s">
        <v>8</v>
      </c>
      <c r="C227" t="s">
        <v>6</v>
      </c>
      <c r="D227">
        <v>26631650.899999999</v>
      </c>
      <c r="E227">
        <v>26631650.899999999</v>
      </c>
      <c r="F227">
        <v>20</v>
      </c>
      <c r="G227">
        <v>1</v>
      </c>
      <c r="H227" s="7">
        <f t="shared" si="12"/>
        <v>35952728.715000004</v>
      </c>
      <c r="I227" s="1">
        <f t="shared" si="13"/>
        <v>35952728.715000004</v>
      </c>
      <c r="J227" s="7">
        <f t="shared" si="14"/>
        <v>35.952728715000006</v>
      </c>
      <c r="K227" s="7">
        <f t="shared" si="15"/>
        <v>35.952728715000006</v>
      </c>
    </row>
    <row r="228" spans="1:11" x14ac:dyDescent="0.2">
      <c r="A228" t="s">
        <v>106</v>
      </c>
      <c r="B228" t="s">
        <v>8</v>
      </c>
      <c r="C228" t="s">
        <v>6</v>
      </c>
      <c r="D228">
        <v>4187036.5079999999</v>
      </c>
      <c r="E228">
        <v>4187036.5079999999</v>
      </c>
      <c r="F228">
        <v>3</v>
      </c>
      <c r="G228">
        <v>1</v>
      </c>
      <c r="H228" s="7">
        <f t="shared" si="12"/>
        <v>5652499.2858000007</v>
      </c>
      <c r="I228" s="1">
        <f t="shared" si="13"/>
        <v>5652499.2858000007</v>
      </c>
      <c r="J228" s="7">
        <f t="shared" si="14"/>
        <v>5.6524992858000003</v>
      </c>
      <c r="K228" s="7">
        <f t="shared" si="15"/>
        <v>5.6524992858000003</v>
      </c>
    </row>
    <row r="229" spans="1:11" x14ac:dyDescent="0.2">
      <c r="A229" t="s">
        <v>52</v>
      </c>
      <c r="B229" t="s">
        <v>8</v>
      </c>
      <c r="C229" t="s">
        <v>6</v>
      </c>
      <c r="D229">
        <v>13452560.01</v>
      </c>
      <c r="E229">
        <v>13452560.01</v>
      </c>
      <c r="F229">
        <v>3</v>
      </c>
      <c r="G229">
        <v>1</v>
      </c>
      <c r="H229" s="7">
        <f t="shared" si="12"/>
        <v>18160956.013500001</v>
      </c>
      <c r="I229" s="1">
        <f t="shared" si="13"/>
        <v>18160956.013500001</v>
      </c>
      <c r="J229" s="7">
        <f t="shared" si="14"/>
        <v>18.160956013500002</v>
      </c>
      <c r="K229" s="7">
        <f t="shared" si="15"/>
        <v>18.160956013500002</v>
      </c>
    </row>
    <row r="230" spans="1:11" x14ac:dyDescent="0.2">
      <c r="A230" t="s">
        <v>53</v>
      </c>
      <c r="B230" t="s">
        <v>8</v>
      </c>
      <c r="C230" t="s">
        <v>6</v>
      </c>
      <c r="D230">
        <v>2316867.8930000002</v>
      </c>
      <c r="E230">
        <v>2316867.8930000002</v>
      </c>
      <c r="F230">
        <v>2</v>
      </c>
      <c r="G230">
        <v>1</v>
      </c>
      <c r="H230" s="7">
        <f t="shared" si="12"/>
        <v>3127771.6555500003</v>
      </c>
      <c r="I230" s="1">
        <f t="shared" si="13"/>
        <v>3127771.6555500003</v>
      </c>
      <c r="J230" s="7">
        <f t="shared" si="14"/>
        <v>3.1277716555500001</v>
      </c>
      <c r="K230" s="7">
        <f t="shared" si="15"/>
        <v>3.1277716555500001</v>
      </c>
    </row>
    <row r="231" spans="1:11" x14ac:dyDescent="0.2">
      <c r="A231" t="s">
        <v>54</v>
      </c>
      <c r="B231" t="s">
        <v>8</v>
      </c>
      <c r="C231" t="s">
        <v>6</v>
      </c>
      <c r="D231">
        <v>78023232.819999993</v>
      </c>
      <c r="E231">
        <v>63972400.979999997</v>
      </c>
      <c r="F231">
        <v>25</v>
      </c>
      <c r="G231">
        <v>1</v>
      </c>
      <c r="H231" s="7">
        <f t="shared" si="12"/>
        <v>105331364.307</v>
      </c>
      <c r="I231" s="1">
        <f t="shared" si="13"/>
        <v>86362741.322999999</v>
      </c>
      <c r="J231" s="7">
        <f t="shared" si="14"/>
        <v>105.331364307</v>
      </c>
      <c r="K231" s="7">
        <f t="shared" si="15"/>
        <v>86.362741322999995</v>
      </c>
    </row>
    <row r="232" spans="1:11" x14ac:dyDescent="0.2">
      <c r="A232" t="s">
        <v>107</v>
      </c>
      <c r="B232" t="s">
        <v>8</v>
      </c>
      <c r="C232" t="s">
        <v>6</v>
      </c>
      <c r="D232">
        <v>915059.83490000002</v>
      </c>
      <c r="E232">
        <v>915059.83490000002</v>
      </c>
      <c r="F232">
        <v>2</v>
      </c>
      <c r="G232">
        <v>1</v>
      </c>
      <c r="H232" s="7">
        <f t="shared" si="12"/>
        <v>1235330.7771150002</v>
      </c>
      <c r="I232" s="1">
        <f t="shared" si="13"/>
        <v>1235330.7771150002</v>
      </c>
      <c r="J232" s="7">
        <f t="shared" si="14"/>
        <v>1.2353307771150002</v>
      </c>
      <c r="K232" s="7">
        <f t="shared" si="15"/>
        <v>1.2353307771150002</v>
      </c>
    </row>
    <row r="233" spans="1:11" x14ac:dyDescent="0.2">
      <c r="A233" t="s">
        <v>55</v>
      </c>
      <c r="B233" t="s">
        <v>8</v>
      </c>
      <c r="C233" t="s">
        <v>6</v>
      </c>
      <c r="D233">
        <v>31309524.300000001</v>
      </c>
      <c r="E233">
        <v>31309524.300000001</v>
      </c>
      <c r="F233">
        <v>4</v>
      </c>
      <c r="G233">
        <v>1</v>
      </c>
      <c r="H233" s="7">
        <f t="shared" si="12"/>
        <v>42267857.805000007</v>
      </c>
      <c r="I233" s="1">
        <f t="shared" si="13"/>
        <v>42267857.805000007</v>
      </c>
      <c r="J233" s="7">
        <f t="shared" si="14"/>
        <v>42.267857805000006</v>
      </c>
      <c r="K233" s="7">
        <f t="shared" si="15"/>
        <v>42.267857805000006</v>
      </c>
    </row>
    <row r="234" spans="1:11" x14ac:dyDescent="0.2">
      <c r="A234" t="s">
        <v>108</v>
      </c>
      <c r="B234" t="s">
        <v>8</v>
      </c>
      <c r="C234" t="s">
        <v>6</v>
      </c>
      <c r="D234">
        <v>2710341.912</v>
      </c>
      <c r="E234">
        <v>2710341.912</v>
      </c>
      <c r="F234">
        <v>5</v>
      </c>
      <c r="G234">
        <v>1</v>
      </c>
      <c r="H234" s="7">
        <f t="shared" si="12"/>
        <v>3658961.5812000004</v>
      </c>
      <c r="I234" s="1">
        <f t="shared" si="13"/>
        <v>3658961.5812000004</v>
      </c>
      <c r="J234" s="7">
        <f t="shared" si="14"/>
        <v>3.6589615812000003</v>
      </c>
      <c r="K234" s="7">
        <f t="shared" si="15"/>
        <v>3.6589615812000003</v>
      </c>
    </row>
    <row r="235" spans="1:11" x14ac:dyDescent="0.2">
      <c r="A235" t="s">
        <v>57</v>
      </c>
      <c r="B235" t="s">
        <v>8</v>
      </c>
      <c r="C235" t="s">
        <v>6</v>
      </c>
      <c r="D235">
        <v>140190949.69999999</v>
      </c>
      <c r="E235">
        <v>132146400.40000001</v>
      </c>
      <c r="F235">
        <v>53</v>
      </c>
      <c r="G235">
        <v>1</v>
      </c>
      <c r="H235" s="7">
        <f t="shared" si="12"/>
        <v>189257782.095</v>
      </c>
      <c r="I235" s="1">
        <f t="shared" si="13"/>
        <v>178397640.54000002</v>
      </c>
      <c r="J235" s="7">
        <f t="shared" si="14"/>
        <v>189.25778209500001</v>
      </c>
      <c r="K235" s="7">
        <f t="shared" si="15"/>
        <v>178.39764054000003</v>
      </c>
    </row>
    <row r="236" spans="1:11" x14ac:dyDescent="0.2">
      <c r="A236" t="s">
        <v>109</v>
      </c>
      <c r="B236" t="s">
        <v>8</v>
      </c>
      <c r="C236" t="s">
        <v>6</v>
      </c>
      <c r="D236">
        <v>311280.25390000001</v>
      </c>
      <c r="E236">
        <v>311280.25390000001</v>
      </c>
      <c r="F236">
        <v>2</v>
      </c>
      <c r="G236">
        <v>1</v>
      </c>
      <c r="H236" s="7">
        <f t="shared" si="12"/>
        <v>420228.34276500007</v>
      </c>
      <c r="I236" s="1">
        <f t="shared" si="13"/>
        <v>420228.34276500007</v>
      </c>
      <c r="J236" s="7">
        <f t="shared" si="14"/>
        <v>0.42022834276500004</v>
      </c>
      <c r="K236" s="7">
        <f t="shared" si="15"/>
        <v>0.42022834276500004</v>
      </c>
    </row>
    <row r="237" spans="1:11" x14ac:dyDescent="0.2">
      <c r="A237" t="s">
        <v>58</v>
      </c>
      <c r="B237" t="s">
        <v>8</v>
      </c>
      <c r="C237" t="s">
        <v>6</v>
      </c>
      <c r="D237">
        <v>1194735298</v>
      </c>
      <c r="E237">
        <v>899813220.70000005</v>
      </c>
      <c r="F237">
        <v>242</v>
      </c>
      <c r="G237">
        <v>1</v>
      </c>
      <c r="H237" s="7">
        <f t="shared" si="12"/>
        <v>1612892652.3000002</v>
      </c>
      <c r="I237" s="1">
        <f t="shared" si="13"/>
        <v>1214747847.9450002</v>
      </c>
      <c r="J237" s="7">
        <f t="shared" si="14"/>
        <v>1612.8926523000002</v>
      </c>
      <c r="K237" s="7">
        <f t="shared" si="15"/>
        <v>1214.7478479450001</v>
      </c>
    </row>
    <row r="238" spans="1:11" x14ac:dyDescent="0.2">
      <c r="A238" t="s">
        <v>59</v>
      </c>
      <c r="B238" t="s">
        <v>8</v>
      </c>
      <c r="C238" t="s">
        <v>6</v>
      </c>
      <c r="D238">
        <v>1251298742</v>
      </c>
      <c r="E238">
        <v>989829977.20000005</v>
      </c>
      <c r="F238">
        <v>267</v>
      </c>
      <c r="G238">
        <v>1</v>
      </c>
      <c r="H238" s="7">
        <f t="shared" si="12"/>
        <v>1689253301.7</v>
      </c>
      <c r="I238" s="1">
        <f t="shared" si="13"/>
        <v>1336270469.2200003</v>
      </c>
      <c r="J238" s="7">
        <f t="shared" si="14"/>
        <v>1689.2533017000001</v>
      </c>
      <c r="K238" s="7">
        <f t="shared" si="15"/>
        <v>1336.2704692200002</v>
      </c>
    </row>
    <row r="239" spans="1:11" x14ac:dyDescent="0.2">
      <c r="A239" t="s">
        <v>60</v>
      </c>
      <c r="B239" t="s">
        <v>8</v>
      </c>
      <c r="C239" t="s">
        <v>6</v>
      </c>
      <c r="D239">
        <v>64893037.649999999</v>
      </c>
      <c r="E239">
        <v>32446518.829999998</v>
      </c>
      <c r="F239">
        <v>1</v>
      </c>
      <c r="G239">
        <v>1</v>
      </c>
      <c r="H239" s="7">
        <f t="shared" si="12"/>
        <v>87605600.827500001</v>
      </c>
      <c r="I239" s="1">
        <f t="shared" si="13"/>
        <v>43802800.420500003</v>
      </c>
      <c r="J239" s="7">
        <f t="shared" si="14"/>
        <v>87.605600827499998</v>
      </c>
      <c r="K239" s="7">
        <f t="shared" si="15"/>
        <v>43.802800420500006</v>
      </c>
    </row>
    <row r="240" spans="1:11" x14ac:dyDescent="0.2">
      <c r="A240" t="s">
        <v>61</v>
      </c>
      <c r="B240" t="s">
        <v>8</v>
      </c>
      <c r="C240" t="s">
        <v>6</v>
      </c>
      <c r="D240">
        <v>137250550.59999999</v>
      </c>
      <c r="E240">
        <v>118380197</v>
      </c>
      <c r="F240">
        <v>29</v>
      </c>
      <c r="G240">
        <v>1</v>
      </c>
      <c r="H240" s="7">
        <f t="shared" si="12"/>
        <v>185288243.31</v>
      </c>
      <c r="I240" s="1">
        <f t="shared" si="13"/>
        <v>159813265.95000002</v>
      </c>
      <c r="J240" s="7">
        <f t="shared" si="14"/>
        <v>185.28824331000001</v>
      </c>
      <c r="K240" s="7">
        <f t="shared" si="15"/>
        <v>159.81326595000002</v>
      </c>
    </row>
    <row r="241" spans="1:11" x14ac:dyDescent="0.2">
      <c r="A241" t="s">
        <v>62</v>
      </c>
      <c r="B241" t="s">
        <v>8</v>
      </c>
      <c r="C241" t="s">
        <v>6</v>
      </c>
      <c r="D241">
        <v>31380321.609999999</v>
      </c>
      <c r="E241">
        <v>31380321.609999999</v>
      </c>
      <c r="F241">
        <v>4</v>
      </c>
      <c r="G241">
        <v>1</v>
      </c>
      <c r="H241" s="7">
        <f t="shared" si="12"/>
        <v>42363434.173500001</v>
      </c>
      <c r="I241" s="1">
        <f t="shared" si="13"/>
        <v>42363434.173500001</v>
      </c>
      <c r="J241" s="7">
        <f t="shared" si="14"/>
        <v>42.363434173500004</v>
      </c>
      <c r="K241" s="7">
        <f t="shared" si="15"/>
        <v>42.363434173500004</v>
      </c>
    </row>
    <row r="242" spans="1:11" x14ac:dyDescent="0.2">
      <c r="A242" t="s">
        <v>63</v>
      </c>
      <c r="B242" t="s">
        <v>8</v>
      </c>
      <c r="C242" t="s">
        <v>6</v>
      </c>
      <c r="D242">
        <v>39769245.259999998</v>
      </c>
      <c r="E242">
        <v>30005127.27</v>
      </c>
      <c r="F242">
        <v>13</v>
      </c>
      <c r="G242">
        <v>1</v>
      </c>
      <c r="H242" s="7">
        <f t="shared" si="12"/>
        <v>53688481.101000004</v>
      </c>
      <c r="I242" s="1">
        <f t="shared" si="13"/>
        <v>40506921.814500004</v>
      </c>
      <c r="J242" s="7">
        <f t="shared" si="14"/>
        <v>53.688481101000001</v>
      </c>
      <c r="K242" s="7">
        <f t="shared" si="15"/>
        <v>40.506921814500004</v>
      </c>
    </row>
    <row r="243" spans="1:11" x14ac:dyDescent="0.2">
      <c r="A243" t="s">
        <v>113</v>
      </c>
      <c r="B243" t="s">
        <v>8</v>
      </c>
      <c r="C243" t="s">
        <v>6</v>
      </c>
      <c r="D243">
        <v>3708462.3429999999</v>
      </c>
      <c r="E243">
        <v>3708462.3429999999</v>
      </c>
      <c r="F243">
        <v>2</v>
      </c>
      <c r="G243">
        <v>1</v>
      </c>
      <c r="H243" s="7">
        <f t="shared" si="12"/>
        <v>5006424.1630500006</v>
      </c>
      <c r="I243" s="1">
        <f t="shared" si="13"/>
        <v>5006424.1630500006</v>
      </c>
      <c r="J243" s="7">
        <f t="shared" si="14"/>
        <v>5.0064241630500002</v>
      </c>
      <c r="K243" s="7">
        <f t="shared" si="15"/>
        <v>5.0064241630500002</v>
      </c>
    </row>
    <row r="244" spans="1:11" x14ac:dyDescent="0.2">
      <c r="A244" t="s">
        <v>65</v>
      </c>
      <c r="B244" t="s">
        <v>8</v>
      </c>
      <c r="C244" t="s">
        <v>6</v>
      </c>
      <c r="D244">
        <v>9256595.0069999993</v>
      </c>
      <c r="E244">
        <v>9256595.0069999993</v>
      </c>
      <c r="F244">
        <v>3</v>
      </c>
      <c r="G244">
        <v>1</v>
      </c>
      <c r="H244" s="7">
        <f t="shared" si="12"/>
        <v>12496403.25945</v>
      </c>
      <c r="I244" s="1">
        <f t="shared" si="13"/>
        <v>12496403.25945</v>
      </c>
      <c r="J244" s="7">
        <f t="shared" si="14"/>
        <v>12.49640325945</v>
      </c>
      <c r="K244" s="7">
        <f t="shared" si="15"/>
        <v>12.49640325945</v>
      </c>
    </row>
    <row r="245" spans="1:11" x14ac:dyDescent="0.2">
      <c r="A245" t="s">
        <v>66</v>
      </c>
      <c r="B245" t="s">
        <v>8</v>
      </c>
      <c r="C245" t="s">
        <v>6</v>
      </c>
      <c r="D245">
        <v>23608335.440000001</v>
      </c>
      <c r="E245">
        <v>23608335.440000001</v>
      </c>
      <c r="F245">
        <v>23</v>
      </c>
      <c r="G245">
        <v>1</v>
      </c>
      <c r="H245" s="7">
        <f t="shared" si="12"/>
        <v>31871252.844000004</v>
      </c>
      <c r="I245" s="1">
        <f t="shared" si="13"/>
        <v>31871252.844000004</v>
      </c>
      <c r="J245" s="7">
        <f t="shared" si="14"/>
        <v>31.871252844000004</v>
      </c>
      <c r="K245" s="7">
        <f t="shared" si="15"/>
        <v>31.871252844000004</v>
      </c>
    </row>
    <row r="246" spans="1:11" x14ac:dyDescent="0.2">
      <c r="A246" t="s">
        <v>67</v>
      </c>
      <c r="B246" t="s">
        <v>8</v>
      </c>
      <c r="C246" t="s">
        <v>6</v>
      </c>
      <c r="D246">
        <v>113009.3714</v>
      </c>
      <c r="E246">
        <v>113009.3714</v>
      </c>
      <c r="F246">
        <v>1</v>
      </c>
      <c r="G246">
        <v>1</v>
      </c>
      <c r="H246" s="7">
        <f t="shared" si="12"/>
        <v>152562.65139000001</v>
      </c>
      <c r="I246" s="1">
        <f t="shared" si="13"/>
        <v>152562.65139000001</v>
      </c>
      <c r="J246" s="7">
        <f t="shared" si="14"/>
        <v>0.15256265139000003</v>
      </c>
      <c r="K246" s="7">
        <f t="shared" si="15"/>
        <v>0.15256265139000003</v>
      </c>
    </row>
    <row r="247" spans="1:11" x14ac:dyDescent="0.2">
      <c r="A247" t="s">
        <v>115</v>
      </c>
      <c r="B247" t="s">
        <v>8</v>
      </c>
      <c r="C247" t="s">
        <v>6</v>
      </c>
      <c r="D247">
        <v>220671.1894</v>
      </c>
      <c r="E247">
        <v>220671.1894</v>
      </c>
      <c r="F247">
        <v>1</v>
      </c>
      <c r="G247">
        <v>1</v>
      </c>
      <c r="H247" s="7">
        <f t="shared" si="12"/>
        <v>297906.10569</v>
      </c>
      <c r="I247" s="1">
        <f t="shared" si="13"/>
        <v>297906.10569</v>
      </c>
      <c r="J247" s="7">
        <f t="shared" si="14"/>
        <v>0.29790610568999998</v>
      </c>
      <c r="K247" s="7">
        <f t="shared" si="15"/>
        <v>0.29790610568999998</v>
      </c>
    </row>
    <row r="248" spans="1:11" x14ac:dyDescent="0.2">
      <c r="A248" t="s">
        <v>68</v>
      </c>
      <c r="B248" t="s">
        <v>8</v>
      </c>
      <c r="C248" t="s">
        <v>6</v>
      </c>
      <c r="D248">
        <v>324243751.60000002</v>
      </c>
      <c r="E248">
        <v>233175880.19999999</v>
      </c>
      <c r="F248">
        <v>84</v>
      </c>
      <c r="G248">
        <v>1</v>
      </c>
      <c r="H248" s="7">
        <f t="shared" si="12"/>
        <v>437729064.66000009</v>
      </c>
      <c r="I248" s="1">
        <f t="shared" si="13"/>
        <v>314787438.26999998</v>
      </c>
      <c r="J248" s="7">
        <f t="shared" si="14"/>
        <v>437.72906466000006</v>
      </c>
      <c r="K248" s="7">
        <f t="shared" si="15"/>
        <v>314.78743827</v>
      </c>
    </row>
    <row r="249" spans="1:11" x14ac:dyDescent="0.2">
      <c r="A249" t="s">
        <v>123</v>
      </c>
      <c r="B249" t="s">
        <v>8</v>
      </c>
      <c r="C249" t="s">
        <v>6</v>
      </c>
      <c r="D249">
        <v>8328826.5470000003</v>
      </c>
      <c r="E249">
        <v>8328826.5470000003</v>
      </c>
      <c r="F249">
        <v>2</v>
      </c>
      <c r="G249">
        <v>1</v>
      </c>
      <c r="H249" s="7">
        <f t="shared" si="12"/>
        <v>11243915.838450002</v>
      </c>
      <c r="I249" s="1">
        <f t="shared" si="13"/>
        <v>11243915.838450002</v>
      </c>
      <c r="J249" s="7">
        <f t="shared" si="14"/>
        <v>11.243915838450002</v>
      </c>
      <c r="K249" s="7">
        <f t="shared" si="15"/>
        <v>11.243915838450002</v>
      </c>
    </row>
    <row r="250" spans="1:11" x14ac:dyDescent="0.2">
      <c r="A250" t="s">
        <v>116</v>
      </c>
      <c r="B250" t="s">
        <v>8</v>
      </c>
      <c r="C250" t="s">
        <v>6</v>
      </c>
      <c r="D250">
        <v>25251.31493</v>
      </c>
      <c r="E250">
        <v>25251.31493</v>
      </c>
      <c r="F250">
        <v>1</v>
      </c>
      <c r="G250">
        <v>1</v>
      </c>
      <c r="H250" s="7">
        <f t="shared" si="12"/>
        <v>34089.2751555</v>
      </c>
      <c r="I250" s="1">
        <f t="shared" si="13"/>
        <v>34089.2751555</v>
      </c>
      <c r="J250" s="7">
        <f t="shared" si="14"/>
        <v>3.4089275155499997E-2</v>
      </c>
      <c r="K250" s="7">
        <f t="shared" si="15"/>
        <v>3.4089275155499997E-2</v>
      </c>
    </row>
    <row r="251" spans="1:11" x14ac:dyDescent="0.2">
      <c r="A251" t="s">
        <v>69</v>
      </c>
      <c r="B251" t="s">
        <v>8</v>
      </c>
      <c r="C251" t="s">
        <v>6</v>
      </c>
      <c r="D251">
        <v>183525417</v>
      </c>
      <c r="E251">
        <v>107035050.90000001</v>
      </c>
      <c r="F251">
        <v>42</v>
      </c>
      <c r="G251">
        <v>1</v>
      </c>
      <c r="H251" s="7">
        <f t="shared" si="12"/>
        <v>247759312.95000002</v>
      </c>
      <c r="I251" s="1">
        <f t="shared" si="13"/>
        <v>144497318.715</v>
      </c>
      <c r="J251" s="7">
        <f t="shared" si="14"/>
        <v>247.75931295000001</v>
      </c>
      <c r="K251" s="7">
        <f t="shared" si="15"/>
        <v>144.49731871500001</v>
      </c>
    </row>
    <row r="252" spans="1:11" x14ac:dyDescent="0.2">
      <c r="A252" t="s">
        <v>70</v>
      </c>
      <c r="B252" t="s">
        <v>8</v>
      </c>
      <c r="C252" t="s">
        <v>6</v>
      </c>
      <c r="D252">
        <v>200905.5491</v>
      </c>
      <c r="E252">
        <v>200905.5491</v>
      </c>
      <c r="F252">
        <v>1</v>
      </c>
      <c r="G252">
        <v>1</v>
      </c>
      <c r="H252" s="7">
        <f t="shared" si="12"/>
        <v>271222.491285</v>
      </c>
      <c r="I252" s="1">
        <f t="shared" si="13"/>
        <v>271222.491285</v>
      </c>
      <c r="J252" s="7">
        <f t="shared" si="14"/>
        <v>0.27122249128499998</v>
      </c>
      <c r="K252" s="7">
        <f t="shared" si="15"/>
        <v>0.27122249128499998</v>
      </c>
    </row>
    <row r="253" spans="1:11" x14ac:dyDescent="0.2">
      <c r="A253" t="s">
        <v>71</v>
      </c>
      <c r="B253" t="s">
        <v>8</v>
      </c>
      <c r="C253" t="s">
        <v>6</v>
      </c>
      <c r="D253">
        <v>13972198.74</v>
      </c>
      <c r="E253">
        <v>13972198.74</v>
      </c>
      <c r="F253">
        <v>22</v>
      </c>
      <c r="G253">
        <v>1</v>
      </c>
      <c r="H253" s="7">
        <f t="shared" si="12"/>
        <v>18862468.299000002</v>
      </c>
      <c r="I253" s="1">
        <f t="shared" si="13"/>
        <v>18862468.299000002</v>
      </c>
      <c r="J253" s="7">
        <f t="shared" si="14"/>
        <v>18.862468299000003</v>
      </c>
      <c r="K253" s="7">
        <f t="shared" si="15"/>
        <v>18.862468299000003</v>
      </c>
    </row>
    <row r="254" spans="1:11" x14ac:dyDescent="0.2">
      <c r="A254" t="s">
        <v>74</v>
      </c>
      <c r="B254" t="s">
        <v>8</v>
      </c>
      <c r="C254" t="s">
        <v>6</v>
      </c>
      <c r="D254">
        <v>25744511.739999998</v>
      </c>
      <c r="E254">
        <v>25744511.739999998</v>
      </c>
      <c r="F254">
        <v>8</v>
      </c>
      <c r="G254">
        <v>1</v>
      </c>
      <c r="H254" s="7">
        <f t="shared" si="12"/>
        <v>34755090.848999999</v>
      </c>
      <c r="I254" s="1">
        <f t="shared" si="13"/>
        <v>34755090.848999999</v>
      </c>
      <c r="J254" s="7">
        <f t="shared" si="14"/>
        <v>34.755090848999998</v>
      </c>
      <c r="K254" s="7">
        <f t="shared" si="15"/>
        <v>34.755090848999998</v>
      </c>
    </row>
    <row r="255" spans="1:11" x14ac:dyDescent="0.2">
      <c r="A255" t="s">
        <v>129</v>
      </c>
      <c r="B255" t="s">
        <v>8</v>
      </c>
      <c r="C255" t="s">
        <v>6</v>
      </c>
      <c r="D255">
        <v>83045.021739999996</v>
      </c>
      <c r="E255">
        <v>83045.021739999996</v>
      </c>
      <c r="F255">
        <v>1</v>
      </c>
      <c r="G255">
        <v>1</v>
      </c>
      <c r="H255" s="7">
        <f t="shared" si="12"/>
        <v>112110.779349</v>
      </c>
      <c r="I255" s="1">
        <f t="shared" si="13"/>
        <v>112110.779349</v>
      </c>
      <c r="J255" s="7">
        <f t="shared" si="14"/>
        <v>0.112110779349</v>
      </c>
      <c r="K255" s="7">
        <f t="shared" si="15"/>
        <v>0.112110779349</v>
      </c>
    </row>
    <row r="256" spans="1:11" x14ac:dyDescent="0.2">
      <c r="A256" t="s">
        <v>76</v>
      </c>
      <c r="B256" t="s">
        <v>8</v>
      </c>
      <c r="C256" t="s">
        <v>6</v>
      </c>
      <c r="D256">
        <v>5471783.9230000004</v>
      </c>
      <c r="E256">
        <v>5471783.9230000004</v>
      </c>
      <c r="F256">
        <v>2</v>
      </c>
      <c r="G256">
        <v>1</v>
      </c>
      <c r="H256" s="7">
        <f t="shared" si="12"/>
        <v>7386908.2960500009</v>
      </c>
      <c r="I256" s="1">
        <f t="shared" si="13"/>
        <v>7386908.2960500009</v>
      </c>
      <c r="J256" s="7">
        <f t="shared" si="14"/>
        <v>7.3869082960500005</v>
      </c>
      <c r="K256" s="7">
        <f t="shared" si="15"/>
        <v>7.3869082960500005</v>
      </c>
    </row>
    <row r="257" spans="1:11" x14ac:dyDescent="0.2">
      <c r="A257" t="s">
        <v>77</v>
      </c>
      <c r="B257" t="s">
        <v>8</v>
      </c>
      <c r="C257" t="s">
        <v>6</v>
      </c>
      <c r="D257">
        <v>77594712.230000004</v>
      </c>
      <c r="E257">
        <v>77380982.920000002</v>
      </c>
      <c r="F257">
        <v>9</v>
      </c>
      <c r="G257">
        <v>1</v>
      </c>
      <c r="H257" s="7">
        <f t="shared" si="12"/>
        <v>104752861.51050001</v>
      </c>
      <c r="I257" s="1">
        <f t="shared" si="13"/>
        <v>104464326.94200002</v>
      </c>
      <c r="J257" s="7">
        <f t="shared" si="14"/>
        <v>104.75286151050001</v>
      </c>
      <c r="K257" s="7">
        <f t="shared" si="15"/>
        <v>104.46432694200001</v>
      </c>
    </row>
    <row r="258" spans="1:11" x14ac:dyDescent="0.2">
      <c r="A258" t="s">
        <v>78</v>
      </c>
      <c r="B258" t="s">
        <v>8</v>
      </c>
      <c r="C258" t="s">
        <v>6</v>
      </c>
      <c r="D258">
        <v>79939924.409999996</v>
      </c>
      <c r="E258">
        <v>51559963.82</v>
      </c>
      <c r="F258">
        <v>12</v>
      </c>
      <c r="G258">
        <v>1</v>
      </c>
      <c r="H258" s="7">
        <f t="shared" si="12"/>
        <v>107918897.9535</v>
      </c>
      <c r="I258" s="1">
        <f t="shared" si="13"/>
        <v>69605951.157000005</v>
      </c>
      <c r="J258" s="7">
        <f t="shared" si="14"/>
        <v>107.91889795350001</v>
      </c>
      <c r="K258" s="7">
        <f t="shared" si="15"/>
        <v>69.605951157000007</v>
      </c>
    </row>
    <row r="259" spans="1:11" x14ac:dyDescent="0.2">
      <c r="A259" t="s">
        <v>130</v>
      </c>
      <c r="B259" t="s">
        <v>8</v>
      </c>
      <c r="C259" t="s">
        <v>6</v>
      </c>
      <c r="D259">
        <v>2066021.5260000001</v>
      </c>
      <c r="E259">
        <v>2066021.5260000001</v>
      </c>
      <c r="F259">
        <v>1</v>
      </c>
      <c r="G259">
        <v>1</v>
      </c>
      <c r="H259" s="7">
        <f t="shared" ref="H259:H322" si="16">D259*1.35</f>
        <v>2789129.0601000004</v>
      </c>
      <c r="I259" s="1">
        <f t="shared" ref="I259:I322" si="17">E259*1.35</f>
        <v>2789129.0601000004</v>
      </c>
      <c r="J259" s="7">
        <f t="shared" ref="J259:J322" si="18">H259/1000000</f>
        <v>2.7891290601000005</v>
      </c>
      <c r="K259" s="7">
        <f t="shared" ref="K259:K322" si="19">I259/1000000</f>
        <v>2.7891290601000005</v>
      </c>
    </row>
    <row r="260" spans="1:11" x14ac:dyDescent="0.2">
      <c r="A260" t="s">
        <v>80</v>
      </c>
      <c r="B260" t="s">
        <v>8</v>
      </c>
      <c r="C260" t="s">
        <v>6</v>
      </c>
      <c r="D260">
        <v>263034815.80000001</v>
      </c>
      <c r="E260">
        <v>239889344.5</v>
      </c>
      <c r="F260">
        <v>90</v>
      </c>
      <c r="G260">
        <v>1</v>
      </c>
      <c r="H260" s="7">
        <f t="shared" si="16"/>
        <v>355097001.33000004</v>
      </c>
      <c r="I260" s="1">
        <f t="shared" si="17"/>
        <v>323850615.07500005</v>
      </c>
      <c r="J260" s="7">
        <f t="shared" si="18"/>
        <v>355.09700133000007</v>
      </c>
      <c r="K260" s="7">
        <f t="shared" si="19"/>
        <v>323.85061507500006</v>
      </c>
    </row>
    <row r="261" spans="1:11" x14ac:dyDescent="0.2">
      <c r="A261" t="s">
        <v>81</v>
      </c>
      <c r="B261" t="s">
        <v>8</v>
      </c>
      <c r="C261" t="s">
        <v>6</v>
      </c>
      <c r="D261">
        <v>353495.08870000002</v>
      </c>
      <c r="E261">
        <v>353495.08870000002</v>
      </c>
      <c r="F261">
        <v>1</v>
      </c>
      <c r="G261">
        <v>1</v>
      </c>
      <c r="H261" s="7">
        <f t="shared" si="16"/>
        <v>477218.36974500003</v>
      </c>
      <c r="I261" s="1">
        <f t="shared" si="17"/>
        <v>477218.36974500003</v>
      </c>
      <c r="J261" s="7">
        <f t="shared" si="18"/>
        <v>0.47721836974500004</v>
      </c>
      <c r="K261" s="7">
        <f t="shared" si="19"/>
        <v>0.47721836974500004</v>
      </c>
    </row>
    <row r="262" spans="1:11" x14ac:dyDescent="0.2">
      <c r="A262" t="s">
        <v>83</v>
      </c>
      <c r="B262" t="s">
        <v>8</v>
      </c>
      <c r="C262" t="s">
        <v>6</v>
      </c>
      <c r="D262">
        <v>22920435.969999999</v>
      </c>
      <c r="E262">
        <v>17046919.489999998</v>
      </c>
      <c r="F262">
        <v>13</v>
      </c>
      <c r="G262">
        <v>1</v>
      </c>
      <c r="H262" s="7">
        <f t="shared" si="16"/>
        <v>30942588.559500001</v>
      </c>
      <c r="I262" s="1">
        <f t="shared" si="17"/>
        <v>23013341.311499998</v>
      </c>
      <c r="J262" s="7">
        <f t="shared" si="18"/>
        <v>30.942588559500003</v>
      </c>
      <c r="K262" s="7">
        <f t="shared" si="19"/>
        <v>23.0133413115</v>
      </c>
    </row>
    <row r="263" spans="1:11" x14ac:dyDescent="0.2">
      <c r="A263" t="s">
        <v>118</v>
      </c>
      <c r="B263" t="s">
        <v>8</v>
      </c>
      <c r="C263" t="s">
        <v>6</v>
      </c>
      <c r="D263">
        <v>761095.80920000002</v>
      </c>
      <c r="E263">
        <v>761095.80920000002</v>
      </c>
      <c r="F263">
        <v>2</v>
      </c>
      <c r="G263">
        <v>1</v>
      </c>
      <c r="H263" s="7">
        <f t="shared" si="16"/>
        <v>1027479.3424200001</v>
      </c>
      <c r="I263" s="1">
        <f t="shared" si="17"/>
        <v>1027479.3424200001</v>
      </c>
      <c r="J263" s="7">
        <f t="shared" si="18"/>
        <v>1.0274793424200002</v>
      </c>
      <c r="K263" s="7">
        <f t="shared" si="19"/>
        <v>1.0274793424200002</v>
      </c>
    </row>
    <row r="264" spans="1:11" x14ac:dyDescent="0.2">
      <c r="A264" t="s">
        <v>84</v>
      </c>
      <c r="B264" t="s">
        <v>8</v>
      </c>
      <c r="C264" t="s">
        <v>6</v>
      </c>
      <c r="D264">
        <v>5695863.3550000004</v>
      </c>
      <c r="E264">
        <v>5695863.3550000004</v>
      </c>
      <c r="F264">
        <v>5</v>
      </c>
      <c r="G264">
        <v>1</v>
      </c>
      <c r="H264" s="7">
        <f t="shared" si="16"/>
        <v>7689415.5292500015</v>
      </c>
      <c r="I264" s="1">
        <f t="shared" si="17"/>
        <v>7689415.5292500015</v>
      </c>
      <c r="J264" s="7">
        <f t="shared" si="18"/>
        <v>7.6894155292500015</v>
      </c>
      <c r="K264" s="7">
        <f t="shared" si="19"/>
        <v>7.6894155292500015</v>
      </c>
    </row>
    <row r="265" spans="1:11" x14ac:dyDescent="0.2">
      <c r="A265" t="s">
        <v>85</v>
      </c>
      <c r="B265" t="s">
        <v>8</v>
      </c>
      <c r="C265" t="s">
        <v>6</v>
      </c>
      <c r="D265">
        <v>3570559.5759999999</v>
      </c>
      <c r="E265">
        <v>3570559.5759999999</v>
      </c>
      <c r="F265">
        <v>2</v>
      </c>
      <c r="G265">
        <v>1</v>
      </c>
      <c r="H265" s="7">
        <f t="shared" si="16"/>
        <v>4820255.4276000001</v>
      </c>
      <c r="I265" s="1">
        <f t="shared" si="17"/>
        <v>4820255.4276000001</v>
      </c>
      <c r="J265" s="7">
        <f t="shared" si="18"/>
        <v>4.8202554276000003</v>
      </c>
      <c r="K265" s="7">
        <f t="shared" si="19"/>
        <v>4.8202554276000003</v>
      </c>
    </row>
    <row r="266" spans="1:11" x14ac:dyDescent="0.2">
      <c r="A266" t="s">
        <v>86</v>
      </c>
      <c r="B266" t="s">
        <v>8</v>
      </c>
      <c r="C266" t="s">
        <v>6</v>
      </c>
      <c r="D266">
        <v>8624915.8000000007</v>
      </c>
      <c r="E266">
        <v>8624915.8000000007</v>
      </c>
      <c r="F266">
        <v>10</v>
      </c>
      <c r="G266">
        <v>1</v>
      </c>
      <c r="H266" s="7">
        <f t="shared" si="16"/>
        <v>11643636.330000002</v>
      </c>
      <c r="I266" s="1">
        <f t="shared" si="17"/>
        <v>11643636.330000002</v>
      </c>
      <c r="J266" s="7">
        <f t="shared" si="18"/>
        <v>11.643636330000001</v>
      </c>
      <c r="K266" s="7">
        <f t="shared" si="19"/>
        <v>11.643636330000001</v>
      </c>
    </row>
    <row r="267" spans="1:11" x14ac:dyDescent="0.2">
      <c r="A267" t="s">
        <v>119</v>
      </c>
      <c r="B267" t="s">
        <v>8</v>
      </c>
      <c r="C267" t="s">
        <v>6</v>
      </c>
      <c r="D267">
        <v>21195725.719999999</v>
      </c>
      <c r="E267">
        <v>21195725.719999999</v>
      </c>
      <c r="F267">
        <v>11</v>
      </c>
      <c r="G267">
        <v>1</v>
      </c>
      <c r="H267" s="7">
        <f t="shared" si="16"/>
        <v>28614229.721999999</v>
      </c>
      <c r="I267" s="1">
        <f t="shared" si="17"/>
        <v>28614229.721999999</v>
      </c>
      <c r="J267" s="7">
        <f t="shared" si="18"/>
        <v>28.614229721999997</v>
      </c>
      <c r="K267" s="7">
        <f t="shared" si="19"/>
        <v>28.614229721999997</v>
      </c>
    </row>
    <row r="268" spans="1:11" x14ac:dyDescent="0.2">
      <c r="A268" t="s">
        <v>87</v>
      </c>
      <c r="B268" t="s">
        <v>8</v>
      </c>
      <c r="C268" t="s">
        <v>6</v>
      </c>
      <c r="D268">
        <v>126666.0148</v>
      </c>
      <c r="E268">
        <v>126666.0148</v>
      </c>
      <c r="F268">
        <v>2</v>
      </c>
      <c r="G268">
        <v>1</v>
      </c>
      <c r="H268" s="7">
        <f t="shared" si="16"/>
        <v>170999.11998000002</v>
      </c>
      <c r="I268" s="1">
        <f t="shared" si="17"/>
        <v>170999.11998000002</v>
      </c>
      <c r="J268" s="7">
        <f t="shared" si="18"/>
        <v>0.17099911998000003</v>
      </c>
      <c r="K268" s="7">
        <f t="shared" si="19"/>
        <v>0.17099911998000003</v>
      </c>
    </row>
    <row r="269" spans="1:11" x14ac:dyDescent="0.2">
      <c r="A269" t="s">
        <v>88</v>
      </c>
      <c r="B269" t="s">
        <v>8</v>
      </c>
      <c r="C269" t="s">
        <v>6</v>
      </c>
      <c r="D269">
        <v>962933.94819999998</v>
      </c>
      <c r="E269">
        <v>962933.94819999998</v>
      </c>
      <c r="F269">
        <v>1</v>
      </c>
      <c r="G269">
        <v>1</v>
      </c>
      <c r="H269" s="7">
        <f t="shared" si="16"/>
        <v>1299960.8300700001</v>
      </c>
      <c r="I269" s="1">
        <f t="shared" si="17"/>
        <v>1299960.8300700001</v>
      </c>
      <c r="J269" s="7">
        <f t="shared" si="18"/>
        <v>1.2999608300700001</v>
      </c>
      <c r="K269" s="7">
        <f t="shared" si="19"/>
        <v>1.2999608300700001</v>
      </c>
    </row>
    <row r="270" spans="1:11" x14ac:dyDescent="0.2">
      <c r="A270" t="s">
        <v>120</v>
      </c>
      <c r="B270" t="s">
        <v>8</v>
      </c>
      <c r="C270" t="s">
        <v>6</v>
      </c>
      <c r="D270">
        <v>1849998.075</v>
      </c>
      <c r="E270">
        <v>1849998.075</v>
      </c>
      <c r="F270">
        <v>3</v>
      </c>
      <c r="G270">
        <v>1</v>
      </c>
      <c r="H270" s="7">
        <f t="shared" si="16"/>
        <v>2497497.4012500001</v>
      </c>
      <c r="I270" s="1">
        <f t="shared" si="17"/>
        <v>2497497.4012500001</v>
      </c>
      <c r="J270" s="7">
        <f t="shared" si="18"/>
        <v>2.49749740125</v>
      </c>
      <c r="K270" s="7">
        <f t="shared" si="19"/>
        <v>2.49749740125</v>
      </c>
    </row>
    <row r="271" spans="1:11" x14ac:dyDescent="0.2">
      <c r="A271" t="s">
        <v>89</v>
      </c>
      <c r="B271" t="s">
        <v>8</v>
      </c>
      <c r="C271" t="s">
        <v>6</v>
      </c>
      <c r="D271">
        <v>70042765.730000004</v>
      </c>
      <c r="E271">
        <v>45383301.700000003</v>
      </c>
      <c r="F271">
        <v>12</v>
      </c>
      <c r="G271">
        <v>1</v>
      </c>
      <c r="H271" s="7">
        <f t="shared" si="16"/>
        <v>94557733.735500008</v>
      </c>
      <c r="I271" s="1">
        <f t="shared" si="17"/>
        <v>61267457.295000009</v>
      </c>
      <c r="J271" s="7">
        <f t="shared" si="18"/>
        <v>94.557733735500008</v>
      </c>
      <c r="K271" s="7">
        <f t="shared" si="19"/>
        <v>61.267457295000007</v>
      </c>
    </row>
    <row r="272" spans="1:11" x14ac:dyDescent="0.2">
      <c r="A272" t="s">
        <v>91</v>
      </c>
      <c r="B272" t="s">
        <v>8</v>
      </c>
      <c r="C272" t="s">
        <v>6</v>
      </c>
      <c r="D272">
        <v>4789663.1229999997</v>
      </c>
      <c r="E272">
        <v>4789663.1229999997</v>
      </c>
      <c r="F272">
        <v>3</v>
      </c>
      <c r="G272">
        <v>1</v>
      </c>
      <c r="H272" s="7">
        <f t="shared" si="16"/>
        <v>6466045.2160499999</v>
      </c>
      <c r="I272" s="1">
        <f t="shared" si="17"/>
        <v>6466045.2160499999</v>
      </c>
      <c r="J272" s="7">
        <f t="shared" si="18"/>
        <v>6.4660452160499995</v>
      </c>
      <c r="K272" s="7">
        <f t="shared" si="19"/>
        <v>6.4660452160499995</v>
      </c>
    </row>
    <row r="273" spans="1:11" x14ac:dyDescent="0.2">
      <c r="A273" t="s">
        <v>131</v>
      </c>
      <c r="B273" t="s">
        <v>8</v>
      </c>
      <c r="C273" t="s">
        <v>6</v>
      </c>
      <c r="D273">
        <v>143647.4676</v>
      </c>
      <c r="E273">
        <v>143647.4676</v>
      </c>
      <c r="F273">
        <v>1</v>
      </c>
      <c r="G273">
        <v>1</v>
      </c>
      <c r="H273" s="7">
        <f t="shared" si="16"/>
        <v>193924.08126000001</v>
      </c>
      <c r="I273" s="1">
        <f t="shared" si="17"/>
        <v>193924.08126000001</v>
      </c>
      <c r="J273" s="7">
        <f t="shared" si="18"/>
        <v>0.19392408126000002</v>
      </c>
      <c r="K273" s="7">
        <f t="shared" si="19"/>
        <v>0.19392408126000002</v>
      </c>
    </row>
    <row r="274" spans="1:11" x14ac:dyDescent="0.2">
      <c r="A274" t="s">
        <v>93</v>
      </c>
      <c r="B274" t="s">
        <v>8</v>
      </c>
      <c r="C274" t="s">
        <v>6</v>
      </c>
      <c r="D274">
        <v>24501192.550000001</v>
      </c>
      <c r="E274">
        <v>24501192.550000001</v>
      </c>
      <c r="F274">
        <v>9</v>
      </c>
      <c r="G274">
        <v>1</v>
      </c>
      <c r="H274" s="7">
        <f t="shared" si="16"/>
        <v>33076609.942500003</v>
      </c>
      <c r="I274" s="1">
        <f t="shared" si="17"/>
        <v>33076609.942500003</v>
      </c>
      <c r="J274" s="7">
        <f t="shared" si="18"/>
        <v>33.076609942499999</v>
      </c>
      <c r="K274" s="7">
        <f t="shared" si="19"/>
        <v>33.076609942499999</v>
      </c>
    </row>
    <row r="275" spans="1:11" x14ac:dyDescent="0.2">
      <c r="A275" t="s">
        <v>95</v>
      </c>
      <c r="B275" t="s">
        <v>8</v>
      </c>
      <c r="C275" t="s">
        <v>6</v>
      </c>
      <c r="D275">
        <v>119269832.5</v>
      </c>
      <c r="E275">
        <v>41431963.189999998</v>
      </c>
      <c r="F275">
        <v>9</v>
      </c>
      <c r="G275">
        <v>1</v>
      </c>
      <c r="H275" s="7">
        <f t="shared" si="16"/>
        <v>161014273.875</v>
      </c>
      <c r="I275" s="1">
        <f t="shared" si="17"/>
        <v>55933150.306500003</v>
      </c>
      <c r="J275" s="7">
        <f t="shared" si="18"/>
        <v>161.01427387499999</v>
      </c>
      <c r="K275" s="7">
        <f t="shared" si="19"/>
        <v>55.933150306500004</v>
      </c>
    </row>
    <row r="276" spans="1:11" x14ac:dyDescent="0.2">
      <c r="A276" t="s">
        <v>96</v>
      </c>
      <c r="B276" t="s">
        <v>8</v>
      </c>
      <c r="C276" t="s">
        <v>6</v>
      </c>
      <c r="D276">
        <v>32484666.48</v>
      </c>
      <c r="E276">
        <v>32484666.48</v>
      </c>
      <c r="F276">
        <v>8</v>
      </c>
      <c r="G276">
        <v>1</v>
      </c>
      <c r="H276" s="7">
        <f t="shared" si="16"/>
        <v>43854299.748000003</v>
      </c>
      <c r="I276" s="1">
        <f t="shared" si="17"/>
        <v>43854299.748000003</v>
      </c>
      <c r="J276" s="7">
        <f t="shared" si="18"/>
        <v>43.854299748000003</v>
      </c>
      <c r="K276" s="7">
        <f t="shared" si="19"/>
        <v>43.854299748000003</v>
      </c>
    </row>
    <row r="277" spans="1:11" x14ac:dyDescent="0.2">
      <c r="A277" t="s">
        <v>97</v>
      </c>
      <c r="B277" t="s">
        <v>8</v>
      </c>
      <c r="C277" t="s">
        <v>6</v>
      </c>
      <c r="D277">
        <v>2137293.0759999999</v>
      </c>
      <c r="E277">
        <v>2137293.0759999999</v>
      </c>
      <c r="F277">
        <v>1</v>
      </c>
      <c r="G277">
        <v>1</v>
      </c>
      <c r="H277" s="7">
        <f t="shared" si="16"/>
        <v>2885345.6526000001</v>
      </c>
      <c r="I277" s="1">
        <f t="shared" si="17"/>
        <v>2885345.6526000001</v>
      </c>
      <c r="J277" s="7">
        <f t="shared" si="18"/>
        <v>2.8853456526000003</v>
      </c>
      <c r="K277" s="7">
        <f t="shared" si="19"/>
        <v>2.8853456526000003</v>
      </c>
    </row>
    <row r="278" spans="1:11" x14ac:dyDescent="0.2">
      <c r="A278" t="s">
        <v>121</v>
      </c>
      <c r="B278" t="s">
        <v>8</v>
      </c>
      <c r="C278" t="s">
        <v>6</v>
      </c>
      <c r="D278">
        <v>1380511.139</v>
      </c>
      <c r="E278">
        <v>1380511.139</v>
      </c>
      <c r="F278">
        <v>1</v>
      </c>
      <c r="G278">
        <v>1</v>
      </c>
      <c r="H278" s="7">
        <f t="shared" si="16"/>
        <v>1863690.0376500001</v>
      </c>
      <c r="I278" s="1">
        <f t="shared" si="17"/>
        <v>1863690.0376500001</v>
      </c>
      <c r="J278" s="7">
        <f t="shared" si="18"/>
        <v>1.8636900376500001</v>
      </c>
      <c r="K278" s="7">
        <f t="shared" si="19"/>
        <v>1.8636900376500001</v>
      </c>
    </row>
    <row r="279" spans="1:11" x14ac:dyDescent="0.2">
      <c r="A279" t="s">
        <v>99</v>
      </c>
      <c r="B279" t="s">
        <v>8</v>
      </c>
      <c r="C279" t="s">
        <v>6</v>
      </c>
      <c r="D279">
        <v>12562160.689999999</v>
      </c>
      <c r="E279">
        <v>12279786.93</v>
      </c>
      <c r="F279">
        <v>6</v>
      </c>
      <c r="G279">
        <v>1</v>
      </c>
      <c r="H279" s="7">
        <f t="shared" si="16"/>
        <v>16958916.931499999</v>
      </c>
      <c r="I279" s="1">
        <f t="shared" si="17"/>
        <v>16577712.355500001</v>
      </c>
      <c r="J279" s="7">
        <f t="shared" si="18"/>
        <v>16.958916931499999</v>
      </c>
      <c r="K279" s="7">
        <f t="shared" si="19"/>
        <v>16.577712355500001</v>
      </c>
    </row>
    <row r="280" spans="1:11" x14ac:dyDescent="0.2">
      <c r="A280" t="s">
        <v>100</v>
      </c>
      <c r="B280" t="s">
        <v>8</v>
      </c>
      <c r="C280" t="s">
        <v>6</v>
      </c>
      <c r="D280">
        <v>362127.66440000001</v>
      </c>
      <c r="E280">
        <v>362127.66440000001</v>
      </c>
      <c r="F280">
        <v>2</v>
      </c>
      <c r="G280">
        <v>1</v>
      </c>
      <c r="H280" s="7">
        <f t="shared" si="16"/>
        <v>488872.34694000002</v>
      </c>
      <c r="I280" s="1">
        <f t="shared" si="17"/>
        <v>488872.34694000002</v>
      </c>
      <c r="J280" s="7">
        <f t="shared" si="18"/>
        <v>0.48887234694000004</v>
      </c>
      <c r="K280" s="7">
        <f t="shared" si="19"/>
        <v>0.48887234694000004</v>
      </c>
    </row>
    <row r="281" spans="1:11" x14ac:dyDescent="0.2">
      <c r="A281" t="s">
        <v>101</v>
      </c>
      <c r="B281" t="s">
        <v>8</v>
      </c>
      <c r="C281" t="s">
        <v>6</v>
      </c>
      <c r="D281">
        <v>9125966.1909999996</v>
      </c>
      <c r="E281">
        <v>9125966.1909999996</v>
      </c>
      <c r="F281">
        <v>16</v>
      </c>
      <c r="G281">
        <v>1</v>
      </c>
      <c r="H281" s="7">
        <f t="shared" si="16"/>
        <v>12320054.35785</v>
      </c>
      <c r="I281" s="1">
        <f t="shared" si="17"/>
        <v>12320054.35785</v>
      </c>
      <c r="J281" s="7">
        <f t="shared" si="18"/>
        <v>12.320054357850001</v>
      </c>
      <c r="K281" s="7">
        <f t="shared" si="19"/>
        <v>12.320054357850001</v>
      </c>
    </row>
    <row r="282" spans="1:11" x14ac:dyDescent="0.2">
      <c r="A282" t="s">
        <v>102</v>
      </c>
      <c r="B282" t="s">
        <v>8</v>
      </c>
      <c r="C282" t="s">
        <v>6</v>
      </c>
      <c r="D282">
        <v>906507554.60000002</v>
      </c>
      <c r="E282">
        <v>666539312.39999998</v>
      </c>
      <c r="F282">
        <v>227</v>
      </c>
      <c r="G282">
        <v>1</v>
      </c>
      <c r="H282" s="7">
        <f t="shared" si="16"/>
        <v>1223785198.71</v>
      </c>
      <c r="I282" s="1">
        <f t="shared" si="17"/>
        <v>899828071.74000001</v>
      </c>
      <c r="J282" s="7">
        <f t="shared" si="18"/>
        <v>1223.78519871</v>
      </c>
      <c r="K282" s="7">
        <f t="shared" si="19"/>
        <v>899.82807174000004</v>
      </c>
    </row>
    <row r="283" spans="1:11" x14ac:dyDescent="0.2">
      <c r="A283" t="s">
        <v>103</v>
      </c>
      <c r="B283" t="s">
        <v>8</v>
      </c>
      <c r="C283" t="s">
        <v>6</v>
      </c>
      <c r="D283">
        <v>18373346.469999999</v>
      </c>
      <c r="E283">
        <v>18373346.469999999</v>
      </c>
      <c r="F283">
        <v>13</v>
      </c>
      <c r="G283">
        <v>1</v>
      </c>
      <c r="H283" s="7">
        <f t="shared" si="16"/>
        <v>24804017.734499998</v>
      </c>
      <c r="I283" s="1">
        <f t="shared" si="17"/>
        <v>24804017.734499998</v>
      </c>
      <c r="J283" s="7">
        <f t="shared" si="18"/>
        <v>24.804017734499997</v>
      </c>
      <c r="K283" s="7">
        <f t="shared" si="19"/>
        <v>24.804017734499997</v>
      </c>
    </row>
    <row r="284" spans="1:11" x14ac:dyDescent="0.2">
      <c r="A284" t="s">
        <v>132</v>
      </c>
      <c r="B284" t="s">
        <v>8</v>
      </c>
      <c r="C284" t="s">
        <v>6</v>
      </c>
      <c r="D284">
        <v>6914832.5029999996</v>
      </c>
      <c r="E284">
        <v>6914832.5029999996</v>
      </c>
      <c r="F284">
        <v>6</v>
      </c>
      <c r="G284">
        <v>1</v>
      </c>
      <c r="H284" s="7">
        <f t="shared" si="16"/>
        <v>9335023.8790499996</v>
      </c>
      <c r="I284" s="1">
        <f t="shared" si="17"/>
        <v>9335023.8790499996</v>
      </c>
      <c r="J284" s="7">
        <f t="shared" si="18"/>
        <v>9.3350238790500004</v>
      </c>
      <c r="K284" s="7">
        <f t="shared" si="19"/>
        <v>9.3350238790500004</v>
      </c>
    </row>
    <row r="285" spans="1:11" x14ac:dyDescent="0.2">
      <c r="A285" t="s">
        <v>133</v>
      </c>
      <c r="B285" t="s">
        <v>8</v>
      </c>
      <c r="C285" t="s">
        <v>6</v>
      </c>
      <c r="D285">
        <v>200403.28520000001</v>
      </c>
      <c r="E285">
        <v>200403.28520000001</v>
      </c>
      <c r="F285">
        <v>1</v>
      </c>
      <c r="G285">
        <v>1</v>
      </c>
      <c r="H285" s="7">
        <f t="shared" si="16"/>
        <v>270544.43502000003</v>
      </c>
      <c r="I285" s="1">
        <f t="shared" si="17"/>
        <v>270544.43502000003</v>
      </c>
      <c r="J285" s="7">
        <f t="shared" si="18"/>
        <v>0.27054443502000003</v>
      </c>
      <c r="K285" s="7">
        <f t="shared" si="19"/>
        <v>0.27054443502000003</v>
      </c>
    </row>
    <row r="286" spans="1:11" x14ac:dyDescent="0.2">
      <c r="A286" t="s">
        <v>104</v>
      </c>
      <c r="B286" t="s">
        <v>8</v>
      </c>
      <c r="C286" t="s">
        <v>6</v>
      </c>
      <c r="D286">
        <v>37605.860500000003</v>
      </c>
      <c r="E286">
        <v>37605.860500000003</v>
      </c>
      <c r="F286">
        <v>1</v>
      </c>
      <c r="G286">
        <v>1</v>
      </c>
      <c r="H286" s="7">
        <f t="shared" si="16"/>
        <v>50767.91167500001</v>
      </c>
      <c r="I286" s="1">
        <f t="shared" si="17"/>
        <v>50767.91167500001</v>
      </c>
      <c r="J286" s="7">
        <f t="shared" si="18"/>
        <v>5.0767911675000013E-2</v>
      </c>
      <c r="K286" s="7">
        <f t="shared" si="19"/>
        <v>5.0767911675000013E-2</v>
      </c>
    </row>
    <row r="287" spans="1:11" x14ac:dyDescent="0.2">
      <c r="A287" t="s">
        <v>105</v>
      </c>
      <c r="B287" t="s">
        <v>8</v>
      </c>
      <c r="C287" t="s">
        <v>6</v>
      </c>
      <c r="D287">
        <v>600583.34210000001</v>
      </c>
      <c r="E287">
        <v>600583.34210000001</v>
      </c>
      <c r="F287">
        <v>3</v>
      </c>
      <c r="G287">
        <v>1</v>
      </c>
      <c r="H287" s="7">
        <f t="shared" si="16"/>
        <v>810787.51183500001</v>
      </c>
      <c r="I287" s="1">
        <f t="shared" si="17"/>
        <v>810787.51183500001</v>
      </c>
      <c r="J287" s="7">
        <f t="shared" si="18"/>
        <v>0.81078751183499997</v>
      </c>
      <c r="K287" s="7">
        <f t="shared" si="19"/>
        <v>0.81078751183499997</v>
      </c>
    </row>
    <row r="288" spans="1:11" x14ac:dyDescent="0.2">
      <c r="A288" t="s">
        <v>39</v>
      </c>
      <c r="B288" t="s">
        <v>9</v>
      </c>
      <c r="C288" t="s">
        <v>6</v>
      </c>
      <c r="D288">
        <v>965000</v>
      </c>
      <c r="E288">
        <v>965000</v>
      </c>
      <c r="F288">
        <v>1</v>
      </c>
      <c r="G288">
        <v>0</v>
      </c>
      <c r="H288" s="7">
        <f t="shared" si="16"/>
        <v>1302750</v>
      </c>
      <c r="I288" s="1">
        <f t="shared" si="17"/>
        <v>1302750</v>
      </c>
      <c r="J288" s="7">
        <f t="shared" si="18"/>
        <v>1.3027500000000001</v>
      </c>
      <c r="K288" s="7">
        <f t="shared" si="19"/>
        <v>1.3027500000000001</v>
      </c>
    </row>
    <row r="289" spans="1:11" x14ac:dyDescent="0.2">
      <c r="A289" t="s">
        <v>41</v>
      </c>
      <c r="B289" t="s">
        <v>9</v>
      </c>
      <c r="C289" t="s">
        <v>6</v>
      </c>
      <c r="D289">
        <v>647970</v>
      </c>
      <c r="E289">
        <v>647970</v>
      </c>
      <c r="F289">
        <v>4</v>
      </c>
      <c r="G289">
        <v>0</v>
      </c>
      <c r="H289" s="7">
        <f t="shared" si="16"/>
        <v>874759.5</v>
      </c>
      <c r="I289" s="1">
        <f t="shared" si="17"/>
        <v>874759.5</v>
      </c>
      <c r="J289" s="7">
        <f t="shared" si="18"/>
        <v>0.87475950000000002</v>
      </c>
      <c r="K289" s="7">
        <f t="shared" si="19"/>
        <v>0.87475950000000002</v>
      </c>
    </row>
    <row r="290" spans="1:11" x14ac:dyDescent="0.2">
      <c r="A290" t="s">
        <v>52</v>
      </c>
      <c r="B290" t="s">
        <v>9</v>
      </c>
      <c r="C290" t="s">
        <v>6</v>
      </c>
      <c r="D290">
        <v>570972</v>
      </c>
      <c r="E290">
        <v>570972</v>
      </c>
      <c r="F290">
        <v>1</v>
      </c>
      <c r="G290">
        <v>0</v>
      </c>
      <c r="H290" s="7">
        <f t="shared" si="16"/>
        <v>770812.20000000007</v>
      </c>
      <c r="I290" s="1">
        <f t="shared" si="17"/>
        <v>770812.20000000007</v>
      </c>
      <c r="J290" s="7">
        <f t="shared" si="18"/>
        <v>0.77081220000000006</v>
      </c>
      <c r="K290" s="7">
        <f t="shared" si="19"/>
        <v>0.77081220000000006</v>
      </c>
    </row>
    <row r="291" spans="1:11" x14ac:dyDescent="0.2">
      <c r="A291" t="s">
        <v>54</v>
      </c>
      <c r="B291" t="s">
        <v>9</v>
      </c>
      <c r="C291" t="s">
        <v>6</v>
      </c>
      <c r="D291">
        <v>11303190</v>
      </c>
      <c r="E291">
        <v>11303190</v>
      </c>
      <c r="F291">
        <v>2</v>
      </c>
      <c r="G291">
        <v>0</v>
      </c>
      <c r="H291" s="7">
        <f t="shared" si="16"/>
        <v>15259306.500000002</v>
      </c>
      <c r="I291" s="1">
        <f t="shared" si="17"/>
        <v>15259306.500000002</v>
      </c>
      <c r="J291" s="7">
        <f t="shared" si="18"/>
        <v>15.259306500000001</v>
      </c>
      <c r="K291" s="7">
        <f t="shared" si="19"/>
        <v>15.259306500000001</v>
      </c>
    </row>
    <row r="292" spans="1:11" x14ac:dyDescent="0.2">
      <c r="A292" t="s">
        <v>107</v>
      </c>
      <c r="B292" t="s">
        <v>9</v>
      </c>
      <c r="C292" t="s">
        <v>6</v>
      </c>
      <c r="D292">
        <v>78660</v>
      </c>
      <c r="E292">
        <v>78660</v>
      </c>
      <c r="F292">
        <v>1</v>
      </c>
      <c r="G292">
        <v>0</v>
      </c>
      <c r="H292" s="7">
        <f t="shared" si="16"/>
        <v>106191</v>
      </c>
      <c r="I292" s="1">
        <f t="shared" si="17"/>
        <v>106191</v>
      </c>
      <c r="J292" s="7">
        <f t="shared" si="18"/>
        <v>0.10619099999999999</v>
      </c>
      <c r="K292" s="7">
        <f t="shared" si="19"/>
        <v>0.10619099999999999</v>
      </c>
    </row>
    <row r="293" spans="1:11" x14ac:dyDescent="0.2">
      <c r="A293" t="s">
        <v>57</v>
      </c>
      <c r="B293" t="s">
        <v>9</v>
      </c>
      <c r="C293" t="s">
        <v>6</v>
      </c>
      <c r="D293">
        <v>92939537</v>
      </c>
      <c r="E293">
        <v>92939537</v>
      </c>
      <c r="F293">
        <v>11</v>
      </c>
      <c r="G293">
        <v>0</v>
      </c>
      <c r="H293" s="7">
        <f t="shared" si="16"/>
        <v>125468374.95</v>
      </c>
      <c r="I293" s="1">
        <f t="shared" si="17"/>
        <v>125468374.95</v>
      </c>
      <c r="J293" s="7">
        <f t="shared" si="18"/>
        <v>125.46837495</v>
      </c>
      <c r="K293" s="7">
        <f t="shared" si="19"/>
        <v>125.46837495</v>
      </c>
    </row>
    <row r="294" spans="1:11" x14ac:dyDescent="0.2">
      <c r="A294" t="s">
        <v>58</v>
      </c>
      <c r="B294" t="s">
        <v>9</v>
      </c>
      <c r="C294" t="s">
        <v>6</v>
      </c>
      <c r="D294">
        <v>61582623.200000003</v>
      </c>
      <c r="E294">
        <v>61582623.200000003</v>
      </c>
      <c r="F294">
        <v>97</v>
      </c>
      <c r="G294">
        <v>0</v>
      </c>
      <c r="H294" s="7">
        <f t="shared" si="16"/>
        <v>83136541.320000008</v>
      </c>
      <c r="I294" s="1">
        <f t="shared" si="17"/>
        <v>83136541.320000008</v>
      </c>
      <c r="J294" s="7">
        <f t="shared" si="18"/>
        <v>83.136541320000006</v>
      </c>
      <c r="K294" s="7">
        <f t="shared" si="19"/>
        <v>83.136541320000006</v>
      </c>
    </row>
    <row r="295" spans="1:11" x14ac:dyDescent="0.2">
      <c r="A295" t="s">
        <v>61</v>
      </c>
      <c r="B295" t="s">
        <v>9</v>
      </c>
      <c r="C295" t="s">
        <v>6</v>
      </c>
      <c r="D295">
        <v>19052763.800000001</v>
      </c>
      <c r="E295">
        <v>19052763.800000001</v>
      </c>
      <c r="F295">
        <v>9</v>
      </c>
      <c r="G295">
        <v>0</v>
      </c>
      <c r="H295" s="7">
        <f t="shared" si="16"/>
        <v>25721231.130000003</v>
      </c>
      <c r="I295" s="1">
        <f t="shared" si="17"/>
        <v>25721231.130000003</v>
      </c>
      <c r="J295" s="7">
        <f t="shared" si="18"/>
        <v>25.721231130000003</v>
      </c>
      <c r="K295" s="7">
        <f t="shared" si="19"/>
        <v>25.721231130000003</v>
      </c>
    </row>
    <row r="296" spans="1:11" x14ac:dyDescent="0.2">
      <c r="A296" t="s">
        <v>134</v>
      </c>
      <c r="B296" t="s">
        <v>9</v>
      </c>
      <c r="C296" t="s">
        <v>6</v>
      </c>
      <c r="D296">
        <v>102856</v>
      </c>
      <c r="E296">
        <v>102856</v>
      </c>
      <c r="F296">
        <v>1</v>
      </c>
      <c r="G296">
        <v>0</v>
      </c>
      <c r="H296" s="7">
        <f t="shared" si="16"/>
        <v>138855.6</v>
      </c>
      <c r="I296" s="1">
        <f t="shared" si="17"/>
        <v>138855.6</v>
      </c>
      <c r="J296" s="7">
        <f t="shared" si="18"/>
        <v>0.1388556</v>
      </c>
      <c r="K296" s="7">
        <f t="shared" si="19"/>
        <v>0.1388556</v>
      </c>
    </row>
    <row r="297" spans="1:11" x14ac:dyDescent="0.2">
      <c r="A297" t="s">
        <v>65</v>
      </c>
      <c r="B297" t="s">
        <v>9</v>
      </c>
      <c r="C297" t="s">
        <v>6</v>
      </c>
      <c r="D297">
        <v>65258663.100000001</v>
      </c>
      <c r="E297">
        <v>65258663.100000001</v>
      </c>
      <c r="F297">
        <v>52</v>
      </c>
      <c r="G297">
        <v>0</v>
      </c>
      <c r="H297" s="7">
        <f t="shared" si="16"/>
        <v>88099195.185000002</v>
      </c>
      <c r="I297" s="1">
        <f t="shared" si="17"/>
        <v>88099195.185000002</v>
      </c>
      <c r="J297" s="7">
        <f t="shared" si="18"/>
        <v>88.099195184999999</v>
      </c>
      <c r="K297" s="7">
        <f t="shared" si="19"/>
        <v>88.099195184999999</v>
      </c>
    </row>
    <row r="298" spans="1:11" x14ac:dyDescent="0.2">
      <c r="A298" t="s">
        <v>68</v>
      </c>
      <c r="B298" t="s">
        <v>9</v>
      </c>
      <c r="C298" t="s">
        <v>6</v>
      </c>
      <c r="D298">
        <v>29905790</v>
      </c>
      <c r="E298">
        <v>29905790</v>
      </c>
      <c r="F298">
        <v>6</v>
      </c>
      <c r="G298">
        <v>0</v>
      </c>
      <c r="H298" s="7">
        <f t="shared" si="16"/>
        <v>40372816.5</v>
      </c>
      <c r="I298" s="1">
        <f t="shared" si="17"/>
        <v>40372816.5</v>
      </c>
      <c r="J298" s="7">
        <f t="shared" si="18"/>
        <v>40.372816499999999</v>
      </c>
      <c r="K298" s="7">
        <f t="shared" si="19"/>
        <v>40.372816499999999</v>
      </c>
    </row>
    <row r="299" spans="1:11" x14ac:dyDescent="0.2">
      <c r="A299" t="s">
        <v>117</v>
      </c>
      <c r="B299" t="s">
        <v>9</v>
      </c>
      <c r="C299" t="s">
        <v>6</v>
      </c>
      <c r="D299">
        <v>2761322</v>
      </c>
      <c r="E299">
        <v>2761322</v>
      </c>
      <c r="F299">
        <v>2</v>
      </c>
      <c r="G299">
        <v>0</v>
      </c>
      <c r="H299" s="7">
        <f t="shared" si="16"/>
        <v>3727784.7</v>
      </c>
      <c r="I299" s="1">
        <f t="shared" si="17"/>
        <v>3727784.7</v>
      </c>
      <c r="J299" s="7">
        <f t="shared" si="18"/>
        <v>3.7277847000000004</v>
      </c>
      <c r="K299" s="7">
        <f t="shared" si="19"/>
        <v>3.7277847000000004</v>
      </c>
    </row>
    <row r="300" spans="1:11" x14ac:dyDescent="0.2">
      <c r="A300" t="s">
        <v>78</v>
      </c>
      <c r="B300" t="s">
        <v>9</v>
      </c>
      <c r="C300" t="s">
        <v>6</v>
      </c>
      <c r="D300">
        <v>1023468.8</v>
      </c>
      <c r="E300">
        <v>1023468.8</v>
      </c>
      <c r="F300">
        <v>1</v>
      </c>
      <c r="G300">
        <v>0</v>
      </c>
      <c r="H300" s="7">
        <f t="shared" si="16"/>
        <v>1381682.8800000001</v>
      </c>
      <c r="I300" s="1">
        <f t="shared" si="17"/>
        <v>1381682.8800000001</v>
      </c>
      <c r="J300" s="7">
        <f t="shared" si="18"/>
        <v>1.3816828800000001</v>
      </c>
      <c r="K300" s="7">
        <f t="shared" si="19"/>
        <v>1.3816828800000001</v>
      </c>
    </row>
    <row r="301" spans="1:11" x14ac:dyDescent="0.2">
      <c r="A301" t="s">
        <v>88</v>
      </c>
      <c r="B301" t="s">
        <v>9</v>
      </c>
      <c r="C301" t="s">
        <v>6</v>
      </c>
      <c r="D301">
        <v>10000</v>
      </c>
      <c r="E301">
        <v>10000</v>
      </c>
      <c r="F301">
        <v>1</v>
      </c>
      <c r="G301">
        <v>0</v>
      </c>
      <c r="H301" s="7">
        <f t="shared" si="16"/>
        <v>13500</v>
      </c>
      <c r="I301" s="1">
        <f t="shared" si="17"/>
        <v>13500</v>
      </c>
      <c r="J301" s="7">
        <f t="shared" si="18"/>
        <v>1.35E-2</v>
      </c>
      <c r="K301" s="7">
        <f t="shared" si="19"/>
        <v>1.35E-2</v>
      </c>
    </row>
    <row r="302" spans="1:11" x14ac:dyDescent="0.2">
      <c r="A302" t="s">
        <v>89</v>
      </c>
      <c r="B302" t="s">
        <v>9</v>
      </c>
      <c r="C302" t="s">
        <v>6</v>
      </c>
      <c r="D302">
        <v>62080493</v>
      </c>
      <c r="E302">
        <v>62080493</v>
      </c>
      <c r="F302">
        <v>4</v>
      </c>
      <c r="G302">
        <v>0</v>
      </c>
      <c r="H302" s="7">
        <f t="shared" si="16"/>
        <v>83808665.550000012</v>
      </c>
      <c r="I302" s="1">
        <f t="shared" si="17"/>
        <v>83808665.550000012</v>
      </c>
      <c r="J302" s="7">
        <f t="shared" si="18"/>
        <v>83.808665550000015</v>
      </c>
      <c r="K302" s="7">
        <f t="shared" si="19"/>
        <v>83.808665550000015</v>
      </c>
    </row>
    <row r="303" spans="1:11" x14ac:dyDescent="0.2">
      <c r="A303" t="s">
        <v>92</v>
      </c>
      <c r="B303" t="s">
        <v>9</v>
      </c>
      <c r="C303" t="s">
        <v>6</v>
      </c>
      <c r="D303">
        <v>85713</v>
      </c>
      <c r="E303">
        <v>85713</v>
      </c>
      <c r="F303">
        <v>1</v>
      </c>
      <c r="G303">
        <v>0</v>
      </c>
      <c r="H303" s="7">
        <f t="shared" si="16"/>
        <v>115712.55</v>
      </c>
      <c r="I303" s="1">
        <f t="shared" si="17"/>
        <v>115712.55</v>
      </c>
      <c r="J303" s="7">
        <f t="shared" si="18"/>
        <v>0.11571255</v>
      </c>
      <c r="K303" s="7">
        <f t="shared" si="19"/>
        <v>0.11571255</v>
      </c>
    </row>
    <row r="304" spans="1:11" x14ac:dyDescent="0.2">
      <c r="A304" t="s">
        <v>95</v>
      </c>
      <c r="B304" t="s">
        <v>9</v>
      </c>
      <c r="C304" t="s">
        <v>6</v>
      </c>
      <c r="D304">
        <v>891706.8</v>
      </c>
      <c r="E304">
        <v>891706.8</v>
      </c>
      <c r="F304">
        <v>6</v>
      </c>
      <c r="G304">
        <v>0</v>
      </c>
      <c r="H304" s="7">
        <f t="shared" si="16"/>
        <v>1203804.1800000002</v>
      </c>
      <c r="I304" s="1">
        <f t="shared" si="17"/>
        <v>1203804.1800000002</v>
      </c>
      <c r="J304" s="7">
        <f t="shared" si="18"/>
        <v>1.2038041800000001</v>
      </c>
      <c r="K304" s="7">
        <f t="shared" si="19"/>
        <v>1.2038041800000001</v>
      </c>
    </row>
    <row r="305" spans="1:11" x14ac:dyDescent="0.2">
      <c r="A305" t="s">
        <v>135</v>
      </c>
      <c r="B305" t="s">
        <v>9</v>
      </c>
      <c r="C305" t="s">
        <v>6</v>
      </c>
      <c r="D305">
        <v>30400</v>
      </c>
      <c r="E305">
        <v>30400</v>
      </c>
      <c r="F305">
        <v>1</v>
      </c>
      <c r="G305">
        <v>0</v>
      </c>
      <c r="H305" s="7">
        <f t="shared" si="16"/>
        <v>41040</v>
      </c>
      <c r="I305" s="1">
        <f t="shared" si="17"/>
        <v>41040</v>
      </c>
      <c r="J305" s="7">
        <f t="shared" si="18"/>
        <v>4.104E-2</v>
      </c>
      <c r="K305" s="7">
        <f t="shared" si="19"/>
        <v>4.104E-2</v>
      </c>
    </row>
    <row r="306" spans="1:11" x14ac:dyDescent="0.2">
      <c r="A306" t="s">
        <v>136</v>
      </c>
      <c r="B306" t="s">
        <v>9</v>
      </c>
      <c r="C306" t="s">
        <v>6</v>
      </c>
      <c r="D306">
        <v>9412556</v>
      </c>
      <c r="E306">
        <v>9412556</v>
      </c>
      <c r="F306">
        <v>5</v>
      </c>
      <c r="G306">
        <v>1</v>
      </c>
      <c r="H306" s="7">
        <f t="shared" si="16"/>
        <v>12706950.600000001</v>
      </c>
      <c r="I306" s="1">
        <f t="shared" si="17"/>
        <v>12706950.600000001</v>
      </c>
      <c r="J306" s="7">
        <f t="shared" si="18"/>
        <v>12.706950600000001</v>
      </c>
      <c r="K306" s="7">
        <f t="shared" si="19"/>
        <v>12.706950600000001</v>
      </c>
    </row>
    <row r="307" spans="1:11" x14ac:dyDescent="0.2">
      <c r="A307" t="s">
        <v>37</v>
      </c>
      <c r="B307" t="s">
        <v>9</v>
      </c>
      <c r="C307" t="s">
        <v>6</v>
      </c>
      <c r="D307">
        <v>9164806.4000000004</v>
      </c>
      <c r="E307">
        <v>7538297.2000000002</v>
      </c>
      <c r="F307">
        <v>9</v>
      </c>
      <c r="G307">
        <v>1</v>
      </c>
      <c r="H307" s="7">
        <f t="shared" si="16"/>
        <v>12372488.640000001</v>
      </c>
      <c r="I307" s="1">
        <f t="shared" si="17"/>
        <v>10176701.220000001</v>
      </c>
      <c r="J307" s="7">
        <f t="shared" si="18"/>
        <v>12.37248864</v>
      </c>
      <c r="K307" s="7">
        <f t="shared" si="19"/>
        <v>10.17670122</v>
      </c>
    </row>
    <row r="308" spans="1:11" x14ac:dyDescent="0.2">
      <c r="A308" t="s">
        <v>39</v>
      </c>
      <c r="B308" t="s">
        <v>9</v>
      </c>
      <c r="C308" t="s">
        <v>6</v>
      </c>
      <c r="D308">
        <v>1593469942</v>
      </c>
      <c r="E308">
        <v>1569310028</v>
      </c>
      <c r="F308">
        <v>2497</v>
      </c>
      <c r="G308">
        <v>1</v>
      </c>
      <c r="H308" s="7">
        <f t="shared" si="16"/>
        <v>2151184421.7000003</v>
      </c>
      <c r="I308" s="1">
        <f t="shared" si="17"/>
        <v>2118568537.8000002</v>
      </c>
      <c r="J308" s="7">
        <f t="shared" si="18"/>
        <v>2151.1844217000003</v>
      </c>
      <c r="K308" s="7">
        <f t="shared" si="19"/>
        <v>2118.5685378000003</v>
      </c>
    </row>
    <row r="309" spans="1:11" x14ac:dyDescent="0.2">
      <c r="A309" t="s">
        <v>40</v>
      </c>
      <c r="B309" t="s">
        <v>9</v>
      </c>
      <c r="C309" t="s">
        <v>6</v>
      </c>
      <c r="D309">
        <v>1463282.4</v>
      </c>
      <c r="E309">
        <v>1463282.4</v>
      </c>
      <c r="F309">
        <v>12</v>
      </c>
      <c r="G309">
        <v>1</v>
      </c>
      <c r="H309" s="7">
        <f t="shared" si="16"/>
        <v>1975431.24</v>
      </c>
      <c r="I309" s="1">
        <f t="shared" si="17"/>
        <v>1975431.24</v>
      </c>
      <c r="J309" s="7">
        <f t="shared" si="18"/>
        <v>1.97543124</v>
      </c>
      <c r="K309" s="7">
        <f t="shared" si="19"/>
        <v>1.97543124</v>
      </c>
    </row>
    <row r="310" spans="1:11" x14ac:dyDescent="0.2">
      <c r="A310" t="s">
        <v>41</v>
      </c>
      <c r="B310" t="s">
        <v>9</v>
      </c>
      <c r="C310" t="s">
        <v>6</v>
      </c>
      <c r="D310">
        <v>9409929763</v>
      </c>
      <c r="E310">
        <v>8909949616</v>
      </c>
      <c r="F310">
        <v>6013</v>
      </c>
      <c r="G310">
        <v>1</v>
      </c>
      <c r="H310" s="7">
        <f t="shared" si="16"/>
        <v>12703405180.050001</v>
      </c>
      <c r="I310" s="1">
        <f t="shared" si="17"/>
        <v>12028431981.6</v>
      </c>
      <c r="J310" s="7">
        <f t="shared" si="18"/>
        <v>12703.405180050002</v>
      </c>
      <c r="K310" s="7">
        <f t="shared" si="19"/>
        <v>12028.431981600001</v>
      </c>
    </row>
    <row r="311" spans="1:11" x14ac:dyDescent="0.2">
      <c r="A311" t="s">
        <v>137</v>
      </c>
      <c r="B311" t="s">
        <v>9</v>
      </c>
      <c r="C311" t="s">
        <v>6</v>
      </c>
      <c r="D311">
        <v>5408820</v>
      </c>
      <c r="E311">
        <v>5408820</v>
      </c>
      <c r="F311">
        <v>6</v>
      </c>
      <c r="G311">
        <v>1</v>
      </c>
      <c r="H311" s="7">
        <f t="shared" si="16"/>
        <v>7301907.0000000009</v>
      </c>
      <c r="I311" s="1">
        <f t="shared" si="17"/>
        <v>7301907.0000000009</v>
      </c>
      <c r="J311" s="7">
        <f t="shared" si="18"/>
        <v>7.3019070000000008</v>
      </c>
      <c r="K311" s="7">
        <f t="shared" si="19"/>
        <v>7.3019070000000008</v>
      </c>
    </row>
    <row r="312" spans="1:11" x14ac:dyDescent="0.2">
      <c r="A312" t="s">
        <v>126</v>
      </c>
      <c r="B312" t="s">
        <v>9</v>
      </c>
      <c r="C312" t="s">
        <v>6</v>
      </c>
      <c r="D312">
        <v>185600</v>
      </c>
      <c r="E312">
        <v>185600</v>
      </c>
      <c r="F312">
        <v>1</v>
      </c>
      <c r="G312">
        <v>1</v>
      </c>
      <c r="H312" s="7">
        <f t="shared" si="16"/>
        <v>250560.00000000003</v>
      </c>
      <c r="I312" s="1">
        <f t="shared" si="17"/>
        <v>250560.00000000003</v>
      </c>
      <c r="J312" s="7">
        <f t="shared" si="18"/>
        <v>0.25056</v>
      </c>
      <c r="K312" s="7">
        <f t="shared" si="19"/>
        <v>0.25056</v>
      </c>
    </row>
    <row r="313" spans="1:11" x14ac:dyDescent="0.2">
      <c r="A313" t="s">
        <v>43</v>
      </c>
      <c r="B313" t="s">
        <v>9</v>
      </c>
      <c r="C313" t="s">
        <v>6</v>
      </c>
      <c r="D313">
        <v>37120360</v>
      </c>
      <c r="E313">
        <v>19120360</v>
      </c>
      <c r="F313">
        <v>2</v>
      </c>
      <c r="G313">
        <v>1</v>
      </c>
      <c r="H313" s="7">
        <f t="shared" si="16"/>
        <v>50112486</v>
      </c>
      <c r="I313" s="1">
        <f t="shared" si="17"/>
        <v>25812486</v>
      </c>
      <c r="J313" s="7">
        <f t="shared" si="18"/>
        <v>50.112485999999997</v>
      </c>
      <c r="K313" s="7">
        <f t="shared" si="19"/>
        <v>25.812486</v>
      </c>
    </row>
    <row r="314" spans="1:11" x14ac:dyDescent="0.2">
      <c r="A314" t="s">
        <v>46</v>
      </c>
      <c r="B314" t="s">
        <v>9</v>
      </c>
      <c r="C314" t="s">
        <v>6</v>
      </c>
      <c r="D314">
        <v>560000</v>
      </c>
      <c r="E314">
        <v>560000</v>
      </c>
      <c r="F314">
        <v>2</v>
      </c>
      <c r="G314">
        <v>1</v>
      </c>
      <c r="H314" s="7">
        <f t="shared" si="16"/>
        <v>756000</v>
      </c>
      <c r="I314" s="1">
        <f t="shared" si="17"/>
        <v>756000</v>
      </c>
      <c r="J314" s="7">
        <f t="shared" si="18"/>
        <v>0.75600000000000001</v>
      </c>
      <c r="K314" s="7">
        <f t="shared" si="19"/>
        <v>0.75600000000000001</v>
      </c>
    </row>
    <row r="315" spans="1:11" x14ac:dyDescent="0.2">
      <c r="A315" t="s">
        <v>47</v>
      </c>
      <c r="B315" t="s">
        <v>9</v>
      </c>
      <c r="C315" t="s">
        <v>6</v>
      </c>
      <c r="D315">
        <v>358036.8</v>
      </c>
      <c r="E315">
        <v>358036.8</v>
      </c>
      <c r="F315">
        <v>4</v>
      </c>
      <c r="G315">
        <v>1</v>
      </c>
      <c r="H315" s="7">
        <f t="shared" si="16"/>
        <v>483349.68</v>
      </c>
      <c r="I315" s="1">
        <f t="shared" si="17"/>
        <v>483349.68</v>
      </c>
      <c r="J315" s="7">
        <f t="shared" si="18"/>
        <v>0.48334968</v>
      </c>
      <c r="K315" s="7">
        <f t="shared" si="19"/>
        <v>0.48334968</v>
      </c>
    </row>
    <row r="316" spans="1:11" x14ac:dyDescent="0.2">
      <c r="A316" t="s">
        <v>49</v>
      </c>
      <c r="B316" t="s">
        <v>9</v>
      </c>
      <c r="C316" t="s">
        <v>6</v>
      </c>
      <c r="D316">
        <v>151336</v>
      </c>
      <c r="E316">
        <v>151336</v>
      </c>
      <c r="F316">
        <v>1</v>
      </c>
      <c r="G316">
        <v>1</v>
      </c>
      <c r="H316" s="7">
        <f t="shared" si="16"/>
        <v>204303.6</v>
      </c>
      <c r="I316" s="1">
        <f t="shared" si="17"/>
        <v>204303.6</v>
      </c>
      <c r="J316" s="7">
        <f t="shared" si="18"/>
        <v>0.2043036</v>
      </c>
      <c r="K316" s="7">
        <f t="shared" si="19"/>
        <v>0.2043036</v>
      </c>
    </row>
    <row r="317" spans="1:11" x14ac:dyDescent="0.2">
      <c r="A317" t="s">
        <v>50</v>
      </c>
      <c r="B317" t="s">
        <v>9</v>
      </c>
      <c r="C317" t="s">
        <v>6</v>
      </c>
      <c r="D317">
        <v>926.4</v>
      </c>
      <c r="E317">
        <v>926.4</v>
      </c>
      <c r="F317">
        <v>1</v>
      </c>
      <c r="G317">
        <v>1</v>
      </c>
      <c r="H317" s="7">
        <f t="shared" si="16"/>
        <v>1250.6400000000001</v>
      </c>
      <c r="I317" s="1">
        <f t="shared" si="17"/>
        <v>1250.6400000000001</v>
      </c>
      <c r="J317" s="7">
        <f t="shared" si="18"/>
        <v>1.2506400000000001E-3</v>
      </c>
      <c r="K317" s="7">
        <f t="shared" si="19"/>
        <v>1.2506400000000001E-3</v>
      </c>
    </row>
    <row r="318" spans="1:11" x14ac:dyDescent="0.2">
      <c r="A318" t="s">
        <v>51</v>
      </c>
      <c r="B318" t="s">
        <v>9</v>
      </c>
      <c r="C318" t="s">
        <v>6</v>
      </c>
      <c r="D318">
        <v>29828</v>
      </c>
      <c r="E318">
        <v>29828</v>
      </c>
      <c r="F318">
        <v>1</v>
      </c>
      <c r="G318">
        <v>1</v>
      </c>
      <c r="H318" s="7">
        <f t="shared" si="16"/>
        <v>40267.800000000003</v>
      </c>
      <c r="I318" s="1">
        <f t="shared" si="17"/>
        <v>40267.800000000003</v>
      </c>
      <c r="J318" s="7">
        <f t="shared" si="18"/>
        <v>4.0267800000000006E-2</v>
      </c>
      <c r="K318" s="7">
        <f t="shared" si="19"/>
        <v>4.0267800000000006E-2</v>
      </c>
    </row>
    <row r="319" spans="1:11" x14ac:dyDescent="0.2">
      <c r="A319" t="s">
        <v>106</v>
      </c>
      <c r="B319" t="s">
        <v>9</v>
      </c>
      <c r="C319" t="s">
        <v>6</v>
      </c>
      <c r="D319">
        <v>58786.400000000001</v>
      </c>
      <c r="E319">
        <v>58786.400000000001</v>
      </c>
      <c r="F319">
        <v>1</v>
      </c>
      <c r="G319">
        <v>1</v>
      </c>
      <c r="H319" s="7">
        <f t="shared" si="16"/>
        <v>79361.640000000014</v>
      </c>
      <c r="I319" s="1">
        <f t="shared" si="17"/>
        <v>79361.640000000014</v>
      </c>
      <c r="J319" s="7">
        <f t="shared" si="18"/>
        <v>7.9361640000000011E-2</v>
      </c>
      <c r="K319" s="7">
        <f t="shared" si="19"/>
        <v>7.9361640000000011E-2</v>
      </c>
    </row>
    <row r="320" spans="1:11" x14ac:dyDescent="0.2">
      <c r="A320" t="s">
        <v>52</v>
      </c>
      <c r="B320" t="s">
        <v>9</v>
      </c>
      <c r="C320" t="s">
        <v>6</v>
      </c>
      <c r="D320">
        <v>3929326</v>
      </c>
      <c r="E320">
        <v>3929326</v>
      </c>
      <c r="F320">
        <v>5</v>
      </c>
      <c r="G320">
        <v>1</v>
      </c>
      <c r="H320" s="7">
        <f t="shared" si="16"/>
        <v>5304590.1000000006</v>
      </c>
      <c r="I320" s="1">
        <f t="shared" si="17"/>
        <v>5304590.1000000006</v>
      </c>
      <c r="J320" s="7">
        <f t="shared" si="18"/>
        <v>5.3045901000000004</v>
      </c>
      <c r="K320" s="7">
        <f t="shared" si="19"/>
        <v>5.3045901000000004</v>
      </c>
    </row>
    <row r="321" spans="1:11" x14ac:dyDescent="0.2">
      <c r="A321" t="s">
        <v>53</v>
      </c>
      <c r="B321" t="s">
        <v>9</v>
      </c>
      <c r="C321" t="s">
        <v>6</v>
      </c>
      <c r="D321">
        <v>33669781.600000001</v>
      </c>
      <c r="E321">
        <v>33669781.600000001</v>
      </c>
      <c r="F321">
        <v>42</v>
      </c>
      <c r="G321">
        <v>1</v>
      </c>
      <c r="H321" s="7">
        <f t="shared" si="16"/>
        <v>45454205.160000004</v>
      </c>
      <c r="I321" s="1">
        <f t="shared" si="17"/>
        <v>45454205.160000004</v>
      </c>
      <c r="J321" s="7">
        <f t="shared" si="18"/>
        <v>45.454205160000001</v>
      </c>
      <c r="K321" s="7">
        <f t="shared" si="19"/>
        <v>45.454205160000001</v>
      </c>
    </row>
    <row r="322" spans="1:11" x14ac:dyDescent="0.2">
      <c r="A322" t="s">
        <v>54</v>
      </c>
      <c r="B322" t="s">
        <v>9</v>
      </c>
      <c r="C322" t="s">
        <v>6</v>
      </c>
      <c r="D322">
        <v>12604811141</v>
      </c>
      <c r="E322">
        <v>12542945497</v>
      </c>
      <c r="F322">
        <v>21741</v>
      </c>
      <c r="G322">
        <v>1</v>
      </c>
      <c r="H322" s="7">
        <f t="shared" si="16"/>
        <v>17016495040.35</v>
      </c>
      <c r="I322" s="1">
        <f t="shared" si="17"/>
        <v>16932976420.950001</v>
      </c>
      <c r="J322" s="7">
        <f t="shared" si="18"/>
        <v>17016.495040350001</v>
      </c>
      <c r="K322" s="7">
        <f t="shared" si="19"/>
        <v>16932.976420949999</v>
      </c>
    </row>
    <row r="323" spans="1:11" x14ac:dyDescent="0.2">
      <c r="A323" t="s">
        <v>107</v>
      </c>
      <c r="B323" t="s">
        <v>9</v>
      </c>
      <c r="C323" t="s">
        <v>6</v>
      </c>
      <c r="D323">
        <v>24492760.440000001</v>
      </c>
      <c r="E323">
        <v>23901642.440000001</v>
      </c>
      <c r="F323">
        <v>91</v>
      </c>
      <c r="G323">
        <v>1</v>
      </c>
      <c r="H323" s="7">
        <f t="shared" ref="H323:H386" si="20">D323*1.35</f>
        <v>33065226.594000004</v>
      </c>
      <c r="I323" s="1">
        <f t="shared" ref="I323:I386" si="21">E323*1.35</f>
        <v>32267217.294000003</v>
      </c>
      <c r="J323" s="7">
        <f t="shared" ref="J323:J386" si="22">H323/1000000</f>
        <v>33.065226594000002</v>
      </c>
      <c r="K323" s="7">
        <f t="shared" ref="K323:K386" si="23">I323/1000000</f>
        <v>32.267217294000005</v>
      </c>
    </row>
    <row r="324" spans="1:11" x14ac:dyDescent="0.2">
      <c r="A324" t="s">
        <v>57</v>
      </c>
      <c r="B324" t="s">
        <v>9</v>
      </c>
      <c r="C324" t="s">
        <v>6</v>
      </c>
      <c r="D324">
        <v>9182639102</v>
      </c>
      <c r="E324">
        <v>8993955714</v>
      </c>
      <c r="F324">
        <v>6535</v>
      </c>
      <c r="G324">
        <v>1</v>
      </c>
      <c r="H324" s="7">
        <f t="shared" si="20"/>
        <v>12396562787.700001</v>
      </c>
      <c r="I324" s="1">
        <f t="shared" si="21"/>
        <v>12141840213.900002</v>
      </c>
      <c r="J324" s="7">
        <f t="shared" si="22"/>
        <v>12396.562787700001</v>
      </c>
      <c r="K324" s="7">
        <f t="shared" si="23"/>
        <v>12141.840213900001</v>
      </c>
    </row>
    <row r="325" spans="1:11" x14ac:dyDescent="0.2">
      <c r="A325" t="s">
        <v>109</v>
      </c>
      <c r="B325" t="s">
        <v>9</v>
      </c>
      <c r="C325" t="s">
        <v>6</v>
      </c>
      <c r="D325">
        <v>10916559.199999999</v>
      </c>
      <c r="E325">
        <v>10916559.199999999</v>
      </c>
      <c r="F325">
        <v>64</v>
      </c>
      <c r="G325">
        <v>1</v>
      </c>
      <c r="H325" s="7">
        <f t="shared" si="20"/>
        <v>14737354.92</v>
      </c>
      <c r="I325" s="1">
        <f t="shared" si="21"/>
        <v>14737354.92</v>
      </c>
      <c r="J325" s="7">
        <f t="shared" si="22"/>
        <v>14.73735492</v>
      </c>
      <c r="K325" s="7">
        <f t="shared" si="23"/>
        <v>14.73735492</v>
      </c>
    </row>
    <row r="326" spans="1:11" x14ac:dyDescent="0.2">
      <c r="A326" t="s">
        <v>58</v>
      </c>
      <c r="B326" t="s">
        <v>9</v>
      </c>
      <c r="C326" t="s">
        <v>6</v>
      </c>
      <c r="D326">
        <v>20646599039</v>
      </c>
      <c r="E326">
        <v>20218412585</v>
      </c>
      <c r="F326">
        <v>27517</v>
      </c>
      <c r="G326">
        <v>1</v>
      </c>
      <c r="H326" s="7">
        <f t="shared" si="20"/>
        <v>27872908702.650002</v>
      </c>
      <c r="I326" s="1">
        <f t="shared" si="21"/>
        <v>27294856989.75</v>
      </c>
      <c r="J326" s="7">
        <f t="shared" si="22"/>
        <v>27872.908702650002</v>
      </c>
      <c r="K326" s="7">
        <f t="shared" si="23"/>
        <v>27294.856989749998</v>
      </c>
    </row>
    <row r="327" spans="1:11" x14ac:dyDescent="0.2">
      <c r="A327" t="s">
        <v>59</v>
      </c>
      <c r="B327" t="s">
        <v>9</v>
      </c>
      <c r="C327" t="s">
        <v>6</v>
      </c>
      <c r="D327">
        <v>954681405.5</v>
      </c>
      <c r="E327">
        <v>937681405.5</v>
      </c>
      <c r="F327">
        <v>526</v>
      </c>
      <c r="G327">
        <v>1</v>
      </c>
      <c r="H327" s="7">
        <f t="shared" si="20"/>
        <v>1288819897.4250002</v>
      </c>
      <c r="I327" s="1">
        <f t="shared" si="21"/>
        <v>1265869897.4250002</v>
      </c>
      <c r="J327" s="7">
        <f t="shared" si="22"/>
        <v>1288.8198974250001</v>
      </c>
      <c r="K327" s="7">
        <f t="shared" si="23"/>
        <v>1265.8698974250001</v>
      </c>
    </row>
    <row r="328" spans="1:11" x14ac:dyDescent="0.2">
      <c r="A328" t="s">
        <v>61</v>
      </c>
      <c r="B328" t="s">
        <v>9</v>
      </c>
      <c r="C328" t="s">
        <v>6</v>
      </c>
      <c r="D328">
        <v>51640059.700000003</v>
      </c>
      <c r="E328">
        <v>51640059.700000003</v>
      </c>
      <c r="F328">
        <v>43</v>
      </c>
      <c r="G328">
        <v>1</v>
      </c>
      <c r="H328" s="7">
        <f t="shared" si="20"/>
        <v>69714080.595000014</v>
      </c>
      <c r="I328" s="1">
        <f t="shared" si="21"/>
        <v>69714080.595000014</v>
      </c>
      <c r="J328" s="7">
        <f t="shared" si="22"/>
        <v>69.714080595000013</v>
      </c>
      <c r="K328" s="7">
        <f t="shared" si="23"/>
        <v>69.714080595000013</v>
      </c>
    </row>
    <row r="329" spans="1:11" x14ac:dyDescent="0.2">
      <c r="A329" t="s">
        <v>63</v>
      </c>
      <c r="B329" t="s">
        <v>9</v>
      </c>
      <c r="C329" t="s">
        <v>6</v>
      </c>
      <c r="D329">
        <v>125613043.2</v>
      </c>
      <c r="E329">
        <v>67166521.599999994</v>
      </c>
      <c r="F329">
        <v>4</v>
      </c>
      <c r="G329">
        <v>1</v>
      </c>
      <c r="H329" s="7">
        <f t="shared" si="20"/>
        <v>169577608.32000002</v>
      </c>
      <c r="I329" s="1">
        <f t="shared" si="21"/>
        <v>90674804.159999996</v>
      </c>
      <c r="J329" s="7">
        <f t="shared" si="22"/>
        <v>169.57760832000002</v>
      </c>
      <c r="K329" s="7">
        <f t="shared" si="23"/>
        <v>90.674804159999994</v>
      </c>
    </row>
    <row r="330" spans="1:11" x14ac:dyDescent="0.2">
      <c r="A330" t="s">
        <v>134</v>
      </c>
      <c r="B330" t="s">
        <v>9</v>
      </c>
      <c r="C330" t="s">
        <v>6</v>
      </c>
      <c r="D330">
        <v>214527712.59999999</v>
      </c>
      <c r="E330">
        <v>214527712.59999999</v>
      </c>
      <c r="F330">
        <v>629</v>
      </c>
      <c r="G330">
        <v>1</v>
      </c>
      <c r="H330" s="7">
        <f t="shared" si="20"/>
        <v>289612412.00999999</v>
      </c>
      <c r="I330" s="1">
        <f t="shared" si="21"/>
        <v>289612412.00999999</v>
      </c>
      <c r="J330" s="7">
        <f t="shared" si="22"/>
        <v>289.61241201000001</v>
      </c>
      <c r="K330" s="7">
        <f t="shared" si="23"/>
        <v>289.61241201000001</v>
      </c>
    </row>
    <row r="331" spans="1:11" x14ac:dyDescent="0.2">
      <c r="A331" t="s">
        <v>113</v>
      </c>
      <c r="B331" t="s">
        <v>9</v>
      </c>
      <c r="C331" t="s">
        <v>6</v>
      </c>
      <c r="D331">
        <v>24783260.800000001</v>
      </c>
      <c r="E331">
        <v>24783260.800000001</v>
      </c>
      <c r="F331">
        <v>116</v>
      </c>
      <c r="G331">
        <v>1</v>
      </c>
      <c r="H331" s="7">
        <f t="shared" si="20"/>
        <v>33457402.080000002</v>
      </c>
      <c r="I331" s="1">
        <f t="shared" si="21"/>
        <v>33457402.080000002</v>
      </c>
      <c r="J331" s="7">
        <f t="shared" si="22"/>
        <v>33.457402080000001</v>
      </c>
      <c r="K331" s="7">
        <f t="shared" si="23"/>
        <v>33.457402080000001</v>
      </c>
    </row>
    <row r="332" spans="1:11" x14ac:dyDescent="0.2">
      <c r="A332" t="s">
        <v>65</v>
      </c>
      <c r="B332" t="s">
        <v>9</v>
      </c>
      <c r="C332" t="s">
        <v>6</v>
      </c>
      <c r="D332">
        <v>5237425155</v>
      </c>
      <c r="E332">
        <v>5237425155</v>
      </c>
      <c r="F332">
        <v>9243</v>
      </c>
      <c r="G332">
        <v>1</v>
      </c>
      <c r="H332" s="7">
        <f t="shared" si="20"/>
        <v>7070523959.25</v>
      </c>
      <c r="I332" s="1">
        <f t="shared" si="21"/>
        <v>7070523959.25</v>
      </c>
      <c r="J332" s="7">
        <f t="shared" si="22"/>
        <v>7070.5239592500002</v>
      </c>
      <c r="K332" s="7">
        <f t="shared" si="23"/>
        <v>7070.5239592500002</v>
      </c>
    </row>
    <row r="333" spans="1:11" x14ac:dyDescent="0.2">
      <c r="A333" t="s">
        <v>66</v>
      </c>
      <c r="B333" t="s">
        <v>9</v>
      </c>
      <c r="C333" t="s">
        <v>6</v>
      </c>
      <c r="D333">
        <v>3880302.4</v>
      </c>
      <c r="E333">
        <v>3880302.4</v>
      </c>
      <c r="F333">
        <v>3</v>
      </c>
      <c r="G333">
        <v>1</v>
      </c>
      <c r="H333" s="7">
        <f t="shared" si="20"/>
        <v>5238408.24</v>
      </c>
      <c r="I333" s="1">
        <f t="shared" si="21"/>
        <v>5238408.24</v>
      </c>
      <c r="J333" s="7">
        <f t="shared" si="22"/>
        <v>5.23840824</v>
      </c>
      <c r="K333" s="7">
        <f t="shared" si="23"/>
        <v>5.23840824</v>
      </c>
    </row>
    <row r="334" spans="1:11" x14ac:dyDescent="0.2">
      <c r="A334" t="s">
        <v>67</v>
      </c>
      <c r="B334" t="s">
        <v>9</v>
      </c>
      <c r="C334" t="s">
        <v>6</v>
      </c>
      <c r="D334">
        <v>236400</v>
      </c>
      <c r="E334">
        <v>236400</v>
      </c>
      <c r="F334">
        <v>2</v>
      </c>
      <c r="G334">
        <v>1</v>
      </c>
      <c r="H334" s="7">
        <f t="shared" si="20"/>
        <v>319140</v>
      </c>
      <c r="I334" s="1">
        <f t="shared" si="21"/>
        <v>319140</v>
      </c>
      <c r="J334" s="7">
        <f t="shared" si="22"/>
        <v>0.31913999999999998</v>
      </c>
      <c r="K334" s="7">
        <f t="shared" si="23"/>
        <v>0.31913999999999998</v>
      </c>
    </row>
    <row r="335" spans="1:11" x14ac:dyDescent="0.2">
      <c r="A335" t="s">
        <v>115</v>
      </c>
      <c r="B335" t="s">
        <v>9</v>
      </c>
      <c r="C335" t="s">
        <v>6</v>
      </c>
      <c r="D335">
        <v>1486287.2</v>
      </c>
      <c r="E335">
        <v>1486287.2</v>
      </c>
      <c r="F335">
        <v>1</v>
      </c>
      <c r="G335">
        <v>1</v>
      </c>
      <c r="H335" s="7">
        <f t="shared" si="20"/>
        <v>2006487.72</v>
      </c>
      <c r="I335" s="1">
        <f t="shared" si="21"/>
        <v>2006487.72</v>
      </c>
      <c r="J335" s="7">
        <f t="shared" si="22"/>
        <v>2.00648772</v>
      </c>
      <c r="K335" s="7">
        <f t="shared" si="23"/>
        <v>2.00648772</v>
      </c>
    </row>
    <row r="336" spans="1:11" x14ac:dyDescent="0.2">
      <c r="A336" t="s">
        <v>68</v>
      </c>
      <c r="B336" t="s">
        <v>9</v>
      </c>
      <c r="C336" t="s">
        <v>6</v>
      </c>
      <c r="D336">
        <v>473456211.60000002</v>
      </c>
      <c r="E336">
        <v>455808138.5</v>
      </c>
      <c r="F336">
        <v>745</v>
      </c>
      <c r="G336">
        <v>1</v>
      </c>
      <c r="H336" s="7">
        <f t="shared" si="20"/>
        <v>639165885.66000009</v>
      </c>
      <c r="I336" s="1">
        <f t="shared" si="21"/>
        <v>615340986.97500002</v>
      </c>
      <c r="J336" s="7">
        <f t="shared" si="22"/>
        <v>639.16588566000007</v>
      </c>
      <c r="K336" s="7">
        <f t="shared" si="23"/>
        <v>615.34098697500008</v>
      </c>
    </row>
    <row r="337" spans="1:11" x14ac:dyDescent="0.2">
      <c r="A337" t="s">
        <v>69</v>
      </c>
      <c r="B337" t="s">
        <v>9</v>
      </c>
      <c r="C337" t="s">
        <v>6</v>
      </c>
      <c r="D337">
        <v>20201080.800000001</v>
      </c>
      <c r="E337">
        <v>20201080.800000001</v>
      </c>
      <c r="F337">
        <v>23</v>
      </c>
      <c r="G337">
        <v>1</v>
      </c>
      <c r="H337" s="7">
        <f t="shared" si="20"/>
        <v>27271459.080000002</v>
      </c>
      <c r="I337" s="1">
        <f t="shared" si="21"/>
        <v>27271459.080000002</v>
      </c>
      <c r="J337" s="7">
        <f t="shared" si="22"/>
        <v>27.271459080000003</v>
      </c>
      <c r="K337" s="7">
        <f t="shared" si="23"/>
        <v>27.271459080000003</v>
      </c>
    </row>
    <row r="338" spans="1:11" x14ac:dyDescent="0.2">
      <c r="A338" t="s">
        <v>117</v>
      </c>
      <c r="B338" t="s">
        <v>9</v>
      </c>
      <c r="C338" t="s">
        <v>6</v>
      </c>
      <c r="D338">
        <v>2821322</v>
      </c>
      <c r="E338">
        <v>2821322</v>
      </c>
      <c r="F338">
        <v>3</v>
      </c>
      <c r="G338">
        <v>1</v>
      </c>
      <c r="H338" s="7">
        <f t="shared" si="20"/>
        <v>3808784.7</v>
      </c>
      <c r="I338" s="1">
        <f t="shared" si="21"/>
        <v>3808784.7</v>
      </c>
      <c r="J338" s="7">
        <f t="shared" si="22"/>
        <v>3.8087847000000004</v>
      </c>
      <c r="K338" s="7">
        <f t="shared" si="23"/>
        <v>3.8087847000000004</v>
      </c>
    </row>
    <row r="339" spans="1:11" x14ac:dyDescent="0.2">
      <c r="A339" t="s">
        <v>75</v>
      </c>
      <c r="B339" t="s">
        <v>9</v>
      </c>
      <c r="C339" t="s">
        <v>6</v>
      </c>
      <c r="D339">
        <v>48000</v>
      </c>
      <c r="E339">
        <v>24000</v>
      </c>
      <c r="F339">
        <v>1</v>
      </c>
      <c r="G339">
        <v>1</v>
      </c>
      <c r="H339" s="7">
        <f t="shared" si="20"/>
        <v>64800.000000000007</v>
      </c>
      <c r="I339" s="1">
        <f t="shared" si="21"/>
        <v>32400.000000000004</v>
      </c>
      <c r="J339" s="7">
        <f t="shared" si="22"/>
        <v>6.480000000000001E-2</v>
      </c>
      <c r="K339" s="7">
        <f t="shared" si="23"/>
        <v>3.2400000000000005E-2</v>
      </c>
    </row>
    <row r="340" spans="1:11" x14ac:dyDescent="0.2">
      <c r="A340" t="s">
        <v>76</v>
      </c>
      <c r="B340" t="s">
        <v>9</v>
      </c>
      <c r="C340" t="s">
        <v>6</v>
      </c>
      <c r="D340">
        <v>364116653.60000002</v>
      </c>
      <c r="E340">
        <v>364116653.60000002</v>
      </c>
      <c r="F340">
        <v>592</v>
      </c>
      <c r="G340">
        <v>1</v>
      </c>
      <c r="H340" s="7">
        <f t="shared" si="20"/>
        <v>491557482.36000007</v>
      </c>
      <c r="I340" s="1">
        <f t="shared" si="21"/>
        <v>491557482.36000007</v>
      </c>
      <c r="J340" s="7">
        <f t="shared" si="22"/>
        <v>491.55748236000005</v>
      </c>
      <c r="K340" s="7">
        <f t="shared" si="23"/>
        <v>491.55748236000005</v>
      </c>
    </row>
    <row r="341" spans="1:11" x14ac:dyDescent="0.2">
      <c r="A341" t="s">
        <v>138</v>
      </c>
      <c r="B341" t="s">
        <v>9</v>
      </c>
      <c r="C341" t="s">
        <v>6</v>
      </c>
      <c r="D341">
        <v>4000</v>
      </c>
      <c r="E341">
        <v>4000</v>
      </c>
      <c r="F341">
        <v>1</v>
      </c>
      <c r="G341">
        <v>1</v>
      </c>
      <c r="H341" s="7">
        <f t="shared" si="20"/>
        <v>5400</v>
      </c>
      <c r="I341" s="1">
        <f t="shared" si="21"/>
        <v>5400</v>
      </c>
      <c r="J341" s="7">
        <f t="shared" si="22"/>
        <v>5.4000000000000003E-3</v>
      </c>
      <c r="K341" s="7">
        <f t="shared" si="23"/>
        <v>5.4000000000000003E-3</v>
      </c>
    </row>
    <row r="342" spans="1:11" x14ac:dyDescent="0.2">
      <c r="A342" t="s">
        <v>77</v>
      </c>
      <c r="B342" t="s">
        <v>9</v>
      </c>
      <c r="C342" t="s">
        <v>6</v>
      </c>
      <c r="D342">
        <v>23171460.579999998</v>
      </c>
      <c r="E342">
        <v>23171460.579999998</v>
      </c>
      <c r="F342">
        <v>4</v>
      </c>
      <c r="G342">
        <v>1</v>
      </c>
      <c r="H342" s="7">
        <f t="shared" si="20"/>
        <v>31281471.783</v>
      </c>
      <c r="I342" s="1">
        <f t="shared" si="21"/>
        <v>31281471.783</v>
      </c>
      <c r="J342" s="7">
        <f t="shared" si="22"/>
        <v>31.281471783000001</v>
      </c>
      <c r="K342" s="7">
        <f t="shared" si="23"/>
        <v>31.281471783000001</v>
      </c>
    </row>
    <row r="343" spans="1:11" x14ac:dyDescent="0.2">
      <c r="A343" t="s">
        <v>78</v>
      </c>
      <c r="B343" t="s">
        <v>9</v>
      </c>
      <c r="C343" t="s">
        <v>6</v>
      </c>
      <c r="D343">
        <v>1050712997</v>
      </c>
      <c r="E343">
        <v>993449291.29999995</v>
      </c>
      <c r="F343">
        <v>634</v>
      </c>
      <c r="G343">
        <v>1</v>
      </c>
      <c r="H343" s="7">
        <f t="shared" si="20"/>
        <v>1418462545.95</v>
      </c>
      <c r="I343" s="1">
        <f t="shared" si="21"/>
        <v>1341156543.2550001</v>
      </c>
      <c r="J343" s="7">
        <f t="shared" si="22"/>
        <v>1418.46254595</v>
      </c>
      <c r="K343" s="7">
        <f t="shared" si="23"/>
        <v>1341.1565432550001</v>
      </c>
    </row>
    <row r="344" spans="1:11" x14ac:dyDescent="0.2">
      <c r="A344" t="s">
        <v>79</v>
      </c>
      <c r="B344" t="s">
        <v>9</v>
      </c>
      <c r="C344" t="s">
        <v>6</v>
      </c>
      <c r="D344">
        <v>4325600.1220000004</v>
      </c>
      <c r="E344">
        <v>4325600.1220000004</v>
      </c>
      <c r="F344">
        <v>13</v>
      </c>
      <c r="G344">
        <v>1</v>
      </c>
      <c r="H344" s="7">
        <f t="shared" si="20"/>
        <v>5839560.1647000005</v>
      </c>
      <c r="I344" s="1">
        <f t="shared" si="21"/>
        <v>5839560.1647000005</v>
      </c>
      <c r="J344" s="7">
        <f t="shared" si="22"/>
        <v>5.8395601647000008</v>
      </c>
      <c r="K344" s="7">
        <f t="shared" si="23"/>
        <v>5.8395601647000008</v>
      </c>
    </row>
    <row r="345" spans="1:11" x14ac:dyDescent="0.2">
      <c r="A345" t="s">
        <v>80</v>
      </c>
      <c r="B345" t="s">
        <v>9</v>
      </c>
      <c r="C345" t="s">
        <v>6</v>
      </c>
      <c r="D345">
        <v>5264746.4000000004</v>
      </c>
      <c r="E345">
        <v>5264746.4000000004</v>
      </c>
      <c r="F345">
        <v>9</v>
      </c>
      <c r="G345">
        <v>1</v>
      </c>
      <c r="H345" s="7">
        <f t="shared" si="20"/>
        <v>7107407.6400000006</v>
      </c>
      <c r="I345" s="1">
        <f t="shared" si="21"/>
        <v>7107407.6400000006</v>
      </c>
      <c r="J345" s="7">
        <f t="shared" si="22"/>
        <v>7.1074076400000008</v>
      </c>
      <c r="K345" s="7">
        <f t="shared" si="23"/>
        <v>7.1074076400000008</v>
      </c>
    </row>
    <row r="346" spans="1:11" x14ac:dyDescent="0.2">
      <c r="A346" t="s">
        <v>83</v>
      </c>
      <c r="B346" t="s">
        <v>9</v>
      </c>
      <c r="C346" t="s">
        <v>6</v>
      </c>
      <c r="D346">
        <v>10656038934</v>
      </c>
      <c r="E346">
        <v>10407871297</v>
      </c>
      <c r="F346">
        <v>8631</v>
      </c>
      <c r="G346">
        <v>1</v>
      </c>
      <c r="H346" s="7">
        <f t="shared" si="20"/>
        <v>14385652560.900002</v>
      </c>
      <c r="I346" s="1">
        <f t="shared" si="21"/>
        <v>14050626250.950001</v>
      </c>
      <c r="J346" s="7">
        <f t="shared" si="22"/>
        <v>14385.652560900002</v>
      </c>
      <c r="K346" s="7">
        <f t="shared" si="23"/>
        <v>14050.626250950001</v>
      </c>
    </row>
    <row r="347" spans="1:11" x14ac:dyDescent="0.2">
      <c r="A347" t="s">
        <v>118</v>
      </c>
      <c r="B347" t="s">
        <v>9</v>
      </c>
      <c r="C347" t="s">
        <v>6</v>
      </c>
      <c r="D347">
        <v>43241820</v>
      </c>
      <c r="E347">
        <v>43241820</v>
      </c>
      <c r="F347">
        <v>161</v>
      </c>
      <c r="G347">
        <v>1</v>
      </c>
      <c r="H347" s="7">
        <f t="shared" si="20"/>
        <v>58376457.000000007</v>
      </c>
      <c r="I347" s="1">
        <f t="shared" si="21"/>
        <v>58376457.000000007</v>
      </c>
      <c r="J347" s="7">
        <f t="shared" si="22"/>
        <v>58.376457000000009</v>
      </c>
      <c r="K347" s="7">
        <f t="shared" si="23"/>
        <v>58.376457000000009</v>
      </c>
    </row>
    <row r="348" spans="1:11" x14ac:dyDescent="0.2">
      <c r="A348" t="s">
        <v>84</v>
      </c>
      <c r="B348" t="s">
        <v>9</v>
      </c>
      <c r="C348" t="s">
        <v>6</v>
      </c>
      <c r="D348">
        <v>284541.59999999998</v>
      </c>
      <c r="E348">
        <v>284541.59999999998</v>
      </c>
      <c r="F348">
        <v>1</v>
      </c>
      <c r="G348">
        <v>1</v>
      </c>
      <c r="H348" s="7">
        <f t="shared" si="20"/>
        <v>384131.16</v>
      </c>
      <c r="I348" s="1">
        <f t="shared" si="21"/>
        <v>384131.16</v>
      </c>
      <c r="J348" s="7">
        <f t="shared" si="22"/>
        <v>0.38413115999999997</v>
      </c>
      <c r="K348" s="7">
        <f t="shared" si="23"/>
        <v>0.38413115999999997</v>
      </c>
    </row>
    <row r="349" spans="1:11" x14ac:dyDescent="0.2">
      <c r="A349" t="s">
        <v>119</v>
      </c>
      <c r="B349" t="s">
        <v>9</v>
      </c>
      <c r="C349" t="s">
        <v>6</v>
      </c>
      <c r="D349">
        <v>494000</v>
      </c>
      <c r="E349">
        <v>494000</v>
      </c>
      <c r="F349">
        <v>1</v>
      </c>
      <c r="G349">
        <v>1</v>
      </c>
      <c r="H349" s="7">
        <f t="shared" si="20"/>
        <v>666900</v>
      </c>
      <c r="I349" s="1">
        <f t="shared" si="21"/>
        <v>666900</v>
      </c>
      <c r="J349" s="7">
        <f t="shared" si="22"/>
        <v>0.66690000000000005</v>
      </c>
      <c r="K349" s="7">
        <f t="shared" si="23"/>
        <v>0.66690000000000005</v>
      </c>
    </row>
    <row r="350" spans="1:11" x14ac:dyDescent="0.2">
      <c r="A350" t="s">
        <v>88</v>
      </c>
      <c r="B350" t="s">
        <v>9</v>
      </c>
      <c r="C350" t="s">
        <v>6</v>
      </c>
      <c r="D350">
        <v>5573336.4000000004</v>
      </c>
      <c r="E350">
        <v>5573336.4000000004</v>
      </c>
      <c r="F350">
        <v>126</v>
      </c>
      <c r="G350">
        <v>1</v>
      </c>
      <c r="H350" s="7">
        <f t="shared" si="20"/>
        <v>7524004.1400000006</v>
      </c>
      <c r="I350" s="1">
        <f t="shared" si="21"/>
        <v>7524004.1400000006</v>
      </c>
      <c r="J350" s="7">
        <f t="shared" si="22"/>
        <v>7.5240041400000006</v>
      </c>
      <c r="K350" s="7">
        <f t="shared" si="23"/>
        <v>7.5240041400000006</v>
      </c>
    </row>
    <row r="351" spans="1:11" x14ac:dyDescent="0.2">
      <c r="A351" t="s">
        <v>89</v>
      </c>
      <c r="B351" t="s">
        <v>9</v>
      </c>
      <c r="C351" t="s">
        <v>6</v>
      </c>
      <c r="D351">
        <v>4166310549</v>
      </c>
      <c r="E351">
        <v>4093631329</v>
      </c>
      <c r="F351">
        <v>3338</v>
      </c>
      <c r="G351">
        <v>1</v>
      </c>
      <c r="H351" s="7">
        <f t="shared" si="20"/>
        <v>5624519241.1500006</v>
      </c>
      <c r="I351" s="1">
        <f t="shared" si="21"/>
        <v>5526402294.1500006</v>
      </c>
      <c r="J351" s="7">
        <f t="shared" si="22"/>
        <v>5624.5192411500002</v>
      </c>
      <c r="K351" s="7">
        <f t="shared" si="23"/>
        <v>5526.4022941500007</v>
      </c>
    </row>
    <row r="352" spans="1:11" x14ac:dyDescent="0.2">
      <c r="A352" t="s">
        <v>92</v>
      </c>
      <c r="B352" t="s">
        <v>9</v>
      </c>
      <c r="C352" t="s">
        <v>6</v>
      </c>
      <c r="D352">
        <v>6003751.4000000004</v>
      </c>
      <c r="E352">
        <v>6003751.4000000004</v>
      </c>
      <c r="F352">
        <v>13</v>
      </c>
      <c r="G352">
        <v>1</v>
      </c>
      <c r="H352" s="7">
        <f t="shared" si="20"/>
        <v>8105064.3900000006</v>
      </c>
      <c r="I352" s="1">
        <f t="shared" si="21"/>
        <v>8105064.3900000006</v>
      </c>
      <c r="J352" s="7">
        <f t="shared" si="22"/>
        <v>8.1050643900000008</v>
      </c>
      <c r="K352" s="7">
        <f t="shared" si="23"/>
        <v>8.1050643900000008</v>
      </c>
    </row>
    <row r="353" spans="1:11" x14ac:dyDescent="0.2">
      <c r="A353" t="s">
        <v>131</v>
      </c>
      <c r="B353" t="s">
        <v>9</v>
      </c>
      <c r="C353" t="s">
        <v>6</v>
      </c>
      <c r="D353">
        <v>56000</v>
      </c>
      <c r="E353">
        <v>56000</v>
      </c>
      <c r="F353">
        <v>1</v>
      </c>
      <c r="G353">
        <v>1</v>
      </c>
      <c r="H353" s="7">
        <f t="shared" si="20"/>
        <v>75600</v>
      </c>
      <c r="I353" s="1">
        <f t="shared" si="21"/>
        <v>75600</v>
      </c>
      <c r="J353" s="7">
        <f t="shared" si="22"/>
        <v>7.5600000000000001E-2</v>
      </c>
      <c r="K353" s="7">
        <f t="shared" si="23"/>
        <v>7.5600000000000001E-2</v>
      </c>
    </row>
    <row r="354" spans="1:11" x14ac:dyDescent="0.2">
      <c r="A354" t="s">
        <v>139</v>
      </c>
      <c r="B354" t="s">
        <v>9</v>
      </c>
      <c r="C354" t="s">
        <v>6</v>
      </c>
      <c r="D354">
        <v>2307360</v>
      </c>
      <c r="E354">
        <v>2307360</v>
      </c>
      <c r="F354">
        <v>1</v>
      </c>
      <c r="G354">
        <v>1</v>
      </c>
      <c r="H354" s="7">
        <f t="shared" si="20"/>
        <v>3114936</v>
      </c>
      <c r="I354" s="1">
        <f t="shared" si="21"/>
        <v>3114936</v>
      </c>
      <c r="J354" s="7">
        <f t="shared" si="22"/>
        <v>3.1149360000000001</v>
      </c>
      <c r="K354" s="7">
        <f t="shared" si="23"/>
        <v>3.1149360000000001</v>
      </c>
    </row>
    <row r="355" spans="1:11" x14ac:dyDescent="0.2">
      <c r="A355" t="s">
        <v>93</v>
      </c>
      <c r="B355" t="s">
        <v>9</v>
      </c>
      <c r="C355" t="s">
        <v>6</v>
      </c>
      <c r="D355">
        <v>2939697.6</v>
      </c>
      <c r="E355">
        <v>1469848.8</v>
      </c>
      <c r="F355">
        <v>1</v>
      </c>
      <c r="G355">
        <v>1</v>
      </c>
      <c r="H355" s="7">
        <f t="shared" si="20"/>
        <v>3968591.7600000002</v>
      </c>
      <c r="I355" s="1">
        <f t="shared" si="21"/>
        <v>1984295.8800000001</v>
      </c>
      <c r="J355" s="7">
        <f t="shared" si="22"/>
        <v>3.9685917600000002</v>
      </c>
      <c r="K355" s="7">
        <f t="shared" si="23"/>
        <v>1.9842958800000001</v>
      </c>
    </row>
    <row r="356" spans="1:11" x14ac:dyDescent="0.2">
      <c r="A356" t="s">
        <v>95</v>
      </c>
      <c r="B356" t="s">
        <v>9</v>
      </c>
      <c r="C356" t="s">
        <v>6</v>
      </c>
      <c r="D356">
        <v>90575537.400000006</v>
      </c>
      <c r="E356">
        <v>90575537.400000006</v>
      </c>
      <c r="F356">
        <v>336</v>
      </c>
      <c r="G356">
        <v>1</v>
      </c>
      <c r="H356" s="7">
        <f t="shared" si="20"/>
        <v>122276975.49000001</v>
      </c>
      <c r="I356" s="1">
        <f t="shared" si="21"/>
        <v>122276975.49000001</v>
      </c>
      <c r="J356" s="7">
        <f t="shared" si="22"/>
        <v>122.27697549000001</v>
      </c>
      <c r="K356" s="7">
        <f t="shared" si="23"/>
        <v>122.27697549000001</v>
      </c>
    </row>
    <row r="357" spans="1:11" x14ac:dyDescent="0.2">
      <c r="A357" t="s">
        <v>96</v>
      </c>
      <c r="B357" t="s">
        <v>9</v>
      </c>
      <c r="C357" t="s">
        <v>6</v>
      </c>
      <c r="D357">
        <v>221300</v>
      </c>
      <c r="E357">
        <v>221300</v>
      </c>
      <c r="F357">
        <v>3</v>
      </c>
      <c r="G357">
        <v>1</v>
      </c>
      <c r="H357" s="7">
        <f t="shared" si="20"/>
        <v>298755</v>
      </c>
      <c r="I357" s="1">
        <f t="shared" si="21"/>
        <v>298755</v>
      </c>
      <c r="J357" s="7">
        <f t="shared" si="22"/>
        <v>0.29875499999999999</v>
      </c>
      <c r="K357" s="7">
        <f t="shared" si="23"/>
        <v>0.29875499999999999</v>
      </c>
    </row>
    <row r="358" spans="1:11" x14ac:dyDescent="0.2">
      <c r="A358" t="s">
        <v>140</v>
      </c>
      <c r="B358" t="s">
        <v>9</v>
      </c>
      <c r="C358" t="s">
        <v>6</v>
      </c>
      <c r="D358">
        <v>2382800.7999999998</v>
      </c>
      <c r="E358">
        <v>2382800.7999999998</v>
      </c>
      <c r="F358">
        <v>12</v>
      </c>
      <c r="G358">
        <v>1</v>
      </c>
      <c r="H358" s="7">
        <f t="shared" si="20"/>
        <v>3216781.08</v>
      </c>
      <c r="I358" s="1">
        <f t="shared" si="21"/>
        <v>3216781.08</v>
      </c>
      <c r="J358" s="7">
        <f t="shared" si="22"/>
        <v>3.2167810800000001</v>
      </c>
      <c r="K358" s="7">
        <f t="shared" si="23"/>
        <v>3.2167810800000001</v>
      </c>
    </row>
    <row r="359" spans="1:11" x14ac:dyDescent="0.2">
      <c r="A359" t="s">
        <v>97</v>
      </c>
      <c r="B359" t="s">
        <v>9</v>
      </c>
      <c r="C359" t="s">
        <v>6</v>
      </c>
      <c r="D359">
        <v>81600</v>
      </c>
      <c r="E359">
        <v>81600</v>
      </c>
      <c r="F359">
        <v>3</v>
      </c>
      <c r="G359">
        <v>1</v>
      </c>
      <c r="H359" s="7">
        <f t="shared" si="20"/>
        <v>110160</v>
      </c>
      <c r="I359" s="1">
        <f t="shared" si="21"/>
        <v>110160</v>
      </c>
      <c r="J359" s="7">
        <f t="shared" si="22"/>
        <v>0.11015999999999999</v>
      </c>
      <c r="K359" s="7">
        <f t="shared" si="23"/>
        <v>0.11015999999999999</v>
      </c>
    </row>
    <row r="360" spans="1:11" x14ac:dyDescent="0.2">
      <c r="A360" t="s">
        <v>141</v>
      </c>
      <c r="B360" t="s">
        <v>9</v>
      </c>
      <c r="C360" t="s">
        <v>6</v>
      </c>
      <c r="D360">
        <v>163200</v>
      </c>
      <c r="E360">
        <v>163200</v>
      </c>
      <c r="F360">
        <v>1</v>
      </c>
      <c r="G360">
        <v>1</v>
      </c>
      <c r="H360" s="7">
        <f t="shared" si="20"/>
        <v>220320</v>
      </c>
      <c r="I360" s="1">
        <f t="shared" si="21"/>
        <v>220320</v>
      </c>
      <c r="J360" s="7">
        <f t="shared" si="22"/>
        <v>0.22031999999999999</v>
      </c>
      <c r="K360" s="7">
        <f t="shared" si="23"/>
        <v>0.22031999999999999</v>
      </c>
    </row>
    <row r="361" spans="1:11" x14ac:dyDescent="0.2">
      <c r="A361" t="s">
        <v>100</v>
      </c>
      <c r="B361" t="s">
        <v>9</v>
      </c>
      <c r="C361" t="s">
        <v>6</v>
      </c>
      <c r="D361">
        <v>691280</v>
      </c>
      <c r="E361">
        <v>691280</v>
      </c>
      <c r="F361">
        <v>4</v>
      </c>
      <c r="G361">
        <v>1</v>
      </c>
      <c r="H361" s="7">
        <f t="shared" si="20"/>
        <v>933228.00000000012</v>
      </c>
      <c r="I361" s="1">
        <f t="shared" si="21"/>
        <v>933228.00000000012</v>
      </c>
      <c r="J361" s="7">
        <f t="shared" si="22"/>
        <v>0.93322800000000017</v>
      </c>
      <c r="K361" s="7">
        <f t="shared" si="23"/>
        <v>0.93322800000000017</v>
      </c>
    </row>
    <row r="362" spans="1:11" x14ac:dyDescent="0.2">
      <c r="A362" t="s">
        <v>102</v>
      </c>
      <c r="B362" t="s">
        <v>9</v>
      </c>
      <c r="C362" t="s">
        <v>6</v>
      </c>
      <c r="D362">
        <v>101774358.8</v>
      </c>
      <c r="E362">
        <v>100967402.8</v>
      </c>
      <c r="F362">
        <v>76</v>
      </c>
      <c r="G362">
        <v>1</v>
      </c>
      <c r="H362" s="7">
        <f t="shared" si="20"/>
        <v>137395384.38</v>
      </c>
      <c r="I362" s="1">
        <f t="shared" si="21"/>
        <v>136305993.78</v>
      </c>
      <c r="J362" s="7">
        <f t="shared" si="22"/>
        <v>137.39538438</v>
      </c>
      <c r="K362" s="7">
        <f t="shared" si="23"/>
        <v>136.30599377999999</v>
      </c>
    </row>
    <row r="363" spans="1:11" x14ac:dyDescent="0.2">
      <c r="A363" t="s">
        <v>39</v>
      </c>
      <c r="B363">
        <v>33</v>
      </c>
      <c r="C363" t="s">
        <v>10</v>
      </c>
      <c r="D363">
        <v>721312.71429999999</v>
      </c>
      <c r="E363">
        <v>440490.42099999997</v>
      </c>
      <c r="F363">
        <v>4</v>
      </c>
      <c r="G363">
        <v>0</v>
      </c>
      <c r="H363" s="7">
        <f t="shared" si="20"/>
        <v>973772.1643050001</v>
      </c>
      <c r="I363" s="1">
        <f t="shared" si="21"/>
        <v>594662.06834999996</v>
      </c>
      <c r="J363" s="7">
        <f t="shared" si="22"/>
        <v>0.97377216430500013</v>
      </c>
      <c r="K363" s="7">
        <f t="shared" si="23"/>
        <v>0.59466206834999991</v>
      </c>
    </row>
    <row r="364" spans="1:11" x14ac:dyDescent="0.2">
      <c r="A364" t="s">
        <v>41</v>
      </c>
      <c r="B364">
        <v>33</v>
      </c>
      <c r="C364" t="s">
        <v>10</v>
      </c>
      <c r="D364">
        <v>15747994.66</v>
      </c>
      <c r="E364">
        <v>8286041.568</v>
      </c>
      <c r="F364">
        <v>5</v>
      </c>
      <c r="G364">
        <v>0</v>
      </c>
      <c r="H364" s="7">
        <f t="shared" si="20"/>
        <v>21259792.791000001</v>
      </c>
      <c r="I364" s="1">
        <f t="shared" si="21"/>
        <v>11186156.116800001</v>
      </c>
      <c r="J364" s="7">
        <f t="shared" si="22"/>
        <v>21.259792791000002</v>
      </c>
      <c r="K364" s="7">
        <f t="shared" si="23"/>
        <v>11.186156116800001</v>
      </c>
    </row>
    <row r="365" spans="1:11" x14ac:dyDescent="0.2">
      <c r="A365" t="s">
        <v>53</v>
      </c>
      <c r="B365">
        <v>33</v>
      </c>
      <c r="C365" t="s">
        <v>10</v>
      </c>
      <c r="D365">
        <v>17156131.440000001</v>
      </c>
      <c r="E365">
        <v>17156131.440000001</v>
      </c>
      <c r="F365">
        <v>1</v>
      </c>
      <c r="G365">
        <v>0</v>
      </c>
      <c r="H365" s="7">
        <f t="shared" si="20"/>
        <v>23160777.444000002</v>
      </c>
      <c r="I365" s="1">
        <f t="shared" si="21"/>
        <v>23160777.444000002</v>
      </c>
      <c r="J365" s="7">
        <f t="shared" si="22"/>
        <v>23.160777444000001</v>
      </c>
      <c r="K365" s="7">
        <f t="shared" si="23"/>
        <v>23.160777444000001</v>
      </c>
    </row>
    <row r="366" spans="1:11" x14ac:dyDescent="0.2">
      <c r="A366" t="s">
        <v>54</v>
      </c>
      <c r="B366">
        <v>33</v>
      </c>
      <c r="C366" t="s">
        <v>10</v>
      </c>
      <c r="D366">
        <v>5733618.0860000001</v>
      </c>
      <c r="E366">
        <v>5522417.4330000002</v>
      </c>
      <c r="F366">
        <v>4</v>
      </c>
      <c r="G366">
        <v>0</v>
      </c>
      <c r="H366" s="7">
        <f t="shared" si="20"/>
        <v>7740384.416100001</v>
      </c>
      <c r="I366" s="1">
        <f t="shared" si="21"/>
        <v>7455263.5345500009</v>
      </c>
      <c r="J366" s="7">
        <f t="shared" si="22"/>
        <v>7.7403844161000013</v>
      </c>
      <c r="K366" s="7">
        <f t="shared" si="23"/>
        <v>7.4552635345500011</v>
      </c>
    </row>
    <row r="367" spans="1:11" x14ac:dyDescent="0.2">
      <c r="A367" t="s">
        <v>58</v>
      </c>
      <c r="B367">
        <v>33</v>
      </c>
      <c r="C367" t="s">
        <v>10</v>
      </c>
      <c r="D367">
        <v>269694076.19999999</v>
      </c>
      <c r="E367">
        <v>128815325.59999999</v>
      </c>
      <c r="F367">
        <v>21</v>
      </c>
      <c r="G367">
        <v>0</v>
      </c>
      <c r="H367" s="7">
        <f t="shared" si="20"/>
        <v>364087002.87</v>
      </c>
      <c r="I367" s="1">
        <f t="shared" si="21"/>
        <v>173900689.56</v>
      </c>
      <c r="J367" s="7">
        <f t="shared" si="22"/>
        <v>364.08700286999999</v>
      </c>
      <c r="K367" s="7">
        <f t="shared" si="23"/>
        <v>173.90068955999999</v>
      </c>
    </row>
    <row r="368" spans="1:11" x14ac:dyDescent="0.2">
      <c r="A368" t="s">
        <v>59</v>
      </c>
      <c r="B368">
        <v>33</v>
      </c>
      <c r="C368" t="s">
        <v>10</v>
      </c>
      <c r="D368">
        <v>152000</v>
      </c>
      <c r="E368">
        <v>152000</v>
      </c>
      <c r="F368">
        <v>1</v>
      </c>
      <c r="G368">
        <v>0</v>
      </c>
      <c r="H368" s="7">
        <f t="shared" si="20"/>
        <v>205200</v>
      </c>
      <c r="I368" s="1">
        <f t="shared" si="21"/>
        <v>205200</v>
      </c>
      <c r="J368" s="7">
        <f t="shared" si="22"/>
        <v>0.20519999999999999</v>
      </c>
      <c r="K368" s="7">
        <f t="shared" si="23"/>
        <v>0.20519999999999999</v>
      </c>
    </row>
    <row r="369" spans="1:11" x14ac:dyDescent="0.2">
      <c r="A369" t="s">
        <v>83</v>
      </c>
      <c r="B369">
        <v>33</v>
      </c>
      <c r="C369" t="s">
        <v>10</v>
      </c>
      <c r="D369">
        <v>18020966.539999999</v>
      </c>
      <c r="E369">
        <v>18020966.539999999</v>
      </c>
      <c r="F369">
        <v>4</v>
      </c>
      <c r="G369">
        <v>0</v>
      </c>
      <c r="H369" s="7">
        <f t="shared" si="20"/>
        <v>24328304.829</v>
      </c>
      <c r="I369" s="1">
        <f t="shared" si="21"/>
        <v>24328304.829</v>
      </c>
      <c r="J369" s="7">
        <f t="shared" si="22"/>
        <v>24.328304829</v>
      </c>
      <c r="K369" s="7">
        <f t="shared" si="23"/>
        <v>24.328304829</v>
      </c>
    </row>
    <row r="370" spans="1:11" x14ac:dyDescent="0.2">
      <c r="A370" t="s">
        <v>88</v>
      </c>
      <c r="B370">
        <v>33</v>
      </c>
      <c r="C370" t="s">
        <v>10</v>
      </c>
      <c r="D370">
        <v>229138</v>
      </c>
      <c r="E370">
        <v>229138</v>
      </c>
      <c r="F370">
        <v>1</v>
      </c>
      <c r="G370">
        <v>0</v>
      </c>
      <c r="H370" s="7">
        <f t="shared" si="20"/>
        <v>309336.30000000005</v>
      </c>
      <c r="I370" s="1">
        <f t="shared" si="21"/>
        <v>309336.30000000005</v>
      </c>
      <c r="J370" s="7">
        <f t="shared" si="22"/>
        <v>0.30933630000000006</v>
      </c>
      <c r="K370" s="7">
        <f t="shared" si="23"/>
        <v>0.30933630000000006</v>
      </c>
    </row>
    <row r="371" spans="1:11" x14ac:dyDescent="0.2">
      <c r="A371" t="s">
        <v>95</v>
      </c>
      <c r="B371">
        <v>33</v>
      </c>
      <c r="C371" t="s">
        <v>10</v>
      </c>
      <c r="D371">
        <v>264348333.09999999</v>
      </c>
      <c r="E371">
        <v>216781498.09999999</v>
      </c>
      <c r="F371">
        <v>5</v>
      </c>
      <c r="G371">
        <v>0</v>
      </c>
      <c r="H371" s="7">
        <f t="shared" si="20"/>
        <v>356870249.685</v>
      </c>
      <c r="I371" s="1">
        <f t="shared" si="21"/>
        <v>292655022.435</v>
      </c>
      <c r="J371" s="7">
        <f t="shared" si="22"/>
        <v>356.87024968499998</v>
      </c>
      <c r="K371" s="7">
        <f t="shared" si="23"/>
        <v>292.65502243499998</v>
      </c>
    </row>
    <row r="372" spans="1:11" x14ac:dyDescent="0.2">
      <c r="A372" t="s">
        <v>39</v>
      </c>
      <c r="B372">
        <v>33</v>
      </c>
      <c r="C372" t="s">
        <v>10</v>
      </c>
      <c r="D372">
        <v>117299776.09999999</v>
      </c>
      <c r="E372">
        <v>59699152.009999998</v>
      </c>
      <c r="F372">
        <v>12</v>
      </c>
      <c r="G372">
        <v>1</v>
      </c>
      <c r="H372" s="7">
        <f t="shared" si="20"/>
        <v>158354697.73500001</v>
      </c>
      <c r="I372" s="1">
        <f t="shared" si="21"/>
        <v>80593855.213500008</v>
      </c>
      <c r="J372" s="7">
        <f t="shared" si="22"/>
        <v>158.354697735</v>
      </c>
      <c r="K372" s="7">
        <f t="shared" si="23"/>
        <v>80.593855213500007</v>
      </c>
    </row>
    <row r="373" spans="1:11" x14ac:dyDescent="0.2">
      <c r="A373" t="s">
        <v>41</v>
      </c>
      <c r="B373">
        <v>33</v>
      </c>
      <c r="C373" t="s">
        <v>10</v>
      </c>
      <c r="D373">
        <v>280411812.10000002</v>
      </c>
      <c r="E373">
        <v>203677116.40000001</v>
      </c>
      <c r="F373">
        <v>57</v>
      </c>
      <c r="G373">
        <v>1</v>
      </c>
      <c r="H373" s="7">
        <f t="shared" si="20"/>
        <v>378555946.33500004</v>
      </c>
      <c r="I373" s="1">
        <f t="shared" si="21"/>
        <v>274964107.14000005</v>
      </c>
      <c r="J373" s="7">
        <f t="shared" si="22"/>
        <v>378.55594633500004</v>
      </c>
      <c r="K373" s="7">
        <f t="shared" si="23"/>
        <v>274.96410714000007</v>
      </c>
    </row>
    <row r="374" spans="1:11" x14ac:dyDescent="0.2">
      <c r="A374" t="s">
        <v>53</v>
      </c>
      <c r="B374">
        <v>33</v>
      </c>
      <c r="C374" t="s">
        <v>10</v>
      </c>
      <c r="D374">
        <v>17725731.440000001</v>
      </c>
      <c r="E374">
        <v>17725731.440000001</v>
      </c>
      <c r="F374">
        <v>4</v>
      </c>
      <c r="G374">
        <v>1</v>
      </c>
      <c r="H374" s="7">
        <f t="shared" si="20"/>
        <v>23929737.444000002</v>
      </c>
      <c r="I374" s="1">
        <f t="shared" si="21"/>
        <v>23929737.444000002</v>
      </c>
      <c r="J374" s="7">
        <f t="shared" si="22"/>
        <v>23.929737444000001</v>
      </c>
      <c r="K374" s="7">
        <f t="shared" si="23"/>
        <v>23.929737444000001</v>
      </c>
    </row>
    <row r="375" spans="1:11" x14ac:dyDescent="0.2">
      <c r="A375" t="s">
        <v>54</v>
      </c>
      <c r="B375">
        <v>33</v>
      </c>
      <c r="C375" t="s">
        <v>10</v>
      </c>
      <c r="D375">
        <v>183792082.09999999</v>
      </c>
      <c r="E375">
        <v>115503381.3</v>
      </c>
      <c r="F375">
        <v>33</v>
      </c>
      <c r="G375">
        <v>1</v>
      </c>
      <c r="H375" s="7">
        <f t="shared" si="20"/>
        <v>248119310.83500001</v>
      </c>
      <c r="I375" s="1">
        <f t="shared" si="21"/>
        <v>155929564.755</v>
      </c>
      <c r="J375" s="7">
        <f t="shared" si="22"/>
        <v>248.11931083500002</v>
      </c>
      <c r="K375" s="7">
        <f t="shared" si="23"/>
        <v>155.929564755</v>
      </c>
    </row>
    <row r="376" spans="1:11" x14ac:dyDescent="0.2">
      <c r="A376" t="s">
        <v>107</v>
      </c>
      <c r="B376">
        <v>33</v>
      </c>
      <c r="C376" t="s">
        <v>10</v>
      </c>
      <c r="D376">
        <v>618592460.79999995</v>
      </c>
      <c r="E376">
        <v>568389716.20000005</v>
      </c>
      <c r="F376">
        <v>154</v>
      </c>
      <c r="G376">
        <v>1</v>
      </c>
      <c r="H376" s="7">
        <f t="shared" si="20"/>
        <v>835099822.08000004</v>
      </c>
      <c r="I376" s="1">
        <f t="shared" si="21"/>
        <v>767326116.87000012</v>
      </c>
      <c r="J376" s="7">
        <f t="shared" si="22"/>
        <v>835.09982208000008</v>
      </c>
      <c r="K376" s="7">
        <f t="shared" si="23"/>
        <v>767.32611687000008</v>
      </c>
    </row>
    <row r="377" spans="1:11" x14ac:dyDescent="0.2">
      <c r="A377" t="s">
        <v>58</v>
      </c>
      <c r="B377">
        <v>33</v>
      </c>
      <c r="C377" t="s">
        <v>10</v>
      </c>
      <c r="D377">
        <v>2275085169</v>
      </c>
      <c r="E377">
        <v>1498937035</v>
      </c>
      <c r="F377">
        <v>333</v>
      </c>
      <c r="G377">
        <v>1</v>
      </c>
      <c r="H377" s="7">
        <f t="shared" si="20"/>
        <v>3071364978.1500001</v>
      </c>
      <c r="I377" s="1">
        <f t="shared" si="21"/>
        <v>2023564997.2500002</v>
      </c>
      <c r="J377" s="7">
        <f t="shared" si="22"/>
        <v>3071.3649781500003</v>
      </c>
      <c r="K377" s="7">
        <f t="shared" si="23"/>
        <v>2023.5649972500003</v>
      </c>
    </row>
    <row r="378" spans="1:11" x14ac:dyDescent="0.2">
      <c r="A378" t="s">
        <v>59</v>
      </c>
      <c r="B378">
        <v>33</v>
      </c>
      <c r="C378" t="s">
        <v>10</v>
      </c>
      <c r="D378">
        <v>9371114847</v>
      </c>
      <c r="E378">
        <v>7182976180</v>
      </c>
      <c r="F378">
        <v>1683</v>
      </c>
      <c r="G378">
        <v>1</v>
      </c>
      <c r="H378" s="7">
        <f t="shared" si="20"/>
        <v>12651005043.450001</v>
      </c>
      <c r="I378" s="1">
        <f t="shared" si="21"/>
        <v>9697017843</v>
      </c>
      <c r="J378" s="7">
        <f t="shared" si="22"/>
        <v>12651.005043450001</v>
      </c>
      <c r="K378" s="7">
        <f t="shared" si="23"/>
        <v>9697.0178429999996</v>
      </c>
    </row>
    <row r="379" spans="1:11" x14ac:dyDescent="0.2">
      <c r="A379" t="s">
        <v>83</v>
      </c>
      <c r="B379">
        <v>33</v>
      </c>
      <c r="C379" t="s">
        <v>10</v>
      </c>
      <c r="D379">
        <v>51013102.479999997</v>
      </c>
      <c r="E379">
        <v>43391627.579999998</v>
      </c>
      <c r="F379">
        <v>23</v>
      </c>
      <c r="G379">
        <v>1</v>
      </c>
      <c r="H379" s="7">
        <f t="shared" si="20"/>
        <v>68867688.348000005</v>
      </c>
      <c r="I379" s="1">
        <f t="shared" si="21"/>
        <v>58578697.233000003</v>
      </c>
      <c r="J379" s="7">
        <f t="shared" si="22"/>
        <v>68.867688348000001</v>
      </c>
      <c r="K379" s="7">
        <f t="shared" si="23"/>
        <v>58.578697233</v>
      </c>
    </row>
    <row r="380" spans="1:11" x14ac:dyDescent="0.2">
      <c r="A380" t="s">
        <v>88</v>
      </c>
      <c r="B380">
        <v>33</v>
      </c>
      <c r="C380" t="s">
        <v>10</v>
      </c>
      <c r="D380">
        <v>11831807.32</v>
      </c>
      <c r="E380">
        <v>11831807.32</v>
      </c>
      <c r="F380">
        <v>6</v>
      </c>
      <c r="G380">
        <v>1</v>
      </c>
      <c r="H380" s="7">
        <f t="shared" si="20"/>
        <v>15972939.882000001</v>
      </c>
      <c r="I380" s="1">
        <f t="shared" si="21"/>
        <v>15972939.882000001</v>
      </c>
      <c r="J380" s="7">
        <f t="shared" si="22"/>
        <v>15.972939882</v>
      </c>
      <c r="K380" s="7">
        <f t="shared" si="23"/>
        <v>15.972939882</v>
      </c>
    </row>
    <row r="381" spans="1:11" x14ac:dyDescent="0.2">
      <c r="A381" t="s">
        <v>95</v>
      </c>
      <c r="B381">
        <v>33</v>
      </c>
      <c r="C381" t="s">
        <v>10</v>
      </c>
      <c r="D381">
        <v>2694309251</v>
      </c>
      <c r="E381">
        <v>2430519957</v>
      </c>
      <c r="F381">
        <v>462</v>
      </c>
      <c r="G381">
        <v>1</v>
      </c>
      <c r="H381" s="7">
        <f t="shared" si="20"/>
        <v>3637317488.8500004</v>
      </c>
      <c r="I381" s="1">
        <f t="shared" si="21"/>
        <v>3281201941.9500003</v>
      </c>
      <c r="J381" s="7">
        <f t="shared" si="22"/>
        <v>3637.3174888500002</v>
      </c>
      <c r="K381" s="7">
        <f t="shared" si="23"/>
        <v>3281.2019419500002</v>
      </c>
    </row>
    <row r="382" spans="1:11" x14ac:dyDescent="0.2">
      <c r="A382" t="s">
        <v>59</v>
      </c>
      <c r="B382">
        <v>3624</v>
      </c>
      <c r="C382" t="s">
        <v>10</v>
      </c>
      <c r="D382">
        <v>5578000</v>
      </c>
      <c r="E382">
        <v>5578000</v>
      </c>
      <c r="F382">
        <v>5</v>
      </c>
      <c r="G382">
        <v>1</v>
      </c>
      <c r="H382" s="7">
        <f t="shared" si="20"/>
        <v>7530300.0000000009</v>
      </c>
      <c r="I382" s="1">
        <f t="shared" si="21"/>
        <v>7530300.0000000009</v>
      </c>
      <c r="J382" s="7">
        <f t="shared" si="22"/>
        <v>7.5303000000000013</v>
      </c>
      <c r="K382" s="7">
        <f t="shared" si="23"/>
        <v>7.5303000000000013</v>
      </c>
    </row>
    <row r="383" spans="1:11" x14ac:dyDescent="0.2">
      <c r="A383" t="s">
        <v>59</v>
      </c>
      <c r="B383" t="s">
        <v>7</v>
      </c>
      <c r="C383" t="s">
        <v>10</v>
      </c>
      <c r="D383">
        <v>7099946</v>
      </c>
      <c r="E383">
        <v>7099946</v>
      </c>
      <c r="F383">
        <v>15</v>
      </c>
      <c r="G383">
        <v>0</v>
      </c>
      <c r="H383" s="7">
        <f t="shared" si="20"/>
        <v>9584927.1000000015</v>
      </c>
      <c r="I383" s="1">
        <f t="shared" si="21"/>
        <v>9584927.1000000015</v>
      </c>
      <c r="J383" s="7">
        <f t="shared" si="22"/>
        <v>9.5849271000000016</v>
      </c>
      <c r="K383" s="7">
        <f t="shared" si="23"/>
        <v>9.5849271000000016</v>
      </c>
    </row>
    <row r="384" spans="1:11" x14ac:dyDescent="0.2">
      <c r="A384" t="s">
        <v>59</v>
      </c>
      <c r="B384" t="s">
        <v>7</v>
      </c>
      <c r="C384" t="s">
        <v>10</v>
      </c>
      <c r="D384" s="8">
        <v>121288000000</v>
      </c>
      <c r="E384" s="8">
        <v>121288000000</v>
      </c>
      <c r="F384">
        <v>173171</v>
      </c>
      <c r="G384">
        <v>1</v>
      </c>
      <c r="H384" s="7">
        <f t="shared" si="20"/>
        <v>163738800000</v>
      </c>
      <c r="I384" s="1">
        <f t="shared" si="21"/>
        <v>163738800000</v>
      </c>
      <c r="J384" s="7">
        <f t="shared" si="22"/>
        <v>163738.79999999999</v>
      </c>
      <c r="K384" s="7">
        <f t="shared" si="23"/>
        <v>163738.79999999999</v>
      </c>
    </row>
    <row r="385" spans="1:11" x14ac:dyDescent="0.2">
      <c r="A385" t="s">
        <v>41</v>
      </c>
      <c r="B385" t="s">
        <v>8</v>
      </c>
      <c r="C385" t="s">
        <v>10</v>
      </c>
      <c r="D385">
        <v>5588088.6780000003</v>
      </c>
      <c r="E385">
        <v>5588088.6780000003</v>
      </c>
      <c r="F385">
        <v>2</v>
      </c>
      <c r="G385">
        <v>0</v>
      </c>
      <c r="H385" s="7">
        <f t="shared" si="20"/>
        <v>7543919.7153000012</v>
      </c>
      <c r="I385" s="1">
        <f t="shared" si="21"/>
        <v>7543919.7153000012</v>
      </c>
      <c r="J385" s="7">
        <f t="shared" si="22"/>
        <v>7.5439197153000013</v>
      </c>
      <c r="K385" s="7">
        <f t="shared" si="23"/>
        <v>7.5439197153000013</v>
      </c>
    </row>
    <row r="386" spans="1:11" x14ac:dyDescent="0.2">
      <c r="A386" t="s">
        <v>58</v>
      </c>
      <c r="B386" t="s">
        <v>8</v>
      </c>
      <c r="C386" t="s">
        <v>10</v>
      </c>
      <c r="D386">
        <v>55746827.549999997</v>
      </c>
      <c r="E386">
        <v>31311598</v>
      </c>
      <c r="F386">
        <v>4</v>
      </c>
      <c r="G386">
        <v>0</v>
      </c>
      <c r="H386" s="7">
        <f t="shared" si="20"/>
        <v>75258217.192499995</v>
      </c>
      <c r="I386" s="1">
        <f t="shared" si="21"/>
        <v>42270657.300000004</v>
      </c>
      <c r="J386" s="7">
        <f t="shared" si="22"/>
        <v>75.258217192499998</v>
      </c>
      <c r="K386" s="7">
        <f t="shared" si="23"/>
        <v>42.270657300000003</v>
      </c>
    </row>
    <row r="387" spans="1:11" x14ac:dyDescent="0.2">
      <c r="A387" t="s">
        <v>59</v>
      </c>
      <c r="B387" t="s">
        <v>8</v>
      </c>
      <c r="C387" t="s">
        <v>10</v>
      </c>
      <c r="D387">
        <v>148840795.19999999</v>
      </c>
      <c r="E387">
        <v>75714983.239999995</v>
      </c>
      <c r="F387">
        <v>5</v>
      </c>
      <c r="G387">
        <v>0</v>
      </c>
      <c r="H387" s="7">
        <f t="shared" ref="H387:H450" si="24">D387*1.35</f>
        <v>200935073.52000001</v>
      </c>
      <c r="I387" s="1">
        <f t="shared" ref="I387:I450" si="25">E387*1.35</f>
        <v>102215227.374</v>
      </c>
      <c r="J387" s="7">
        <f t="shared" ref="J387:J450" si="26">H387/1000000</f>
        <v>200.93507352</v>
      </c>
      <c r="K387" s="7">
        <f t="shared" ref="K387:K450" si="27">I387/1000000</f>
        <v>102.21522737399999</v>
      </c>
    </row>
    <row r="388" spans="1:11" x14ac:dyDescent="0.2">
      <c r="A388" t="s">
        <v>39</v>
      </c>
      <c r="B388" t="s">
        <v>8</v>
      </c>
      <c r="C388" t="s">
        <v>10</v>
      </c>
      <c r="D388">
        <v>10975035.949999999</v>
      </c>
      <c r="E388">
        <v>10975035.949999999</v>
      </c>
      <c r="F388">
        <v>5</v>
      </c>
      <c r="G388">
        <v>1</v>
      </c>
      <c r="H388" s="7">
        <f t="shared" si="24"/>
        <v>14816298.532500001</v>
      </c>
      <c r="I388" s="1">
        <f t="shared" si="25"/>
        <v>14816298.532500001</v>
      </c>
      <c r="J388" s="7">
        <f t="shared" si="26"/>
        <v>14.816298532500001</v>
      </c>
      <c r="K388" s="7">
        <f t="shared" si="27"/>
        <v>14.816298532500001</v>
      </c>
    </row>
    <row r="389" spans="1:11" x14ac:dyDescent="0.2">
      <c r="A389" t="s">
        <v>41</v>
      </c>
      <c r="B389" t="s">
        <v>8</v>
      </c>
      <c r="C389" t="s">
        <v>10</v>
      </c>
      <c r="D389">
        <v>178447830.59999999</v>
      </c>
      <c r="E389">
        <v>166364677.90000001</v>
      </c>
      <c r="F389">
        <v>46</v>
      </c>
      <c r="G389">
        <v>1</v>
      </c>
      <c r="H389" s="7">
        <f t="shared" si="24"/>
        <v>240904571.31</v>
      </c>
      <c r="I389" s="1">
        <f t="shared" si="25"/>
        <v>224592315.16500002</v>
      </c>
      <c r="J389" s="7">
        <f t="shared" si="26"/>
        <v>240.90457130999999</v>
      </c>
      <c r="K389" s="7">
        <f t="shared" si="27"/>
        <v>224.59231516500003</v>
      </c>
    </row>
    <row r="390" spans="1:11" x14ac:dyDescent="0.2">
      <c r="A390" t="s">
        <v>53</v>
      </c>
      <c r="B390" t="s">
        <v>8</v>
      </c>
      <c r="C390" t="s">
        <v>10</v>
      </c>
      <c r="D390">
        <v>2316867.8930000002</v>
      </c>
      <c r="E390">
        <v>2316867.8930000002</v>
      </c>
      <c r="F390">
        <v>2</v>
      </c>
      <c r="G390">
        <v>1</v>
      </c>
      <c r="H390" s="7">
        <f t="shared" si="24"/>
        <v>3127771.6555500003</v>
      </c>
      <c r="I390" s="1">
        <f t="shared" si="25"/>
        <v>3127771.6555500003</v>
      </c>
      <c r="J390" s="7">
        <f t="shared" si="26"/>
        <v>3.1277716555500001</v>
      </c>
      <c r="K390" s="7">
        <f t="shared" si="27"/>
        <v>3.1277716555500001</v>
      </c>
    </row>
    <row r="391" spans="1:11" x14ac:dyDescent="0.2">
      <c r="A391" t="s">
        <v>54</v>
      </c>
      <c r="B391" t="s">
        <v>8</v>
      </c>
      <c r="C391" t="s">
        <v>10</v>
      </c>
      <c r="D391">
        <v>78023232.819999993</v>
      </c>
      <c r="E391">
        <v>63972400.979999997</v>
      </c>
      <c r="F391">
        <v>25</v>
      </c>
      <c r="G391">
        <v>1</v>
      </c>
      <c r="H391" s="7">
        <f t="shared" si="24"/>
        <v>105331364.307</v>
      </c>
      <c r="I391" s="1">
        <f t="shared" si="25"/>
        <v>86362741.322999999</v>
      </c>
      <c r="J391" s="7">
        <f t="shared" si="26"/>
        <v>105.331364307</v>
      </c>
      <c r="K391" s="7">
        <f t="shared" si="27"/>
        <v>86.362741322999995</v>
      </c>
    </row>
    <row r="392" spans="1:11" x14ac:dyDescent="0.2">
      <c r="A392" t="s">
        <v>107</v>
      </c>
      <c r="B392" t="s">
        <v>8</v>
      </c>
      <c r="C392" t="s">
        <v>10</v>
      </c>
      <c r="D392">
        <v>915059.83490000002</v>
      </c>
      <c r="E392">
        <v>915059.83490000002</v>
      </c>
      <c r="F392">
        <v>2</v>
      </c>
      <c r="G392">
        <v>1</v>
      </c>
      <c r="H392" s="7">
        <f t="shared" si="24"/>
        <v>1235330.7771150002</v>
      </c>
      <c r="I392" s="1">
        <f t="shared" si="25"/>
        <v>1235330.7771150002</v>
      </c>
      <c r="J392" s="7">
        <f t="shared" si="26"/>
        <v>1.2353307771150002</v>
      </c>
      <c r="K392" s="7">
        <f t="shared" si="27"/>
        <v>1.2353307771150002</v>
      </c>
    </row>
    <row r="393" spans="1:11" x14ac:dyDescent="0.2">
      <c r="A393" t="s">
        <v>58</v>
      </c>
      <c r="B393" t="s">
        <v>8</v>
      </c>
      <c r="C393" t="s">
        <v>10</v>
      </c>
      <c r="D393">
        <v>1194735298</v>
      </c>
      <c r="E393">
        <v>899813220.70000005</v>
      </c>
      <c r="F393">
        <v>242</v>
      </c>
      <c r="G393">
        <v>1</v>
      </c>
      <c r="H393" s="7">
        <f t="shared" si="24"/>
        <v>1612892652.3000002</v>
      </c>
      <c r="I393" s="1">
        <f t="shared" si="25"/>
        <v>1214747847.9450002</v>
      </c>
      <c r="J393" s="7">
        <f t="shared" si="26"/>
        <v>1612.8926523000002</v>
      </c>
      <c r="K393" s="7">
        <f t="shared" si="27"/>
        <v>1214.7478479450001</v>
      </c>
    </row>
    <row r="394" spans="1:11" x14ac:dyDescent="0.2">
      <c r="A394" t="s">
        <v>59</v>
      </c>
      <c r="B394" t="s">
        <v>8</v>
      </c>
      <c r="C394" t="s">
        <v>10</v>
      </c>
      <c r="D394">
        <v>1251298742</v>
      </c>
      <c r="E394">
        <v>989829977.20000005</v>
      </c>
      <c r="F394">
        <v>267</v>
      </c>
      <c r="G394">
        <v>1</v>
      </c>
      <c r="H394" s="7">
        <f t="shared" si="24"/>
        <v>1689253301.7</v>
      </c>
      <c r="I394" s="1">
        <f t="shared" si="25"/>
        <v>1336270469.2200003</v>
      </c>
      <c r="J394" s="7">
        <f t="shared" si="26"/>
        <v>1689.2533017000001</v>
      </c>
      <c r="K394" s="7">
        <f t="shared" si="27"/>
        <v>1336.2704692200002</v>
      </c>
    </row>
    <row r="395" spans="1:11" x14ac:dyDescent="0.2">
      <c r="A395" t="s">
        <v>83</v>
      </c>
      <c r="B395" t="s">
        <v>8</v>
      </c>
      <c r="C395" t="s">
        <v>10</v>
      </c>
      <c r="D395">
        <v>22920435.969999999</v>
      </c>
      <c r="E395">
        <v>17046919.489999998</v>
      </c>
      <c r="F395">
        <v>13</v>
      </c>
      <c r="G395">
        <v>1</v>
      </c>
      <c r="H395" s="7">
        <f t="shared" si="24"/>
        <v>30942588.559500001</v>
      </c>
      <c r="I395" s="1">
        <f t="shared" si="25"/>
        <v>23013341.311499998</v>
      </c>
      <c r="J395" s="7">
        <f t="shared" si="26"/>
        <v>30.942588559500003</v>
      </c>
      <c r="K395" s="7">
        <f t="shared" si="27"/>
        <v>23.0133413115</v>
      </c>
    </row>
    <row r="396" spans="1:11" x14ac:dyDescent="0.2">
      <c r="A396" t="s">
        <v>88</v>
      </c>
      <c r="B396" t="s">
        <v>8</v>
      </c>
      <c r="C396" t="s">
        <v>10</v>
      </c>
      <c r="D396">
        <v>962933.94819999998</v>
      </c>
      <c r="E396">
        <v>962933.94819999998</v>
      </c>
      <c r="F396">
        <v>1</v>
      </c>
      <c r="G396">
        <v>1</v>
      </c>
      <c r="H396" s="7">
        <f t="shared" si="24"/>
        <v>1299960.8300700001</v>
      </c>
      <c r="I396" s="1">
        <f t="shared" si="25"/>
        <v>1299960.8300700001</v>
      </c>
      <c r="J396" s="7">
        <f t="shared" si="26"/>
        <v>1.2999608300700001</v>
      </c>
      <c r="K396" s="7">
        <f t="shared" si="27"/>
        <v>1.2999608300700001</v>
      </c>
    </row>
    <row r="397" spans="1:11" x14ac:dyDescent="0.2">
      <c r="A397" t="s">
        <v>95</v>
      </c>
      <c r="B397" t="s">
        <v>8</v>
      </c>
      <c r="C397" t="s">
        <v>10</v>
      </c>
      <c r="D397">
        <v>119269832.5</v>
      </c>
      <c r="E397">
        <v>41431963.189999998</v>
      </c>
      <c r="F397">
        <v>9</v>
      </c>
      <c r="G397">
        <v>1</v>
      </c>
      <c r="H397" s="7">
        <f t="shared" si="24"/>
        <v>161014273.875</v>
      </c>
      <c r="I397" s="1">
        <f t="shared" si="25"/>
        <v>55933150.306500003</v>
      </c>
      <c r="J397" s="7">
        <f t="shared" si="26"/>
        <v>161.01427387499999</v>
      </c>
      <c r="K397" s="7">
        <f t="shared" si="27"/>
        <v>55.933150306500004</v>
      </c>
    </row>
    <row r="398" spans="1:11" x14ac:dyDescent="0.2">
      <c r="A398" t="s">
        <v>39</v>
      </c>
      <c r="B398" t="s">
        <v>9</v>
      </c>
      <c r="C398" t="s">
        <v>10</v>
      </c>
      <c r="D398">
        <v>965000</v>
      </c>
      <c r="E398">
        <v>965000</v>
      </c>
      <c r="F398">
        <v>1</v>
      </c>
      <c r="G398">
        <v>0</v>
      </c>
      <c r="H398" s="7">
        <f t="shared" si="24"/>
        <v>1302750</v>
      </c>
      <c r="I398" s="1">
        <f t="shared" si="25"/>
        <v>1302750</v>
      </c>
      <c r="J398" s="7">
        <f t="shared" si="26"/>
        <v>1.3027500000000001</v>
      </c>
      <c r="K398" s="7">
        <f t="shared" si="27"/>
        <v>1.3027500000000001</v>
      </c>
    </row>
    <row r="399" spans="1:11" x14ac:dyDescent="0.2">
      <c r="A399" t="s">
        <v>41</v>
      </c>
      <c r="B399" t="s">
        <v>9</v>
      </c>
      <c r="C399" t="s">
        <v>10</v>
      </c>
      <c r="D399">
        <v>647970</v>
      </c>
      <c r="E399">
        <v>647970</v>
      </c>
      <c r="F399">
        <v>4</v>
      </c>
      <c r="G399">
        <v>0</v>
      </c>
      <c r="H399" s="7">
        <f t="shared" si="24"/>
        <v>874759.5</v>
      </c>
      <c r="I399" s="1">
        <f t="shared" si="25"/>
        <v>874759.5</v>
      </c>
      <c r="J399" s="7">
        <f t="shared" si="26"/>
        <v>0.87475950000000002</v>
      </c>
      <c r="K399" s="7">
        <f t="shared" si="27"/>
        <v>0.87475950000000002</v>
      </c>
    </row>
    <row r="400" spans="1:11" x14ac:dyDescent="0.2">
      <c r="A400" t="s">
        <v>54</v>
      </c>
      <c r="B400" t="s">
        <v>9</v>
      </c>
      <c r="C400" t="s">
        <v>10</v>
      </c>
      <c r="D400">
        <v>11303190</v>
      </c>
      <c r="E400">
        <v>11303190</v>
      </c>
      <c r="F400">
        <v>2</v>
      </c>
      <c r="G400">
        <v>0</v>
      </c>
      <c r="H400" s="7">
        <f t="shared" si="24"/>
        <v>15259306.500000002</v>
      </c>
      <c r="I400" s="1">
        <f t="shared" si="25"/>
        <v>15259306.500000002</v>
      </c>
      <c r="J400" s="7">
        <f t="shared" si="26"/>
        <v>15.259306500000001</v>
      </c>
      <c r="K400" s="7">
        <f t="shared" si="27"/>
        <v>15.259306500000001</v>
      </c>
    </row>
    <row r="401" spans="1:11" x14ac:dyDescent="0.2">
      <c r="A401" t="s">
        <v>107</v>
      </c>
      <c r="B401" t="s">
        <v>9</v>
      </c>
      <c r="C401" t="s">
        <v>10</v>
      </c>
      <c r="D401">
        <v>78660</v>
      </c>
      <c r="E401">
        <v>78660</v>
      </c>
      <c r="F401">
        <v>1</v>
      </c>
      <c r="G401">
        <v>0</v>
      </c>
      <c r="H401" s="7">
        <f t="shared" si="24"/>
        <v>106191</v>
      </c>
      <c r="I401" s="1">
        <f t="shared" si="25"/>
        <v>106191</v>
      </c>
      <c r="J401" s="7">
        <f t="shared" si="26"/>
        <v>0.10619099999999999</v>
      </c>
      <c r="K401" s="7">
        <f t="shared" si="27"/>
        <v>0.10619099999999999</v>
      </c>
    </row>
    <row r="402" spans="1:11" x14ac:dyDescent="0.2">
      <c r="A402" t="s">
        <v>58</v>
      </c>
      <c r="B402" t="s">
        <v>9</v>
      </c>
      <c r="C402" t="s">
        <v>10</v>
      </c>
      <c r="D402">
        <v>61582623.200000003</v>
      </c>
      <c r="E402">
        <v>61582623.200000003</v>
      </c>
      <c r="F402">
        <v>97</v>
      </c>
      <c r="G402">
        <v>0</v>
      </c>
      <c r="H402" s="7">
        <f t="shared" si="24"/>
        <v>83136541.320000008</v>
      </c>
      <c r="I402" s="1">
        <f t="shared" si="25"/>
        <v>83136541.320000008</v>
      </c>
      <c r="J402" s="7">
        <f t="shared" si="26"/>
        <v>83.136541320000006</v>
      </c>
      <c r="K402" s="7">
        <f t="shared" si="27"/>
        <v>83.136541320000006</v>
      </c>
    </row>
    <row r="403" spans="1:11" x14ac:dyDescent="0.2">
      <c r="A403" t="s">
        <v>88</v>
      </c>
      <c r="B403" t="s">
        <v>9</v>
      </c>
      <c r="C403" t="s">
        <v>10</v>
      </c>
      <c r="D403">
        <v>10000</v>
      </c>
      <c r="E403">
        <v>10000</v>
      </c>
      <c r="F403">
        <v>1</v>
      </c>
      <c r="G403">
        <v>0</v>
      </c>
      <c r="H403" s="7">
        <f t="shared" si="24"/>
        <v>13500</v>
      </c>
      <c r="I403" s="1">
        <f t="shared" si="25"/>
        <v>13500</v>
      </c>
      <c r="J403" s="7">
        <f t="shared" si="26"/>
        <v>1.35E-2</v>
      </c>
      <c r="K403" s="7">
        <f t="shared" si="27"/>
        <v>1.35E-2</v>
      </c>
    </row>
    <row r="404" spans="1:11" x14ac:dyDescent="0.2">
      <c r="A404" t="s">
        <v>95</v>
      </c>
      <c r="B404" t="s">
        <v>9</v>
      </c>
      <c r="C404" t="s">
        <v>10</v>
      </c>
      <c r="D404">
        <v>891706.8</v>
      </c>
      <c r="E404">
        <v>891706.8</v>
      </c>
      <c r="F404">
        <v>6</v>
      </c>
      <c r="G404">
        <v>0</v>
      </c>
      <c r="H404" s="7">
        <f t="shared" si="24"/>
        <v>1203804.1800000002</v>
      </c>
      <c r="I404" s="1">
        <f t="shared" si="25"/>
        <v>1203804.1800000002</v>
      </c>
      <c r="J404" s="7">
        <f t="shared" si="26"/>
        <v>1.2038041800000001</v>
      </c>
      <c r="K404" s="7">
        <f t="shared" si="27"/>
        <v>1.2038041800000001</v>
      </c>
    </row>
    <row r="405" spans="1:11" x14ac:dyDescent="0.2">
      <c r="A405" t="s">
        <v>39</v>
      </c>
      <c r="B405" t="s">
        <v>9</v>
      </c>
      <c r="C405" t="s">
        <v>10</v>
      </c>
      <c r="D405">
        <v>1593469942</v>
      </c>
      <c r="E405">
        <v>1569310028</v>
      </c>
      <c r="F405">
        <v>2497</v>
      </c>
      <c r="G405">
        <v>1</v>
      </c>
      <c r="H405" s="7">
        <f t="shared" si="24"/>
        <v>2151184421.7000003</v>
      </c>
      <c r="I405" s="1">
        <f t="shared" si="25"/>
        <v>2118568537.8000002</v>
      </c>
      <c r="J405" s="7">
        <f t="shared" si="26"/>
        <v>2151.1844217000003</v>
      </c>
      <c r="K405" s="7">
        <f t="shared" si="27"/>
        <v>2118.5685378000003</v>
      </c>
    </row>
    <row r="406" spans="1:11" x14ac:dyDescent="0.2">
      <c r="A406" t="s">
        <v>41</v>
      </c>
      <c r="B406" t="s">
        <v>9</v>
      </c>
      <c r="C406" t="s">
        <v>10</v>
      </c>
      <c r="D406">
        <v>9409929763</v>
      </c>
      <c r="E406">
        <v>8909949616</v>
      </c>
      <c r="F406">
        <v>6013</v>
      </c>
      <c r="G406">
        <v>1</v>
      </c>
      <c r="H406" s="7">
        <f t="shared" si="24"/>
        <v>12703405180.050001</v>
      </c>
      <c r="I406" s="1">
        <f t="shared" si="25"/>
        <v>12028431981.6</v>
      </c>
      <c r="J406" s="7">
        <f t="shared" si="26"/>
        <v>12703.405180050002</v>
      </c>
      <c r="K406" s="7">
        <f t="shared" si="27"/>
        <v>12028.431981600001</v>
      </c>
    </row>
    <row r="407" spans="1:11" x14ac:dyDescent="0.2">
      <c r="A407" t="s">
        <v>53</v>
      </c>
      <c r="B407" t="s">
        <v>9</v>
      </c>
      <c r="C407" t="s">
        <v>10</v>
      </c>
      <c r="D407">
        <v>33669781.600000001</v>
      </c>
      <c r="E407">
        <v>33669781.600000001</v>
      </c>
      <c r="F407">
        <v>42</v>
      </c>
      <c r="G407">
        <v>1</v>
      </c>
      <c r="H407" s="7">
        <f t="shared" si="24"/>
        <v>45454205.160000004</v>
      </c>
      <c r="I407" s="1">
        <f t="shared" si="25"/>
        <v>45454205.160000004</v>
      </c>
      <c r="J407" s="7">
        <f t="shared" si="26"/>
        <v>45.454205160000001</v>
      </c>
      <c r="K407" s="7">
        <f t="shared" si="27"/>
        <v>45.454205160000001</v>
      </c>
    </row>
    <row r="408" spans="1:11" x14ac:dyDescent="0.2">
      <c r="A408" t="s">
        <v>54</v>
      </c>
      <c r="B408" t="s">
        <v>9</v>
      </c>
      <c r="C408" t="s">
        <v>10</v>
      </c>
      <c r="D408">
        <v>12604811141</v>
      </c>
      <c r="E408">
        <v>12542945497</v>
      </c>
      <c r="F408">
        <v>21741</v>
      </c>
      <c r="G408">
        <v>1</v>
      </c>
      <c r="H408" s="7">
        <f t="shared" si="24"/>
        <v>17016495040.35</v>
      </c>
      <c r="I408" s="1">
        <f t="shared" si="25"/>
        <v>16932976420.950001</v>
      </c>
      <c r="J408" s="7">
        <f t="shared" si="26"/>
        <v>17016.495040350001</v>
      </c>
      <c r="K408" s="7">
        <f t="shared" si="27"/>
        <v>16932.976420949999</v>
      </c>
    </row>
    <row r="409" spans="1:11" x14ac:dyDescent="0.2">
      <c r="A409" t="s">
        <v>107</v>
      </c>
      <c r="B409" t="s">
        <v>9</v>
      </c>
      <c r="C409" t="s">
        <v>10</v>
      </c>
      <c r="D409">
        <v>24492760.440000001</v>
      </c>
      <c r="E409">
        <v>23901642.440000001</v>
      </c>
      <c r="F409">
        <v>91</v>
      </c>
      <c r="G409">
        <v>1</v>
      </c>
      <c r="H409" s="7">
        <f t="shared" si="24"/>
        <v>33065226.594000004</v>
      </c>
      <c r="I409" s="1">
        <f t="shared" si="25"/>
        <v>32267217.294000003</v>
      </c>
      <c r="J409" s="7">
        <f t="shared" si="26"/>
        <v>33.065226594000002</v>
      </c>
      <c r="K409" s="7">
        <f t="shared" si="27"/>
        <v>32.267217294000005</v>
      </c>
    </row>
    <row r="410" spans="1:11" x14ac:dyDescent="0.2">
      <c r="A410" t="s">
        <v>58</v>
      </c>
      <c r="B410" t="s">
        <v>9</v>
      </c>
      <c r="C410" t="s">
        <v>10</v>
      </c>
      <c r="D410">
        <v>20646599039</v>
      </c>
      <c r="E410">
        <v>20218412585</v>
      </c>
      <c r="F410">
        <v>27517</v>
      </c>
      <c r="G410">
        <v>1</v>
      </c>
      <c r="H410" s="7">
        <f t="shared" si="24"/>
        <v>27872908702.650002</v>
      </c>
      <c r="I410" s="1">
        <f t="shared" si="25"/>
        <v>27294856989.75</v>
      </c>
      <c r="J410" s="7">
        <f t="shared" si="26"/>
        <v>27872.908702650002</v>
      </c>
      <c r="K410" s="7">
        <f t="shared" si="27"/>
        <v>27294.856989749998</v>
      </c>
    </row>
    <row r="411" spans="1:11" x14ac:dyDescent="0.2">
      <c r="A411" t="s">
        <v>59</v>
      </c>
      <c r="B411" t="s">
        <v>9</v>
      </c>
      <c r="C411" t="s">
        <v>10</v>
      </c>
      <c r="D411">
        <v>954681405.5</v>
      </c>
      <c r="E411">
        <v>937681405.5</v>
      </c>
      <c r="F411">
        <v>526</v>
      </c>
      <c r="G411">
        <v>1</v>
      </c>
      <c r="H411" s="7">
        <f t="shared" si="24"/>
        <v>1288819897.4250002</v>
      </c>
      <c r="I411" s="1">
        <f t="shared" si="25"/>
        <v>1265869897.4250002</v>
      </c>
      <c r="J411" s="7">
        <f t="shared" si="26"/>
        <v>1288.8198974250001</v>
      </c>
      <c r="K411" s="7">
        <f t="shared" si="27"/>
        <v>1265.8698974250001</v>
      </c>
    </row>
    <row r="412" spans="1:11" x14ac:dyDescent="0.2">
      <c r="A412" t="s">
        <v>83</v>
      </c>
      <c r="B412" t="s">
        <v>9</v>
      </c>
      <c r="C412" t="s">
        <v>10</v>
      </c>
      <c r="D412">
        <v>10656038934</v>
      </c>
      <c r="E412">
        <v>10407871297</v>
      </c>
      <c r="F412">
        <v>8631</v>
      </c>
      <c r="G412">
        <v>1</v>
      </c>
      <c r="H412" s="7">
        <f t="shared" si="24"/>
        <v>14385652560.900002</v>
      </c>
      <c r="I412" s="1">
        <f t="shared" si="25"/>
        <v>14050626250.950001</v>
      </c>
      <c r="J412" s="7">
        <f t="shared" si="26"/>
        <v>14385.652560900002</v>
      </c>
      <c r="K412" s="7">
        <f t="shared" si="27"/>
        <v>14050.626250950001</v>
      </c>
    </row>
    <row r="413" spans="1:11" x14ac:dyDescent="0.2">
      <c r="A413" t="s">
        <v>88</v>
      </c>
      <c r="B413" t="s">
        <v>9</v>
      </c>
      <c r="C413" t="s">
        <v>10</v>
      </c>
      <c r="D413">
        <v>5573336.4000000004</v>
      </c>
      <c r="E413">
        <v>5573336.4000000004</v>
      </c>
      <c r="F413">
        <v>126</v>
      </c>
      <c r="G413">
        <v>1</v>
      </c>
      <c r="H413" s="7">
        <f t="shared" si="24"/>
        <v>7524004.1400000006</v>
      </c>
      <c r="I413" s="1">
        <f t="shared" si="25"/>
        <v>7524004.1400000006</v>
      </c>
      <c r="J413" s="7">
        <f t="shared" si="26"/>
        <v>7.5240041400000006</v>
      </c>
      <c r="K413" s="7">
        <f t="shared" si="27"/>
        <v>7.5240041400000006</v>
      </c>
    </row>
    <row r="414" spans="1:11" x14ac:dyDescent="0.2">
      <c r="A414" t="s">
        <v>95</v>
      </c>
      <c r="B414" t="s">
        <v>9</v>
      </c>
      <c r="C414" t="s">
        <v>10</v>
      </c>
      <c r="D414">
        <v>90575537.400000006</v>
      </c>
      <c r="E414">
        <v>90575537.400000006</v>
      </c>
      <c r="F414">
        <v>336</v>
      </c>
      <c r="G414">
        <v>1</v>
      </c>
      <c r="H414" s="7">
        <f t="shared" si="24"/>
        <v>122276975.49000001</v>
      </c>
      <c r="I414" s="1">
        <f t="shared" si="25"/>
        <v>122276975.49000001</v>
      </c>
      <c r="J414" s="7">
        <f t="shared" si="26"/>
        <v>122.27697549000001</v>
      </c>
      <c r="K414" s="7">
        <f t="shared" si="27"/>
        <v>122.27697549000001</v>
      </c>
    </row>
    <row r="415" spans="1:11" x14ac:dyDescent="0.2">
      <c r="A415" t="s">
        <v>69</v>
      </c>
      <c r="B415">
        <v>33</v>
      </c>
      <c r="C415" t="s">
        <v>11</v>
      </c>
      <c r="D415">
        <v>3060082.6430000002</v>
      </c>
      <c r="E415">
        <v>1599407.4669999999</v>
      </c>
      <c r="F415">
        <v>3</v>
      </c>
      <c r="G415">
        <v>0</v>
      </c>
      <c r="H415" s="7">
        <f t="shared" si="24"/>
        <v>4131111.5680500004</v>
      </c>
      <c r="I415" s="1">
        <f t="shared" si="25"/>
        <v>2159200.0804500002</v>
      </c>
      <c r="J415" s="7">
        <f t="shared" si="26"/>
        <v>4.1311115680500006</v>
      </c>
      <c r="K415" s="7">
        <f t="shared" si="27"/>
        <v>2.1592000804500002</v>
      </c>
    </row>
    <row r="416" spans="1:11" x14ac:dyDescent="0.2">
      <c r="A416" t="s">
        <v>69</v>
      </c>
      <c r="B416">
        <v>33</v>
      </c>
      <c r="C416" t="s">
        <v>11</v>
      </c>
      <c r="D416">
        <v>83586974.900000006</v>
      </c>
      <c r="E416">
        <v>47547711</v>
      </c>
      <c r="F416">
        <v>10</v>
      </c>
      <c r="G416">
        <v>1</v>
      </c>
      <c r="H416" s="7">
        <f t="shared" si="24"/>
        <v>112842416.11500001</v>
      </c>
      <c r="I416" s="1">
        <f t="shared" si="25"/>
        <v>64189409.850000001</v>
      </c>
      <c r="J416" s="7">
        <f t="shared" si="26"/>
        <v>112.84241611500001</v>
      </c>
      <c r="K416" s="7">
        <f t="shared" si="27"/>
        <v>64.189409850000004</v>
      </c>
    </row>
    <row r="417" spans="1:11" x14ac:dyDescent="0.2">
      <c r="A417" t="s">
        <v>69</v>
      </c>
      <c r="B417" t="s">
        <v>7</v>
      </c>
      <c r="C417" t="s">
        <v>11</v>
      </c>
      <c r="D417">
        <v>276000</v>
      </c>
      <c r="E417">
        <v>276000</v>
      </c>
      <c r="F417">
        <v>2</v>
      </c>
      <c r="G417">
        <v>1</v>
      </c>
      <c r="H417" s="7">
        <f t="shared" si="24"/>
        <v>372600</v>
      </c>
      <c r="I417" s="1">
        <f t="shared" si="25"/>
        <v>372600</v>
      </c>
      <c r="J417" s="7">
        <f t="shared" si="26"/>
        <v>0.37259999999999999</v>
      </c>
      <c r="K417" s="7">
        <f t="shared" si="27"/>
        <v>0.37259999999999999</v>
      </c>
    </row>
    <row r="418" spans="1:11" x14ac:dyDescent="0.2">
      <c r="A418" t="s">
        <v>69</v>
      </c>
      <c r="B418" t="s">
        <v>8</v>
      </c>
      <c r="C418" t="s">
        <v>11</v>
      </c>
      <c r="D418">
        <v>183525417</v>
      </c>
      <c r="E418">
        <v>107035050.90000001</v>
      </c>
      <c r="F418">
        <v>42</v>
      </c>
      <c r="G418">
        <v>1</v>
      </c>
      <c r="H418" s="7">
        <f t="shared" si="24"/>
        <v>247759312.95000002</v>
      </c>
      <c r="I418" s="1">
        <f t="shared" si="25"/>
        <v>144497318.715</v>
      </c>
      <c r="J418" s="7">
        <f t="shared" si="26"/>
        <v>247.75931295000001</v>
      </c>
      <c r="K418" s="7">
        <f t="shared" si="27"/>
        <v>144.49731871500001</v>
      </c>
    </row>
    <row r="419" spans="1:11" x14ac:dyDescent="0.2">
      <c r="A419" t="s">
        <v>69</v>
      </c>
      <c r="B419" t="s">
        <v>9</v>
      </c>
      <c r="C419" t="s">
        <v>11</v>
      </c>
      <c r="D419">
        <v>20201080.800000001</v>
      </c>
      <c r="E419">
        <v>20201080.800000001</v>
      </c>
      <c r="F419">
        <v>23</v>
      </c>
      <c r="G419">
        <v>1</v>
      </c>
      <c r="H419" s="7">
        <f t="shared" si="24"/>
        <v>27271459.080000002</v>
      </c>
      <c r="I419" s="1">
        <f t="shared" si="25"/>
        <v>27271459.080000002</v>
      </c>
      <c r="J419" s="7">
        <f t="shared" si="26"/>
        <v>27.271459080000003</v>
      </c>
      <c r="K419" s="7">
        <f t="shared" si="27"/>
        <v>27.271459080000003</v>
      </c>
    </row>
    <row r="420" spans="1:11" x14ac:dyDescent="0.2">
      <c r="A420" t="s">
        <v>46</v>
      </c>
      <c r="B420">
        <v>33</v>
      </c>
      <c r="C420" t="s">
        <v>12</v>
      </c>
      <c r="D420">
        <v>18301343.57</v>
      </c>
      <c r="E420">
        <v>16479715.689999999</v>
      </c>
      <c r="F420">
        <v>4</v>
      </c>
      <c r="G420">
        <v>0</v>
      </c>
      <c r="H420" s="7">
        <f t="shared" si="24"/>
        <v>24706813.819500003</v>
      </c>
      <c r="I420" s="1">
        <f t="shared" si="25"/>
        <v>22247616.181499999</v>
      </c>
      <c r="J420" s="7">
        <f t="shared" si="26"/>
        <v>24.706813819500002</v>
      </c>
      <c r="K420" s="7">
        <f t="shared" si="27"/>
        <v>22.2476161815</v>
      </c>
    </row>
    <row r="421" spans="1:11" x14ac:dyDescent="0.2">
      <c r="A421" t="s">
        <v>46</v>
      </c>
      <c r="B421">
        <v>33</v>
      </c>
      <c r="C421" t="s">
        <v>12</v>
      </c>
      <c r="D421">
        <v>210957528.09999999</v>
      </c>
      <c r="E421">
        <v>106631319.7</v>
      </c>
      <c r="F421">
        <v>18</v>
      </c>
      <c r="G421">
        <v>1</v>
      </c>
      <c r="H421" s="7">
        <f t="shared" si="24"/>
        <v>284792662.935</v>
      </c>
      <c r="I421" s="1">
        <f t="shared" si="25"/>
        <v>143952281.595</v>
      </c>
      <c r="J421" s="7">
        <f t="shared" si="26"/>
        <v>284.79266293500001</v>
      </c>
      <c r="K421" s="7">
        <f t="shared" si="27"/>
        <v>143.95228159499999</v>
      </c>
    </row>
    <row r="422" spans="1:11" x14ac:dyDescent="0.2">
      <c r="A422" t="s">
        <v>46</v>
      </c>
      <c r="B422">
        <v>3624</v>
      </c>
      <c r="C422" t="s">
        <v>12</v>
      </c>
      <c r="D422">
        <v>110000</v>
      </c>
      <c r="E422">
        <v>110000</v>
      </c>
      <c r="F422">
        <v>1</v>
      </c>
      <c r="G422">
        <v>0</v>
      </c>
      <c r="H422" s="7">
        <f t="shared" si="24"/>
        <v>148500</v>
      </c>
      <c r="I422" s="1">
        <f t="shared" si="25"/>
        <v>148500</v>
      </c>
      <c r="J422" s="7">
        <f t="shared" si="26"/>
        <v>0.14849999999999999</v>
      </c>
      <c r="K422" s="7">
        <f t="shared" si="27"/>
        <v>0.14849999999999999</v>
      </c>
    </row>
    <row r="423" spans="1:11" x14ac:dyDescent="0.2">
      <c r="A423" t="s">
        <v>46</v>
      </c>
      <c r="B423">
        <v>3624</v>
      </c>
      <c r="C423" t="s">
        <v>12</v>
      </c>
      <c r="D423">
        <v>110000</v>
      </c>
      <c r="E423">
        <v>110000</v>
      </c>
      <c r="F423">
        <v>1</v>
      </c>
      <c r="G423">
        <v>1</v>
      </c>
      <c r="H423" s="7">
        <f t="shared" si="24"/>
        <v>148500</v>
      </c>
      <c r="I423" s="1">
        <f t="shared" si="25"/>
        <v>148500</v>
      </c>
      <c r="J423" s="7">
        <f t="shared" si="26"/>
        <v>0.14849999999999999</v>
      </c>
      <c r="K423" s="7">
        <f t="shared" si="27"/>
        <v>0.14849999999999999</v>
      </c>
    </row>
    <row r="424" spans="1:11" x14ac:dyDescent="0.2">
      <c r="A424" t="s">
        <v>46</v>
      </c>
      <c r="B424" t="s">
        <v>7</v>
      </c>
      <c r="C424" t="s">
        <v>12</v>
      </c>
      <c r="D424">
        <v>212000</v>
      </c>
      <c r="E424">
        <v>212000</v>
      </c>
      <c r="F424">
        <v>1</v>
      </c>
      <c r="G424">
        <v>1</v>
      </c>
      <c r="H424" s="7">
        <f t="shared" si="24"/>
        <v>286200</v>
      </c>
      <c r="I424" s="1">
        <f t="shared" si="25"/>
        <v>286200</v>
      </c>
      <c r="J424" s="7">
        <f t="shared" si="26"/>
        <v>0.28620000000000001</v>
      </c>
      <c r="K424" s="7">
        <f t="shared" si="27"/>
        <v>0.28620000000000001</v>
      </c>
    </row>
    <row r="425" spans="1:11" x14ac:dyDescent="0.2">
      <c r="A425" t="s">
        <v>46</v>
      </c>
      <c r="B425" t="s">
        <v>8</v>
      </c>
      <c r="C425" t="s">
        <v>12</v>
      </c>
      <c r="D425">
        <v>7558346.1600000001</v>
      </c>
      <c r="E425">
        <v>7558346.1600000001</v>
      </c>
      <c r="F425">
        <v>4</v>
      </c>
      <c r="G425">
        <v>1</v>
      </c>
      <c r="H425" s="7">
        <f t="shared" si="24"/>
        <v>10203767.316000002</v>
      </c>
      <c r="I425" s="1">
        <f t="shared" si="25"/>
        <v>10203767.316000002</v>
      </c>
      <c r="J425" s="7">
        <f t="shared" si="26"/>
        <v>10.203767316000002</v>
      </c>
      <c r="K425" s="7">
        <f t="shared" si="27"/>
        <v>10.203767316000002</v>
      </c>
    </row>
    <row r="426" spans="1:11" x14ac:dyDescent="0.2">
      <c r="A426" t="s">
        <v>46</v>
      </c>
      <c r="B426" t="s">
        <v>9</v>
      </c>
      <c r="C426" t="s">
        <v>12</v>
      </c>
      <c r="D426">
        <v>560000</v>
      </c>
      <c r="E426">
        <v>560000</v>
      </c>
      <c r="F426">
        <v>2</v>
      </c>
      <c r="G426">
        <v>1</v>
      </c>
      <c r="H426" s="7">
        <f t="shared" si="24"/>
        <v>756000</v>
      </c>
      <c r="I426" s="1">
        <f t="shared" si="25"/>
        <v>756000</v>
      </c>
      <c r="J426" s="7">
        <f t="shared" si="26"/>
        <v>0.75600000000000001</v>
      </c>
      <c r="K426" s="7">
        <f t="shared" si="27"/>
        <v>0.75600000000000001</v>
      </c>
    </row>
    <row r="427" spans="1:11" x14ac:dyDescent="0.2">
      <c r="A427" t="s">
        <v>80</v>
      </c>
      <c r="B427">
        <v>33</v>
      </c>
      <c r="C427" t="s">
        <v>13</v>
      </c>
      <c r="D427">
        <v>7114586.3729999997</v>
      </c>
      <c r="E427">
        <v>7114586.3729999997</v>
      </c>
      <c r="F427">
        <v>2</v>
      </c>
      <c r="G427">
        <v>0</v>
      </c>
      <c r="H427" s="7">
        <f t="shared" si="24"/>
        <v>9604691.6035500001</v>
      </c>
      <c r="I427" s="1">
        <f t="shared" si="25"/>
        <v>9604691.6035500001</v>
      </c>
      <c r="J427" s="7">
        <f t="shared" si="26"/>
        <v>9.6046916035500001</v>
      </c>
      <c r="K427" s="7">
        <f t="shared" si="27"/>
        <v>9.6046916035500001</v>
      </c>
    </row>
    <row r="428" spans="1:11" x14ac:dyDescent="0.2">
      <c r="A428" t="s">
        <v>102</v>
      </c>
      <c r="B428">
        <v>33</v>
      </c>
      <c r="C428" t="s">
        <v>13</v>
      </c>
      <c r="D428">
        <v>2365811503</v>
      </c>
      <c r="E428">
        <v>1413295965</v>
      </c>
      <c r="F428">
        <v>326</v>
      </c>
      <c r="G428">
        <v>0</v>
      </c>
      <c r="H428" s="7">
        <f t="shared" si="24"/>
        <v>3193845529.0500002</v>
      </c>
      <c r="I428" s="1">
        <f t="shared" si="25"/>
        <v>1907949552.7500002</v>
      </c>
      <c r="J428" s="7">
        <f t="shared" si="26"/>
        <v>3193.8455290500001</v>
      </c>
      <c r="K428" s="7">
        <f t="shared" si="27"/>
        <v>1907.9495527500003</v>
      </c>
    </row>
    <row r="429" spans="1:11" x14ac:dyDescent="0.2">
      <c r="A429" t="s">
        <v>80</v>
      </c>
      <c r="B429">
        <v>33</v>
      </c>
      <c r="C429" t="s">
        <v>13</v>
      </c>
      <c r="D429">
        <v>22688725.59</v>
      </c>
      <c r="E429">
        <v>22688725.59</v>
      </c>
      <c r="F429">
        <v>13</v>
      </c>
      <c r="G429">
        <v>1</v>
      </c>
      <c r="H429" s="7">
        <f t="shared" si="24"/>
        <v>30629779.546500001</v>
      </c>
      <c r="I429" s="1">
        <f t="shared" si="25"/>
        <v>30629779.546500001</v>
      </c>
      <c r="J429" s="7">
        <f t="shared" si="26"/>
        <v>30.6297795465</v>
      </c>
      <c r="K429" s="7">
        <f t="shared" si="27"/>
        <v>30.6297795465</v>
      </c>
    </row>
    <row r="430" spans="1:11" x14ac:dyDescent="0.2">
      <c r="A430" t="s">
        <v>102</v>
      </c>
      <c r="B430">
        <v>33</v>
      </c>
      <c r="C430" t="s">
        <v>13</v>
      </c>
      <c r="D430">
        <v>738973417.29999995</v>
      </c>
      <c r="E430">
        <v>426252309.80000001</v>
      </c>
      <c r="F430">
        <v>106</v>
      </c>
      <c r="G430">
        <v>1</v>
      </c>
      <c r="H430" s="7">
        <f t="shared" si="24"/>
        <v>997614113.35500002</v>
      </c>
      <c r="I430" s="1">
        <f t="shared" si="25"/>
        <v>575440618.23000002</v>
      </c>
      <c r="J430" s="7">
        <f t="shared" si="26"/>
        <v>997.61411335499997</v>
      </c>
      <c r="K430" s="7">
        <f t="shared" si="27"/>
        <v>575.44061823000004</v>
      </c>
    </row>
    <row r="431" spans="1:11" x14ac:dyDescent="0.2">
      <c r="A431" t="s">
        <v>80</v>
      </c>
      <c r="B431">
        <v>3624</v>
      </c>
      <c r="C431" t="s">
        <v>13</v>
      </c>
      <c r="D431">
        <v>200000</v>
      </c>
      <c r="E431">
        <v>200000</v>
      </c>
      <c r="F431">
        <v>1</v>
      </c>
      <c r="G431">
        <v>0</v>
      </c>
      <c r="H431" s="7">
        <f t="shared" si="24"/>
        <v>270000</v>
      </c>
      <c r="I431" s="1">
        <f t="shared" si="25"/>
        <v>270000</v>
      </c>
      <c r="J431" s="7">
        <f t="shared" si="26"/>
        <v>0.27</v>
      </c>
      <c r="K431" s="7">
        <f t="shared" si="27"/>
        <v>0.27</v>
      </c>
    </row>
    <row r="432" spans="1:11" x14ac:dyDescent="0.2">
      <c r="A432" t="s">
        <v>102</v>
      </c>
      <c r="B432">
        <v>3624</v>
      </c>
      <c r="C432" t="s">
        <v>13</v>
      </c>
      <c r="D432">
        <v>345000</v>
      </c>
      <c r="E432">
        <v>345000</v>
      </c>
      <c r="F432">
        <v>1</v>
      </c>
      <c r="G432">
        <v>0</v>
      </c>
      <c r="H432" s="7">
        <f t="shared" si="24"/>
        <v>465750.00000000006</v>
      </c>
      <c r="I432" s="1">
        <f t="shared" si="25"/>
        <v>465750.00000000006</v>
      </c>
      <c r="J432" s="7">
        <f t="shared" si="26"/>
        <v>0.46575000000000005</v>
      </c>
      <c r="K432" s="7">
        <f t="shared" si="27"/>
        <v>0.46575000000000005</v>
      </c>
    </row>
    <row r="433" spans="1:11" x14ac:dyDescent="0.2">
      <c r="A433" t="s">
        <v>80</v>
      </c>
      <c r="B433">
        <v>3624</v>
      </c>
      <c r="C433" t="s">
        <v>13</v>
      </c>
      <c r="D433">
        <v>200000</v>
      </c>
      <c r="E433">
        <v>200000</v>
      </c>
      <c r="F433">
        <v>1</v>
      </c>
      <c r="G433">
        <v>1</v>
      </c>
      <c r="H433" s="7">
        <f t="shared" si="24"/>
        <v>270000</v>
      </c>
      <c r="I433" s="1">
        <f t="shared" si="25"/>
        <v>270000</v>
      </c>
      <c r="J433" s="7">
        <f t="shared" si="26"/>
        <v>0.27</v>
      </c>
      <c r="K433" s="7">
        <f t="shared" si="27"/>
        <v>0.27</v>
      </c>
    </row>
    <row r="434" spans="1:11" x14ac:dyDescent="0.2">
      <c r="A434" t="s">
        <v>102</v>
      </c>
      <c r="B434">
        <v>3624</v>
      </c>
      <c r="C434" t="s">
        <v>13</v>
      </c>
      <c r="D434">
        <v>2462700</v>
      </c>
      <c r="E434">
        <v>2462700</v>
      </c>
      <c r="F434">
        <v>3</v>
      </c>
      <c r="G434">
        <v>1</v>
      </c>
      <c r="H434" s="7">
        <f t="shared" si="24"/>
        <v>3324645</v>
      </c>
      <c r="I434" s="1">
        <f t="shared" si="25"/>
        <v>3324645</v>
      </c>
      <c r="J434" s="7">
        <f t="shared" si="26"/>
        <v>3.3246449999999999</v>
      </c>
      <c r="K434" s="7">
        <f t="shared" si="27"/>
        <v>3.3246449999999999</v>
      </c>
    </row>
    <row r="435" spans="1:11" x14ac:dyDescent="0.2">
      <c r="A435" t="s">
        <v>102</v>
      </c>
      <c r="B435" t="s">
        <v>7</v>
      </c>
      <c r="C435" t="s">
        <v>13</v>
      </c>
      <c r="D435">
        <v>101000</v>
      </c>
      <c r="E435">
        <v>101000</v>
      </c>
      <c r="F435">
        <v>1</v>
      </c>
      <c r="G435">
        <v>0</v>
      </c>
      <c r="H435" s="7">
        <f t="shared" si="24"/>
        <v>136350</v>
      </c>
      <c r="I435" s="1">
        <f t="shared" si="25"/>
        <v>136350</v>
      </c>
      <c r="J435" s="7">
        <f t="shared" si="26"/>
        <v>0.13635</v>
      </c>
      <c r="K435" s="7">
        <f t="shared" si="27"/>
        <v>0.13635</v>
      </c>
    </row>
    <row r="436" spans="1:11" x14ac:dyDescent="0.2">
      <c r="A436" t="s">
        <v>102</v>
      </c>
      <c r="B436" t="s">
        <v>7</v>
      </c>
      <c r="C436" t="s">
        <v>13</v>
      </c>
      <c r="D436">
        <v>22746034</v>
      </c>
      <c r="E436">
        <v>22746034</v>
      </c>
      <c r="F436">
        <v>32</v>
      </c>
      <c r="G436">
        <v>1</v>
      </c>
      <c r="H436" s="7">
        <f t="shared" si="24"/>
        <v>30707145.900000002</v>
      </c>
      <c r="I436" s="1">
        <f t="shared" si="25"/>
        <v>30707145.900000002</v>
      </c>
      <c r="J436" s="7">
        <f t="shared" si="26"/>
        <v>30.707145900000004</v>
      </c>
      <c r="K436" s="7">
        <f t="shared" si="27"/>
        <v>30.707145900000004</v>
      </c>
    </row>
    <row r="437" spans="1:11" x14ac:dyDescent="0.2">
      <c r="A437" t="s">
        <v>80</v>
      </c>
      <c r="B437" t="s">
        <v>8</v>
      </c>
      <c r="C437" t="s">
        <v>13</v>
      </c>
      <c r="D437">
        <v>16448885.43</v>
      </c>
      <c r="E437">
        <v>16448885.43</v>
      </c>
      <c r="F437">
        <v>3</v>
      </c>
      <c r="G437">
        <v>0</v>
      </c>
      <c r="H437" s="7">
        <f t="shared" si="24"/>
        <v>22205995.330499999</v>
      </c>
      <c r="I437" s="1">
        <f t="shared" si="25"/>
        <v>22205995.330499999</v>
      </c>
      <c r="J437" s="7">
        <f t="shared" si="26"/>
        <v>22.205995330499999</v>
      </c>
      <c r="K437" s="7">
        <f t="shared" si="27"/>
        <v>22.205995330499999</v>
      </c>
    </row>
    <row r="438" spans="1:11" x14ac:dyDescent="0.2">
      <c r="A438" t="s">
        <v>102</v>
      </c>
      <c r="B438" t="s">
        <v>8</v>
      </c>
      <c r="C438" t="s">
        <v>13</v>
      </c>
      <c r="D438">
        <v>175292598.80000001</v>
      </c>
      <c r="E438">
        <v>87273963.569999993</v>
      </c>
      <c r="F438">
        <v>20</v>
      </c>
      <c r="G438">
        <v>0</v>
      </c>
      <c r="H438" s="7">
        <f t="shared" si="24"/>
        <v>236645008.38000003</v>
      </c>
      <c r="I438" s="1">
        <f t="shared" si="25"/>
        <v>117819850.8195</v>
      </c>
      <c r="J438" s="7">
        <f t="shared" si="26"/>
        <v>236.64500838000004</v>
      </c>
      <c r="K438" s="7">
        <f t="shared" si="27"/>
        <v>117.8198508195</v>
      </c>
    </row>
    <row r="439" spans="1:11" x14ac:dyDescent="0.2">
      <c r="A439" t="s">
        <v>126</v>
      </c>
      <c r="B439" t="s">
        <v>8</v>
      </c>
      <c r="C439" t="s">
        <v>13</v>
      </c>
      <c r="D439">
        <v>36117049.75</v>
      </c>
      <c r="E439">
        <v>18058524.870000001</v>
      </c>
      <c r="F439">
        <v>1</v>
      </c>
      <c r="G439">
        <v>1</v>
      </c>
      <c r="H439" s="7">
        <f t="shared" si="24"/>
        <v>48758017.162500001</v>
      </c>
      <c r="I439" s="1">
        <f t="shared" si="25"/>
        <v>24379008.574500002</v>
      </c>
      <c r="J439" s="7">
        <f t="shared" si="26"/>
        <v>48.758017162500003</v>
      </c>
      <c r="K439" s="7">
        <f t="shared" si="27"/>
        <v>24.379008574500002</v>
      </c>
    </row>
    <row r="440" spans="1:11" x14ac:dyDescent="0.2">
      <c r="A440" t="s">
        <v>80</v>
      </c>
      <c r="B440" t="s">
        <v>8</v>
      </c>
      <c r="C440" t="s">
        <v>13</v>
      </c>
      <c r="D440">
        <v>263034815.80000001</v>
      </c>
      <c r="E440">
        <v>239889344.5</v>
      </c>
      <c r="F440">
        <v>90</v>
      </c>
      <c r="G440">
        <v>1</v>
      </c>
      <c r="H440" s="7">
        <f t="shared" si="24"/>
        <v>355097001.33000004</v>
      </c>
      <c r="I440" s="1">
        <f t="shared" si="25"/>
        <v>323850615.07500005</v>
      </c>
      <c r="J440" s="7">
        <f t="shared" si="26"/>
        <v>355.09700133000007</v>
      </c>
      <c r="K440" s="7">
        <f t="shared" si="27"/>
        <v>323.85061507500006</v>
      </c>
    </row>
    <row r="441" spans="1:11" x14ac:dyDescent="0.2">
      <c r="A441" t="s">
        <v>102</v>
      </c>
      <c r="B441" t="s">
        <v>8</v>
      </c>
      <c r="C441" t="s">
        <v>13</v>
      </c>
      <c r="D441">
        <v>906507554.60000002</v>
      </c>
      <c r="E441">
        <v>666539312.39999998</v>
      </c>
      <c r="F441">
        <v>227</v>
      </c>
      <c r="G441">
        <v>1</v>
      </c>
      <c r="H441" s="7">
        <f t="shared" si="24"/>
        <v>1223785198.71</v>
      </c>
      <c r="I441" s="1">
        <f t="shared" si="25"/>
        <v>899828071.74000001</v>
      </c>
      <c r="J441" s="7">
        <f t="shared" si="26"/>
        <v>1223.78519871</v>
      </c>
      <c r="K441" s="7">
        <f t="shared" si="27"/>
        <v>899.82807174000004</v>
      </c>
    </row>
    <row r="442" spans="1:11" x14ac:dyDescent="0.2">
      <c r="A442" t="s">
        <v>126</v>
      </c>
      <c r="B442" t="s">
        <v>9</v>
      </c>
      <c r="C442" t="s">
        <v>13</v>
      </c>
      <c r="D442">
        <v>185600</v>
      </c>
      <c r="E442">
        <v>185600</v>
      </c>
      <c r="F442">
        <v>1</v>
      </c>
      <c r="G442">
        <v>1</v>
      </c>
      <c r="H442" s="7">
        <f t="shared" si="24"/>
        <v>250560.00000000003</v>
      </c>
      <c r="I442" s="1">
        <f t="shared" si="25"/>
        <v>250560.00000000003</v>
      </c>
      <c r="J442" s="7">
        <f t="shared" si="26"/>
        <v>0.25056</v>
      </c>
      <c r="K442" s="7">
        <f t="shared" si="27"/>
        <v>0.25056</v>
      </c>
    </row>
    <row r="443" spans="1:11" x14ac:dyDescent="0.2">
      <c r="A443" t="s">
        <v>80</v>
      </c>
      <c r="B443" t="s">
        <v>9</v>
      </c>
      <c r="C443" t="s">
        <v>13</v>
      </c>
      <c r="D443">
        <v>5264746.4000000004</v>
      </c>
      <c r="E443">
        <v>5264746.4000000004</v>
      </c>
      <c r="F443">
        <v>9</v>
      </c>
      <c r="G443">
        <v>1</v>
      </c>
      <c r="H443" s="7">
        <f t="shared" si="24"/>
        <v>7107407.6400000006</v>
      </c>
      <c r="I443" s="1">
        <f t="shared" si="25"/>
        <v>7107407.6400000006</v>
      </c>
      <c r="J443" s="7">
        <f t="shared" si="26"/>
        <v>7.1074076400000008</v>
      </c>
      <c r="K443" s="7">
        <f t="shared" si="27"/>
        <v>7.1074076400000008</v>
      </c>
    </row>
    <row r="444" spans="1:11" x14ac:dyDescent="0.2">
      <c r="A444" t="s">
        <v>102</v>
      </c>
      <c r="B444" t="s">
        <v>9</v>
      </c>
      <c r="C444" t="s">
        <v>13</v>
      </c>
      <c r="D444">
        <v>101774358.8</v>
      </c>
      <c r="E444">
        <v>100967402.8</v>
      </c>
      <c r="F444">
        <v>76</v>
      </c>
      <c r="G444">
        <v>1</v>
      </c>
      <c r="H444" s="7">
        <f t="shared" si="24"/>
        <v>137395384.38</v>
      </c>
      <c r="I444" s="1">
        <f t="shared" si="25"/>
        <v>136305993.78</v>
      </c>
      <c r="J444" s="7">
        <f t="shared" si="26"/>
        <v>137.39538438</v>
      </c>
      <c r="K444" s="7">
        <f t="shared" si="27"/>
        <v>136.30599377999999</v>
      </c>
    </row>
    <row r="445" spans="1:11" x14ac:dyDescent="0.2">
      <c r="A445" t="s">
        <v>102</v>
      </c>
      <c r="B445">
        <v>33</v>
      </c>
      <c r="C445" t="s">
        <v>14</v>
      </c>
      <c r="D445">
        <v>2365811503</v>
      </c>
      <c r="E445">
        <v>1413295965</v>
      </c>
      <c r="F445">
        <v>326</v>
      </c>
      <c r="G445">
        <v>0</v>
      </c>
      <c r="H445" s="7">
        <f t="shared" si="24"/>
        <v>3193845529.0500002</v>
      </c>
      <c r="I445" s="1">
        <f t="shared" si="25"/>
        <v>1907949552.7500002</v>
      </c>
      <c r="J445" s="7">
        <f t="shared" si="26"/>
        <v>3193.8455290500001</v>
      </c>
      <c r="K445" s="7">
        <f t="shared" si="27"/>
        <v>1907.9495527500003</v>
      </c>
    </row>
    <row r="446" spans="1:11" x14ac:dyDescent="0.2">
      <c r="A446" t="s">
        <v>102</v>
      </c>
      <c r="B446">
        <v>33</v>
      </c>
      <c r="C446" t="s">
        <v>14</v>
      </c>
      <c r="D446">
        <v>738973417.29999995</v>
      </c>
      <c r="E446">
        <v>426252309.80000001</v>
      </c>
      <c r="F446">
        <v>106</v>
      </c>
      <c r="G446">
        <v>1</v>
      </c>
      <c r="H446" s="7">
        <f t="shared" si="24"/>
        <v>997614113.35500002</v>
      </c>
      <c r="I446" s="1">
        <f t="shared" si="25"/>
        <v>575440618.23000002</v>
      </c>
      <c r="J446" s="7">
        <f t="shared" si="26"/>
        <v>997.61411335499997</v>
      </c>
      <c r="K446" s="7">
        <f t="shared" si="27"/>
        <v>575.44061823000004</v>
      </c>
    </row>
    <row r="447" spans="1:11" x14ac:dyDescent="0.2">
      <c r="A447" t="s">
        <v>102</v>
      </c>
      <c r="B447">
        <v>3624</v>
      </c>
      <c r="C447" t="s">
        <v>14</v>
      </c>
      <c r="D447">
        <v>345000</v>
      </c>
      <c r="E447">
        <v>345000</v>
      </c>
      <c r="F447">
        <v>1</v>
      </c>
      <c r="G447">
        <v>0</v>
      </c>
      <c r="H447" s="7">
        <f t="shared" si="24"/>
        <v>465750.00000000006</v>
      </c>
      <c r="I447" s="1">
        <f t="shared" si="25"/>
        <v>465750.00000000006</v>
      </c>
      <c r="J447" s="7">
        <f t="shared" si="26"/>
        <v>0.46575000000000005</v>
      </c>
      <c r="K447" s="7">
        <f t="shared" si="27"/>
        <v>0.46575000000000005</v>
      </c>
    </row>
    <row r="448" spans="1:11" x14ac:dyDescent="0.2">
      <c r="A448" t="s">
        <v>102</v>
      </c>
      <c r="B448">
        <v>3624</v>
      </c>
      <c r="C448" t="s">
        <v>14</v>
      </c>
      <c r="D448">
        <v>2462700</v>
      </c>
      <c r="E448">
        <v>2462700</v>
      </c>
      <c r="F448">
        <v>3</v>
      </c>
      <c r="G448">
        <v>1</v>
      </c>
      <c r="H448" s="7">
        <f t="shared" si="24"/>
        <v>3324645</v>
      </c>
      <c r="I448" s="1">
        <f t="shared" si="25"/>
        <v>3324645</v>
      </c>
      <c r="J448" s="7">
        <f t="shared" si="26"/>
        <v>3.3246449999999999</v>
      </c>
      <c r="K448" s="7">
        <f t="shared" si="27"/>
        <v>3.3246449999999999</v>
      </c>
    </row>
    <row r="449" spans="1:11" x14ac:dyDescent="0.2">
      <c r="A449" t="s">
        <v>102</v>
      </c>
      <c r="B449" t="s">
        <v>7</v>
      </c>
      <c r="C449" t="s">
        <v>14</v>
      </c>
      <c r="D449">
        <v>101000</v>
      </c>
      <c r="E449">
        <v>101000</v>
      </c>
      <c r="F449">
        <v>1</v>
      </c>
      <c r="G449">
        <v>0</v>
      </c>
      <c r="H449" s="7">
        <f t="shared" si="24"/>
        <v>136350</v>
      </c>
      <c r="I449" s="1">
        <f t="shared" si="25"/>
        <v>136350</v>
      </c>
      <c r="J449" s="7">
        <f t="shared" si="26"/>
        <v>0.13635</v>
      </c>
      <c r="K449" s="7">
        <f t="shared" si="27"/>
        <v>0.13635</v>
      </c>
    </row>
    <row r="450" spans="1:11" x14ac:dyDescent="0.2">
      <c r="A450" t="s">
        <v>102</v>
      </c>
      <c r="B450" t="s">
        <v>7</v>
      </c>
      <c r="C450" t="s">
        <v>14</v>
      </c>
      <c r="D450">
        <v>22746034</v>
      </c>
      <c r="E450">
        <v>22746034</v>
      </c>
      <c r="F450">
        <v>32</v>
      </c>
      <c r="G450">
        <v>1</v>
      </c>
      <c r="H450" s="7">
        <f t="shared" si="24"/>
        <v>30707145.900000002</v>
      </c>
      <c r="I450" s="1">
        <f t="shared" si="25"/>
        <v>30707145.900000002</v>
      </c>
      <c r="J450" s="7">
        <f t="shared" si="26"/>
        <v>30.707145900000004</v>
      </c>
      <c r="K450" s="7">
        <f t="shared" si="27"/>
        <v>30.707145900000004</v>
      </c>
    </row>
    <row r="451" spans="1:11" x14ac:dyDescent="0.2">
      <c r="A451" t="s">
        <v>102</v>
      </c>
      <c r="B451" t="s">
        <v>8</v>
      </c>
      <c r="C451" t="s">
        <v>14</v>
      </c>
      <c r="D451">
        <v>175292598.80000001</v>
      </c>
      <c r="E451">
        <v>87273963.569999993</v>
      </c>
      <c r="F451">
        <v>20</v>
      </c>
      <c r="G451">
        <v>0</v>
      </c>
      <c r="H451" s="7">
        <f t="shared" ref="H451:H453" si="28">D451*1.35</f>
        <v>236645008.38000003</v>
      </c>
      <c r="I451" s="1">
        <f t="shared" ref="I451:I453" si="29">E451*1.35</f>
        <v>117819850.8195</v>
      </c>
      <c r="J451" s="7">
        <f t="shared" ref="J451:J453" si="30">H451/1000000</f>
        <v>236.64500838000004</v>
      </c>
      <c r="K451" s="7">
        <f t="shared" ref="K451:K453" si="31">I451/1000000</f>
        <v>117.8198508195</v>
      </c>
    </row>
    <row r="452" spans="1:11" x14ac:dyDescent="0.2">
      <c r="A452" t="s">
        <v>102</v>
      </c>
      <c r="B452" t="s">
        <v>8</v>
      </c>
      <c r="C452" t="s">
        <v>14</v>
      </c>
      <c r="D452">
        <v>906507554.60000002</v>
      </c>
      <c r="E452">
        <v>666539312.39999998</v>
      </c>
      <c r="F452">
        <v>227</v>
      </c>
      <c r="G452">
        <v>1</v>
      </c>
      <c r="H452" s="7">
        <f t="shared" si="28"/>
        <v>1223785198.71</v>
      </c>
      <c r="I452" s="1">
        <f t="shared" si="29"/>
        <v>899828071.74000001</v>
      </c>
      <c r="J452" s="7">
        <f t="shared" si="30"/>
        <v>1223.78519871</v>
      </c>
      <c r="K452" s="7">
        <f t="shared" si="31"/>
        <v>899.82807174000004</v>
      </c>
    </row>
    <row r="453" spans="1:11" x14ac:dyDescent="0.2">
      <c r="A453" t="s">
        <v>102</v>
      </c>
      <c r="B453" t="s">
        <v>9</v>
      </c>
      <c r="C453" t="s">
        <v>14</v>
      </c>
      <c r="D453">
        <v>101774358.8</v>
      </c>
      <c r="E453">
        <v>100967402.8</v>
      </c>
      <c r="F453">
        <v>76</v>
      </c>
      <c r="G453">
        <v>1</v>
      </c>
      <c r="H453" s="7">
        <f t="shared" si="28"/>
        <v>137395384.38</v>
      </c>
      <c r="I453" s="1">
        <f t="shared" si="29"/>
        <v>136305993.78</v>
      </c>
      <c r="J453" s="7">
        <f t="shared" si="30"/>
        <v>137.39538438</v>
      </c>
      <c r="K453" s="7">
        <f t="shared" si="31"/>
        <v>136.30599377999999</v>
      </c>
    </row>
  </sheetData>
  <autoFilter ref="A1:K1" xr:uid="{7AFF8D1C-8141-46BC-BBA6-9DC9DE3AA0B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</vt:lpstr>
      <vt:lpstr>output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Hampton</dc:creator>
  <cp:lastModifiedBy>Faye Williams</cp:lastModifiedBy>
  <dcterms:created xsi:type="dcterms:W3CDTF">2026-02-26T12:00:55Z</dcterms:created>
  <dcterms:modified xsi:type="dcterms:W3CDTF">2026-03-25T17:07:52Z</dcterms:modified>
</cp:coreProperties>
</file>