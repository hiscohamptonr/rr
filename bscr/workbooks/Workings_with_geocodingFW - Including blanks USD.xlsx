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ac="http://schemas.microsoft.com/office/spreadsheetml/2010/11/ac" xmlns:xcalcf="http://schemas.microsoft.com/office/spreadsheetml/2018/calcfeatures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3" xr2:uid="{33ED103A-C225-4AF7-8380-A17D5970A431}"/>
  </bookViews>
  <sheets>
    <sheet name="piv" sheetId="2" r:id="rId1"/>
    <sheet name="output" sheetId="1" r:id="rId2"/>
    <sheet name="Sheet1" sheetId="3" r:id="rId3"/>
    <sheet name="AUDIT_SUMMARY" sheetId="4" r:id="rId10"/>
  </sheets>
  <definedNames>
    <definedName name="_xlnm._FilterDatabase" localSheetId="1" hidden="1">output!$A$1:$F$50</definedName>
    <definedName name="_xlnm._FilterDatabase" localSheetId="2" hidden="1">Sheet1!$A$1:$K$1</definedName>
  </definedNames>
  <calcPr calcId="191029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<sst xmlns="http://schemas.openxmlformats.org/spreadsheetml/2006/main" count="1363" uniqueCount="143">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</sst>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Sheet1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v>4645929142.0892601</v>
      </c>
      <c r="D2" s="1">
        <v>2931952651.35181</v>
      </c>
      <c r="E2">
        <v>663</v>
      </c>
      <c r="F2">
        <v>0</v>
      </c>
      <c r="G2" s="7">
        <f>C2*1.35</f>
        <v>6272004341.8205013</v>
      </c>
      <c r="H2" s="1">
        <f>D2*1.35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v>25152755367.618698</v>
      </c>
      <c r="D3" s="1">
        <v>18626528497.776199</v>
      </c>
      <c r="E3"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v>1652000</v>
      </c>
      <c r="D4">
        <v>1652000</v>
      </c>
      <c r="E4"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v>20414496.800000001</v>
      </c>
      <c r="D5">
        <v>20414496.800000001</v>
      </c>
      <c r="E5"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v>15433806.3999999</v>
      </c>
      <c r="D6">
        <v>15433806.3999999</v>
      </c>
      <c r="E6"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v>121727653503.479</v>
      </c>
      <c r="D7">
        <v>121727653503.479</v>
      </c>
      <c r="E7"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v>699027304.74033594</v>
      </c>
      <c r="D8">
        <v>406962151.02545899</v>
      </c>
      <c r="E8"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v>7347517214.2083597</v>
      </c>
      <c r="D9">
        <v>5831772777.3838902</v>
      </c>
      <c r="E9"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v>349291128.70019001</v>
      </c>
      <c r="D10">
        <v>349291128.70019001</v>
      </c>
      <c r="E10"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v>77211907517.555206</v>
      </c>
      <c r="D11">
        <v>75515308379.152496</v>
      </c>
      <c r="E11"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v>591803570.79433501</v>
      </c>
      <c r="D12" s="1">
        <v>395404009.10095602</v>
      </c>
      <c r="E12"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v>15621176039.304501</v>
      </c>
      <c r="D13" s="1">
        <v>12132651704.075899</v>
      </c>
      <c r="E13"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v>5578000</v>
      </c>
      <c r="D14">
        <v>5578000</v>
      </c>
      <c r="E14"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v>7099946</v>
      </c>
      <c r="D15">
        <v>7099946</v>
      </c>
      <c r="E15"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v>121287644939.62</v>
      </c>
      <c r="D16">
        <v>121287644939.62</v>
      </c>
      <c r="E16"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v>210175711.440961</v>
      </c>
      <c r="D17">
        <v>112614669.916677</v>
      </c>
      <c r="E17"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v>2859865269.6026502</v>
      </c>
      <c r="D18">
        <v>2193629057.13695</v>
      </c>
      <c r="E18"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v>75479150.000190407</v>
      </c>
      <c r="D19">
        <v>75479150.000190407</v>
      </c>
      <c r="E19"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v>56019841640.209999</v>
      </c>
      <c r="D20">
        <v>54739890725.055099</v>
      </c>
      <c r="E20"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v>3060082.6430000402</v>
      </c>
      <c r="D21" s="1">
        <v>1599407.4673806699</v>
      </c>
      <c r="E21"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v>83586974.900705397</v>
      </c>
      <c r="D22" s="1">
        <v>47547710.997818798</v>
      </c>
      <c r="E22"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v>276000</v>
      </c>
      <c r="D23">
        <v>276000</v>
      </c>
      <c r="E23"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v>183525417.04899299</v>
      </c>
      <c r="D24">
        <v>107035050.91833501</v>
      </c>
      <c r="E24"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v>20201080.800000001</v>
      </c>
      <c r="D25">
        <v>20201080.800000001</v>
      </c>
      <c r="E25"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v>18301343.574820001</v>
      </c>
      <c r="D26" s="1">
        <v>16479715.6923308</v>
      </c>
      <c r="E26"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v>210957528.07712299</v>
      </c>
      <c r="D27" s="1">
        <v>106631319.724132</v>
      </c>
      <c r="E27"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v>110000</v>
      </c>
      <c r="D28">
        <v>110000</v>
      </c>
      <c r="E28"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v>110000</v>
      </c>
      <c r="D29">
        <v>110000</v>
      </c>
      <c r="E29"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v>212000</v>
      </c>
      <c r="D30">
        <v>212000</v>
      </c>
      <c r="E30"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v>7558346.1603288203</v>
      </c>
      <c r="D31">
        <v>7558346.1603288203</v>
      </c>
      <c r="E31"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v>560000</v>
      </c>
      <c r="D32">
        <v>560000</v>
      </c>
      <c r="E32"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v>2372926089.2821898</v>
      </c>
      <c r="D33" s="1">
        <v>1420410551.7284601</v>
      </c>
      <c r="E33"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v>761662142.94186294</v>
      </c>
      <c r="D34" s="1">
        <v>448941035.41101199</v>
      </c>
      <c r="E34"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v>545000</v>
      </c>
      <c r="D35">
        <v>545000</v>
      </c>
      <c r="E35"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v>2662700</v>
      </c>
      <c r="D36">
        <v>2662700</v>
      </c>
      <c r="E36"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v>101000</v>
      </c>
      <c r="D37">
        <v>101000</v>
      </c>
      <c r="E37"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v>22746034</v>
      </c>
      <c r="D38">
        <v>22746034</v>
      </c>
      <c r="E38"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v>191741484.19769299</v>
      </c>
      <c r="D39">
        <v>103722848.999153</v>
      </c>
      <c r="E39"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v>1205659420.18715</v>
      </c>
      <c r="D40">
        <v>924487181.75075197</v>
      </c>
      <c r="E40"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v>107224705.21595199</v>
      </c>
      <c r="D41">
        <v>106417749.21595199</v>
      </c>
      <c r="E41"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v>2365811502.90905</v>
      </c>
      <c r="D42" s="1">
        <v>1413295965.35532</v>
      </c>
      <c r="E42"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v>738973417.34851599</v>
      </c>
      <c r="D43" s="1">
        <v>426252309.81766498</v>
      </c>
      <c r="E43"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v>345000</v>
      </c>
      <c r="D44">
        <v>345000</v>
      </c>
      <c r="E44"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v>2462700</v>
      </c>
      <c r="D45">
        <v>2462700</v>
      </c>
      <c r="E45"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v>101000</v>
      </c>
      <c r="D46">
        <v>101000</v>
      </c>
      <c r="E46"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v>22746034</v>
      </c>
      <c r="D47">
        <v>22746034</v>
      </c>
      <c r="E47"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v>175292598.767708</v>
      </c>
      <c r="D48">
        <v>87273963.569168001</v>
      </c>
      <c r="E48"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v>906507554.61050797</v>
      </c>
      <c r="D49">
        <v>666539312.39975405</v>
      </c>
      <c r="E49"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v>101774358.815952</v>
      </c>
      <c r="D50">
        <v>100967402.815952</v>
      </c>
      <c r="E50"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D2*1.35</f>
        <v>18149996.794500001</v>
      </c>
      <c r="I2" s="1">
        <f>E2*1.35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Workings_with_geocodingFW - Including blanks USD.xlsx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bscr/BSCR_UKEU.py CSV columns A:G: cntrycode, bscr_entity, region, sum_pml, sum_net, count_policies, is_geocoded.</t>
        </is>
      </c>
    </row>
    <row r="5" ht="30" customHeight="1">
      <c r="A5" t="inlineStr">
        <is>
          <t>Process</t>
        </is>
      </c>
      <c r="B5" t="inlineStr">
        <is>
          <t>Paste CSV into Sheet1 A:G without replacing formula columns. Formulas apply 1.35 GBP/USD and divide by 1,000,000; output consolidates and piv presents results.</t>
        </is>
      </c>
    </row>
    <row r="6" ht="30" customHeight="1">
      <c r="A6" t="inlineStr">
        <is>
          <t>Outputs</t>
        </is>
      </c>
      <c r="B6" t="inlineStr">
        <is>
          <t>Reviewed piv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output and piv after loading. The checked-in piv is older than Sheet1, so reconcile query, CSV, Sheet1, output, piv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</vt:lpstr>
      <vt:lpstr>output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